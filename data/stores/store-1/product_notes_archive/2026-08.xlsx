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商品笔记数据-(2026年08月)"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795">
    <font>
      <sz val="11.0"/>
      <color indexed="8"/>
      <name val="Calibri"/>
      <family val="2"/>
      <scheme val="minor"/>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
      <name val="Calibri"/>
      <sz val="11.0"/>
      <u val="single"/>
    </font>
  </fonts>
  <fills count="2">
    <fill>
      <patternFill patternType="none"/>
    </fill>
    <fill>
      <patternFill patternType="darkGray"/>
    </fill>
  </fills>
  <borders count="1">
    <border>
      <left/>
      <right/>
      <top/>
      <bottom/>
      <diagonal/>
    </border>
  </borders>
  <cellStyleXfs count="1">
    <xf numFmtId="0" fontId="0" fillId="0" borderId="0"/>
  </cellStyleXfs>
  <cellXfs count="1795">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xf numFmtId="0" fontId="449" fillId="0" borderId="0" xfId="0" applyFont="true"/>
    <xf numFmtId="0" fontId="450" fillId="0" borderId="0" xfId="0" applyFont="true"/>
    <xf numFmtId="0" fontId="451" fillId="0" borderId="0" xfId="0" applyFont="true"/>
    <xf numFmtId="0" fontId="452" fillId="0" borderId="0" xfId="0" applyFont="true"/>
    <xf numFmtId="0" fontId="453" fillId="0" borderId="0" xfId="0" applyFont="true"/>
    <xf numFmtId="0" fontId="454" fillId="0" borderId="0" xfId="0" applyFont="true"/>
    <xf numFmtId="0" fontId="455" fillId="0" borderId="0" xfId="0" applyFont="true"/>
    <xf numFmtId="0" fontId="456" fillId="0" borderId="0" xfId="0" applyFont="true"/>
    <xf numFmtId="0" fontId="457" fillId="0" borderId="0" xfId="0" applyFont="true"/>
    <xf numFmtId="0" fontId="458" fillId="0" borderId="0" xfId="0" applyFont="true"/>
    <xf numFmtId="0" fontId="459" fillId="0" borderId="0" xfId="0" applyFont="true"/>
    <xf numFmtId="0" fontId="460" fillId="0" borderId="0" xfId="0" applyFont="true"/>
    <xf numFmtId="0" fontId="461" fillId="0" borderId="0" xfId="0" applyFont="true"/>
    <xf numFmtId="0" fontId="462" fillId="0" borderId="0" xfId="0" applyFont="true"/>
    <xf numFmtId="0" fontId="463" fillId="0" borderId="0" xfId="0" applyFont="true"/>
    <xf numFmtId="0" fontId="464" fillId="0" borderId="0" xfId="0" applyFont="true"/>
    <xf numFmtId="0" fontId="465" fillId="0" borderId="0" xfId="0" applyFont="true"/>
    <xf numFmtId="0" fontId="466" fillId="0" borderId="0" xfId="0" applyFont="true"/>
    <xf numFmtId="0" fontId="467" fillId="0" borderId="0" xfId="0" applyFont="true"/>
    <xf numFmtId="0" fontId="468" fillId="0" borderId="0" xfId="0" applyFont="true"/>
    <xf numFmtId="0" fontId="469" fillId="0" borderId="0" xfId="0" applyFont="true"/>
    <xf numFmtId="0" fontId="470" fillId="0" borderId="0" xfId="0" applyFont="true"/>
    <xf numFmtId="0" fontId="471" fillId="0" borderId="0" xfId="0" applyFont="true"/>
    <xf numFmtId="0" fontId="472" fillId="0" borderId="0" xfId="0" applyFont="true"/>
    <xf numFmtId="0" fontId="473" fillId="0" borderId="0" xfId="0" applyFont="true"/>
    <xf numFmtId="0" fontId="474" fillId="0" borderId="0" xfId="0" applyFont="true"/>
    <xf numFmtId="0" fontId="475" fillId="0" borderId="0" xfId="0" applyFont="true"/>
    <xf numFmtId="0" fontId="476" fillId="0" borderId="0" xfId="0" applyFont="true"/>
    <xf numFmtId="0" fontId="477" fillId="0" borderId="0" xfId="0" applyFont="true"/>
    <xf numFmtId="0" fontId="478" fillId="0" borderId="0" xfId="0" applyFont="true"/>
    <xf numFmtId="0" fontId="479" fillId="0" borderId="0" xfId="0" applyFont="true"/>
    <xf numFmtId="0" fontId="480" fillId="0" borderId="0" xfId="0" applyFont="true"/>
    <xf numFmtId="0" fontId="481" fillId="0" borderId="0" xfId="0" applyFont="true"/>
    <xf numFmtId="0" fontId="482" fillId="0" borderId="0" xfId="0" applyFont="true"/>
    <xf numFmtId="0" fontId="483" fillId="0" borderId="0" xfId="0" applyFont="true"/>
    <xf numFmtId="0" fontId="484" fillId="0" borderId="0" xfId="0" applyFont="true"/>
    <xf numFmtId="0" fontId="485" fillId="0" borderId="0" xfId="0" applyFont="true"/>
    <xf numFmtId="0" fontId="486" fillId="0" borderId="0" xfId="0" applyFont="true"/>
    <xf numFmtId="0" fontId="487" fillId="0" borderId="0" xfId="0" applyFont="true"/>
    <xf numFmtId="0" fontId="488" fillId="0" borderId="0" xfId="0" applyFont="true"/>
    <xf numFmtId="0" fontId="489" fillId="0" borderId="0" xfId="0" applyFont="true"/>
    <xf numFmtId="0" fontId="490" fillId="0" borderId="0" xfId="0" applyFont="true"/>
    <xf numFmtId="0" fontId="491" fillId="0" borderId="0" xfId="0" applyFont="true"/>
    <xf numFmtId="0" fontId="492" fillId="0" borderId="0" xfId="0" applyFont="true"/>
    <xf numFmtId="0" fontId="493" fillId="0" borderId="0" xfId="0" applyFont="true"/>
    <xf numFmtId="0" fontId="494" fillId="0" borderId="0" xfId="0" applyFont="true"/>
    <xf numFmtId="0" fontId="495" fillId="0" borderId="0" xfId="0" applyFont="true"/>
    <xf numFmtId="0" fontId="496" fillId="0" borderId="0" xfId="0" applyFont="true"/>
    <xf numFmtId="0" fontId="497" fillId="0" borderId="0" xfId="0" applyFont="true"/>
    <xf numFmtId="0" fontId="498" fillId="0" borderId="0" xfId="0" applyFont="true"/>
    <xf numFmtId="0" fontId="499" fillId="0" borderId="0" xfId="0" applyFont="true"/>
    <xf numFmtId="0" fontId="500" fillId="0" borderId="0" xfId="0" applyFont="true"/>
    <xf numFmtId="0" fontId="501" fillId="0" borderId="0" xfId="0" applyFont="true"/>
    <xf numFmtId="0" fontId="502" fillId="0" borderId="0" xfId="0" applyFont="true"/>
    <xf numFmtId="0" fontId="503" fillId="0" borderId="0" xfId="0" applyFont="true"/>
    <xf numFmtId="0" fontId="504" fillId="0" borderId="0" xfId="0" applyFont="true"/>
    <xf numFmtId="0" fontId="505" fillId="0" borderId="0" xfId="0" applyFont="true"/>
    <xf numFmtId="0" fontId="506" fillId="0" borderId="0" xfId="0" applyFont="true"/>
    <xf numFmtId="0" fontId="507" fillId="0" borderId="0" xfId="0" applyFont="true"/>
    <xf numFmtId="0" fontId="508" fillId="0" borderId="0" xfId="0" applyFont="true"/>
    <xf numFmtId="0" fontId="509" fillId="0" borderId="0" xfId="0" applyFont="true"/>
    <xf numFmtId="0" fontId="510" fillId="0" borderId="0" xfId="0" applyFont="true"/>
    <xf numFmtId="0" fontId="511" fillId="0" borderId="0" xfId="0" applyFont="true"/>
    <xf numFmtId="0" fontId="512" fillId="0" borderId="0" xfId="0" applyFont="true"/>
    <xf numFmtId="0" fontId="513" fillId="0" borderId="0" xfId="0" applyFont="true"/>
    <xf numFmtId="0" fontId="514" fillId="0" borderId="0" xfId="0" applyFont="true"/>
    <xf numFmtId="0" fontId="515" fillId="0" borderId="0" xfId="0" applyFont="true"/>
    <xf numFmtId="0" fontId="516" fillId="0" borderId="0" xfId="0" applyFont="true"/>
    <xf numFmtId="0" fontId="517" fillId="0" borderId="0" xfId="0" applyFont="true"/>
    <xf numFmtId="0" fontId="518" fillId="0" borderId="0" xfId="0" applyFont="true"/>
    <xf numFmtId="0" fontId="519" fillId="0" borderId="0" xfId="0" applyFont="true"/>
    <xf numFmtId="0" fontId="520" fillId="0" borderId="0" xfId="0" applyFont="true"/>
    <xf numFmtId="0" fontId="521" fillId="0" borderId="0" xfId="0" applyFont="true"/>
    <xf numFmtId="0" fontId="522" fillId="0" borderId="0" xfId="0" applyFont="true"/>
    <xf numFmtId="0" fontId="523" fillId="0" borderId="0" xfId="0" applyFont="true"/>
    <xf numFmtId="0" fontId="524" fillId="0" borderId="0" xfId="0" applyFont="true"/>
    <xf numFmtId="0" fontId="525" fillId="0" borderId="0" xfId="0" applyFont="true"/>
    <xf numFmtId="0" fontId="526" fillId="0" borderId="0" xfId="0" applyFont="true"/>
    <xf numFmtId="0" fontId="527" fillId="0" borderId="0" xfId="0" applyFont="true"/>
    <xf numFmtId="0" fontId="528" fillId="0" borderId="0" xfId="0" applyFont="true"/>
    <xf numFmtId="0" fontId="529" fillId="0" borderId="0" xfId="0" applyFont="true"/>
    <xf numFmtId="0" fontId="530" fillId="0" borderId="0" xfId="0" applyFont="true"/>
    <xf numFmtId="0" fontId="531" fillId="0" borderId="0" xfId="0" applyFont="true"/>
    <xf numFmtId="0" fontId="532" fillId="0" borderId="0" xfId="0" applyFont="true"/>
    <xf numFmtId="0" fontId="533" fillId="0" borderId="0" xfId="0" applyFont="true"/>
    <xf numFmtId="0" fontId="534" fillId="0" borderId="0" xfId="0" applyFont="true"/>
    <xf numFmtId="0" fontId="535" fillId="0" borderId="0" xfId="0" applyFont="true"/>
    <xf numFmtId="0" fontId="536" fillId="0" borderId="0" xfId="0" applyFont="true"/>
    <xf numFmtId="0" fontId="537" fillId="0" borderId="0" xfId="0" applyFont="true"/>
    <xf numFmtId="0" fontId="538" fillId="0" borderId="0" xfId="0" applyFont="true"/>
    <xf numFmtId="0" fontId="539" fillId="0" borderId="0" xfId="0" applyFont="true"/>
    <xf numFmtId="0" fontId="540" fillId="0" borderId="0" xfId="0" applyFont="true"/>
    <xf numFmtId="0" fontId="541" fillId="0" borderId="0" xfId="0" applyFont="true"/>
    <xf numFmtId="0" fontId="542" fillId="0" borderId="0" xfId="0" applyFont="true"/>
    <xf numFmtId="0" fontId="543" fillId="0" borderId="0" xfId="0" applyFont="true"/>
    <xf numFmtId="0" fontId="544" fillId="0" borderId="0" xfId="0" applyFont="true"/>
    <xf numFmtId="0" fontId="545" fillId="0" borderId="0" xfId="0" applyFont="true"/>
    <xf numFmtId="0" fontId="546" fillId="0" borderId="0" xfId="0" applyFont="true"/>
    <xf numFmtId="0" fontId="547" fillId="0" borderId="0" xfId="0" applyFont="true"/>
    <xf numFmtId="0" fontId="548" fillId="0" borderId="0" xfId="0" applyFont="true"/>
    <xf numFmtId="0" fontId="549" fillId="0" borderId="0" xfId="0" applyFont="true"/>
    <xf numFmtId="0" fontId="550" fillId="0" borderId="0" xfId="0" applyFont="true"/>
    <xf numFmtId="0" fontId="551" fillId="0" borderId="0" xfId="0" applyFont="true"/>
    <xf numFmtId="0" fontId="552" fillId="0" borderId="0" xfId="0" applyFont="true"/>
    <xf numFmtId="0" fontId="553" fillId="0" borderId="0" xfId="0" applyFont="true"/>
    <xf numFmtId="0" fontId="554" fillId="0" borderId="0" xfId="0" applyFont="true"/>
    <xf numFmtId="0" fontId="555" fillId="0" borderId="0" xfId="0" applyFont="true"/>
    <xf numFmtId="0" fontId="556" fillId="0" borderId="0" xfId="0" applyFont="true"/>
    <xf numFmtId="0" fontId="557" fillId="0" borderId="0" xfId="0" applyFont="true"/>
    <xf numFmtId="0" fontId="558" fillId="0" borderId="0" xfId="0" applyFont="true"/>
    <xf numFmtId="0" fontId="559" fillId="0" borderId="0" xfId="0" applyFont="true"/>
    <xf numFmtId="0" fontId="560" fillId="0" borderId="0" xfId="0" applyFont="true"/>
    <xf numFmtId="0" fontId="561" fillId="0" borderId="0" xfId="0" applyFont="true"/>
    <xf numFmtId="0" fontId="562" fillId="0" borderId="0" xfId="0" applyFont="true"/>
    <xf numFmtId="0" fontId="563" fillId="0" borderId="0" xfId="0" applyFont="true"/>
    <xf numFmtId="0" fontId="564" fillId="0" borderId="0" xfId="0" applyFont="true"/>
    <xf numFmtId="0" fontId="565" fillId="0" borderId="0" xfId="0" applyFont="true"/>
    <xf numFmtId="0" fontId="566" fillId="0" borderId="0" xfId="0" applyFont="true"/>
    <xf numFmtId="0" fontId="567" fillId="0" borderId="0" xfId="0" applyFont="true"/>
    <xf numFmtId="0" fontId="568" fillId="0" borderId="0" xfId="0" applyFont="true"/>
    <xf numFmtId="0" fontId="569" fillId="0" borderId="0" xfId="0" applyFont="true"/>
    <xf numFmtId="0" fontId="570" fillId="0" borderId="0" xfId="0" applyFont="true"/>
    <xf numFmtId="0" fontId="571" fillId="0" borderId="0" xfId="0" applyFont="true"/>
    <xf numFmtId="0" fontId="572" fillId="0" borderId="0" xfId="0" applyFont="true"/>
    <xf numFmtId="0" fontId="573" fillId="0" borderId="0" xfId="0" applyFont="true"/>
    <xf numFmtId="0" fontId="574" fillId="0" borderId="0" xfId="0" applyFont="true"/>
    <xf numFmtId="0" fontId="575" fillId="0" borderId="0" xfId="0" applyFont="true"/>
    <xf numFmtId="0" fontId="576" fillId="0" borderId="0" xfId="0" applyFont="true"/>
    <xf numFmtId="0" fontId="577" fillId="0" borderId="0" xfId="0" applyFont="true"/>
    <xf numFmtId="0" fontId="578" fillId="0" borderId="0" xfId="0" applyFont="true"/>
    <xf numFmtId="0" fontId="579" fillId="0" borderId="0" xfId="0" applyFont="true"/>
    <xf numFmtId="0" fontId="580" fillId="0" borderId="0" xfId="0" applyFont="true"/>
    <xf numFmtId="0" fontId="581" fillId="0" borderId="0" xfId="0" applyFont="true"/>
    <xf numFmtId="0" fontId="582" fillId="0" borderId="0" xfId="0" applyFont="true"/>
    <xf numFmtId="0" fontId="583" fillId="0" borderId="0" xfId="0" applyFont="true"/>
    <xf numFmtId="0" fontId="584" fillId="0" borderId="0" xfId="0" applyFont="true"/>
    <xf numFmtId="0" fontId="585" fillId="0" borderId="0" xfId="0" applyFont="true"/>
    <xf numFmtId="0" fontId="586" fillId="0" borderId="0" xfId="0" applyFont="true"/>
    <xf numFmtId="0" fontId="587" fillId="0" borderId="0" xfId="0" applyFont="true"/>
    <xf numFmtId="0" fontId="588" fillId="0" borderId="0" xfId="0" applyFont="true"/>
    <xf numFmtId="0" fontId="589" fillId="0" borderId="0" xfId="0" applyFont="true"/>
    <xf numFmtId="0" fontId="590" fillId="0" borderId="0" xfId="0" applyFont="true"/>
    <xf numFmtId="0" fontId="591" fillId="0" borderId="0" xfId="0" applyFont="true"/>
    <xf numFmtId="0" fontId="592" fillId="0" borderId="0" xfId="0" applyFont="true"/>
    <xf numFmtId="0" fontId="593" fillId="0" borderId="0" xfId="0" applyFont="true"/>
    <xf numFmtId="0" fontId="594" fillId="0" borderId="0" xfId="0" applyFont="true"/>
    <xf numFmtId="0" fontId="595" fillId="0" borderId="0" xfId="0" applyFont="true"/>
    <xf numFmtId="0" fontId="596" fillId="0" borderId="0" xfId="0" applyFont="true"/>
    <xf numFmtId="0" fontId="597" fillId="0" borderId="0" xfId="0" applyFont="true"/>
    <xf numFmtId="0" fontId="598" fillId="0" borderId="0" xfId="0" applyFont="true"/>
    <xf numFmtId="0" fontId="599" fillId="0" borderId="0" xfId="0" applyFont="true"/>
    <xf numFmtId="0" fontId="600" fillId="0" borderId="0" xfId="0" applyFont="true"/>
    <xf numFmtId="0" fontId="601" fillId="0" borderId="0" xfId="0" applyFont="true"/>
    <xf numFmtId="0" fontId="602" fillId="0" borderId="0" xfId="0" applyFont="true"/>
    <xf numFmtId="0" fontId="603" fillId="0" borderId="0" xfId="0" applyFont="true"/>
    <xf numFmtId="0" fontId="604" fillId="0" borderId="0" xfId="0" applyFont="true"/>
    <xf numFmtId="0" fontId="605" fillId="0" borderId="0" xfId="0" applyFont="true"/>
    <xf numFmtId="0" fontId="606" fillId="0" borderId="0" xfId="0" applyFont="true"/>
    <xf numFmtId="0" fontId="607" fillId="0" borderId="0" xfId="0" applyFont="true"/>
    <xf numFmtId="0" fontId="608" fillId="0" borderId="0" xfId="0" applyFont="true"/>
    <xf numFmtId="0" fontId="609" fillId="0" borderId="0" xfId="0" applyFont="true"/>
    <xf numFmtId="0" fontId="610" fillId="0" borderId="0" xfId="0" applyFont="true"/>
    <xf numFmtId="0" fontId="611" fillId="0" borderId="0" xfId="0" applyFont="true"/>
    <xf numFmtId="0" fontId="612" fillId="0" borderId="0" xfId="0" applyFont="true"/>
    <xf numFmtId="0" fontId="613" fillId="0" borderId="0" xfId="0" applyFont="true"/>
    <xf numFmtId="0" fontId="614" fillId="0" borderId="0" xfId="0" applyFont="true"/>
    <xf numFmtId="0" fontId="615" fillId="0" borderId="0" xfId="0" applyFont="true"/>
    <xf numFmtId="0" fontId="616" fillId="0" borderId="0" xfId="0" applyFont="true"/>
    <xf numFmtId="0" fontId="617" fillId="0" borderId="0" xfId="0" applyFont="true"/>
    <xf numFmtId="0" fontId="618" fillId="0" borderId="0" xfId="0" applyFont="true"/>
    <xf numFmtId="0" fontId="619" fillId="0" borderId="0" xfId="0" applyFont="true"/>
    <xf numFmtId="0" fontId="620" fillId="0" borderId="0" xfId="0" applyFont="true"/>
    <xf numFmtId="0" fontId="621" fillId="0" borderId="0" xfId="0" applyFont="true"/>
    <xf numFmtId="0" fontId="622" fillId="0" borderId="0" xfId="0" applyFont="true"/>
    <xf numFmtId="0" fontId="623" fillId="0" borderId="0" xfId="0" applyFont="true"/>
    <xf numFmtId="0" fontId="624" fillId="0" borderId="0" xfId="0" applyFont="true"/>
    <xf numFmtId="0" fontId="625" fillId="0" borderId="0" xfId="0" applyFont="true"/>
    <xf numFmtId="0" fontId="626" fillId="0" borderId="0" xfId="0" applyFont="true"/>
    <xf numFmtId="0" fontId="627" fillId="0" borderId="0" xfId="0" applyFont="true"/>
    <xf numFmtId="0" fontId="628" fillId="0" borderId="0" xfId="0" applyFont="true"/>
    <xf numFmtId="0" fontId="629" fillId="0" borderId="0" xfId="0" applyFont="true"/>
    <xf numFmtId="0" fontId="630" fillId="0" borderId="0" xfId="0" applyFont="true"/>
    <xf numFmtId="0" fontId="631" fillId="0" borderId="0" xfId="0" applyFont="true"/>
    <xf numFmtId="0" fontId="632" fillId="0" borderId="0" xfId="0" applyFont="true"/>
    <xf numFmtId="0" fontId="633" fillId="0" borderId="0" xfId="0" applyFont="true"/>
    <xf numFmtId="0" fontId="634" fillId="0" borderId="0" xfId="0" applyFont="true"/>
    <xf numFmtId="0" fontId="635" fillId="0" borderId="0" xfId="0" applyFont="true"/>
    <xf numFmtId="0" fontId="636" fillId="0" borderId="0" xfId="0" applyFont="true"/>
    <xf numFmtId="0" fontId="637" fillId="0" borderId="0" xfId="0" applyFont="true"/>
    <xf numFmtId="0" fontId="638" fillId="0" borderId="0" xfId="0" applyFont="true"/>
    <xf numFmtId="0" fontId="639" fillId="0" borderId="0" xfId="0" applyFont="true"/>
    <xf numFmtId="0" fontId="640" fillId="0" borderId="0" xfId="0" applyFont="true"/>
    <xf numFmtId="0" fontId="641" fillId="0" borderId="0" xfId="0" applyFont="true"/>
    <xf numFmtId="0" fontId="642" fillId="0" borderId="0" xfId="0" applyFont="true"/>
    <xf numFmtId="0" fontId="643" fillId="0" borderId="0" xfId="0" applyFont="true"/>
    <xf numFmtId="0" fontId="644" fillId="0" borderId="0" xfId="0" applyFont="true"/>
    <xf numFmtId="0" fontId="645" fillId="0" borderId="0" xfId="0" applyFont="true"/>
    <xf numFmtId="0" fontId="646" fillId="0" borderId="0" xfId="0" applyFont="true"/>
    <xf numFmtId="0" fontId="647" fillId="0" borderId="0" xfId="0" applyFont="true"/>
    <xf numFmtId="0" fontId="648" fillId="0" borderId="0" xfId="0" applyFont="true"/>
    <xf numFmtId="0" fontId="649" fillId="0" borderId="0" xfId="0" applyFont="true"/>
    <xf numFmtId="0" fontId="650" fillId="0" borderId="0" xfId="0" applyFont="true"/>
    <xf numFmtId="0" fontId="651" fillId="0" borderId="0" xfId="0" applyFont="true"/>
    <xf numFmtId="0" fontId="652" fillId="0" borderId="0" xfId="0" applyFont="true"/>
    <xf numFmtId="0" fontId="653" fillId="0" borderId="0" xfId="0" applyFont="true"/>
    <xf numFmtId="0" fontId="654" fillId="0" borderId="0" xfId="0" applyFont="true"/>
    <xf numFmtId="0" fontId="655" fillId="0" borderId="0" xfId="0" applyFont="true"/>
    <xf numFmtId="0" fontId="656" fillId="0" borderId="0" xfId="0" applyFont="true"/>
    <xf numFmtId="0" fontId="657" fillId="0" borderId="0" xfId="0" applyFont="true"/>
    <xf numFmtId="0" fontId="658" fillId="0" borderId="0" xfId="0" applyFont="true"/>
    <xf numFmtId="0" fontId="659" fillId="0" borderId="0" xfId="0" applyFont="true"/>
    <xf numFmtId="0" fontId="660" fillId="0" borderId="0" xfId="0" applyFont="true"/>
    <xf numFmtId="0" fontId="661" fillId="0" borderId="0" xfId="0" applyFont="true"/>
    <xf numFmtId="0" fontId="662" fillId="0" borderId="0" xfId="0" applyFont="true"/>
    <xf numFmtId="0" fontId="663" fillId="0" borderId="0" xfId="0" applyFont="true"/>
    <xf numFmtId="0" fontId="664" fillId="0" borderId="0" xfId="0" applyFont="true"/>
    <xf numFmtId="0" fontId="665" fillId="0" borderId="0" xfId="0" applyFont="true"/>
    <xf numFmtId="0" fontId="666" fillId="0" borderId="0" xfId="0" applyFont="true"/>
    <xf numFmtId="0" fontId="667" fillId="0" borderId="0" xfId="0" applyFont="true"/>
    <xf numFmtId="0" fontId="668" fillId="0" borderId="0" xfId="0" applyFont="true"/>
    <xf numFmtId="0" fontId="669" fillId="0" borderId="0" xfId="0" applyFont="true"/>
    <xf numFmtId="0" fontId="670" fillId="0" borderId="0" xfId="0" applyFont="true"/>
    <xf numFmtId="0" fontId="671" fillId="0" borderId="0" xfId="0" applyFont="true"/>
    <xf numFmtId="0" fontId="672" fillId="0" borderId="0" xfId="0" applyFont="true"/>
    <xf numFmtId="0" fontId="673" fillId="0" borderId="0" xfId="0" applyFont="true"/>
    <xf numFmtId="0" fontId="674" fillId="0" borderId="0" xfId="0" applyFont="true"/>
    <xf numFmtId="0" fontId="675" fillId="0" borderId="0" xfId="0" applyFont="true"/>
    <xf numFmtId="0" fontId="676" fillId="0" borderId="0" xfId="0" applyFont="true"/>
    <xf numFmtId="0" fontId="677" fillId="0" borderId="0" xfId="0" applyFont="true"/>
    <xf numFmtId="0" fontId="678" fillId="0" borderId="0" xfId="0" applyFont="true"/>
    <xf numFmtId="0" fontId="679" fillId="0" borderId="0" xfId="0" applyFont="true"/>
    <xf numFmtId="0" fontId="680" fillId="0" borderId="0" xfId="0" applyFont="true"/>
    <xf numFmtId="0" fontId="681" fillId="0" borderId="0" xfId="0" applyFont="true"/>
    <xf numFmtId="0" fontId="682" fillId="0" borderId="0" xfId="0" applyFont="true"/>
    <xf numFmtId="0" fontId="683" fillId="0" borderId="0" xfId="0" applyFont="true"/>
    <xf numFmtId="0" fontId="684" fillId="0" borderId="0" xfId="0" applyFont="true"/>
    <xf numFmtId="0" fontId="685" fillId="0" borderId="0" xfId="0" applyFont="true"/>
    <xf numFmtId="0" fontId="686" fillId="0" borderId="0" xfId="0" applyFont="true"/>
    <xf numFmtId="0" fontId="687" fillId="0" borderId="0" xfId="0" applyFont="true"/>
    <xf numFmtId="0" fontId="688" fillId="0" borderId="0" xfId="0" applyFont="true"/>
    <xf numFmtId="0" fontId="689" fillId="0" borderId="0" xfId="0" applyFont="true"/>
    <xf numFmtId="0" fontId="690" fillId="0" borderId="0" xfId="0" applyFont="true"/>
    <xf numFmtId="0" fontId="691" fillId="0" borderId="0" xfId="0" applyFont="true"/>
    <xf numFmtId="0" fontId="692" fillId="0" borderId="0" xfId="0" applyFont="true"/>
    <xf numFmtId="0" fontId="693" fillId="0" borderId="0" xfId="0" applyFont="true"/>
    <xf numFmtId="0" fontId="694" fillId="0" borderId="0" xfId="0" applyFont="true"/>
    <xf numFmtId="0" fontId="695" fillId="0" borderId="0" xfId="0" applyFont="true"/>
    <xf numFmtId="0" fontId="696" fillId="0" borderId="0" xfId="0" applyFont="true"/>
    <xf numFmtId="0" fontId="697" fillId="0" borderId="0" xfId="0" applyFont="true"/>
    <xf numFmtId="0" fontId="698" fillId="0" borderId="0" xfId="0" applyFont="true"/>
    <xf numFmtId="0" fontId="699" fillId="0" borderId="0" xfId="0" applyFont="true"/>
    <xf numFmtId="0" fontId="700" fillId="0" borderId="0" xfId="0" applyFont="true"/>
    <xf numFmtId="0" fontId="701" fillId="0" borderId="0" xfId="0" applyFont="true"/>
    <xf numFmtId="0" fontId="702" fillId="0" borderId="0" xfId="0" applyFont="true"/>
    <xf numFmtId="0" fontId="703" fillId="0" borderId="0" xfId="0" applyFont="true"/>
    <xf numFmtId="0" fontId="704" fillId="0" borderId="0" xfId="0" applyFont="true"/>
    <xf numFmtId="0" fontId="705" fillId="0" borderId="0" xfId="0" applyFont="true"/>
    <xf numFmtId="0" fontId="706" fillId="0" borderId="0" xfId="0" applyFont="true"/>
    <xf numFmtId="0" fontId="707" fillId="0" borderId="0" xfId="0" applyFont="true"/>
    <xf numFmtId="0" fontId="708" fillId="0" borderId="0" xfId="0" applyFont="true"/>
    <xf numFmtId="0" fontId="709" fillId="0" borderId="0" xfId="0" applyFont="true"/>
    <xf numFmtId="0" fontId="710" fillId="0" borderId="0" xfId="0" applyFont="true"/>
    <xf numFmtId="0" fontId="711" fillId="0" borderId="0" xfId="0" applyFont="true"/>
    <xf numFmtId="0" fontId="712" fillId="0" borderId="0" xfId="0" applyFont="true"/>
    <xf numFmtId="0" fontId="713" fillId="0" borderId="0" xfId="0" applyFont="true"/>
    <xf numFmtId="0" fontId="714" fillId="0" borderId="0" xfId="0" applyFont="true"/>
    <xf numFmtId="0" fontId="715" fillId="0" borderId="0" xfId="0" applyFont="true"/>
    <xf numFmtId="0" fontId="716" fillId="0" borderId="0" xfId="0" applyFont="true"/>
    <xf numFmtId="0" fontId="717" fillId="0" borderId="0" xfId="0" applyFont="true"/>
    <xf numFmtId="0" fontId="718" fillId="0" borderId="0" xfId="0" applyFont="true"/>
    <xf numFmtId="0" fontId="719" fillId="0" borderId="0" xfId="0" applyFont="true"/>
    <xf numFmtId="0" fontId="720" fillId="0" borderId="0" xfId="0" applyFont="true"/>
    <xf numFmtId="0" fontId="721" fillId="0" borderId="0" xfId="0" applyFont="true"/>
    <xf numFmtId="0" fontId="722" fillId="0" borderId="0" xfId="0" applyFont="true"/>
    <xf numFmtId="0" fontId="723" fillId="0" borderId="0" xfId="0" applyFont="true"/>
    <xf numFmtId="0" fontId="724" fillId="0" borderId="0" xfId="0" applyFont="true"/>
    <xf numFmtId="0" fontId="725" fillId="0" borderId="0" xfId="0" applyFont="true"/>
    <xf numFmtId="0" fontId="726" fillId="0" borderId="0" xfId="0" applyFont="true"/>
    <xf numFmtId="0" fontId="727" fillId="0" borderId="0" xfId="0" applyFont="true"/>
    <xf numFmtId="0" fontId="728" fillId="0" borderId="0" xfId="0" applyFont="true"/>
    <xf numFmtId="0" fontId="729" fillId="0" borderId="0" xfId="0" applyFont="true"/>
    <xf numFmtId="0" fontId="730" fillId="0" borderId="0" xfId="0" applyFont="true"/>
    <xf numFmtId="0" fontId="731" fillId="0" borderId="0" xfId="0" applyFont="true"/>
    <xf numFmtId="0" fontId="732" fillId="0" borderId="0" xfId="0" applyFont="true"/>
    <xf numFmtId="0" fontId="733" fillId="0" borderId="0" xfId="0" applyFont="true"/>
    <xf numFmtId="0" fontId="734" fillId="0" borderId="0" xfId="0" applyFont="true"/>
    <xf numFmtId="0" fontId="735" fillId="0" borderId="0" xfId="0" applyFont="true"/>
    <xf numFmtId="0" fontId="736" fillId="0" borderId="0" xfId="0" applyFont="true"/>
    <xf numFmtId="0" fontId="737" fillId="0" borderId="0" xfId="0" applyFont="true"/>
    <xf numFmtId="0" fontId="738" fillId="0" borderId="0" xfId="0" applyFont="true"/>
    <xf numFmtId="0" fontId="739" fillId="0" borderId="0" xfId="0" applyFont="true"/>
    <xf numFmtId="0" fontId="740" fillId="0" borderId="0" xfId="0" applyFont="true"/>
    <xf numFmtId="0" fontId="741" fillId="0" borderId="0" xfId="0" applyFont="true"/>
    <xf numFmtId="0" fontId="742" fillId="0" borderId="0" xfId="0" applyFont="true"/>
    <xf numFmtId="0" fontId="743" fillId="0" borderId="0" xfId="0" applyFont="true"/>
    <xf numFmtId="0" fontId="744" fillId="0" borderId="0" xfId="0" applyFont="true"/>
    <xf numFmtId="0" fontId="745" fillId="0" borderId="0" xfId="0" applyFont="true"/>
    <xf numFmtId="0" fontId="746" fillId="0" borderId="0" xfId="0" applyFont="true"/>
    <xf numFmtId="0" fontId="747" fillId="0" borderId="0" xfId="0" applyFont="true"/>
    <xf numFmtId="0" fontId="748" fillId="0" borderId="0" xfId="0" applyFont="true"/>
    <xf numFmtId="0" fontId="749" fillId="0" borderId="0" xfId="0" applyFont="true"/>
    <xf numFmtId="0" fontId="750" fillId="0" borderId="0" xfId="0" applyFont="true"/>
    <xf numFmtId="0" fontId="751" fillId="0" borderId="0" xfId="0" applyFont="true"/>
    <xf numFmtId="0" fontId="752" fillId="0" borderId="0" xfId="0" applyFont="true"/>
    <xf numFmtId="0" fontId="753" fillId="0" borderId="0" xfId="0" applyFont="true"/>
    <xf numFmtId="0" fontId="754" fillId="0" borderId="0" xfId="0" applyFont="true"/>
    <xf numFmtId="0" fontId="755" fillId="0" borderId="0" xfId="0" applyFont="true"/>
    <xf numFmtId="0" fontId="756" fillId="0" borderId="0" xfId="0" applyFont="true"/>
    <xf numFmtId="0" fontId="757" fillId="0" borderId="0" xfId="0" applyFont="true"/>
    <xf numFmtId="0" fontId="758" fillId="0" borderId="0" xfId="0" applyFont="true"/>
    <xf numFmtId="0" fontId="759" fillId="0" borderId="0" xfId="0" applyFont="true"/>
    <xf numFmtId="0" fontId="760" fillId="0" borderId="0" xfId="0" applyFont="true"/>
    <xf numFmtId="0" fontId="761" fillId="0" borderId="0" xfId="0" applyFont="true"/>
    <xf numFmtId="0" fontId="762" fillId="0" borderId="0" xfId="0" applyFont="true"/>
    <xf numFmtId="0" fontId="763" fillId="0" borderId="0" xfId="0" applyFont="true"/>
    <xf numFmtId="0" fontId="764" fillId="0" borderId="0" xfId="0" applyFont="true"/>
    <xf numFmtId="0" fontId="765" fillId="0" borderId="0" xfId="0" applyFont="true"/>
    <xf numFmtId="0" fontId="766" fillId="0" borderId="0" xfId="0" applyFont="true"/>
    <xf numFmtId="0" fontId="767" fillId="0" borderId="0" xfId="0" applyFont="true"/>
    <xf numFmtId="0" fontId="768" fillId="0" borderId="0" xfId="0" applyFont="true"/>
    <xf numFmtId="0" fontId="769" fillId="0" borderId="0" xfId="0" applyFont="true"/>
    <xf numFmtId="0" fontId="770" fillId="0" borderId="0" xfId="0" applyFont="true"/>
    <xf numFmtId="0" fontId="771" fillId="0" borderId="0" xfId="0" applyFont="true"/>
    <xf numFmtId="0" fontId="772" fillId="0" borderId="0" xfId="0" applyFont="true"/>
    <xf numFmtId="0" fontId="773" fillId="0" borderId="0" xfId="0" applyFont="true"/>
    <xf numFmtId="0" fontId="774" fillId="0" borderId="0" xfId="0" applyFont="true"/>
    <xf numFmtId="0" fontId="775" fillId="0" borderId="0" xfId="0" applyFont="true"/>
    <xf numFmtId="0" fontId="776" fillId="0" borderId="0" xfId="0" applyFont="true"/>
    <xf numFmtId="0" fontId="777" fillId="0" borderId="0" xfId="0" applyFont="true"/>
    <xf numFmtId="0" fontId="778" fillId="0" borderId="0" xfId="0" applyFont="true"/>
    <xf numFmtId="0" fontId="779" fillId="0" borderId="0" xfId="0" applyFont="true"/>
    <xf numFmtId="0" fontId="780" fillId="0" borderId="0" xfId="0" applyFont="true"/>
    <xf numFmtId="0" fontId="781" fillId="0" borderId="0" xfId="0" applyFont="true"/>
    <xf numFmtId="0" fontId="782" fillId="0" borderId="0" xfId="0" applyFont="true"/>
    <xf numFmtId="0" fontId="783" fillId="0" borderId="0" xfId="0" applyFont="true"/>
    <xf numFmtId="0" fontId="784" fillId="0" borderId="0" xfId="0" applyFont="true"/>
    <xf numFmtId="0" fontId="785" fillId="0" borderId="0" xfId="0" applyFont="true"/>
    <xf numFmtId="0" fontId="786" fillId="0" borderId="0" xfId="0" applyFont="true"/>
    <xf numFmtId="0" fontId="787" fillId="0" borderId="0" xfId="0" applyFont="true"/>
    <xf numFmtId="0" fontId="788" fillId="0" borderId="0" xfId="0" applyFont="true"/>
    <xf numFmtId="0" fontId="789" fillId="0" borderId="0" xfId="0" applyFont="true"/>
    <xf numFmtId="0" fontId="790" fillId="0" borderId="0" xfId="0" applyFont="true"/>
    <xf numFmtId="0" fontId="791" fillId="0" borderId="0" xfId="0" applyFont="true"/>
    <xf numFmtId="0" fontId="792" fillId="0" borderId="0" xfId="0" applyFont="true"/>
    <xf numFmtId="0" fontId="793" fillId="0" borderId="0" xfId="0" applyFont="true"/>
    <xf numFmtId="0" fontId="794" fillId="0" borderId="0" xfId="0" applyFont="true"/>
    <xf numFmtId="0" fontId="795" fillId="0" borderId="0" xfId="0" applyFont="true"/>
    <xf numFmtId="0" fontId="796" fillId="0" borderId="0" xfId="0" applyFont="true"/>
    <xf numFmtId="0" fontId="797" fillId="0" borderId="0" xfId="0" applyFont="true"/>
    <xf numFmtId="0" fontId="798" fillId="0" borderId="0" xfId="0" applyFont="true"/>
    <xf numFmtId="0" fontId="799" fillId="0" borderId="0" xfId="0" applyFont="true"/>
    <xf numFmtId="0" fontId="800" fillId="0" borderId="0" xfId="0" applyFont="true"/>
    <xf numFmtId="0" fontId="801" fillId="0" borderId="0" xfId="0" applyFont="true"/>
    <xf numFmtId="0" fontId="802" fillId="0" borderId="0" xfId="0" applyFont="true"/>
    <xf numFmtId="0" fontId="803" fillId="0" borderId="0" xfId="0" applyFont="true"/>
    <xf numFmtId="0" fontId="804" fillId="0" borderId="0" xfId="0" applyFont="true"/>
    <xf numFmtId="0" fontId="805" fillId="0" borderId="0" xfId="0" applyFont="true"/>
    <xf numFmtId="0" fontId="806" fillId="0" borderId="0" xfId="0" applyFont="true"/>
    <xf numFmtId="0" fontId="807" fillId="0" borderId="0" xfId="0" applyFont="true"/>
    <xf numFmtId="0" fontId="808" fillId="0" borderId="0" xfId="0" applyFont="true"/>
    <xf numFmtId="0" fontId="809" fillId="0" borderId="0" xfId="0" applyFont="true"/>
    <xf numFmtId="0" fontId="810" fillId="0" borderId="0" xfId="0" applyFont="true"/>
    <xf numFmtId="0" fontId="811" fillId="0" borderId="0" xfId="0" applyFont="true"/>
    <xf numFmtId="0" fontId="812" fillId="0" borderId="0" xfId="0" applyFont="true"/>
    <xf numFmtId="0" fontId="813" fillId="0" borderId="0" xfId="0" applyFont="true"/>
    <xf numFmtId="0" fontId="814" fillId="0" borderId="0" xfId="0" applyFont="true"/>
    <xf numFmtId="0" fontId="815" fillId="0" borderId="0" xfId="0" applyFont="true"/>
    <xf numFmtId="0" fontId="816" fillId="0" borderId="0" xfId="0" applyFont="true"/>
    <xf numFmtId="0" fontId="817" fillId="0" borderId="0" xfId="0" applyFont="true"/>
    <xf numFmtId="0" fontId="818" fillId="0" borderId="0" xfId="0" applyFont="true"/>
    <xf numFmtId="0" fontId="819" fillId="0" borderId="0" xfId="0" applyFont="true"/>
    <xf numFmtId="0" fontId="820" fillId="0" borderId="0" xfId="0" applyFont="true"/>
    <xf numFmtId="0" fontId="821" fillId="0" borderId="0" xfId="0" applyFont="true"/>
    <xf numFmtId="0" fontId="822" fillId="0" borderId="0" xfId="0" applyFont="true"/>
    <xf numFmtId="0" fontId="823" fillId="0" borderId="0" xfId="0" applyFont="true"/>
    <xf numFmtId="0" fontId="824" fillId="0" borderId="0" xfId="0" applyFont="true"/>
    <xf numFmtId="0" fontId="825" fillId="0" borderId="0" xfId="0" applyFont="true"/>
    <xf numFmtId="0" fontId="826" fillId="0" borderId="0" xfId="0" applyFont="true"/>
    <xf numFmtId="0" fontId="827" fillId="0" borderId="0" xfId="0" applyFont="true"/>
    <xf numFmtId="0" fontId="828" fillId="0" borderId="0" xfId="0" applyFont="true"/>
    <xf numFmtId="0" fontId="829" fillId="0" borderId="0" xfId="0" applyFont="true"/>
    <xf numFmtId="0" fontId="830" fillId="0" borderId="0" xfId="0" applyFont="true"/>
    <xf numFmtId="0" fontId="831" fillId="0" borderId="0" xfId="0" applyFont="true"/>
    <xf numFmtId="0" fontId="832" fillId="0" borderId="0" xfId="0" applyFont="true"/>
    <xf numFmtId="0" fontId="833" fillId="0" borderId="0" xfId="0" applyFont="true"/>
    <xf numFmtId="0" fontId="834" fillId="0" borderId="0" xfId="0" applyFont="true"/>
    <xf numFmtId="0" fontId="835" fillId="0" borderId="0" xfId="0" applyFont="true"/>
    <xf numFmtId="0" fontId="836" fillId="0" borderId="0" xfId="0" applyFont="true"/>
    <xf numFmtId="0" fontId="837" fillId="0" borderId="0" xfId="0" applyFont="true"/>
    <xf numFmtId="0" fontId="838" fillId="0" borderId="0" xfId="0" applyFont="true"/>
    <xf numFmtId="0" fontId="839" fillId="0" borderId="0" xfId="0" applyFont="true"/>
    <xf numFmtId="0" fontId="840" fillId="0" borderId="0" xfId="0" applyFont="true"/>
    <xf numFmtId="0" fontId="841" fillId="0" borderId="0" xfId="0" applyFont="true"/>
    <xf numFmtId="0" fontId="842" fillId="0" borderId="0" xfId="0" applyFont="true"/>
    <xf numFmtId="0" fontId="843" fillId="0" borderId="0" xfId="0" applyFont="true"/>
    <xf numFmtId="0" fontId="844" fillId="0" borderId="0" xfId="0" applyFont="true"/>
    <xf numFmtId="0" fontId="845" fillId="0" borderId="0" xfId="0" applyFont="true"/>
    <xf numFmtId="0" fontId="846" fillId="0" borderId="0" xfId="0" applyFont="true"/>
    <xf numFmtId="0" fontId="847" fillId="0" borderId="0" xfId="0" applyFont="true"/>
    <xf numFmtId="0" fontId="848" fillId="0" borderId="0" xfId="0" applyFont="true"/>
    <xf numFmtId="0" fontId="849" fillId="0" borderId="0" xfId="0" applyFont="true"/>
    <xf numFmtId="0" fontId="850" fillId="0" borderId="0" xfId="0" applyFont="true"/>
    <xf numFmtId="0" fontId="851" fillId="0" borderId="0" xfId="0" applyFont="true"/>
    <xf numFmtId="0" fontId="852" fillId="0" borderId="0" xfId="0" applyFont="true"/>
    <xf numFmtId="0" fontId="853" fillId="0" borderId="0" xfId="0" applyFont="true"/>
    <xf numFmtId="0" fontId="854" fillId="0" borderId="0" xfId="0" applyFont="true"/>
    <xf numFmtId="0" fontId="855" fillId="0" borderId="0" xfId="0" applyFont="true"/>
    <xf numFmtId="0" fontId="856" fillId="0" borderId="0" xfId="0" applyFont="true"/>
    <xf numFmtId="0" fontId="857" fillId="0" borderId="0" xfId="0" applyFont="true"/>
    <xf numFmtId="0" fontId="858" fillId="0" borderId="0" xfId="0" applyFont="true"/>
    <xf numFmtId="0" fontId="859" fillId="0" borderId="0" xfId="0" applyFont="true"/>
    <xf numFmtId="0" fontId="860" fillId="0" borderId="0" xfId="0" applyFont="true"/>
    <xf numFmtId="0" fontId="861" fillId="0" borderId="0" xfId="0" applyFont="true"/>
    <xf numFmtId="0" fontId="862" fillId="0" borderId="0" xfId="0" applyFont="true"/>
    <xf numFmtId="0" fontId="863" fillId="0" borderId="0" xfId="0" applyFont="true"/>
    <xf numFmtId="0" fontId="864" fillId="0" borderId="0" xfId="0" applyFont="true"/>
    <xf numFmtId="0" fontId="865" fillId="0" borderId="0" xfId="0" applyFont="true"/>
    <xf numFmtId="0" fontId="866" fillId="0" borderId="0" xfId="0" applyFont="true"/>
    <xf numFmtId="0" fontId="867" fillId="0" borderId="0" xfId="0" applyFont="true"/>
    <xf numFmtId="0" fontId="868" fillId="0" borderId="0" xfId="0" applyFont="true"/>
    <xf numFmtId="0" fontId="869" fillId="0" borderId="0" xfId="0" applyFont="true"/>
    <xf numFmtId="0" fontId="870" fillId="0" borderId="0" xfId="0" applyFont="true"/>
    <xf numFmtId="0" fontId="871" fillId="0" borderId="0" xfId="0" applyFont="true"/>
    <xf numFmtId="0" fontId="872" fillId="0" borderId="0" xfId="0" applyFont="true"/>
    <xf numFmtId="0" fontId="873" fillId="0" borderId="0" xfId="0" applyFont="true"/>
    <xf numFmtId="0" fontId="874" fillId="0" borderId="0" xfId="0" applyFont="true"/>
    <xf numFmtId="0" fontId="875" fillId="0" borderId="0" xfId="0" applyFont="true"/>
    <xf numFmtId="0" fontId="876" fillId="0" borderId="0" xfId="0" applyFont="true"/>
    <xf numFmtId="0" fontId="877" fillId="0" borderId="0" xfId="0" applyFont="true"/>
    <xf numFmtId="0" fontId="878" fillId="0" borderId="0" xfId="0" applyFont="true"/>
    <xf numFmtId="0" fontId="879" fillId="0" borderId="0" xfId="0" applyFont="true"/>
    <xf numFmtId="0" fontId="880" fillId="0" borderId="0" xfId="0" applyFont="true"/>
    <xf numFmtId="0" fontId="881" fillId="0" borderId="0" xfId="0" applyFont="true"/>
    <xf numFmtId="0" fontId="882" fillId="0" borderId="0" xfId="0" applyFont="true"/>
    <xf numFmtId="0" fontId="883" fillId="0" borderId="0" xfId="0" applyFont="true"/>
    <xf numFmtId="0" fontId="884" fillId="0" borderId="0" xfId="0" applyFont="true"/>
    <xf numFmtId="0" fontId="885" fillId="0" borderId="0" xfId="0" applyFont="true"/>
    <xf numFmtId="0" fontId="886" fillId="0" borderId="0" xfId="0" applyFont="true"/>
    <xf numFmtId="0" fontId="887" fillId="0" borderId="0" xfId="0" applyFont="true"/>
    <xf numFmtId="0" fontId="888" fillId="0" borderId="0" xfId="0" applyFont="true"/>
    <xf numFmtId="0" fontId="889" fillId="0" borderId="0" xfId="0" applyFont="true"/>
    <xf numFmtId="0" fontId="890" fillId="0" borderId="0" xfId="0" applyFont="true"/>
    <xf numFmtId="0" fontId="891" fillId="0" borderId="0" xfId="0" applyFont="true"/>
    <xf numFmtId="0" fontId="892" fillId="0" borderId="0" xfId="0" applyFont="true"/>
    <xf numFmtId="0" fontId="893" fillId="0" borderId="0" xfId="0" applyFont="true"/>
    <xf numFmtId="0" fontId="894" fillId="0" borderId="0" xfId="0" applyFont="true"/>
    <xf numFmtId="0" fontId="895" fillId="0" borderId="0" xfId="0" applyFont="true"/>
    <xf numFmtId="0" fontId="896" fillId="0" borderId="0" xfId="0" applyFont="true"/>
    <xf numFmtId="0" fontId="897" fillId="0" borderId="0" xfId="0" applyFont="true"/>
    <xf numFmtId="0" fontId="898" fillId="0" borderId="0" xfId="0" applyFont="true"/>
    <xf numFmtId="0" fontId="899" fillId="0" borderId="0" xfId="0" applyFont="true"/>
    <xf numFmtId="0" fontId="900" fillId="0" borderId="0" xfId="0" applyFont="true"/>
    <xf numFmtId="0" fontId="901" fillId="0" borderId="0" xfId="0" applyFont="true"/>
    <xf numFmtId="0" fontId="902" fillId="0" borderId="0" xfId="0" applyFont="true"/>
    <xf numFmtId="0" fontId="903" fillId="0" borderId="0" xfId="0" applyFont="true"/>
    <xf numFmtId="0" fontId="904" fillId="0" borderId="0" xfId="0" applyFont="true"/>
    <xf numFmtId="0" fontId="905" fillId="0" borderId="0" xfId="0" applyFont="true"/>
    <xf numFmtId="0" fontId="906" fillId="0" borderId="0" xfId="0" applyFont="true"/>
    <xf numFmtId="0" fontId="907" fillId="0" borderId="0" xfId="0" applyFont="true"/>
    <xf numFmtId="0" fontId="908" fillId="0" borderId="0" xfId="0" applyFont="true"/>
    <xf numFmtId="0" fontId="909" fillId="0" borderId="0" xfId="0" applyFont="true"/>
    <xf numFmtId="0" fontId="910" fillId="0" borderId="0" xfId="0" applyFont="true"/>
    <xf numFmtId="0" fontId="911" fillId="0" borderId="0" xfId="0" applyFont="true"/>
    <xf numFmtId="0" fontId="912" fillId="0" borderId="0" xfId="0" applyFont="true"/>
    <xf numFmtId="0" fontId="913" fillId="0" borderId="0" xfId="0" applyFont="true"/>
    <xf numFmtId="0" fontId="914" fillId="0" borderId="0" xfId="0" applyFont="true"/>
    <xf numFmtId="0" fontId="915" fillId="0" borderId="0" xfId="0" applyFont="true"/>
    <xf numFmtId="0" fontId="916" fillId="0" borderId="0" xfId="0" applyFont="true"/>
    <xf numFmtId="0" fontId="917" fillId="0" borderId="0" xfId="0" applyFont="true"/>
    <xf numFmtId="0" fontId="918" fillId="0" borderId="0" xfId="0" applyFont="true"/>
    <xf numFmtId="0" fontId="919" fillId="0" borderId="0" xfId="0" applyFont="true"/>
    <xf numFmtId="0" fontId="920" fillId="0" borderId="0" xfId="0" applyFont="true"/>
    <xf numFmtId="0" fontId="921" fillId="0" borderId="0" xfId="0" applyFont="true"/>
    <xf numFmtId="0" fontId="922" fillId="0" borderId="0" xfId="0" applyFont="true"/>
    <xf numFmtId="0" fontId="923" fillId="0" borderId="0" xfId="0" applyFont="true"/>
    <xf numFmtId="0" fontId="924" fillId="0" borderId="0" xfId="0" applyFont="true"/>
    <xf numFmtId="0" fontId="925" fillId="0" borderId="0" xfId="0" applyFont="true"/>
    <xf numFmtId="0" fontId="926" fillId="0" borderId="0" xfId="0" applyFont="true"/>
    <xf numFmtId="0" fontId="927" fillId="0" borderId="0" xfId="0" applyFont="true"/>
    <xf numFmtId="0" fontId="928" fillId="0" borderId="0" xfId="0" applyFont="true"/>
    <xf numFmtId="0" fontId="929" fillId="0" borderId="0" xfId="0" applyFont="true"/>
    <xf numFmtId="0" fontId="930" fillId="0" borderId="0" xfId="0" applyFont="true"/>
    <xf numFmtId="0" fontId="931" fillId="0" borderId="0" xfId="0" applyFont="true"/>
    <xf numFmtId="0" fontId="932" fillId="0" borderId="0" xfId="0" applyFont="true"/>
    <xf numFmtId="0" fontId="933" fillId="0" borderId="0" xfId="0" applyFont="true"/>
    <xf numFmtId="0" fontId="934" fillId="0" borderId="0" xfId="0" applyFont="true"/>
    <xf numFmtId="0" fontId="935" fillId="0" borderId="0" xfId="0" applyFont="true"/>
    <xf numFmtId="0" fontId="936" fillId="0" borderId="0" xfId="0" applyFont="true"/>
    <xf numFmtId="0" fontId="937" fillId="0" borderId="0" xfId="0" applyFont="true"/>
    <xf numFmtId="0" fontId="938" fillId="0" borderId="0" xfId="0" applyFont="true"/>
    <xf numFmtId="0" fontId="939" fillId="0" borderId="0" xfId="0" applyFont="true"/>
    <xf numFmtId="0" fontId="940" fillId="0" borderId="0" xfId="0" applyFont="true"/>
    <xf numFmtId="0" fontId="941" fillId="0" borderId="0" xfId="0" applyFont="true"/>
    <xf numFmtId="0" fontId="942" fillId="0" borderId="0" xfId="0" applyFont="true"/>
    <xf numFmtId="0" fontId="943" fillId="0" borderId="0" xfId="0" applyFont="true"/>
    <xf numFmtId="0" fontId="944" fillId="0" borderId="0" xfId="0" applyFont="true"/>
    <xf numFmtId="0" fontId="945" fillId="0" borderId="0" xfId="0" applyFont="true"/>
    <xf numFmtId="0" fontId="946" fillId="0" borderId="0" xfId="0" applyFont="true"/>
    <xf numFmtId="0" fontId="947" fillId="0" borderId="0" xfId="0" applyFont="true"/>
    <xf numFmtId="0" fontId="948" fillId="0" borderId="0" xfId="0" applyFont="true"/>
    <xf numFmtId="0" fontId="949" fillId="0" borderId="0" xfId="0" applyFont="true"/>
    <xf numFmtId="0" fontId="950" fillId="0" borderId="0" xfId="0" applyFont="true"/>
    <xf numFmtId="0" fontId="951" fillId="0" borderId="0" xfId="0" applyFont="true"/>
    <xf numFmtId="0" fontId="952" fillId="0" borderId="0" xfId="0" applyFont="true"/>
    <xf numFmtId="0" fontId="953" fillId="0" borderId="0" xfId="0" applyFont="true"/>
    <xf numFmtId="0" fontId="954" fillId="0" borderId="0" xfId="0" applyFont="true"/>
    <xf numFmtId="0" fontId="955" fillId="0" borderId="0" xfId="0" applyFont="true"/>
    <xf numFmtId="0" fontId="956" fillId="0" borderId="0" xfId="0" applyFont="true"/>
    <xf numFmtId="0" fontId="957" fillId="0" borderId="0" xfId="0" applyFont="true"/>
    <xf numFmtId="0" fontId="958" fillId="0" borderId="0" xfId="0" applyFont="true"/>
    <xf numFmtId="0" fontId="959" fillId="0" borderId="0" xfId="0" applyFont="true"/>
    <xf numFmtId="0" fontId="960" fillId="0" borderId="0" xfId="0" applyFont="true"/>
    <xf numFmtId="0" fontId="961" fillId="0" borderId="0" xfId="0" applyFont="true"/>
    <xf numFmtId="0" fontId="962" fillId="0" borderId="0" xfId="0" applyFont="true"/>
    <xf numFmtId="0" fontId="963" fillId="0" borderId="0" xfId="0" applyFont="true"/>
    <xf numFmtId="0" fontId="964" fillId="0" borderId="0" xfId="0" applyFont="true"/>
    <xf numFmtId="0" fontId="965" fillId="0" borderId="0" xfId="0" applyFont="true"/>
    <xf numFmtId="0" fontId="966" fillId="0" borderId="0" xfId="0" applyFont="true"/>
    <xf numFmtId="0" fontId="967" fillId="0" borderId="0" xfId="0" applyFont="true"/>
    <xf numFmtId="0" fontId="968" fillId="0" borderId="0" xfId="0" applyFont="true"/>
    <xf numFmtId="0" fontId="969" fillId="0" borderId="0" xfId="0" applyFont="true"/>
    <xf numFmtId="0" fontId="970" fillId="0" borderId="0" xfId="0" applyFont="true"/>
    <xf numFmtId="0" fontId="971" fillId="0" borderId="0" xfId="0" applyFont="true"/>
    <xf numFmtId="0" fontId="972" fillId="0" borderId="0" xfId="0" applyFont="true"/>
    <xf numFmtId="0" fontId="973" fillId="0" borderId="0" xfId="0" applyFont="true"/>
    <xf numFmtId="0" fontId="974" fillId="0" borderId="0" xfId="0" applyFont="true"/>
    <xf numFmtId="0" fontId="975" fillId="0" borderId="0" xfId="0" applyFont="true"/>
    <xf numFmtId="0" fontId="976" fillId="0" borderId="0" xfId="0" applyFont="true"/>
    <xf numFmtId="0" fontId="977" fillId="0" borderId="0" xfId="0" applyFont="true"/>
    <xf numFmtId="0" fontId="978" fillId="0" borderId="0" xfId="0" applyFont="true"/>
    <xf numFmtId="0" fontId="979" fillId="0" borderId="0" xfId="0" applyFont="true"/>
    <xf numFmtId="0" fontId="980" fillId="0" borderId="0" xfId="0" applyFont="true"/>
    <xf numFmtId="0" fontId="981" fillId="0" borderId="0" xfId="0" applyFont="true"/>
    <xf numFmtId="0" fontId="982" fillId="0" borderId="0" xfId="0" applyFont="true"/>
    <xf numFmtId="0" fontId="983" fillId="0" borderId="0" xfId="0" applyFont="true"/>
    <xf numFmtId="0" fontId="984" fillId="0" borderId="0" xfId="0" applyFont="true"/>
    <xf numFmtId="0" fontId="985" fillId="0" borderId="0" xfId="0" applyFont="true"/>
    <xf numFmtId="0" fontId="986" fillId="0" borderId="0" xfId="0" applyFont="true"/>
    <xf numFmtId="0" fontId="987" fillId="0" borderId="0" xfId="0" applyFont="true"/>
    <xf numFmtId="0" fontId="988" fillId="0" borderId="0" xfId="0" applyFont="true"/>
    <xf numFmtId="0" fontId="989" fillId="0" borderId="0" xfId="0" applyFont="true"/>
    <xf numFmtId="0" fontId="990" fillId="0" borderId="0" xfId="0" applyFont="true"/>
    <xf numFmtId="0" fontId="991" fillId="0" borderId="0" xfId="0" applyFont="true"/>
    <xf numFmtId="0" fontId="992" fillId="0" borderId="0" xfId="0" applyFont="true"/>
    <xf numFmtId="0" fontId="993" fillId="0" borderId="0" xfId="0" applyFont="true"/>
    <xf numFmtId="0" fontId="994" fillId="0" borderId="0" xfId="0" applyFont="true"/>
    <xf numFmtId="0" fontId="995" fillId="0" borderId="0" xfId="0" applyFont="true"/>
    <xf numFmtId="0" fontId="996" fillId="0" borderId="0" xfId="0" applyFont="true"/>
    <xf numFmtId="0" fontId="997" fillId="0" borderId="0" xfId="0" applyFont="true"/>
    <xf numFmtId="0" fontId="998" fillId="0" borderId="0" xfId="0" applyFont="true"/>
    <xf numFmtId="0" fontId="999" fillId="0" borderId="0" xfId="0" applyFont="true"/>
    <xf numFmtId="0" fontId="1000" fillId="0" borderId="0" xfId="0" applyFont="true"/>
    <xf numFmtId="0" fontId="1001" fillId="0" borderId="0" xfId="0" applyFont="true"/>
    <xf numFmtId="0" fontId="1002" fillId="0" borderId="0" xfId="0" applyFont="true"/>
    <xf numFmtId="0" fontId="1003" fillId="0" borderId="0" xfId="0" applyFont="true"/>
    <xf numFmtId="0" fontId="1004" fillId="0" borderId="0" xfId="0" applyFont="true"/>
    <xf numFmtId="0" fontId="1005" fillId="0" borderId="0" xfId="0" applyFont="true"/>
    <xf numFmtId="0" fontId="1006" fillId="0" borderId="0" xfId="0" applyFont="true"/>
    <xf numFmtId="0" fontId="1007" fillId="0" borderId="0" xfId="0" applyFont="true"/>
    <xf numFmtId="0" fontId="1008" fillId="0" borderId="0" xfId="0" applyFont="true"/>
    <xf numFmtId="0" fontId="1009" fillId="0" borderId="0" xfId="0" applyFont="true"/>
    <xf numFmtId="0" fontId="1010" fillId="0" borderId="0" xfId="0" applyFont="true"/>
    <xf numFmtId="0" fontId="1011" fillId="0" borderId="0" xfId="0" applyFont="true"/>
    <xf numFmtId="0" fontId="1012" fillId="0" borderId="0" xfId="0" applyFont="true"/>
    <xf numFmtId="0" fontId="1013" fillId="0" borderId="0" xfId="0" applyFont="true"/>
    <xf numFmtId="0" fontId="1014" fillId="0" borderId="0" xfId="0" applyFont="true"/>
    <xf numFmtId="0" fontId="1015" fillId="0" borderId="0" xfId="0" applyFont="true"/>
    <xf numFmtId="0" fontId="1016" fillId="0" borderId="0" xfId="0" applyFont="true"/>
    <xf numFmtId="0" fontId="1017" fillId="0" borderId="0" xfId="0" applyFont="true"/>
    <xf numFmtId="0" fontId="1018" fillId="0" borderId="0" xfId="0" applyFont="true"/>
    <xf numFmtId="0" fontId="1019" fillId="0" borderId="0" xfId="0" applyFont="true"/>
    <xf numFmtId="0" fontId="1020" fillId="0" borderId="0" xfId="0" applyFont="true"/>
    <xf numFmtId="0" fontId="1021" fillId="0" borderId="0" xfId="0" applyFont="true"/>
    <xf numFmtId="0" fontId="1022" fillId="0" borderId="0" xfId="0" applyFont="true"/>
    <xf numFmtId="0" fontId="1023" fillId="0" borderId="0" xfId="0" applyFont="true"/>
    <xf numFmtId="0" fontId="1024" fillId="0" borderId="0" xfId="0" applyFont="true"/>
    <xf numFmtId="0" fontId="1025" fillId="0" borderId="0" xfId="0" applyFont="true"/>
    <xf numFmtId="0" fontId="1026" fillId="0" borderId="0" xfId="0" applyFont="true"/>
    <xf numFmtId="0" fontId="1027" fillId="0" borderId="0" xfId="0" applyFont="true"/>
    <xf numFmtId="0" fontId="1028" fillId="0" borderId="0" xfId="0" applyFont="true"/>
    <xf numFmtId="0" fontId="1029" fillId="0" borderId="0" xfId="0" applyFont="true"/>
    <xf numFmtId="0" fontId="1030" fillId="0" borderId="0" xfId="0" applyFont="true"/>
    <xf numFmtId="0" fontId="1031" fillId="0" borderId="0" xfId="0" applyFont="true"/>
    <xf numFmtId="0" fontId="1032" fillId="0" borderId="0" xfId="0" applyFont="true"/>
    <xf numFmtId="0" fontId="1033" fillId="0" borderId="0" xfId="0" applyFont="true"/>
    <xf numFmtId="0" fontId="1034" fillId="0" borderId="0" xfId="0" applyFont="true"/>
    <xf numFmtId="0" fontId="1035" fillId="0" borderId="0" xfId="0" applyFont="true"/>
    <xf numFmtId="0" fontId="1036" fillId="0" borderId="0" xfId="0" applyFont="true"/>
    <xf numFmtId="0" fontId="1037" fillId="0" borderId="0" xfId="0" applyFont="true"/>
    <xf numFmtId="0" fontId="1038" fillId="0" borderId="0" xfId="0" applyFont="true"/>
    <xf numFmtId="0" fontId="1039" fillId="0" borderId="0" xfId="0" applyFont="true"/>
    <xf numFmtId="0" fontId="1040" fillId="0" borderId="0" xfId="0" applyFont="true"/>
    <xf numFmtId="0" fontId="1041" fillId="0" borderId="0" xfId="0" applyFont="true"/>
    <xf numFmtId="0" fontId="1042" fillId="0" borderId="0" xfId="0" applyFont="true"/>
    <xf numFmtId="0" fontId="1043" fillId="0" borderId="0" xfId="0" applyFont="true"/>
    <xf numFmtId="0" fontId="1044" fillId="0" borderId="0" xfId="0" applyFont="true"/>
    <xf numFmtId="0" fontId="1045" fillId="0" borderId="0" xfId="0" applyFont="true"/>
    <xf numFmtId="0" fontId="1046" fillId="0" borderId="0" xfId="0" applyFont="true"/>
    <xf numFmtId="0" fontId="1047" fillId="0" borderId="0" xfId="0" applyFont="true"/>
    <xf numFmtId="0" fontId="1048" fillId="0" borderId="0" xfId="0" applyFont="true"/>
    <xf numFmtId="0" fontId="1049" fillId="0" borderId="0" xfId="0" applyFont="true"/>
    <xf numFmtId="0" fontId="1050" fillId="0" borderId="0" xfId="0" applyFont="true"/>
    <xf numFmtId="0" fontId="1051" fillId="0" borderId="0" xfId="0" applyFont="true"/>
    <xf numFmtId="0" fontId="1052" fillId="0" borderId="0" xfId="0" applyFont="true"/>
    <xf numFmtId="0" fontId="1053" fillId="0" borderId="0" xfId="0" applyFont="true"/>
    <xf numFmtId="0" fontId="1054" fillId="0" borderId="0" xfId="0" applyFont="true"/>
    <xf numFmtId="0" fontId="1055" fillId="0" borderId="0" xfId="0" applyFont="true"/>
    <xf numFmtId="0" fontId="1056" fillId="0" borderId="0" xfId="0" applyFont="true"/>
    <xf numFmtId="0" fontId="1057" fillId="0" borderId="0" xfId="0" applyFont="true"/>
    <xf numFmtId="0" fontId="1058" fillId="0" borderId="0" xfId="0" applyFont="true"/>
    <xf numFmtId="0" fontId="1059" fillId="0" borderId="0" xfId="0" applyFont="true"/>
    <xf numFmtId="0" fontId="1060" fillId="0" borderId="0" xfId="0" applyFont="true"/>
    <xf numFmtId="0" fontId="1061" fillId="0" borderId="0" xfId="0" applyFont="true"/>
    <xf numFmtId="0" fontId="1062" fillId="0" borderId="0" xfId="0" applyFont="true"/>
    <xf numFmtId="0" fontId="1063" fillId="0" borderId="0" xfId="0" applyFont="true"/>
    <xf numFmtId="0" fontId="1064" fillId="0" borderId="0" xfId="0" applyFont="true"/>
    <xf numFmtId="0" fontId="1065" fillId="0" borderId="0" xfId="0" applyFont="true"/>
    <xf numFmtId="0" fontId="1066" fillId="0" borderId="0" xfId="0" applyFont="true"/>
    <xf numFmtId="0" fontId="1067" fillId="0" borderId="0" xfId="0" applyFont="true"/>
    <xf numFmtId="0" fontId="1068" fillId="0" borderId="0" xfId="0" applyFont="true"/>
    <xf numFmtId="0" fontId="1069" fillId="0" borderId="0" xfId="0" applyFont="true"/>
    <xf numFmtId="0" fontId="1070" fillId="0" borderId="0" xfId="0" applyFont="true"/>
    <xf numFmtId="0" fontId="1071" fillId="0" borderId="0" xfId="0" applyFont="true"/>
    <xf numFmtId="0" fontId="1072" fillId="0" borderId="0" xfId="0" applyFont="true"/>
    <xf numFmtId="0" fontId="1073" fillId="0" borderId="0" xfId="0" applyFont="true"/>
    <xf numFmtId="0" fontId="1074" fillId="0" borderId="0" xfId="0" applyFont="true"/>
    <xf numFmtId="0" fontId="1075" fillId="0" borderId="0" xfId="0" applyFont="true"/>
    <xf numFmtId="0" fontId="1076" fillId="0" borderId="0" xfId="0" applyFont="true"/>
    <xf numFmtId="0" fontId="1077" fillId="0" borderId="0" xfId="0" applyFont="true"/>
    <xf numFmtId="0" fontId="1078" fillId="0" borderId="0" xfId="0" applyFont="true"/>
    <xf numFmtId="0" fontId="1079" fillId="0" borderId="0" xfId="0" applyFont="true"/>
    <xf numFmtId="0" fontId="1080" fillId="0" borderId="0" xfId="0" applyFont="true"/>
    <xf numFmtId="0" fontId="1081" fillId="0" borderId="0" xfId="0" applyFont="true"/>
    <xf numFmtId="0" fontId="1082" fillId="0" borderId="0" xfId="0" applyFont="true"/>
    <xf numFmtId="0" fontId="1083" fillId="0" borderId="0" xfId="0" applyFont="true"/>
    <xf numFmtId="0" fontId="1084" fillId="0" borderId="0" xfId="0" applyFont="true"/>
    <xf numFmtId="0" fontId="1085" fillId="0" borderId="0" xfId="0" applyFont="true"/>
    <xf numFmtId="0" fontId="1086" fillId="0" borderId="0" xfId="0" applyFont="true"/>
    <xf numFmtId="0" fontId="1087" fillId="0" borderId="0" xfId="0" applyFont="true"/>
    <xf numFmtId="0" fontId="1088" fillId="0" borderId="0" xfId="0" applyFont="true"/>
    <xf numFmtId="0" fontId="1089" fillId="0" borderId="0" xfId="0" applyFont="true"/>
    <xf numFmtId="0" fontId="1090" fillId="0" borderId="0" xfId="0" applyFont="true"/>
    <xf numFmtId="0" fontId="1091" fillId="0" borderId="0" xfId="0" applyFont="true"/>
    <xf numFmtId="0" fontId="1092" fillId="0" borderId="0" xfId="0" applyFont="true"/>
    <xf numFmtId="0" fontId="1093" fillId="0" borderId="0" xfId="0" applyFont="true"/>
    <xf numFmtId="0" fontId="1094" fillId="0" borderId="0" xfId="0" applyFont="true"/>
    <xf numFmtId="0" fontId="1095" fillId="0" borderId="0" xfId="0" applyFont="true"/>
    <xf numFmtId="0" fontId="1096" fillId="0" borderId="0" xfId="0" applyFont="true"/>
    <xf numFmtId="0" fontId="1097" fillId="0" borderId="0" xfId="0" applyFont="true"/>
    <xf numFmtId="0" fontId="1098" fillId="0" borderId="0" xfId="0" applyFont="true"/>
    <xf numFmtId="0" fontId="1099" fillId="0" borderId="0" xfId="0" applyFont="true"/>
    <xf numFmtId="0" fontId="1100" fillId="0" borderId="0" xfId="0" applyFont="true"/>
    <xf numFmtId="0" fontId="1101" fillId="0" borderId="0" xfId="0" applyFont="true"/>
    <xf numFmtId="0" fontId="1102" fillId="0" borderId="0" xfId="0" applyFont="true"/>
    <xf numFmtId="0" fontId="1103" fillId="0" borderId="0" xfId="0" applyFont="true"/>
    <xf numFmtId="0" fontId="1104" fillId="0" borderId="0" xfId="0" applyFont="true"/>
    <xf numFmtId="0" fontId="1105" fillId="0" borderId="0" xfId="0" applyFont="true"/>
    <xf numFmtId="0" fontId="1106" fillId="0" borderId="0" xfId="0" applyFont="true"/>
    <xf numFmtId="0" fontId="1107" fillId="0" borderId="0" xfId="0" applyFont="true"/>
    <xf numFmtId="0" fontId="1108" fillId="0" borderId="0" xfId="0" applyFont="true"/>
    <xf numFmtId="0" fontId="1109" fillId="0" borderId="0" xfId="0" applyFont="true"/>
    <xf numFmtId="0" fontId="1110" fillId="0" borderId="0" xfId="0" applyFont="true"/>
    <xf numFmtId="0" fontId="1111" fillId="0" borderId="0" xfId="0" applyFont="true"/>
    <xf numFmtId="0" fontId="1112" fillId="0" borderId="0" xfId="0" applyFont="true"/>
    <xf numFmtId="0" fontId="1113" fillId="0" borderId="0" xfId="0" applyFont="true"/>
    <xf numFmtId="0" fontId="1114" fillId="0" borderId="0" xfId="0" applyFont="true"/>
    <xf numFmtId="0" fontId="1115" fillId="0" borderId="0" xfId="0" applyFont="true"/>
    <xf numFmtId="0" fontId="1116" fillId="0" borderId="0" xfId="0" applyFont="true"/>
    <xf numFmtId="0" fontId="1117" fillId="0" borderId="0" xfId="0" applyFont="true"/>
    <xf numFmtId="0" fontId="1118" fillId="0" borderId="0" xfId="0" applyFont="true"/>
    <xf numFmtId="0" fontId="1119" fillId="0" borderId="0" xfId="0" applyFont="true"/>
    <xf numFmtId="0" fontId="1120" fillId="0" borderId="0" xfId="0" applyFont="true"/>
    <xf numFmtId="0" fontId="1121" fillId="0" borderId="0" xfId="0" applyFont="true"/>
    <xf numFmtId="0" fontId="1122" fillId="0" borderId="0" xfId="0" applyFont="true"/>
    <xf numFmtId="0" fontId="1123" fillId="0" borderId="0" xfId="0" applyFont="true"/>
    <xf numFmtId="0" fontId="1124" fillId="0" borderId="0" xfId="0" applyFont="true"/>
    <xf numFmtId="0" fontId="1125" fillId="0" borderId="0" xfId="0" applyFont="true"/>
    <xf numFmtId="0" fontId="1126" fillId="0" borderId="0" xfId="0" applyFont="true"/>
    <xf numFmtId="0" fontId="1127" fillId="0" borderId="0" xfId="0" applyFont="true"/>
    <xf numFmtId="0" fontId="1128" fillId="0" borderId="0" xfId="0" applyFont="true"/>
    <xf numFmtId="0" fontId="1129" fillId="0" borderId="0" xfId="0" applyFont="true"/>
    <xf numFmtId="0" fontId="1130" fillId="0" borderId="0" xfId="0" applyFont="true"/>
    <xf numFmtId="0" fontId="1131" fillId="0" borderId="0" xfId="0" applyFont="true"/>
    <xf numFmtId="0" fontId="1132" fillId="0" borderId="0" xfId="0" applyFont="true"/>
    <xf numFmtId="0" fontId="1133" fillId="0" borderId="0" xfId="0" applyFont="true"/>
    <xf numFmtId="0" fontId="1134" fillId="0" borderId="0" xfId="0" applyFont="true"/>
    <xf numFmtId="0" fontId="1135" fillId="0" borderId="0" xfId="0" applyFont="true"/>
    <xf numFmtId="0" fontId="1136" fillId="0" borderId="0" xfId="0" applyFont="true"/>
    <xf numFmtId="0" fontId="1137" fillId="0" borderId="0" xfId="0" applyFont="true"/>
    <xf numFmtId="0" fontId="1138" fillId="0" borderId="0" xfId="0" applyFont="true"/>
    <xf numFmtId="0" fontId="1139" fillId="0" borderId="0" xfId="0" applyFont="true"/>
    <xf numFmtId="0" fontId="1140" fillId="0" borderId="0" xfId="0" applyFont="true"/>
    <xf numFmtId="0" fontId="1141" fillId="0" borderId="0" xfId="0" applyFont="true"/>
    <xf numFmtId="0" fontId="1142" fillId="0" borderId="0" xfId="0" applyFont="true"/>
    <xf numFmtId="0" fontId="1143" fillId="0" borderId="0" xfId="0" applyFont="true"/>
    <xf numFmtId="0" fontId="1144" fillId="0" borderId="0" xfId="0" applyFont="true"/>
    <xf numFmtId="0" fontId="1145" fillId="0" borderId="0" xfId="0" applyFont="true"/>
    <xf numFmtId="0" fontId="1146" fillId="0" borderId="0" xfId="0" applyFont="true"/>
    <xf numFmtId="0" fontId="1147" fillId="0" borderId="0" xfId="0" applyFont="true"/>
    <xf numFmtId="0" fontId="1148" fillId="0" borderId="0" xfId="0" applyFont="true"/>
    <xf numFmtId="0" fontId="1149" fillId="0" borderId="0" xfId="0" applyFont="true"/>
    <xf numFmtId="0" fontId="1150" fillId="0" borderId="0" xfId="0" applyFont="true"/>
    <xf numFmtId="0" fontId="1151" fillId="0" borderId="0" xfId="0" applyFont="true"/>
    <xf numFmtId="0" fontId="1152" fillId="0" borderId="0" xfId="0" applyFont="true"/>
    <xf numFmtId="0" fontId="1153" fillId="0" borderId="0" xfId="0" applyFont="true"/>
    <xf numFmtId="0" fontId="1154" fillId="0" borderId="0" xfId="0" applyFont="true"/>
    <xf numFmtId="0" fontId="1155" fillId="0" borderId="0" xfId="0" applyFont="true"/>
    <xf numFmtId="0" fontId="1156" fillId="0" borderId="0" xfId="0" applyFont="true"/>
    <xf numFmtId="0" fontId="1157" fillId="0" borderId="0" xfId="0" applyFont="true"/>
    <xf numFmtId="0" fontId="1158" fillId="0" borderId="0" xfId="0" applyFont="true"/>
    <xf numFmtId="0" fontId="1159" fillId="0" borderId="0" xfId="0" applyFont="true"/>
    <xf numFmtId="0" fontId="1160" fillId="0" borderId="0" xfId="0" applyFont="true"/>
    <xf numFmtId="0" fontId="1161" fillId="0" borderId="0" xfId="0" applyFont="true"/>
    <xf numFmtId="0" fontId="1162" fillId="0" borderId="0" xfId="0" applyFont="true"/>
    <xf numFmtId="0" fontId="1163" fillId="0" borderId="0" xfId="0" applyFont="true"/>
    <xf numFmtId="0" fontId="1164" fillId="0" borderId="0" xfId="0" applyFont="true"/>
    <xf numFmtId="0" fontId="1165" fillId="0" borderId="0" xfId="0" applyFont="true"/>
    <xf numFmtId="0" fontId="1166" fillId="0" borderId="0" xfId="0" applyFont="true"/>
    <xf numFmtId="0" fontId="1167" fillId="0" borderId="0" xfId="0" applyFont="true"/>
    <xf numFmtId="0" fontId="1168" fillId="0" borderId="0" xfId="0" applyFont="true"/>
    <xf numFmtId="0" fontId="1169" fillId="0" borderId="0" xfId="0" applyFont="true"/>
    <xf numFmtId="0" fontId="1170" fillId="0" borderId="0" xfId="0" applyFont="true"/>
    <xf numFmtId="0" fontId="1171" fillId="0" borderId="0" xfId="0" applyFont="true"/>
    <xf numFmtId="0" fontId="1172" fillId="0" borderId="0" xfId="0" applyFont="true"/>
    <xf numFmtId="0" fontId="1173" fillId="0" borderId="0" xfId="0" applyFont="true"/>
    <xf numFmtId="0" fontId="1174" fillId="0" borderId="0" xfId="0" applyFont="true"/>
    <xf numFmtId="0" fontId="1175" fillId="0" borderId="0" xfId="0" applyFont="true"/>
    <xf numFmtId="0" fontId="1176" fillId="0" borderId="0" xfId="0" applyFont="true"/>
    <xf numFmtId="0" fontId="1177" fillId="0" borderId="0" xfId="0" applyFont="true"/>
    <xf numFmtId="0" fontId="1178" fillId="0" borderId="0" xfId="0" applyFont="true"/>
    <xf numFmtId="0" fontId="1179" fillId="0" borderId="0" xfId="0" applyFont="true"/>
    <xf numFmtId="0" fontId="1180" fillId="0" borderId="0" xfId="0" applyFont="true"/>
    <xf numFmtId="0" fontId="1181" fillId="0" borderId="0" xfId="0" applyFont="true"/>
    <xf numFmtId="0" fontId="1182" fillId="0" borderId="0" xfId="0" applyFont="true"/>
    <xf numFmtId="0" fontId="1183" fillId="0" borderId="0" xfId="0" applyFont="true"/>
    <xf numFmtId="0" fontId="1184" fillId="0" borderId="0" xfId="0" applyFont="true"/>
    <xf numFmtId="0" fontId="1185" fillId="0" borderId="0" xfId="0" applyFont="true"/>
    <xf numFmtId="0" fontId="1186" fillId="0" borderId="0" xfId="0" applyFont="true"/>
    <xf numFmtId="0" fontId="1187" fillId="0" borderId="0" xfId="0" applyFont="true"/>
    <xf numFmtId="0" fontId="1188" fillId="0" borderId="0" xfId="0" applyFont="true"/>
    <xf numFmtId="0" fontId="1189" fillId="0" borderId="0" xfId="0" applyFont="true"/>
    <xf numFmtId="0" fontId="1190" fillId="0" borderId="0" xfId="0" applyFont="true"/>
    <xf numFmtId="0" fontId="1191" fillId="0" borderId="0" xfId="0" applyFont="true"/>
    <xf numFmtId="0" fontId="1192" fillId="0" borderId="0" xfId="0" applyFont="true"/>
    <xf numFmtId="0" fontId="1193" fillId="0" borderId="0" xfId="0" applyFont="true"/>
    <xf numFmtId="0" fontId="1194" fillId="0" borderId="0" xfId="0" applyFont="true"/>
    <xf numFmtId="0" fontId="1195" fillId="0" borderId="0" xfId="0" applyFont="true"/>
    <xf numFmtId="0" fontId="1196" fillId="0" borderId="0" xfId="0" applyFont="true"/>
    <xf numFmtId="0" fontId="1197" fillId="0" borderId="0" xfId="0" applyFont="true"/>
    <xf numFmtId="0" fontId="1198" fillId="0" borderId="0" xfId="0" applyFont="true"/>
    <xf numFmtId="0" fontId="1199" fillId="0" borderId="0" xfId="0" applyFont="true"/>
    <xf numFmtId="0" fontId="1200" fillId="0" borderId="0" xfId="0" applyFont="true"/>
    <xf numFmtId="0" fontId="1201" fillId="0" borderId="0" xfId="0" applyFont="true"/>
    <xf numFmtId="0" fontId="1202" fillId="0" borderId="0" xfId="0" applyFont="true"/>
    <xf numFmtId="0" fontId="1203" fillId="0" borderId="0" xfId="0" applyFont="true"/>
    <xf numFmtId="0" fontId="1204" fillId="0" borderId="0" xfId="0" applyFont="true"/>
    <xf numFmtId="0" fontId="1205" fillId="0" borderId="0" xfId="0" applyFont="true"/>
    <xf numFmtId="0" fontId="1206" fillId="0" borderId="0" xfId="0" applyFont="true"/>
    <xf numFmtId="0" fontId="1207" fillId="0" borderId="0" xfId="0" applyFont="true"/>
    <xf numFmtId="0" fontId="1208" fillId="0" borderId="0" xfId="0" applyFont="true"/>
    <xf numFmtId="0" fontId="1209" fillId="0" borderId="0" xfId="0" applyFont="true"/>
    <xf numFmtId="0" fontId="1210" fillId="0" borderId="0" xfId="0" applyFont="true"/>
    <xf numFmtId="0" fontId="1211" fillId="0" borderId="0" xfId="0" applyFont="true"/>
    <xf numFmtId="0" fontId="1212" fillId="0" borderId="0" xfId="0" applyFont="true"/>
    <xf numFmtId="0" fontId="1213" fillId="0" borderId="0" xfId="0" applyFont="true"/>
    <xf numFmtId="0" fontId="1214" fillId="0" borderId="0" xfId="0" applyFont="true"/>
    <xf numFmtId="0" fontId="1215" fillId="0" borderId="0" xfId="0" applyFont="true"/>
    <xf numFmtId="0" fontId="1216" fillId="0" borderId="0" xfId="0" applyFont="true"/>
    <xf numFmtId="0" fontId="1217" fillId="0" borderId="0" xfId="0" applyFont="true"/>
    <xf numFmtId="0" fontId="1218" fillId="0" borderId="0" xfId="0" applyFont="true"/>
    <xf numFmtId="0" fontId="1219" fillId="0" borderId="0" xfId="0" applyFont="true"/>
    <xf numFmtId="0" fontId="1220" fillId="0" borderId="0" xfId="0" applyFont="true"/>
    <xf numFmtId="0" fontId="1221" fillId="0" borderId="0" xfId="0" applyFont="true"/>
    <xf numFmtId="0" fontId="1222" fillId="0" borderId="0" xfId="0" applyFont="true"/>
    <xf numFmtId="0" fontId="1223" fillId="0" borderId="0" xfId="0" applyFont="true"/>
    <xf numFmtId="0" fontId="1224" fillId="0" borderId="0" xfId="0" applyFont="true"/>
    <xf numFmtId="0" fontId="1225" fillId="0" borderId="0" xfId="0" applyFont="true"/>
    <xf numFmtId="0" fontId="1226" fillId="0" borderId="0" xfId="0" applyFont="true"/>
    <xf numFmtId="0" fontId="1227" fillId="0" borderId="0" xfId="0" applyFont="true"/>
    <xf numFmtId="0" fontId="1228" fillId="0" borderId="0" xfId="0" applyFont="true"/>
    <xf numFmtId="0" fontId="1229" fillId="0" borderId="0" xfId="0" applyFont="true"/>
    <xf numFmtId="0" fontId="1230" fillId="0" borderId="0" xfId="0" applyFont="true"/>
    <xf numFmtId="0" fontId="1231" fillId="0" borderId="0" xfId="0" applyFont="true"/>
    <xf numFmtId="0" fontId="1232" fillId="0" borderId="0" xfId="0" applyFont="true"/>
    <xf numFmtId="0" fontId="1233" fillId="0" borderId="0" xfId="0" applyFont="true"/>
    <xf numFmtId="0" fontId="1234" fillId="0" borderId="0" xfId="0" applyFont="true"/>
    <xf numFmtId="0" fontId="1235" fillId="0" borderId="0" xfId="0" applyFont="true"/>
    <xf numFmtId="0" fontId="1236" fillId="0" borderId="0" xfId="0" applyFont="true"/>
    <xf numFmtId="0" fontId="1237" fillId="0" borderId="0" xfId="0" applyFont="true"/>
    <xf numFmtId="0" fontId="1238" fillId="0" borderId="0" xfId="0" applyFont="true"/>
    <xf numFmtId="0" fontId="1239" fillId="0" borderId="0" xfId="0" applyFont="true"/>
    <xf numFmtId="0" fontId="1240" fillId="0" borderId="0" xfId="0" applyFont="true"/>
    <xf numFmtId="0" fontId="1241" fillId="0" borderId="0" xfId="0" applyFont="true"/>
    <xf numFmtId="0" fontId="1242" fillId="0" borderId="0" xfId="0" applyFont="true"/>
    <xf numFmtId="0" fontId="1243" fillId="0" borderId="0" xfId="0" applyFont="true"/>
    <xf numFmtId="0" fontId="1244" fillId="0" borderId="0" xfId="0" applyFont="true"/>
    <xf numFmtId="0" fontId="1245" fillId="0" borderId="0" xfId="0" applyFont="true"/>
    <xf numFmtId="0" fontId="1246" fillId="0" borderId="0" xfId="0" applyFont="true"/>
    <xf numFmtId="0" fontId="1247" fillId="0" borderId="0" xfId="0" applyFont="true"/>
    <xf numFmtId="0" fontId="1248" fillId="0" borderId="0" xfId="0" applyFont="true"/>
    <xf numFmtId="0" fontId="1249" fillId="0" borderId="0" xfId="0" applyFont="true"/>
    <xf numFmtId="0" fontId="1250" fillId="0" borderId="0" xfId="0" applyFont="true"/>
    <xf numFmtId="0" fontId="1251" fillId="0" borderId="0" xfId="0" applyFont="true"/>
    <xf numFmtId="0" fontId="1252" fillId="0" borderId="0" xfId="0" applyFont="true"/>
    <xf numFmtId="0" fontId="1253" fillId="0" borderId="0" xfId="0" applyFont="true"/>
    <xf numFmtId="0" fontId="1254" fillId="0" borderId="0" xfId="0" applyFont="true"/>
    <xf numFmtId="0" fontId="1255" fillId="0" borderId="0" xfId="0" applyFont="true"/>
    <xf numFmtId="0" fontId="1256" fillId="0" borderId="0" xfId="0" applyFont="true"/>
    <xf numFmtId="0" fontId="1257" fillId="0" borderId="0" xfId="0" applyFont="true"/>
    <xf numFmtId="0" fontId="1258" fillId="0" borderId="0" xfId="0" applyFont="true"/>
    <xf numFmtId="0" fontId="1259" fillId="0" borderId="0" xfId="0" applyFont="true"/>
    <xf numFmtId="0" fontId="1260" fillId="0" borderId="0" xfId="0" applyFont="true"/>
    <xf numFmtId="0" fontId="1261" fillId="0" borderId="0" xfId="0" applyFont="true"/>
    <xf numFmtId="0" fontId="1262" fillId="0" borderId="0" xfId="0" applyFont="true"/>
    <xf numFmtId="0" fontId="1263" fillId="0" borderId="0" xfId="0" applyFont="true"/>
    <xf numFmtId="0" fontId="1264" fillId="0" borderId="0" xfId="0" applyFont="true"/>
    <xf numFmtId="0" fontId="1265" fillId="0" borderId="0" xfId="0" applyFont="true"/>
    <xf numFmtId="0" fontId="1266" fillId="0" borderId="0" xfId="0" applyFont="true"/>
    <xf numFmtId="0" fontId="1267" fillId="0" borderId="0" xfId="0" applyFont="true"/>
    <xf numFmtId="0" fontId="1268" fillId="0" borderId="0" xfId="0" applyFont="true"/>
    <xf numFmtId="0" fontId="1269" fillId="0" borderId="0" xfId="0" applyFont="true"/>
    <xf numFmtId="0" fontId="1270" fillId="0" borderId="0" xfId="0" applyFont="true"/>
    <xf numFmtId="0" fontId="1271" fillId="0" borderId="0" xfId="0" applyFont="true"/>
    <xf numFmtId="0" fontId="1272" fillId="0" borderId="0" xfId="0" applyFont="true"/>
    <xf numFmtId="0" fontId="1273" fillId="0" borderId="0" xfId="0" applyFont="true"/>
    <xf numFmtId="0" fontId="1274" fillId="0" borderId="0" xfId="0" applyFont="true"/>
    <xf numFmtId="0" fontId="1275" fillId="0" borderId="0" xfId="0" applyFont="true"/>
    <xf numFmtId="0" fontId="1276" fillId="0" borderId="0" xfId="0" applyFont="true"/>
    <xf numFmtId="0" fontId="1277" fillId="0" borderId="0" xfId="0" applyFont="true"/>
    <xf numFmtId="0" fontId="1278" fillId="0" borderId="0" xfId="0" applyFont="true"/>
    <xf numFmtId="0" fontId="1279" fillId="0" borderId="0" xfId="0" applyFont="true"/>
    <xf numFmtId="0" fontId="1280" fillId="0" borderId="0" xfId="0" applyFont="true"/>
    <xf numFmtId="0" fontId="1281" fillId="0" borderId="0" xfId="0" applyFont="true"/>
    <xf numFmtId="0" fontId="1282" fillId="0" borderId="0" xfId="0" applyFont="true"/>
    <xf numFmtId="0" fontId="1283" fillId="0" borderId="0" xfId="0" applyFont="true"/>
    <xf numFmtId="0" fontId="1284" fillId="0" borderId="0" xfId="0" applyFont="true"/>
    <xf numFmtId="0" fontId="1285" fillId="0" borderId="0" xfId="0" applyFont="true"/>
    <xf numFmtId="0" fontId="1286" fillId="0" borderId="0" xfId="0" applyFont="true"/>
    <xf numFmtId="0" fontId="1287" fillId="0" borderId="0" xfId="0" applyFont="true"/>
    <xf numFmtId="0" fontId="1288" fillId="0" borderId="0" xfId="0" applyFont="true"/>
    <xf numFmtId="0" fontId="1289" fillId="0" borderId="0" xfId="0" applyFont="true"/>
    <xf numFmtId="0" fontId="1290" fillId="0" borderId="0" xfId="0" applyFont="true"/>
    <xf numFmtId="0" fontId="1291" fillId="0" borderId="0" xfId="0" applyFont="true"/>
    <xf numFmtId="0" fontId="1292" fillId="0" borderId="0" xfId="0" applyFont="true"/>
    <xf numFmtId="0" fontId="1293" fillId="0" borderId="0" xfId="0" applyFont="true"/>
    <xf numFmtId="0" fontId="1294" fillId="0" borderId="0" xfId="0" applyFont="true"/>
    <xf numFmtId="0" fontId="1295" fillId="0" borderId="0" xfId="0" applyFont="true"/>
    <xf numFmtId="0" fontId="1296" fillId="0" borderId="0" xfId="0" applyFont="true"/>
    <xf numFmtId="0" fontId="1297" fillId="0" borderId="0" xfId="0" applyFont="true"/>
    <xf numFmtId="0" fontId="1298" fillId="0" borderId="0" xfId="0" applyFont="true"/>
    <xf numFmtId="0" fontId="1299" fillId="0" borderId="0" xfId="0" applyFont="true"/>
    <xf numFmtId="0" fontId="1300" fillId="0" borderId="0" xfId="0" applyFont="true"/>
    <xf numFmtId="0" fontId="1301" fillId="0" borderId="0" xfId="0" applyFont="true"/>
    <xf numFmtId="0" fontId="1302" fillId="0" borderId="0" xfId="0" applyFont="true"/>
    <xf numFmtId="0" fontId="1303" fillId="0" borderId="0" xfId="0" applyFont="true"/>
    <xf numFmtId="0" fontId="1304" fillId="0" borderId="0" xfId="0" applyFont="true"/>
    <xf numFmtId="0" fontId="1305" fillId="0" borderId="0" xfId="0" applyFont="true"/>
    <xf numFmtId="0" fontId="1306" fillId="0" borderId="0" xfId="0" applyFont="true"/>
    <xf numFmtId="0" fontId="1307" fillId="0" borderId="0" xfId="0" applyFont="true"/>
    <xf numFmtId="0" fontId="1308" fillId="0" borderId="0" xfId="0" applyFont="true"/>
    <xf numFmtId="0" fontId="1309" fillId="0" borderId="0" xfId="0" applyFont="true"/>
    <xf numFmtId="0" fontId="1310" fillId="0" borderId="0" xfId="0" applyFont="true"/>
    <xf numFmtId="0" fontId="1311" fillId="0" borderId="0" xfId="0" applyFont="true"/>
    <xf numFmtId="0" fontId="1312" fillId="0" borderId="0" xfId="0" applyFont="true"/>
    <xf numFmtId="0" fontId="1313" fillId="0" borderId="0" xfId="0" applyFont="true"/>
    <xf numFmtId="0" fontId="1314" fillId="0" borderId="0" xfId="0" applyFont="true"/>
    <xf numFmtId="0" fontId="1315" fillId="0" borderId="0" xfId="0" applyFont="true"/>
    <xf numFmtId="0" fontId="1316" fillId="0" borderId="0" xfId="0" applyFont="true"/>
    <xf numFmtId="0" fontId="1317" fillId="0" borderId="0" xfId="0" applyFont="true"/>
    <xf numFmtId="0" fontId="1318" fillId="0" borderId="0" xfId="0" applyFont="true"/>
    <xf numFmtId="0" fontId="1319" fillId="0" borderId="0" xfId="0" applyFont="true"/>
    <xf numFmtId="0" fontId="1320" fillId="0" borderId="0" xfId="0" applyFont="true"/>
    <xf numFmtId="0" fontId="1321" fillId="0" borderId="0" xfId="0" applyFont="true"/>
    <xf numFmtId="0" fontId="1322" fillId="0" borderId="0" xfId="0" applyFont="true"/>
    <xf numFmtId="0" fontId="1323" fillId="0" borderId="0" xfId="0" applyFont="true"/>
    <xf numFmtId="0" fontId="1324" fillId="0" borderId="0" xfId="0" applyFont="true"/>
    <xf numFmtId="0" fontId="1325" fillId="0" borderId="0" xfId="0" applyFont="true"/>
    <xf numFmtId="0" fontId="1326" fillId="0" borderId="0" xfId="0" applyFont="true"/>
    <xf numFmtId="0" fontId="1327" fillId="0" borderId="0" xfId="0" applyFont="true"/>
    <xf numFmtId="0" fontId="1328" fillId="0" borderId="0" xfId="0" applyFont="true"/>
    <xf numFmtId="0" fontId="1329" fillId="0" borderId="0" xfId="0" applyFont="true"/>
    <xf numFmtId="0" fontId="1330" fillId="0" borderId="0" xfId="0" applyFont="true"/>
    <xf numFmtId="0" fontId="1331" fillId="0" borderId="0" xfId="0" applyFont="true"/>
    <xf numFmtId="0" fontId="1332" fillId="0" borderId="0" xfId="0" applyFont="true"/>
    <xf numFmtId="0" fontId="1333" fillId="0" borderId="0" xfId="0" applyFont="true"/>
    <xf numFmtId="0" fontId="1334" fillId="0" borderId="0" xfId="0" applyFont="true"/>
    <xf numFmtId="0" fontId="1335" fillId="0" borderId="0" xfId="0" applyFont="true"/>
    <xf numFmtId="0" fontId="1336" fillId="0" borderId="0" xfId="0" applyFont="true"/>
    <xf numFmtId="0" fontId="1337" fillId="0" borderId="0" xfId="0" applyFont="true"/>
    <xf numFmtId="0" fontId="1338" fillId="0" borderId="0" xfId="0" applyFont="true"/>
    <xf numFmtId="0" fontId="1339" fillId="0" borderId="0" xfId="0" applyFont="true"/>
    <xf numFmtId="0" fontId="1340" fillId="0" borderId="0" xfId="0" applyFont="true"/>
    <xf numFmtId="0" fontId="1341" fillId="0" borderId="0" xfId="0" applyFont="true"/>
    <xf numFmtId="0" fontId="1342" fillId="0" borderId="0" xfId="0" applyFont="true"/>
    <xf numFmtId="0" fontId="1343" fillId="0" borderId="0" xfId="0" applyFont="true"/>
    <xf numFmtId="0" fontId="1344" fillId="0" borderId="0" xfId="0" applyFont="true"/>
    <xf numFmtId="0" fontId="1345" fillId="0" borderId="0" xfId="0" applyFont="true"/>
    <xf numFmtId="0" fontId="1346" fillId="0" borderId="0" xfId="0" applyFont="true"/>
    <xf numFmtId="0" fontId="1347" fillId="0" borderId="0" xfId="0" applyFont="true"/>
    <xf numFmtId="0" fontId="1348" fillId="0" borderId="0" xfId="0" applyFont="true"/>
    <xf numFmtId="0" fontId="1349" fillId="0" borderId="0" xfId="0" applyFont="true"/>
    <xf numFmtId="0" fontId="1350" fillId="0" borderId="0" xfId="0" applyFont="true"/>
    <xf numFmtId="0" fontId="1351" fillId="0" borderId="0" xfId="0" applyFont="true"/>
    <xf numFmtId="0" fontId="1352" fillId="0" borderId="0" xfId="0" applyFont="true"/>
    <xf numFmtId="0" fontId="1353" fillId="0" borderId="0" xfId="0" applyFont="true"/>
    <xf numFmtId="0" fontId="1354" fillId="0" borderId="0" xfId="0" applyFont="true"/>
    <xf numFmtId="0" fontId="1355" fillId="0" borderId="0" xfId="0" applyFont="true"/>
    <xf numFmtId="0" fontId="1356" fillId="0" borderId="0" xfId="0" applyFont="true"/>
    <xf numFmtId="0" fontId="1357" fillId="0" borderId="0" xfId="0" applyFont="true"/>
    <xf numFmtId="0" fontId="1358" fillId="0" borderId="0" xfId="0" applyFont="true"/>
    <xf numFmtId="0" fontId="1359" fillId="0" borderId="0" xfId="0" applyFont="true"/>
    <xf numFmtId="0" fontId="1360" fillId="0" borderId="0" xfId="0" applyFont="true"/>
    <xf numFmtId="0" fontId="1361" fillId="0" borderId="0" xfId="0" applyFont="true"/>
    <xf numFmtId="0" fontId="1362" fillId="0" borderId="0" xfId="0" applyFont="true"/>
    <xf numFmtId="0" fontId="1363" fillId="0" borderId="0" xfId="0" applyFont="true"/>
    <xf numFmtId="0" fontId="1364" fillId="0" borderId="0" xfId="0" applyFont="true"/>
    <xf numFmtId="0" fontId="1365" fillId="0" borderId="0" xfId="0" applyFont="true"/>
    <xf numFmtId="0" fontId="1366" fillId="0" borderId="0" xfId="0" applyFont="true"/>
    <xf numFmtId="0" fontId="1367" fillId="0" borderId="0" xfId="0" applyFont="true"/>
    <xf numFmtId="0" fontId="1368" fillId="0" borderId="0" xfId="0" applyFont="true"/>
    <xf numFmtId="0" fontId="1369" fillId="0" borderId="0" xfId="0" applyFont="true"/>
    <xf numFmtId="0" fontId="1370" fillId="0" borderId="0" xfId="0" applyFont="true"/>
    <xf numFmtId="0" fontId="1371" fillId="0" borderId="0" xfId="0" applyFont="true"/>
    <xf numFmtId="0" fontId="1372" fillId="0" borderId="0" xfId="0" applyFont="true"/>
    <xf numFmtId="0" fontId="1373" fillId="0" borderId="0" xfId="0" applyFont="true"/>
    <xf numFmtId="0" fontId="1374" fillId="0" borderId="0" xfId="0" applyFont="true"/>
    <xf numFmtId="0" fontId="1375" fillId="0" borderId="0" xfId="0" applyFont="true"/>
    <xf numFmtId="0" fontId="1376" fillId="0" borderId="0" xfId="0" applyFont="true"/>
    <xf numFmtId="0" fontId="1377" fillId="0" borderId="0" xfId="0" applyFont="true"/>
    <xf numFmtId="0" fontId="1378" fillId="0" borderId="0" xfId="0" applyFont="true"/>
    <xf numFmtId="0" fontId="1379" fillId="0" borderId="0" xfId="0" applyFont="true"/>
    <xf numFmtId="0" fontId="1380" fillId="0" borderId="0" xfId="0" applyFont="true"/>
    <xf numFmtId="0" fontId="1381" fillId="0" borderId="0" xfId="0" applyFont="true"/>
    <xf numFmtId="0" fontId="1382" fillId="0" borderId="0" xfId="0" applyFont="true"/>
    <xf numFmtId="0" fontId="1383" fillId="0" borderId="0" xfId="0" applyFont="true"/>
    <xf numFmtId="0" fontId="1384" fillId="0" borderId="0" xfId="0" applyFont="true"/>
    <xf numFmtId="0" fontId="1385" fillId="0" borderId="0" xfId="0" applyFont="true"/>
    <xf numFmtId="0" fontId="1386" fillId="0" borderId="0" xfId="0" applyFont="true"/>
    <xf numFmtId="0" fontId="1387" fillId="0" borderId="0" xfId="0" applyFont="true"/>
    <xf numFmtId="0" fontId="1388" fillId="0" borderId="0" xfId="0" applyFont="true"/>
    <xf numFmtId="0" fontId="1389" fillId="0" borderId="0" xfId="0" applyFont="true"/>
    <xf numFmtId="0" fontId="1390" fillId="0" borderId="0" xfId="0" applyFont="true"/>
    <xf numFmtId="0" fontId="1391" fillId="0" borderId="0" xfId="0" applyFont="true"/>
    <xf numFmtId="0" fontId="1392" fillId="0" borderId="0" xfId="0" applyFont="true"/>
    <xf numFmtId="0" fontId="1393" fillId="0" borderId="0" xfId="0" applyFont="true"/>
    <xf numFmtId="0" fontId="1394" fillId="0" borderId="0" xfId="0" applyFont="true"/>
    <xf numFmtId="0" fontId="1395" fillId="0" borderId="0" xfId="0" applyFont="true"/>
    <xf numFmtId="0" fontId="1396" fillId="0" borderId="0" xfId="0" applyFont="true"/>
    <xf numFmtId="0" fontId="1397" fillId="0" borderId="0" xfId="0" applyFont="true"/>
    <xf numFmtId="0" fontId="1398" fillId="0" borderId="0" xfId="0" applyFont="true"/>
    <xf numFmtId="0" fontId="1399" fillId="0" borderId="0" xfId="0" applyFont="true"/>
    <xf numFmtId="0" fontId="1400" fillId="0" borderId="0" xfId="0" applyFont="true"/>
    <xf numFmtId="0" fontId="1401" fillId="0" borderId="0" xfId="0" applyFont="true"/>
    <xf numFmtId="0" fontId="1402" fillId="0" borderId="0" xfId="0" applyFont="true"/>
    <xf numFmtId="0" fontId="1403" fillId="0" borderId="0" xfId="0" applyFont="true"/>
    <xf numFmtId="0" fontId="1404" fillId="0" borderId="0" xfId="0" applyFont="true"/>
    <xf numFmtId="0" fontId="1405" fillId="0" borderId="0" xfId="0" applyFont="true"/>
    <xf numFmtId="0" fontId="1406" fillId="0" borderId="0" xfId="0" applyFont="true"/>
    <xf numFmtId="0" fontId="1407" fillId="0" borderId="0" xfId="0" applyFont="true"/>
    <xf numFmtId="0" fontId="1408" fillId="0" borderId="0" xfId="0" applyFont="true"/>
    <xf numFmtId="0" fontId="1409" fillId="0" borderId="0" xfId="0" applyFont="true"/>
    <xf numFmtId="0" fontId="1410" fillId="0" borderId="0" xfId="0" applyFont="true"/>
    <xf numFmtId="0" fontId="1411" fillId="0" borderId="0" xfId="0" applyFont="true"/>
    <xf numFmtId="0" fontId="1412" fillId="0" borderId="0" xfId="0" applyFont="true"/>
    <xf numFmtId="0" fontId="1413" fillId="0" borderId="0" xfId="0" applyFont="true"/>
    <xf numFmtId="0" fontId="1414" fillId="0" borderId="0" xfId="0" applyFont="true"/>
    <xf numFmtId="0" fontId="1415" fillId="0" borderId="0" xfId="0" applyFont="true"/>
    <xf numFmtId="0" fontId="1416" fillId="0" borderId="0" xfId="0" applyFont="true"/>
    <xf numFmtId="0" fontId="1417" fillId="0" borderId="0" xfId="0" applyFont="true"/>
    <xf numFmtId="0" fontId="1418" fillId="0" borderId="0" xfId="0" applyFont="true"/>
    <xf numFmtId="0" fontId="1419" fillId="0" borderId="0" xfId="0" applyFont="true"/>
    <xf numFmtId="0" fontId="1420" fillId="0" borderId="0" xfId="0" applyFont="true"/>
    <xf numFmtId="0" fontId="1421" fillId="0" borderId="0" xfId="0" applyFont="true"/>
    <xf numFmtId="0" fontId="1422" fillId="0" borderId="0" xfId="0" applyFont="true"/>
    <xf numFmtId="0" fontId="1423" fillId="0" borderId="0" xfId="0" applyFont="true"/>
    <xf numFmtId="0" fontId="1424" fillId="0" borderId="0" xfId="0" applyFont="true"/>
    <xf numFmtId="0" fontId="1425" fillId="0" borderId="0" xfId="0" applyFont="true"/>
    <xf numFmtId="0" fontId="1426" fillId="0" borderId="0" xfId="0" applyFont="true"/>
    <xf numFmtId="0" fontId="1427" fillId="0" borderId="0" xfId="0" applyFont="true"/>
    <xf numFmtId="0" fontId="1428" fillId="0" borderId="0" xfId="0" applyFont="true"/>
    <xf numFmtId="0" fontId="1429" fillId="0" borderId="0" xfId="0" applyFont="true"/>
    <xf numFmtId="0" fontId="1430" fillId="0" borderId="0" xfId="0" applyFont="true"/>
    <xf numFmtId="0" fontId="1431" fillId="0" borderId="0" xfId="0" applyFont="true"/>
    <xf numFmtId="0" fontId="1432" fillId="0" borderId="0" xfId="0" applyFont="true"/>
    <xf numFmtId="0" fontId="1433" fillId="0" borderId="0" xfId="0" applyFont="true"/>
    <xf numFmtId="0" fontId="1434" fillId="0" borderId="0" xfId="0" applyFont="true"/>
    <xf numFmtId="0" fontId="1435" fillId="0" borderId="0" xfId="0" applyFont="true"/>
    <xf numFmtId="0" fontId="1436" fillId="0" borderId="0" xfId="0" applyFont="true"/>
    <xf numFmtId="0" fontId="1437" fillId="0" borderId="0" xfId="0" applyFont="true"/>
    <xf numFmtId="0" fontId="1438" fillId="0" borderId="0" xfId="0" applyFont="true"/>
    <xf numFmtId="0" fontId="1439" fillId="0" borderId="0" xfId="0" applyFont="true"/>
    <xf numFmtId="0" fontId="1440" fillId="0" borderId="0" xfId="0" applyFont="true"/>
    <xf numFmtId="0" fontId="1441" fillId="0" borderId="0" xfId="0" applyFont="true"/>
    <xf numFmtId="0" fontId="1442" fillId="0" borderId="0" xfId="0" applyFont="true"/>
    <xf numFmtId="0" fontId="1443" fillId="0" borderId="0" xfId="0" applyFont="true"/>
    <xf numFmtId="0" fontId="1444" fillId="0" borderId="0" xfId="0" applyFont="true"/>
    <xf numFmtId="0" fontId="1445" fillId="0" borderId="0" xfId="0" applyFont="true"/>
    <xf numFmtId="0" fontId="1446" fillId="0" borderId="0" xfId="0" applyFont="true"/>
    <xf numFmtId="0" fontId="1447" fillId="0" borderId="0" xfId="0" applyFont="true"/>
    <xf numFmtId="0" fontId="1448" fillId="0" borderId="0" xfId="0" applyFont="true"/>
    <xf numFmtId="0" fontId="1449" fillId="0" borderId="0" xfId="0" applyFont="true"/>
    <xf numFmtId="0" fontId="1450" fillId="0" borderId="0" xfId="0" applyFont="true"/>
    <xf numFmtId="0" fontId="1451" fillId="0" borderId="0" xfId="0" applyFont="true"/>
    <xf numFmtId="0" fontId="1452" fillId="0" borderId="0" xfId="0" applyFont="true"/>
    <xf numFmtId="0" fontId="1453" fillId="0" borderId="0" xfId="0" applyFont="true"/>
    <xf numFmtId="0" fontId="1454" fillId="0" borderId="0" xfId="0" applyFont="true"/>
    <xf numFmtId="0" fontId="1455" fillId="0" borderId="0" xfId="0" applyFont="true"/>
    <xf numFmtId="0" fontId="1456" fillId="0" borderId="0" xfId="0" applyFont="true"/>
    <xf numFmtId="0" fontId="1457" fillId="0" borderId="0" xfId="0" applyFont="true"/>
    <xf numFmtId="0" fontId="1458" fillId="0" borderId="0" xfId="0" applyFont="true"/>
    <xf numFmtId="0" fontId="1459" fillId="0" borderId="0" xfId="0" applyFont="true"/>
    <xf numFmtId="0" fontId="1460" fillId="0" borderId="0" xfId="0" applyFont="true"/>
    <xf numFmtId="0" fontId="1461" fillId="0" borderId="0" xfId="0" applyFont="true"/>
    <xf numFmtId="0" fontId="1462" fillId="0" borderId="0" xfId="0" applyFont="true"/>
    <xf numFmtId="0" fontId="1463" fillId="0" borderId="0" xfId="0" applyFont="true"/>
    <xf numFmtId="0" fontId="1464" fillId="0" borderId="0" xfId="0" applyFont="true"/>
    <xf numFmtId="0" fontId="1465" fillId="0" borderId="0" xfId="0" applyFont="true"/>
    <xf numFmtId="0" fontId="1466" fillId="0" borderId="0" xfId="0" applyFont="true"/>
    <xf numFmtId="0" fontId="1467" fillId="0" borderId="0" xfId="0" applyFont="true"/>
    <xf numFmtId="0" fontId="1468" fillId="0" borderId="0" xfId="0" applyFont="true"/>
    <xf numFmtId="0" fontId="1469" fillId="0" borderId="0" xfId="0" applyFont="true"/>
    <xf numFmtId="0" fontId="1470" fillId="0" borderId="0" xfId="0" applyFont="true"/>
    <xf numFmtId="0" fontId="1471" fillId="0" borderId="0" xfId="0" applyFont="true"/>
    <xf numFmtId="0" fontId="1472" fillId="0" borderId="0" xfId="0" applyFont="true"/>
    <xf numFmtId="0" fontId="1473" fillId="0" borderId="0" xfId="0" applyFont="true"/>
    <xf numFmtId="0" fontId="1474" fillId="0" borderId="0" xfId="0" applyFont="true"/>
    <xf numFmtId="0" fontId="1475" fillId="0" borderId="0" xfId="0" applyFont="true"/>
    <xf numFmtId="0" fontId="1476" fillId="0" borderId="0" xfId="0" applyFont="true"/>
    <xf numFmtId="0" fontId="1477" fillId="0" borderId="0" xfId="0" applyFont="true"/>
    <xf numFmtId="0" fontId="1478" fillId="0" borderId="0" xfId="0" applyFont="true"/>
    <xf numFmtId="0" fontId="1479" fillId="0" borderId="0" xfId="0" applyFont="true"/>
    <xf numFmtId="0" fontId="1480" fillId="0" borderId="0" xfId="0" applyFont="true"/>
    <xf numFmtId="0" fontId="1481" fillId="0" borderId="0" xfId="0" applyFont="true"/>
    <xf numFmtId="0" fontId="1482" fillId="0" borderId="0" xfId="0" applyFont="true"/>
    <xf numFmtId="0" fontId="1483" fillId="0" borderId="0" xfId="0" applyFont="true"/>
    <xf numFmtId="0" fontId="1484" fillId="0" borderId="0" xfId="0" applyFont="true"/>
    <xf numFmtId="0" fontId="1485" fillId="0" borderId="0" xfId="0" applyFont="true"/>
    <xf numFmtId="0" fontId="1486" fillId="0" borderId="0" xfId="0" applyFont="true"/>
    <xf numFmtId="0" fontId="1487" fillId="0" borderId="0" xfId="0" applyFont="true"/>
    <xf numFmtId="0" fontId="1488" fillId="0" borderId="0" xfId="0" applyFont="true"/>
    <xf numFmtId="0" fontId="1489" fillId="0" borderId="0" xfId="0" applyFont="true"/>
    <xf numFmtId="0" fontId="1490" fillId="0" borderId="0" xfId="0" applyFont="true"/>
    <xf numFmtId="0" fontId="1491" fillId="0" borderId="0" xfId="0" applyFont="true"/>
    <xf numFmtId="0" fontId="1492" fillId="0" borderId="0" xfId="0" applyFont="true"/>
    <xf numFmtId="0" fontId="1493" fillId="0" borderId="0" xfId="0" applyFont="true"/>
    <xf numFmtId="0" fontId="1494" fillId="0" borderId="0" xfId="0" applyFont="true"/>
    <xf numFmtId="0" fontId="1495" fillId="0" borderId="0" xfId="0" applyFont="true"/>
    <xf numFmtId="0" fontId="1496" fillId="0" borderId="0" xfId="0" applyFont="true"/>
    <xf numFmtId="0" fontId="1497" fillId="0" borderId="0" xfId="0" applyFont="true"/>
    <xf numFmtId="0" fontId="1498" fillId="0" borderId="0" xfId="0" applyFont="true"/>
    <xf numFmtId="0" fontId="1499" fillId="0" borderId="0" xfId="0" applyFont="true"/>
    <xf numFmtId="0" fontId="1500" fillId="0" borderId="0" xfId="0" applyFont="true"/>
    <xf numFmtId="0" fontId="1501" fillId="0" borderId="0" xfId="0" applyFont="true"/>
    <xf numFmtId="0" fontId="1502" fillId="0" borderId="0" xfId="0" applyFont="true"/>
    <xf numFmtId="0" fontId="1503" fillId="0" borderId="0" xfId="0" applyFont="true"/>
    <xf numFmtId="0" fontId="1504" fillId="0" borderId="0" xfId="0" applyFont="true"/>
    <xf numFmtId="0" fontId="1505" fillId="0" borderId="0" xfId="0" applyFont="true"/>
    <xf numFmtId="0" fontId="1506" fillId="0" borderId="0" xfId="0" applyFont="true"/>
    <xf numFmtId="0" fontId="1507" fillId="0" borderId="0" xfId="0" applyFont="true"/>
    <xf numFmtId="0" fontId="1508" fillId="0" borderId="0" xfId="0" applyFont="true"/>
    <xf numFmtId="0" fontId="1509" fillId="0" borderId="0" xfId="0" applyFont="true"/>
    <xf numFmtId="0" fontId="1510" fillId="0" borderId="0" xfId="0" applyFont="true"/>
    <xf numFmtId="0" fontId="1511" fillId="0" borderId="0" xfId="0" applyFont="true"/>
    <xf numFmtId="0" fontId="1512" fillId="0" borderId="0" xfId="0" applyFont="true"/>
    <xf numFmtId="0" fontId="1513" fillId="0" borderId="0" xfId="0" applyFont="true"/>
    <xf numFmtId="0" fontId="1514" fillId="0" borderId="0" xfId="0" applyFont="true"/>
    <xf numFmtId="0" fontId="1515" fillId="0" borderId="0" xfId="0" applyFont="true"/>
    <xf numFmtId="0" fontId="1516" fillId="0" borderId="0" xfId="0" applyFont="true"/>
    <xf numFmtId="0" fontId="1517" fillId="0" borderId="0" xfId="0" applyFont="true"/>
    <xf numFmtId="0" fontId="1518" fillId="0" borderId="0" xfId="0" applyFont="true"/>
    <xf numFmtId="0" fontId="1519" fillId="0" borderId="0" xfId="0" applyFont="true"/>
    <xf numFmtId="0" fontId="1520" fillId="0" borderId="0" xfId="0" applyFont="true"/>
    <xf numFmtId="0" fontId="1521" fillId="0" borderId="0" xfId="0" applyFont="true"/>
    <xf numFmtId="0" fontId="1522" fillId="0" borderId="0" xfId="0" applyFont="true"/>
    <xf numFmtId="0" fontId="1523" fillId="0" borderId="0" xfId="0" applyFont="true"/>
    <xf numFmtId="0" fontId="1524" fillId="0" borderId="0" xfId="0" applyFont="true"/>
    <xf numFmtId="0" fontId="1525" fillId="0" borderId="0" xfId="0" applyFont="true"/>
    <xf numFmtId="0" fontId="1526" fillId="0" borderId="0" xfId="0" applyFont="true"/>
    <xf numFmtId="0" fontId="1527" fillId="0" borderId="0" xfId="0" applyFont="true"/>
    <xf numFmtId="0" fontId="1528" fillId="0" borderId="0" xfId="0" applyFont="true"/>
    <xf numFmtId="0" fontId="1529" fillId="0" borderId="0" xfId="0" applyFont="true"/>
    <xf numFmtId="0" fontId="1530" fillId="0" borderId="0" xfId="0" applyFont="true"/>
    <xf numFmtId="0" fontId="1531" fillId="0" borderId="0" xfId="0" applyFont="true"/>
    <xf numFmtId="0" fontId="1532" fillId="0" borderId="0" xfId="0" applyFont="true"/>
    <xf numFmtId="0" fontId="1533" fillId="0" borderId="0" xfId="0" applyFont="true"/>
    <xf numFmtId="0" fontId="1534" fillId="0" borderId="0" xfId="0" applyFont="true"/>
    <xf numFmtId="0" fontId="1535" fillId="0" borderId="0" xfId="0" applyFont="true"/>
    <xf numFmtId="0" fontId="1536" fillId="0" borderId="0" xfId="0" applyFont="true"/>
    <xf numFmtId="0" fontId="1537" fillId="0" borderId="0" xfId="0" applyFont="true"/>
    <xf numFmtId="0" fontId="1538" fillId="0" borderId="0" xfId="0" applyFont="true"/>
    <xf numFmtId="0" fontId="1539" fillId="0" borderId="0" xfId="0" applyFont="true"/>
    <xf numFmtId="0" fontId="1540" fillId="0" borderId="0" xfId="0" applyFont="true"/>
    <xf numFmtId="0" fontId="1541" fillId="0" borderId="0" xfId="0" applyFont="true"/>
    <xf numFmtId="0" fontId="1542" fillId="0" borderId="0" xfId="0" applyFont="true"/>
    <xf numFmtId="0" fontId="1543" fillId="0" borderId="0" xfId="0" applyFont="true"/>
    <xf numFmtId="0" fontId="1544" fillId="0" borderId="0" xfId="0" applyFont="true"/>
    <xf numFmtId="0" fontId="1545" fillId="0" borderId="0" xfId="0" applyFont="true"/>
    <xf numFmtId="0" fontId="1546" fillId="0" borderId="0" xfId="0" applyFont="true"/>
    <xf numFmtId="0" fontId="1547" fillId="0" borderId="0" xfId="0" applyFont="true"/>
    <xf numFmtId="0" fontId="1548" fillId="0" borderId="0" xfId="0" applyFont="true"/>
    <xf numFmtId="0" fontId="1549" fillId="0" borderId="0" xfId="0" applyFont="true"/>
    <xf numFmtId="0" fontId="1550" fillId="0" borderId="0" xfId="0" applyFont="true"/>
    <xf numFmtId="0" fontId="1551" fillId="0" borderId="0" xfId="0" applyFont="true"/>
    <xf numFmtId="0" fontId="1552" fillId="0" borderId="0" xfId="0" applyFont="true"/>
    <xf numFmtId="0" fontId="1553" fillId="0" borderId="0" xfId="0" applyFont="true"/>
    <xf numFmtId="0" fontId="1554" fillId="0" borderId="0" xfId="0" applyFont="true"/>
    <xf numFmtId="0" fontId="1555" fillId="0" borderId="0" xfId="0" applyFont="true"/>
    <xf numFmtId="0" fontId="1556" fillId="0" borderId="0" xfId="0" applyFont="true"/>
    <xf numFmtId="0" fontId="1557" fillId="0" borderId="0" xfId="0" applyFont="true"/>
    <xf numFmtId="0" fontId="1558" fillId="0" borderId="0" xfId="0" applyFont="true"/>
    <xf numFmtId="0" fontId="1559" fillId="0" borderId="0" xfId="0" applyFont="true"/>
    <xf numFmtId="0" fontId="1560" fillId="0" borderId="0" xfId="0" applyFont="true"/>
    <xf numFmtId="0" fontId="1561" fillId="0" borderId="0" xfId="0" applyFont="true"/>
    <xf numFmtId="0" fontId="1562" fillId="0" borderId="0" xfId="0" applyFont="true"/>
    <xf numFmtId="0" fontId="1563" fillId="0" borderId="0" xfId="0" applyFont="true"/>
    <xf numFmtId="0" fontId="1564" fillId="0" borderId="0" xfId="0" applyFont="true"/>
    <xf numFmtId="0" fontId="1565" fillId="0" borderId="0" xfId="0" applyFont="true"/>
    <xf numFmtId="0" fontId="1566" fillId="0" borderId="0" xfId="0" applyFont="true"/>
    <xf numFmtId="0" fontId="1567" fillId="0" borderId="0" xfId="0" applyFont="true"/>
    <xf numFmtId="0" fontId="1568" fillId="0" borderId="0" xfId="0" applyFont="true"/>
    <xf numFmtId="0" fontId="1569" fillId="0" borderId="0" xfId="0" applyFont="true"/>
    <xf numFmtId="0" fontId="1570" fillId="0" borderId="0" xfId="0" applyFont="true"/>
    <xf numFmtId="0" fontId="1571" fillId="0" borderId="0" xfId="0" applyFont="true"/>
    <xf numFmtId="0" fontId="1572" fillId="0" borderId="0" xfId="0" applyFont="true"/>
    <xf numFmtId="0" fontId="1573" fillId="0" borderId="0" xfId="0" applyFont="true"/>
    <xf numFmtId="0" fontId="1574" fillId="0" borderId="0" xfId="0" applyFont="true"/>
    <xf numFmtId="0" fontId="1575" fillId="0" borderId="0" xfId="0" applyFont="true"/>
    <xf numFmtId="0" fontId="1576" fillId="0" borderId="0" xfId="0" applyFont="true"/>
    <xf numFmtId="0" fontId="1577" fillId="0" borderId="0" xfId="0" applyFont="true"/>
    <xf numFmtId="0" fontId="1578" fillId="0" borderId="0" xfId="0" applyFont="true"/>
    <xf numFmtId="0" fontId="1579" fillId="0" borderId="0" xfId="0" applyFont="true"/>
    <xf numFmtId="0" fontId="1580" fillId="0" borderId="0" xfId="0" applyFont="true"/>
    <xf numFmtId="0" fontId="1581" fillId="0" borderId="0" xfId="0" applyFont="true"/>
    <xf numFmtId="0" fontId="1582" fillId="0" borderId="0" xfId="0" applyFont="true"/>
    <xf numFmtId="0" fontId="1583" fillId="0" borderId="0" xfId="0" applyFont="true"/>
    <xf numFmtId="0" fontId="1584" fillId="0" borderId="0" xfId="0" applyFont="true"/>
    <xf numFmtId="0" fontId="1585" fillId="0" borderId="0" xfId="0" applyFont="true"/>
    <xf numFmtId="0" fontId="1586" fillId="0" borderId="0" xfId="0" applyFont="true"/>
    <xf numFmtId="0" fontId="1587" fillId="0" borderId="0" xfId="0" applyFont="true"/>
    <xf numFmtId="0" fontId="1588" fillId="0" borderId="0" xfId="0" applyFont="true"/>
    <xf numFmtId="0" fontId="1589" fillId="0" borderId="0" xfId="0" applyFont="true"/>
    <xf numFmtId="0" fontId="1590" fillId="0" borderId="0" xfId="0" applyFont="true"/>
    <xf numFmtId="0" fontId="1591" fillId="0" borderId="0" xfId="0" applyFont="true"/>
    <xf numFmtId="0" fontId="1592" fillId="0" borderId="0" xfId="0" applyFont="true"/>
    <xf numFmtId="0" fontId="1593" fillId="0" borderId="0" xfId="0" applyFont="true"/>
    <xf numFmtId="0" fontId="1594" fillId="0" borderId="0" xfId="0" applyFont="true"/>
    <xf numFmtId="0" fontId="1595" fillId="0" borderId="0" xfId="0" applyFont="true"/>
    <xf numFmtId="0" fontId="1596" fillId="0" borderId="0" xfId="0" applyFont="true"/>
    <xf numFmtId="0" fontId="1597" fillId="0" borderId="0" xfId="0" applyFont="true"/>
    <xf numFmtId="0" fontId="1598" fillId="0" borderId="0" xfId="0" applyFont="true"/>
    <xf numFmtId="0" fontId="1599" fillId="0" borderId="0" xfId="0" applyFont="true"/>
    <xf numFmtId="0" fontId="1600" fillId="0" borderId="0" xfId="0" applyFont="true"/>
    <xf numFmtId="0" fontId="1601" fillId="0" borderId="0" xfId="0" applyFont="true"/>
    <xf numFmtId="0" fontId="1602" fillId="0" borderId="0" xfId="0" applyFont="true"/>
    <xf numFmtId="0" fontId="1603" fillId="0" borderId="0" xfId="0" applyFont="true"/>
    <xf numFmtId="0" fontId="1604" fillId="0" borderId="0" xfId="0" applyFont="true"/>
    <xf numFmtId="0" fontId="1605" fillId="0" borderId="0" xfId="0" applyFont="true"/>
    <xf numFmtId="0" fontId="1606" fillId="0" borderId="0" xfId="0" applyFont="true"/>
    <xf numFmtId="0" fontId="1607" fillId="0" borderId="0" xfId="0" applyFont="true"/>
    <xf numFmtId="0" fontId="1608" fillId="0" borderId="0" xfId="0" applyFont="true"/>
    <xf numFmtId="0" fontId="1609" fillId="0" borderId="0" xfId="0" applyFont="true"/>
    <xf numFmtId="0" fontId="1610" fillId="0" borderId="0" xfId="0" applyFont="true"/>
    <xf numFmtId="0" fontId="1611" fillId="0" borderId="0" xfId="0" applyFont="true"/>
    <xf numFmtId="0" fontId="1612" fillId="0" borderId="0" xfId="0" applyFont="true"/>
    <xf numFmtId="0" fontId="1613" fillId="0" borderId="0" xfId="0" applyFont="true"/>
    <xf numFmtId="0" fontId="1614" fillId="0" borderId="0" xfId="0" applyFont="true"/>
    <xf numFmtId="0" fontId="1615" fillId="0" borderId="0" xfId="0" applyFont="true"/>
    <xf numFmtId="0" fontId="1616" fillId="0" borderId="0" xfId="0" applyFont="true"/>
    <xf numFmtId="0" fontId="1617" fillId="0" borderId="0" xfId="0" applyFont="true"/>
    <xf numFmtId="0" fontId="1618" fillId="0" borderId="0" xfId="0" applyFont="true"/>
    <xf numFmtId="0" fontId="1619" fillId="0" borderId="0" xfId="0" applyFont="true"/>
    <xf numFmtId="0" fontId="1620" fillId="0" borderId="0" xfId="0" applyFont="true"/>
    <xf numFmtId="0" fontId="1621" fillId="0" borderId="0" xfId="0" applyFont="true"/>
    <xf numFmtId="0" fontId="1622" fillId="0" borderId="0" xfId="0" applyFont="true"/>
    <xf numFmtId="0" fontId="1623" fillId="0" borderId="0" xfId="0" applyFont="true"/>
    <xf numFmtId="0" fontId="1624" fillId="0" borderId="0" xfId="0" applyFont="true"/>
    <xf numFmtId="0" fontId="1625" fillId="0" borderId="0" xfId="0" applyFont="true"/>
    <xf numFmtId="0" fontId="1626" fillId="0" borderId="0" xfId="0" applyFont="true"/>
    <xf numFmtId="0" fontId="1627" fillId="0" borderId="0" xfId="0" applyFont="true"/>
    <xf numFmtId="0" fontId="1628" fillId="0" borderId="0" xfId="0" applyFont="true"/>
    <xf numFmtId="0" fontId="1629" fillId="0" borderId="0" xfId="0" applyFont="true"/>
    <xf numFmtId="0" fontId="1630" fillId="0" borderId="0" xfId="0" applyFont="true"/>
    <xf numFmtId="0" fontId="1631" fillId="0" borderId="0" xfId="0" applyFont="true"/>
    <xf numFmtId="0" fontId="1632" fillId="0" borderId="0" xfId="0" applyFont="true"/>
    <xf numFmtId="0" fontId="1633" fillId="0" borderId="0" xfId="0" applyFont="true"/>
    <xf numFmtId="0" fontId="1634" fillId="0" borderId="0" xfId="0" applyFont="true"/>
    <xf numFmtId="0" fontId="1635" fillId="0" borderId="0" xfId="0" applyFont="true"/>
    <xf numFmtId="0" fontId="1636" fillId="0" borderId="0" xfId="0" applyFont="true"/>
    <xf numFmtId="0" fontId="1637" fillId="0" borderId="0" xfId="0" applyFont="true"/>
    <xf numFmtId="0" fontId="1638" fillId="0" borderId="0" xfId="0" applyFont="true"/>
    <xf numFmtId="0" fontId="1639" fillId="0" borderId="0" xfId="0" applyFont="true"/>
    <xf numFmtId="0" fontId="1640" fillId="0" borderId="0" xfId="0" applyFont="true"/>
    <xf numFmtId="0" fontId="1641" fillId="0" borderId="0" xfId="0" applyFont="true"/>
    <xf numFmtId="0" fontId="1642" fillId="0" borderId="0" xfId="0" applyFont="true"/>
    <xf numFmtId="0" fontId="1643" fillId="0" borderId="0" xfId="0" applyFont="true"/>
    <xf numFmtId="0" fontId="1644" fillId="0" borderId="0" xfId="0" applyFont="true"/>
    <xf numFmtId="0" fontId="1645" fillId="0" borderId="0" xfId="0" applyFont="true"/>
    <xf numFmtId="0" fontId="1646" fillId="0" borderId="0" xfId="0" applyFont="true"/>
    <xf numFmtId="0" fontId="1647" fillId="0" borderId="0" xfId="0" applyFont="true"/>
    <xf numFmtId="0" fontId="1648" fillId="0" borderId="0" xfId="0" applyFont="true"/>
    <xf numFmtId="0" fontId="1649" fillId="0" borderId="0" xfId="0" applyFont="true"/>
    <xf numFmtId="0" fontId="1650" fillId="0" borderId="0" xfId="0" applyFont="true"/>
    <xf numFmtId="0" fontId="1651" fillId="0" borderId="0" xfId="0" applyFont="true"/>
    <xf numFmtId="0" fontId="1652" fillId="0" borderId="0" xfId="0" applyFont="true"/>
    <xf numFmtId="0" fontId="1653" fillId="0" borderId="0" xfId="0" applyFont="true"/>
    <xf numFmtId="0" fontId="1654" fillId="0" borderId="0" xfId="0" applyFont="true"/>
    <xf numFmtId="0" fontId="1655" fillId="0" borderId="0" xfId="0" applyFont="true"/>
    <xf numFmtId="0" fontId="1656" fillId="0" borderId="0" xfId="0" applyFont="true"/>
    <xf numFmtId="0" fontId="1657" fillId="0" borderId="0" xfId="0" applyFont="true"/>
    <xf numFmtId="0" fontId="1658" fillId="0" borderId="0" xfId="0" applyFont="true"/>
    <xf numFmtId="0" fontId="1659" fillId="0" borderId="0" xfId="0" applyFont="true"/>
    <xf numFmtId="0" fontId="1660" fillId="0" borderId="0" xfId="0" applyFont="true"/>
    <xf numFmtId="0" fontId="1661" fillId="0" borderId="0" xfId="0" applyFont="true"/>
    <xf numFmtId="0" fontId="1662" fillId="0" borderId="0" xfId="0" applyFont="true"/>
    <xf numFmtId="0" fontId="1663" fillId="0" borderId="0" xfId="0" applyFont="true"/>
    <xf numFmtId="0" fontId="1664" fillId="0" borderId="0" xfId="0" applyFont="true"/>
    <xf numFmtId="0" fontId="1665" fillId="0" borderId="0" xfId="0" applyFont="true"/>
    <xf numFmtId="0" fontId="1666" fillId="0" borderId="0" xfId="0" applyFont="true"/>
    <xf numFmtId="0" fontId="1667" fillId="0" borderId="0" xfId="0" applyFont="true"/>
    <xf numFmtId="0" fontId="1668" fillId="0" borderId="0" xfId="0" applyFont="true"/>
    <xf numFmtId="0" fontId="1669" fillId="0" borderId="0" xfId="0" applyFont="true"/>
    <xf numFmtId="0" fontId="1670" fillId="0" borderId="0" xfId="0" applyFont="true"/>
    <xf numFmtId="0" fontId="1671" fillId="0" borderId="0" xfId="0" applyFont="true"/>
    <xf numFmtId="0" fontId="1672" fillId="0" borderId="0" xfId="0" applyFont="true"/>
    <xf numFmtId="0" fontId="1673" fillId="0" borderId="0" xfId="0" applyFont="true"/>
    <xf numFmtId="0" fontId="1674" fillId="0" borderId="0" xfId="0" applyFont="true"/>
    <xf numFmtId="0" fontId="1675" fillId="0" borderId="0" xfId="0" applyFont="true"/>
    <xf numFmtId="0" fontId="1676" fillId="0" borderId="0" xfId="0" applyFont="true"/>
    <xf numFmtId="0" fontId="1677" fillId="0" borderId="0" xfId="0" applyFont="true"/>
    <xf numFmtId="0" fontId="1678" fillId="0" borderId="0" xfId="0" applyFont="true"/>
    <xf numFmtId="0" fontId="1679" fillId="0" borderId="0" xfId="0" applyFont="true"/>
    <xf numFmtId="0" fontId="1680" fillId="0" borderId="0" xfId="0" applyFont="true"/>
    <xf numFmtId="0" fontId="1681" fillId="0" borderId="0" xfId="0" applyFont="true"/>
    <xf numFmtId="0" fontId="1682" fillId="0" borderId="0" xfId="0" applyFont="true"/>
    <xf numFmtId="0" fontId="1683" fillId="0" borderId="0" xfId="0" applyFont="true"/>
    <xf numFmtId="0" fontId="1684" fillId="0" borderId="0" xfId="0" applyFont="true"/>
    <xf numFmtId="0" fontId="1685" fillId="0" borderId="0" xfId="0" applyFont="true"/>
    <xf numFmtId="0" fontId="1686" fillId="0" borderId="0" xfId="0" applyFont="true"/>
    <xf numFmtId="0" fontId="1687" fillId="0" borderId="0" xfId="0" applyFont="true"/>
    <xf numFmtId="0" fontId="1688" fillId="0" borderId="0" xfId="0" applyFont="true"/>
    <xf numFmtId="0" fontId="1689" fillId="0" borderId="0" xfId="0" applyFont="true"/>
    <xf numFmtId="0" fontId="1690" fillId="0" borderId="0" xfId="0" applyFont="true"/>
    <xf numFmtId="0" fontId="1691" fillId="0" borderId="0" xfId="0" applyFont="true"/>
    <xf numFmtId="0" fontId="1692" fillId="0" borderId="0" xfId="0" applyFont="true"/>
    <xf numFmtId="0" fontId="1693" fillId="0" borderId="0" xfId="0" applyFont="true"/>
    <xf numFmtId="0" fontId="1694" fillId="0" borderId="0" xfId="0" applyFont="true"/>
    <xf numFmtId="0" fontId="1695" fillId="0" borderId="0" xfId="0" applyFont="true"/>
    <xf numFmtId="0" fontId="1696" fillId="0" borderId="0" xfId="0" applyFont="true"/>
    <xf numFmtId="0" fontId="1697" fillId="0" borderId="0" xfId="0" applyFont="true"/>
    <xf numFmtId="0" fontId="1698" fillId="0" borderId="0" xfId="0" applyFont="true"/>
    <xf numFmtId="0" fontId="1699" fillId="0" borderId="0" xfId="0" applyFont="true"/>
    <xf numFmtId="0" fontId="1700" fillId="0" borderId="0" xfId="0" applyFont="true"/>
    <xf numFmtId="0" fontId="1701" fillId="0" borderId="0" xfId="0" applyFont="true"/>
    <xf numFmtId="0" fontId="1702" fillId="0" borderId="0" xfId="0" applyFont="true"/>
    <xf numFmtId="0" fontId="1703" fillId="0" borderId="0" xfId="0" applyFont="true"/>
    <xf numFmtId="0" fontId="1704" fillId="0" borderId="0" xfId="0" applyFont="true"/>
    <xf numFmtId="0" fontId="1705" fillId="0" borderId="0" xfId="0" applyFont="true"/>
    <xf numFmtId="0" fontId="1706" fillId="0" borderId="0" xfId="0" applyFont="true"/>
    <xf numFmtId="0" fontId="1707" fillId="0" borderId="0" xfId="0" applyFont="true"/>
    <xf numFmtId="0" fontId="1708" fillId="0" borderId="0" xfId="0" applyFont="true"/>
    <xf numFmtId="0" fontId="1709" fillId="0" borderId="0" xfId="0" applyFont="true"/>
    <xf numFmtId="0" fontId="1710" fillId="0" borderId="0" xfId="0" applyFont="true"/>
    <xf numFmtId="0" fontId="1711" fillId="0" borderId="0" xfId="0" applyFont="true"/>
    <xf numFmtId="0" fontId="1712" fillId="0" borderId="0" xfId="0" applyFont="true"/>
    <xf numFmtId="0" fontId="1713" fillId="0" borderId="0" xfId="0" applyFont="true"/>
    <xf numFmtId="0" fontId="1714" fillId="0" borderId="0" xfId="0" applyFont="true"/>
    <xf numFmtId="0" fontId="1715" fillId="0" borderId="0" xfId="0" applyFont="true"/>
    <xf numFmtId="0" fontId="1716" fillId="0" borderId="0" xfId="0" applyFont="true"/>
    <xf numFmtId="0" fontId="1717" fillId="0" borderId="0" xfId="0" applyFont="true"/>
    <xf numFmtId="0" fontId="1718" fillId="0" borderId="0" xfId="0" applyFont="true"/>
    <xf numFmtId="0" fontId="1719" fillId="0" borderId="0" xfId="0" applyFont="true"/>
    <xf numFmtId="0" fontId="1720" fillId="0" borderId="0" xfId="0" applyFont="true"/>
    <xf numFmtId="0" fontId="1721" fillId="0" borderId="0" xfId="0" applyFont="true"/>
    <xf numFmtId="0" fontId="1722" fillId="0" borderId="0" xfId="0" applyFont="true"/>
    <xf numFmtId="0" fontId="1723" fillId="0" borderId="0" xfId="0" applyFont="true"/>
    <xf numFmtId="0" fontId="1724" fillId="0" borderId="0" xfId="0" applyFont="true"/>
    <xf numFmtId="0" fontId="1725" fillId="0" borderId="0" xfId="0" applyFont="true"/>
    <xf numFmtId="0" fontId="1726" fillId="0" borderId="0" xfId="0" applyFont="true"/>
    <xf numFmtId="0" fontId="1727" fillId="0" borderId="0" xfId="0" applyFont="true"/>
    <xf numFmtId="0" fontId="1728" fillId="0" borderId="0" xfId="0" applyFont="true"/>
    <xf numFmtId="0" fontId="1729" fillId="0" borderId="0" xfId="0" applyFont="true"/>
    <xf numFmtId="0" fontId="1730" fillId="0" borderId="0" xfId="0" applyFont="true"/>
    <xf numFmtId="0" fontId="1731" fillId="0" borderId="0" xfId="0" applyFont="true"/>
    <xf numFmtId="0" fontId="1732" fillId="0" borderId="0" xfId="0" applyFont="true"/>
    <xf numFmtId="0" fontId="1733" fillId="0" borderId="0" xfId="0" applyFont="true"/>
    <xf numFmtId="0" fontId="1734" fillId="0" borderId="0" xfId="0" applyFont="true"/>
    <xf numFmtId="0" fontId="1735" fillId="0" borderId="0" xfId="0" applyFont="true"/>
    <xf numFmtId="0" fontId="1736" fillId="0" borderId="0" xfId="0" applyFont="true"/>
    <xf numFmtId="0" fontId="1737" fillId="0" borderId="0" xfId="0" applyFont="true"/>
    <xf numFmtId="0" fontId="1738" fillId="0" borderId="0" xfId="0" applyFont="true"/>
    <xf numFmtId="0" fontId="1739" fillId="0" borderId="0" xfId="0" applyFont="true"/>
    <xf numFmtId="0" fontId="1740" fillId="0" borderId="0" xfId="0" applyFont="true"/>
    <xf numFmtId="0" fontId="1741" fillId="0" borderId="0" xfId="0" applyFont="true"/>
    <xf numFmtId="0" fontId="1742" fillId="0" borderId="0" xfId="0" applyFont="true"/>
    <xf numFmtId="0" fontId="1743" fillId="0" borderId="0" xfId="0" applyFont="true"/>
    <xf numFmtId="0" fontId="1744" fillId="0" borderId="0" xfId="0" applyFont="true"/>
    <xf numFmtId="0" fontId="1745" fillId="0" borderId="0" xfId="0" applyFont="true"/>
    <xf numFmtId="0" fontId="1746" fillId="0" borderId="0" xfId="0" applyFont="true"/>
    <xf numFmtId="0" fontId="1747" fillId="0" borderId="0" xfId="0" applyFont="true"/>
    <xf numFmtId="0" fontId="1748" fillId="0" borderId="0" xfId="0" applyFont="true"/>
    <xf numFmtId="0" fontId="1749" fillId="0" borderId="0" xfId="0" applyFont="true"/>
    <xf numFmtId="0" fontId="1750" fillId="0" borderId="0" xfId="0" applyFont="true"/>
    <xf numFmtId="0" fontId="1751" fillId="0" borderId="0" xfId="0" applyFont="true"/>
    <xf numFmtId="0" fontId="1752" fillId="0" borderId="0" xfId="0" applyFont="true"/>
    <xf numFmtId="0" fontId="1753" fillId="0" borderId="0" xfId="0" applyFont="true"/>
    <xf numFmtId="0" fontId="1754" fillId="0" borderId="0" xfId="0" applyFont="true"/>
    <xf numFmtId="0" fontId="1755" fillId="0" borderId="0" xfId="0" applyFont="true"/>
    <xf numFmtId="0" fontId="1756" fillId="0" borderId="0" xfId="0" applyFont="true"/>
    <xf numFmtId="0" fontId="1757" fillId="0" borderId="0" xfId="0" applyFont="true"/>
    <xf numFmtId="0" fontId="1758" fillId="0" borderId="0" xfId="0" applyFont="true"/>
    <xf numFmtId="0" fontId="1759" fillId="0" borderId="0" xfId="0" applyFont="true"/>
    <xf numFmtId="0" fontId="1760" fillId="0" borderId="0" xfId="0" applyFont="true"/>
    <xf numFmtId="0" fontId="1761" fillId="0" borderId="0" xfId="0" applyFont="true"/>
    <xf numFmtId="0" fontId="1762" fillId="0" borderId="0" xfId="0" applyFont="true"/>
    <xf numFmtId="0" fontId="1763" fillId="0" borderId="0" xfId="0" applyFont="true"/>
    <xf numFmtId="0" fontId="1764" fillId="0" borderId="0" xfId="0" applyFont="true"/>
    <xf numFmtId="0" fontId="1765" fillId="0" borderId="0" xfId="0" applyFont="true"/>
    <xf numFmtId="0" fontId="1766" fillId="0" borderId="0" xfId="0" applyFont="true"/>
    <xf numFmtId="0" fontId="1767" fillId="0" borderId="0" xfId="0" applyFont="true"/>
    <xf numFmtId="0" fontId="1768" fillId="0" borderId="0" xfId="0" applyFont="true"/>
    <xf numFmtId="0" fontId="1769" fillId="0" borderId="0" xfId="0" applyFont="true"/>
    <xf numFmtId="0" fontId="1770" fillId="0" borderId="0" xfId="0" applyFont="true"/>
    <xf numFmtId="0" fontId="1771" fillId="0" borderId="0" xfId="0" applyFont="true"/>
    <xf numFmtId="0" fontId="1772" fillId="0" borderId="0" xfId="0" applyFont="true"/>
    <xf numFmtId="0" fontId="1773" fillId="0" borderId="0" xfId="0" applyFont="true"/>
    <xf numFmtId="0" fontId="1774" fillId="0" borderId="0" xfId="0" applyFont="true"/>
    <xf numFmtId="0" fontId="1775" fillId="0" borderId="0" xfId="0" applyFont="true"/>
    <xf numFmtId="0" fontId="1776" fillId="0" borderId="0" xfId="0" applyFont="true"/>
    <xf numFmtId="0" fontId="1777" fillId="0" borderId="0" xfId="0" applyFont="true"/>
    <xf numFmtId="0" fontId="1778" fillId="0" borderId="0" xfId="0" applyFont="true"/>
    <xf numFmtId="0" fontId="1779" fillId="0" borderId="0" xfId="0" applyFont="true"/>
    <xf numFmtId="0" fontId="1780" fillId="0" borderId="0" xfId="0" applyFont="true"/>
    <xf numFmtId="0" fontId="1781" fillId="0" borderId="0" xfId="0" applyFont="true"/>
    <xf numFmtId="0" fontId="1782" fillId="0" borderId="0" xfId="0" applyFont="true"/>
    <xf numFmtId="0" fontId="1783" fillId="0" borderId="0" xfId="0" applyFont="true"/>
    <xf numFmtId="0" fontId="1784" fillId="0" borderId="0" xfId="0" applyFont="true"/>
    <xf numFmtId="0" fontId="1785" fillId="0" borderId="0" xfId="0" applyFont="true"/>
    <xf numFmtId="0" fontId="1786" fillId="0" borderId="0" xfId="0" applyFont="true"/>
    <xf numFmtId="0" fontId="1787" fillId="0" borderId="0" xfId="0" applyFont="true"/>
    <xf numFmtId="0" fontId="1788" fillId="0" borderId="0" xfId="0" applyFont="true"/>
    <xf numFmtId="0" fontId="1789" fillId="0" borderId="0" xfId="0" applyFont="true"/>
    <xf numFmtId="0" fontId="1790" fillId="0" borderId="0" xfId="0" applyFont="true"/>
    <xf numFmtId="0" fontId="1791" fillId="0" borderId="0" xfId="0" applyFont="true"/>
    <xf numFmtId="0" fontId="1792" fillId="0" borderId="0" xfId="0" applyFont="true"/>
    <xf numFmtId="0" fontId="1793" fillId="0" borderId="0" xfId="0" applyFont="true"/>
    <xf numFmtId="0" fontId="1794"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 min="16" max="16" width="18.0" customWidth="true"/>
    <col min="17" max="17" width="18.0" customWidth="true"/>
    <col min="18" max="18" width="18.0" customWidth="true"/>
    <col min="19" max="19" width="18.0" customWidth="true"/>
    <col min="20" max="20" width="18.0" customWidth="true"/>
    <col min="21" max="21" width="18.0" customWidth="true"/>
    <col min="22" max="22" width="18.0" customWidth="true"/>
    <col min="23" max="23" width="18.0" customWidth="true"/>
    <col min="24" max="24" width="18.0" customWidth="true"/>
    <col min="25" max="25" width="18.0" customWidth="true"/>
    <col min="26" max="26" width="18.0" customWidth="true"/>
    <col min="27" max="27" width="18.0" customWidth="true"/>
    <col min="28" max="28" width="18.0" customWidth="true"/>
    <col min="29" max="29" width="18.0" customWidth="true"/>
    <col min="30" max="30" width="18.0" customWidth="true"/>
    <col min="31" max="31" width="18.0" customWidth="true"/>
    <col min="32" max="32" width="18.0" customWidth="true"/>
    <col min="33" max="33" width="18.0" customWidth="true"/>
    <col min="34" max="34" width="18.0" customWidth="true"/>
    <col min="35" max="35" width="18.0" customWidth="true"/>
    <col min="36" max="36" width="18.0" customWidth="true"/>
    <col min="37" max="37" width="18.0" customWidth="true"/>
    <col min="38" max="38" width="18.0" customWidth="true"/>
  </cols>
  <sheetData>
    <row r="1">
      <c r="A1" t="inlineStr">
        <is>
          <t>笔记标题</t>
        </is>
      </c>
      <c r="B1" t="inlineStr">
        <is>
          <t>笔记ID</t>
        </is>
      </c>
      <c r="C1" t="inlineStr">
        <is>
          <t>笔记链接</t>
        </is>
      </c>
      <c r="D1" t="inlineStr">
        <is>
          <t>作者昵称</t>
        </is>
      </c>
      <c r="E1" t="inlineStr">
        <is>
          <t>作者xhs_ID</t>
        </is>
      </c>
      <c r="F1" t="inlineStr">
        <is>
          <t>笔记创建时间</t>
        </is>
      </c>
      <c r="G1" t="inlineStr">
        <is>
          <t>笔记类型</t>
        </is>
      </c>
      <c r="H1" t="inlineStr">
        <is>
          <t>关联商品名称</t>
        </is>
      </c>
      <c r="I1" t="inlineStr">
        <is>
          <t>关联商品ID</t>
        </is>
      </c>
      <c r="J1" t="inlineStr">
        <is>
          <t>视频时长（秒）</t>
        </is>
      </c>
      <c r="K1" t="inlineStr">
        <is>
          <t>笔记支付金额</t>
        </is>
      </c>
      <c r="L1" t="inlineStr">
        <is>
          <t>笔记支付订单数</t>
        </is>
      </c>
      <c r="M1" t="inlineStr">
        <is>
          <t>笔记商品点击次数</t>
        </is>
      </c>
      <c r="N1" t="inlineStr">
        <is>
          <t>笔记商品点击率（PV）</t>
        </is>
      </c>
      <c r="O1" t="inlineStr">
        <is>
          <t>笔记商品点击人数</t>
        </is>
      </c>
      <c r="P1" t="inlineStr">
        <is>
          <t>笔记支付人数</t>
        </is>
      </c>
      <c r="Q1" t="inlineStr">
        <is>
          <t>笔记支付转化率（PV）</t>
        </is>
      </c>
      <c r="R1" t="inlineStr">
        <is>
          <t>笔记支付转化率（UV）</t>
        </is>
      </c>
      <c r="S1" t="inlineStr">
        <is>
          <t>笔记退款金额（退款时间）</t>
        </is>
      </c>
      <c r="T1" t="inlineStr">
        <is>
          <t>笔记退款订单数（退款时间）</t>
        </is>
      </c>
      <c r="U1" t="inlineStr">
        <is>
          <t>笔记退款人数（退款时间）</t>
        </is>
      </c>
      <c r="V1" t="inlineStr">
        <is>
          <t>笔记退款金额（支付时间）</t>
        </is>
      </c>
      <c r="W1" t="inlineStr">
        <is>
          <t>笔记退款率（支付时间）</t>
        </is>
      </c>
      <c r="X1" t="inlineStr">
        <is>
          <t>笔记退款订单数（支付时间）</t>
        </is>
      </c>
      <c r="Y1" t="inlineStr">
        <is>
          <t>笔记加购件数</t>
        </is>
      </c>
      <c r="Z1" t="inlineStr">
        <is>
          <t>引流店铺主页次数</t>
        </is>
      </c>
      <c r="AA1" t="inlineStr">
        <is>
          <t>引流店铺主页支付金额</t>
        </is>
      </c>
      <c r="AB1" t="inlineStr">
        <is>
          <t>引流直播间次数</t>
        </is>
      </c>
      <c r="AC1" t="inlineStr">
        <is>
          <t>引流直播间支付金额</t>
        </is>
      </c>
      <c r="AD1" t="inlineStr">
        <is>
          <t>笔记阅读数</t>
        </is>
      </c>
      <c r="AE1" t="inlineStr">
        <is>
          <t>点赞次数</t>
        </is>
      </c>
      <c r="AF1" t="inlineStr">
        <is>
          <t>收藏次数</t>
        </is>
      </c>
      <c r="AG1" t="inlineStr">
        <is>
          <t>评论次数</t>
        </is>
      </c>
      <c r="AH1" t="inlineStr">
        <is>
          <t>分享次数</t>
        </is>
      </c>
      <c r="AI1" t="inlineStr">
        <is>
          <t>笔记点击关注次数</t>
        </is>
      </c>
      <c r="AJ1" t="inlineStr">
        <is>
          <t>弹幕次数</t>
        </is>
      </c>
      <c r="AK1" t="inlineStr">
        <is>
          <t>平均阅读时长（观播时长）</t>
        </is>
      </c>
      <c r="AL1" t="inlineStr">
        <is>
          <t>完播率（PV）</t>
        </is>
      </c>
    </row>
    <row r="2">
      <c r="A2" t="inlineStr">
        <is>
          <t>某姆的虾仁我吃了三年，直到换了它</t>
        </is>
      </c>
      <c r="B2" t="inlineStr">
        <is>
          <t>69d88c1a0000000022026d4d</t>
        </is>
      </c>
      <c r="C2" s="1" t="n">
        <f>HYPERLINK("https://www.xiaohongshu.com/explore/69d88c1a0000000022026d4d?xsec_token=TBaP4Vb_xh4r06-3Gp1C6IeEbHCeA5RHt4VXEPs_xMsQ8=&amp;xsec_source=pc_trdark","https://www.xiaohongshu.com/explore/69d88c1a0000000022026d4d?xsec_token=TBaP4Vb_xh4r06-3Gp1C6IeEbHCeA5RHt4VXEPs_xMsQ8=&amp;xsec_source=pc_trdark")</f>
        <v>0.0</v>
      </c>
      <c r="D2" t="inlineStr">
        <is>
          <t>婉婉上班吃什么</t>
        </is>
      </c>
      <c r="E2" t="inlineStr">
        <is>
          <t>11434449706</t>
        </is>
      </c>
      <c r="F2" t="inlineStr">
        <is>
          <t>2026-04-10 13:35:22</t>
        </is>
      </c>
      <c r="G2" t="inlineStr">
        <is>
          <t>图文</t>
        </is>
      </c>
      <c r="H2" t="inlineStr">
        <is>
          <t>手剥虾仁 无冰衣无添加 低脂餐一人食 上班带饭 顺丰包邮 5盒装</t>
        </is>
      </c>
      <c r="I2" t="inlineStr">
        <is>
          <t>694baba01d450d00013662f0</t>
        </is>
      </c>
      <c r="J2" t="inlineStr">
        <is>
          <t/>
        </is>
      </c>
      <c r="K2" t="n">
        <v>651.0</v>
      </c>
      <c r="L2" t="n">
        <v>9.0</v>
      </c>
      <c r="M2" t="n">
        <v>309.0</v>
      </c>
      <c r="N2" t="inlineStr">
        <is>
          <t>0.05408716961316296</t>
        </is>
      </c>
      <c r="O2" t="n">
        <v>260.0</v>
      </c>
      <c r="P2" t="n">
        <v>9.0</v>
      </c>
      <c r="Q2" t="inlineStr">
        <is>
          <t>0.02912621359223301</t>
        </is>
      </c>
      <c r="R2" t="inlineStr">
        <is>
          <t>0.03461538461538462</t>
        </is>
      </c>
      <c r="S2" t="n">
        <v>68.0</v>
      </c>
      <c r="T2" t="n">
        <v>1.0</v>
      </c>
      <c r="U2" t="n">
        <v>1.0</v>
      </c>
      <c r="V2" t="n">
        <v>68.0</v>
      </c>
      <c r="W2" t="inlineStr">
        <is>
          <t>0.10445468509984639</t>
        </is>
      </c>
      <c r="X2" t="n">
        <v>1.0</v>
      </c>
      <c r="Y2" t="n">
        <v>66.0</v>
      </c>
      <c r="Z2" t="n">
        <v>92.0</v>
      </c>
      <c r="AA2" t="n">
        <v>0.0</v>
      </c>
      <c r="AB2" t="n">
        <v>0.0</v>
      </c>
      <c r="AC2" t="n">
        <v>0.0</v>
      </c>
      <c r="AD2" t="n">
        <v>5713.0</v>
      </c>
      <c r="AE2" t="n">
        <v>11.0</v>
      </c>
      <c r="AF2" t="n">
        <v>4.0</v>
      </c>
      <c r="AG2" t="n">
        <v>0.0</v>
      </c>
      <c r="AH2" t="n">
        <v>2.0</v>
      </c>
      <c r="AI2" t="n">
        <v>0.0</v>
      </c>
      <c r="AJ2" t="n">
        <v>0.0</v>
      </c>
      <c r="AK2" t="n">
        <v>9.502012952914406</v>
      </c>
      <c r="AL2" t="inlineStr">
        <is>
          <t/>
        </is>
      </c>
    </row>
    <row r="3">
      <c r="A3" t="inlineStr">
        <is>
          <t>以为 69 没多少，结果解决了我一周上班带饭</t>
        </is>
      </c>
      <c r="B3" t="inlineStr">
        <is>
          <t>69cb9ed000000000230074e2</t>
        </is>
      </c>
      <c r="C3" s="2" t="n">
        <f>HYPERLINK("https://www.xiaohongshu.com/explore/69cb9ed000000000230074e2?xsec_token=TBNvk7eB588c7ey-qUUMF7OQgaVKUfny5-Ux8Z4SL_lhA=&amp;xsec_source=pc_trdark","https://www.xiaohongshu.com/explore/69cb9ed000000000230074e2?xsec_token=TBNvk7eB588c7ey-qUUMF7OQgaVKUfny5-Ux8Z4SL_lhA=&amp;xsec_source=pc_trdark")</f>
        <v>0.0</v>
      </c>
      <c r="D3" t="inlineStr">
        <is>
          <t>菲菲上班吃什么</t>
        </is>
      </c>
      <c r="E3" t="inlineStr">
        <is>
          <t>49936530607</t>
        </is>
      </c>
      <c r="F3" t="inlineStr">
        <is>
          <t>2026-03-31 18:15:44</t>
        </is>
      </c>
      <c r="G3" t="inlineStr">
        <is>
          <t>图文</t>
        </is>
      </c>
      <c r="H3" t="inlineStr">
        <is>
          <t>手剥虾仁 无冰衣无添加 低脂餐一人食 上班带饭 顺丰包邮 5盒装</t>
        </is>
      </c>
      <c r="I3" t="inlineStr">
        <is>
          <t>694baba01d450d00013662f0</t>
        </is>
      </c>
      <c r="J3" t="inlineStr">
        <is>
          <t/>
        </is>
      </c>
      <c r="K3" t="n">
        <v>1386.0</v>
      </c>
      <c r="L3" t="n">
        <v>18.0</v>
      </c>
      <c r="M3" t="n">
        <v>352.0</v>
      </c>
      <c r="N3" t="inlineStr">
        <is>
          <t>0.06738131699846861</t>
        </is>
      </c>
      <c r="O3" t="n">
        <v>316.0</v>
      </c>
      <c r="P3" t="n">
        <v>18.0</v>
      </c>
      <c r="Q3" t="inlineStr">
        <is>
          <t>0.05113636363636364</t>
        </is>
      </c>
      <c r="R3" t="inlineStr">
        <is>
          <t>0.056962025316455694</t>
        </is>
      </c>
      <c r="S3" t="n">
        <v>64.0</v>
      </c>
      <c r="T3" t="n">
        <v>1.0</v>
      </c>
      <c r="U3" t="n">
        <v>1.0</v>
      </c>
      <c r="V3" t="n">
        <v>64.0</v>
      </c>
      <c r="W3" t="inlineStr">
        <is>
          <t>0.046176046176046176</t>
        </is>
      </c>
      <c r="X3" t="n">
        <v>1.0</v>
      </c>
      <c r="Y3" t="n">
        <v>59.0</v>
      </c>
      <c r="Z3" t="n">
        <v>103.0</v>
      </c>
      <c r="AA3" t="n">
        <v>0.0</v>
      </c>
      <c r="AB3" t="n">
        <v>0.0</v>
      </c>
      <c r="AC3" t="n">
        <v>0.0</v>
      </c>
      <c r="AD3" t="n">
        <v>5224.0</v>
      </c>
      <c r="AE3" t="n">
        <v>58.0</v>
      </c>
      <c r="AF3" t="n">
        <v>36.0</v>
      </c>
      <c r="AG3" t="n">
        <v>1.0</v>
      </c>
      <c r="AH3" t="n">
        <v>13.0</v>
      </c>
      <c r="AI3" t="n">
        <v>1.0</v>
      </c>
      <c r="AJ3" t="n">
        <v>0.0</v>
      </c>
      <c r="AK3" t="n">
        <v>17.16175344563553</v>
      </c>
      <c r="AL3" t="inlineStr">
        <is>
          <t/>
        </is>
      </c>
    </row>
    <row r="4">
      <c r="A4" t="inlineStr">
        <is>
          <t>其实300来块够吃一个月抗炎饮食了</t>
        </is>
      </c>
      <c r="B4" t="inlineStr">
        <is>
          <t>6a043e580000000007026043</t>
        </is>
      </c>
      <c r="C4" s="3" t="n">
        <f>HYPERLINK("https://www.xiaohongshu.com/explore/6a043e580000000007026043?xsec_token=TB97Sb--y1lRno5M8_9mN6ezBPR3KuvM5wiigUsZ0_KCI=&amp;xsec_source=pc_trdark","https://www.xiaohongshu.com/explore/6a043e580000000007026043?xsec_token=TB97Sb--y1lRno5M8_9mN6ezBPR3KuvM5wiigUsZ0_KCI=&amp;xsec_source=pc_trdark")</f>
        <v>0.0</v>
      </c>
      <c r="D4" t="inlineStr">
        <is>
          <t>婉婉上班吃什么</t>
        </is>
      </c>
      <c r="E4" t="inlineStr">
        <is>
          <t>11434449706</t>
        </is>
      </c>
      <c r="F4" t="inlineStr">
        <is>
          <t>2026-05-13 17:03:20</t>
        </is>
      </c>
      <c r="G4" t="inlineStr">
        <is>
          <t>图文</t>
        </is>
      </c>
      <c r="H4" t="inlineStr">
        <is>
          <t>智利尾端中段整条三文鱼 8斤深海鱼低脂餐囤货一周备菜顺丰包邮</t>
        </is>
      </c>
      <c r="I4" t="inlineStr">
        <is>
          <t>69fab80d64eb410001ece0c0</t>
        </is>
      </c>
      <c r="J4" t="inlineStr">
        <is>
          <t/>
        </is>
      </c>
      <c r="K4" t="n">
        <v>1533.0</v>
      </c>
      <c r="L4" t="n">
        <v>7.0</v>
      </c>
      <c r="M4" t="n">
        <v>291.0</v>
      </c>
      <c r="N4" t="inlineStr">
        <is>
          <t>0.060955173858399665</t>
        </is>
      </c>
      <c r="O4" t="n">
        <v>234.0</v>
      </c>
      <c r="P4" t="n">
        <v>7.0</v>
      </c>
      <c r="Q4" t="inlineStr">
        <is>
          <t>0.024054982817869417</t>
        </is>
      </c>
      <c r="R4" t="inlineStr">
        <is>
          <t>0.029914529914529916</t>
        </is>
      </c>
      <c r="S4" t="n">
        <v>0.0</v>
      </c>
      <c r="T4" t="n">
        <v>0.0</v>
      </c>
      <c r="U4" t="n">
        <v>0.0</v>
      </c>
      <c r="V4" t="n">
        <v>0.0</v>
      </c>
      <c r="W4" t="n">
        <v>0.0</v>
      </c>
      <c r="X4" t="n">
        <v>0.0</v>
      </c>
      <c r="Y4" t="n">
        <v>60.0</v>
      </c>
      <c r="Z4" t="n">
        <v>112.0</v>
      </c>
      <c r="AA4" t="n">
        <v>0.0</v>
      </c>
      <c r="AB4" t="n">
        <v>0.0</v>
      </c>
      <c r="AC4" t="n">
        <v>0.0</v>
      </c>
      <c r="AD4" t="n">
        <v>4774.0</v>
      </c>
      <c r="AE4" t="n">
        <v>99.0</v>
      </c>
      <c r="AF4" t="n">
        <v>73.0</v>
      </c>
      <c r="AG4" t="n">
        <v>2.0</v>
      </c>
      <c r="AH4" t="n">
        <v>17.0</v>
      </c>
      <c r="AI4" t="n">
        <v>3.0</v>
      </c>
      <c r="AJ4" t="n">
        <v>0.0</v>
      </c>
      <c r="AK4" t="n">
        <v>20.630917469627146</v>
      </c>
      <c r="AL4" t="inlineStr">
        <is>
          <t/>
        </is>
      </c>
    </row>
    <row r="5">
      <c r="A5" t="inlineStr">
        <is>
          <t>300 来块的购买力，一整条够吃一个月了</t>
        </is>
      </c>
      <c r="B5" t="inlineStr">
        <is>
          <t>69fbf383000000001f0026f2</t>
        </is>
      </c>
      <c r="C5" s="4" t="n">
        <f>HYPERLINK("https://www.xiaohongshu.com/explore/69fbf383000000001f0026f2?xsec_token=TBI_QjbQZ5noU4wotSpiTIznMzGZj6uaZU8ayYdvOARhw=&amp;xsec_source=pc_trdark","https://www.xiaohongshu.com/explore/69fbf383000000001f0026f2?xsec_token=TBI_QjbQZ5noU4wotSpiTIznMzGZj6uaZU8ayYdvOARhw=&amp;xsec_source=pc_trdark")</f>
        <v>0.0</v>
      </c>
      <c r="D5" t="inlineStr">
        <is>
          <t>鲜水湾</t>
        </is>
      </c>
      <c r="E5" t="inlineStr">
        <is>
          <t>49316638994</t>
        </is>
      </c>
      <c r="F5" t="inlineStr">
        <is>
          <t>2026-05-07 10:05:55</t>
        </is>
      </c>
      <c r="G5" t="inlineStr">
        <is>
          <t>图文</t>
        </is>
      </c>
      <c r="H5" t="inlineStr">
        <is>
          <t>智利尾端中段整条三文鱼 8斤深海鱼低脂餐囤货一周备菜顺丰包邮</t>
        </is>
      </c>
      <c r="I5" t="inlineStr">
        <is>
          <t>69fab80d64eb410001ece0c0</t>
        </is>
      </c>
      <c r="J5" t="inlineStr">
        <is>
          <t/>
        </is>
      </c>
      <c r="K5" t="n">
        <v>8301.0</v>
      </c>
      <c r="L5" t="n">
        <v>35.0</v>
      </c>
      <c r="M5" t="n">
        <v>837.0</v>
      </c>
      <c r="N5" t="n">
        <v>0.2911304347826087</v>
      </c>
      <c r="O5" t="n">
        <v>701.0</v>
      </c>
      <c r="P5" t="n">
        <v>35.0</v>
      </c>
      <c r="Q5" t="inlineStr">
        <is>
          <t>0.04181600955794504</t>
        </is>
      </c>
      <c r="R5" t="inlineStr">
        <is>
          <t>0.04992867332382311</t>
        </is>
      </c>
      <c r="S5" t="n">
        <v>426.0</v>
      </c>
      <c r="T5" t="n">
        <v>2.0</v>
      </c>
      <c r="U5" t="n">
        <v>2.0</v>
      </c>
      <c r="V5" t="n">
        <v>426.0</v>
      </c>
      <c r="W5" t="inlineStr">
        <is>
          <t>0.051319118178532706</t>
        </is>
      </c>
      <c r="X5" t="n">
        <v>2.0</v>
      </c>
      <c r="Y5" t="n">
        <v>168.0</v>
      </c>
      <c r="Z5" t="n">
        <v>517.0</v>
      </c>
      <c r="AA5" t="n">
        <v>1884.0</v>
      </c>
      <c r="AB5" t="n">
        <v>0.0</v>
      </c>
      <c r="AC5" t="n">
        <v>0.0</v>
      </c>
      <c r="AD5" t="n">
        <v>2875.0</v>
      </c>
      <c r="AE5" t="n">
        <v>22.0</v>
      </c>
      <c r="AF5" t="n">
        <v>11.0</v>
      </c>
      <c r="AG5" t="n">
        <v>3.0</v>
      </c>
      <c r="AH5" t="n">
        <v>3.0</v>
      </c>
      <c r="AI5" t="n">
        <v>7.0</v>
      </c>
      <c r="AJ5" t="n">
        <v>0.0</v>
      </c>
      <c r="AK5" t="n">
        <v>22.64486956521739</v>
      </c>
      <c r="AL5" t="inlineStr">
        <is>
          <t/>
        </is>
      </c>
    </row>
    <row r="6">
      <c r="A6" t="inlineStr">
        <is>
          <t>在某马买了3次虾仁，最后一次我决定换一家</t>
        </is>
      </c>
      <c r="B6" t="inlineStr">
        <is>
          <t>69d747930000000023015c5d</t>
        </is>
      </c>
      <c r="C6" s="5" t="n">
        <f>HYPERLINK("https://www.xiaohongshu.com/explore/69d747930000000023015c5d?xsec_token=TBabSJw1DqF320Z_FWL3yrQ4vL7qh-GJsUtKAIfIiaSEM=&amp;xsec_source=pc_trdark","https://www.xiaohongshu.com/explore/69d747930000000023015c5d?xsec_token=TBabSJw1DqF320Z_FWL3yrQ4vL7qh-GJsUtKAIfIiaSEM=&amp;xsec_source=pc_trdark")</f>
        <v>0.0</v>
      </c>
      <c r="D6" t="inlineStr">
        <is>
          <t>菲菲上班吃什么</t>
        </is>
      </c>
      <c r="E6" t="inlineStr">
        <is>
          <t>49936530607</t>
        </is>
      </c>
      <c r="F6" t="inlineStr">
        <is>
          <t>2026-04-09 14:30:43</t>
        </is>
      </c>
      <c r="G6" t="inlineStr">
        <is>
          <t>图文</t>
        </is>
      </c>
      <c r="H6" t="inlineStr">
        <is>
          <t>手剥虾仁 无冰衣无添加 低脂餐一人食 上班带饭 顺丰包邮 5盒装</t>
        </is>
      </c>
      <c r="I6" t="inlineStr">
        <is>
          <t>694baba01d450d00013662f0</t>
        </is>
      </c>
      <c r="J6" t="inlineStr">
        <is>
          <t/>
        </is>
      </c>
      <c r="K6" t="n">
        <v>468.0</v>
      </c>
      <c r="L6" t="n">
        <v>7.0</v>
      </c>
      <c r="M6" t="n">
        <v>149.0</v>
      </c>
      <c r="N6" t="inlineStr">
        <is>
          <t>0.08200330214639516</t>
        </is>
      </c>
      <c r="O6" t="n">
        <v>127.0</v>
      </c>
      <c r="P6" t="n">
        <v>7.0</v>
      </c>
      <c r="Q6" t="inlineStr">
        <is>
          <t>0.04697986577181208</t>
        </is>
      </c>
      <c r="R6" t="inlineStr">
        <is>
          <t>0.05511811023622047</t>
        </is>
      </c>
      <c r="S6" t="n">
        <v>133.0</v>
      </c>
      <c r="T6" t="n">
        <v>2.0</v>
      </c>
      <c r="U6" t="n">
        <v>2.0</v>
      </c>
      <c r="V6" t="n">
        <v>133.0</v>
      </c>
      <c r="W6" t="n">
        <v>0.2841880341880342</v>
      </c>
      <c r="X6" t="n">
        <v>2.0</v>
      </c>
      <c r="Y6" t="n">
        <v>26.0</v>
      </c>
      <c r="Z6" t="n">
        <v>33.0</v>
      </c>
      <c r="AA6" t="n">
        <v>64.0</v>
      </c>
      <c r="AB6" t="n">
        <v>0.0</v>
      </c>
      <c r="AC6" t="n">
        <v>0.0</v>
      </c>
      <c r="AD6" t="n">
        <v>1817.0</v>
      </c>
      <c r="AE6" t="n">
        <v>2.0</v>
      </c>
      <c r="AF6" t="n">
        <v>1.0</v>
      </c>
      <c r="AG6" t="n">
        <v>0.0</v>
      </c>
      <c r="AH6" t="n">
        <v>1.0</v>
      </c>
      <c r="AI6" t="n">
        <v>0.0</v>
      </c>
      <c r="AJ6" t="n">
        <v>0.0</v>
      </c>
      <c r="AK6" t="n">
        <v>8.440286186020913</v>
      </c>
      <c r="AL6" t="inlineStr">
        <is>
          <t/>
        </is>
      </c>
    </row>
    <row r="7">
      <c r="A7" t="inlineStr">
        <is>
          <t>其实68块够吃一周抗炎饮食晚餐了</t>
        </is>
      </c>
      <c r="B7" t="inlineStr">
        <is>
          <t>6a66a016000000001c00e0b9</t>
        </is>
      </c>
      <c r="C7" s="6" t="n">
        <f>HYPERLINK("https://www.xiaohongshu.com/explore/6a66a016000000001c00e0b9?xsec_token=TBIHthkK-vLT6HWx1MaVA_QYnB9n2DhvFKhggzlOCfcuc=&amp;xsec_source=pc_trdark","https://www.xiaohongshu.com/explore/6a66a016000000001c00e0b9?xsec_token=TBIHthkK-vLT6HWx1MaVA_QYnB9n2DhvFKhggzlOCfcuc=&amp;xsec_source=pc_trdark")</f>
        <v>0.0</v>
      </c>
      <c r="D7" t="inlineStr">
        <is>
          <t>婉婉上班吃什么</t>
        </is>
      </c>
      <c r="E7" t="inlineStr">
        <is>
          <t>11434449706</t>
        </is>
      </c>
      <c r="F7" t="inlineStr">
        <is>
          <t>2026-07-27 08:02:30</t>
        </is>
      </c>
      <c r="G7" t="inlineStr">
        <is>
          <t>图文</t>
        </is>
      </c>
      <c r="H7" t="inlineStr">
        <is>
          <t>智利三文鱼切块·整条三文鱼·深海鱼一人食健康饮食</t>
        </is>
      </c>
      <c r="I7" t="inlineStr">
        <is>
          <t>691ac562a524ee0001b51d7b</t>
        </is>
      </c>
      <c r="J7" t="inlineStr">
        <is>
          <t/>
        </is>
      </c>
      <c r="K7" t="n">
        <v>247.0</v>
      </c>
      <c r="L7" t="n">
        <v>3.0</v>
      </c>
      <c r="M7" t="n">
        <v>96.0</v>
      </c>
      <c r="N7" t="inlineStr">
        <is>
          <t>0.06956521739130435</t>
        </is>
      </c>
      <c r="O7" t="n">
        <v>85.0</v>
      </c>
      <c r="P7" t="n">
        <v>3.0</v>
      </c>
      <c r="Q7" t="n">
        <v>0.03125</v>
      </c>
      <c r="R7" t="inlineStr">
        <is>
          <t>0.03529411764705882</t>
        </is>
      </c>
      <c r="S7" t="n">
        <v>0.0</v>
      </c>
      <c r="T7" t="n">
        <v>0.0</v>
      </c>
      <c r="U7" t="n">
        <v>0.0</v>
      </c>
      <c r="V7" t="n">
        <v>0.0</v>
      </c>
      <c r="W7" t="n">
        <v>0.0</v>
      </c>
      <c r="X7" t="n">
        <v>0.0</v>
      </c>
      <c r="Y7" t="n">
        <v>24.0</v>
      </c>
      <c r="Z7" t="n">
        <v>31.0</v>
      </c>
      <c r="AA7" t="n">
        <v>0.0</v>
      </c>
      <c r="AB7" t="n">
        <v>0.0</v>
      </c>
      <c r="AC7" t="n">
        <v>0.0</v>
      </c>
      <c r="AD7" t="n">
        <v>1380.0</v>
      </c>
      <c r="AE7" t="n">
        <v>16.0</v>
      </c>
      <c r="AF7" t="n">
        <v>8.0</v>
      </c>
      <c r="AG7" t="n">
        <v>1.0</v>
      </c>
      <c r="AH7" t="n">
        <v>3.0</v>
      </c>
      <c r="AI7" t="n">
        <v>0.0</v>
      </c>
      <c r="AJ7" t="n">
        <v>0.0</v>
      </c>
      <c r="AK7" t="n">
        <v>15.491304347826087</v>
      </c>
      <c r="AL7" t="inlineStr">
        <is>
          <t/>
        </is>
      </c>
    </row>
    <row r="8">
      <c r="A8" t="inlineStr">
        <is>
          <t>和老爸商量后，特意推出一人食专属小包装</t>
        </is>
      </c>
      <c r="B8" t="inlineStr">
        <is>
          <t>6a3f88bc000000000803df7a</t>
        </is>
      </c>
      <c r="C8" s="7" t="n">
        <f>HYPERLINK("https://www.xiaohongshu.com/explore/6a3f88bc000000000803df7a?xsec_token=TB-Xzc_eKrV4y7N7iH5lBvTkUmw-PnYCjM8jYicemV1Aw=&amp;xsec_source=pc_trdark","https://www.xiaohongshu.com/explore/6a3f88bc000000000803df7a?xsec_token=TB-Xzc_eKrV4y7N7iH5lBvTkUmw-PnYCjM8jYicemV1Aw=&amp;xsec_source=pc_trdark")</f>
        <v>0.0</v>
      </c>
      <c r="D8" t="inlineStr">
        <is>
          <t>菲菲上班吃什么</t>
        </is>
      </c>
      <c r="E8" t="inlineStr">
        <is>
          <t>49936530607</t>
        </is>
      </c>
      <c r="F8" t="inlineStr">
        <is>
          <t>2026-06-27 16:24:28</t>
        </is>
      </c>
      <c r="G8" t="inlineStr">
        <is>
          <t>图文</t>
        </is>
      </c>
      <c r="H8" t="inlineStr">
        <is>
          <t>手剥虾仁 无冰衣无添加 低脂餐一人食 上班带饭 顺丰包邮 5盒装</t>
        </is>
      </c>
      <c r="I8" t="inlineStr">
        <is>
          <t>694baba01d450d00013662f0</t>
        </is>
      </c>
      <c r="J8" t="inlineStr">
        <is>
          <t/>
        </is>
      </c>
      <c r="K8" t="n">
        <v>468.0</v>
      </c>
      <c r="L8" t="n">
        <v>6.0</v>
      </c>
      <c r="M8" t="n">
        <v>130.0</v>
      </c>
      <c r="N8" t="inlineStr">
        <is>
          <t>0.10317460317460317</t>
        </is>
      </c>
      <c r="O8" t="n">
        <v>116.0</v>
      </c>
      <c r="P8" t="n">
        <v>6.0</v>
      </c>
      <c r="Q8" t="inlineStr">
        <is>
          <t>0.046153846153846156</t>
        </is>
      </c>
      <c r="R8" t="inlineStr">
        <is>
          <t>0.05172413793103448</t>
        </is>
      </c>
      <c r="S8" t="n">
        <v>0.0</v>
      </c>
      <c r="T8" t="n">
        <v>0.0</v>
      </c>
      <c r="U8" t="n">
        <v>0.0</v>
      </c>
      <c r="V8" t="n">
        <v>0.0</v>
      </c>
      <c r="W8" t="n">
        <v>0.0</v>
      </c>
      <c r="X8" t="n">
        <v>0.0</v>
      </c>
      <c r="Y8" t="n">
        <v>21.0</v>
      </c>
      <c r="Z8" t="n">
        <v>57.0</v>
      </c>
      <c r="AA8" t="n">
        <v>0.0</v>
      </c>
      <c r="AB8" t="n">
        <v>0.0</v>
      </c>
      <c r="AC8" t="n">
        <v>0.0</v>
      </c>
      <c r="AD8" t="n">
        <v>1260.0</v>
      </c>
      <c r="AE8" t="n">
        <v>5.0</v>
      </c>
      <c r="AF8" t="n">
        <v>1.0</v>
      </c>
      <c r="AG8" t="n">
        <v>0.0</v>
      </c>
      <c r="AH8" t="n">
        <v>0.0</v>
      </c>
      <c r="AI8" t="n">
        <v>0.0</v>
      </c>
      <c r="AJ8" t="n">
        <v>0.0</v>
      </c>
      <c r="AK8" t="n">
        <v>10.035714285714286</v>
      </c>
      <c r="AL8" t="inlineStr">
        <is>
          <t/>
        </is>
      </c>
    </row>
    <row r="9">
      <c r="A9" t="inlineStr">
        <is>
          <t>和老爸商量了，推出一人食控体小包装三文鱼</t>
        </is>
      </c>
      <c r="B9" t="inlineStr">
        <is>
          <t>6a637415000000001002ac1c</t>
        </is>
      </c>
      <c r="C9" s="8" t="n">
        <f>HYPERLINK("https://www.xiaohongshu.com/explore/6a637415000000001002ac1c?xsec_token=TBnj7c48jXKUA16YxAU7jzshrnWl5qaJFzK_lQ0f-Ag6s=&amp;xsec_source=pc_trdark","https://www.xiaohongshu.com/explore/6a637415000000001002ac1c?xsec_token=TBnj7c48jXKUA16YxAU7jzshrnWl5qaJFzK_lQ0f-Ag6s=&amp;xsec_source=pc_trdark")</f>
        <v>0.0</v>
      </c>
      <c r="D9" t="inlineStr">
        <is>
          <t>鲜水湾</t>
        </is>
      </c>
      <c r="E9" t="inlineStr">
        <is>
          <t>49316638994</t>
        </is>
      </c>
      <c r="F9" t="inlineStr">
        <is>
          <t>2026-07-24 22:17:57</t>
        </is>
      </c>
      <c r="G9" t="inlineStr">
        <is>
          <t>图文</t>
        </is>
      </c>
      <c r="H9" t="inlineStr">
        <is>
          <t>智利三文鱼切块·整条三文鱼·深海鱼一人食健康饮食</t>
        </is>
      </c>
      <c r="I9" t="inlineStr">
        <is>
          <t>691ac562a524ee0001b51d7b</t>
        </is>
      </c>
      <c r="J9" t="inlineStr">
        <is>
          <t/>
        </is>
      </c>
      <c r="K9" t="n">
        <v>530.0</v>
      </c>
      <c r="L9" t="n">
        <v>4.0</v>
      </c>
      <c r="M9" t="n">
        <v>124.0</v>
      </c>
      <c r="N9" t="inlineStr">
        <is>
          <t>0.10508474576271186</t>
        </is>
      </c>
      <c r="O9" t="n">
        <v>107.0</v>
      </c>
      <c r="P9" t="n">
        <v>4.0</v>
      </c>
      <c r="Q9" t="inlineStr">
        <is>
          <t>0.03225806451612903</t>
        </is>
      </c>
      <c r="R9" t="inlineStr">
        <is>
          <t>0.037383177570093455</t>
        </is>
      </c>
      <c r="S9" t="n">
        <v>130.0</v>
      </c>
      <c r="T9" t="n">
        <v>2.0</v>
      </c>
      <c r="U9" t="n">
        <v>2.0</v>
      </c>
      <c r="V9" t="n">
        <v>130.0</v>
      </c>
      <c r="W9" t="inlineStr">
        <is>
          <t>0.24528301886792453</t>
        </is>
      </c>
      <c r="X9" t="n">
        <v>2.0</v>
      </c>
      <c r="Y9" t="n">
        <v>28.0</v>
      </c>
      <c r="Z9" t="n">
        <v>41.0</v>
      </c>
      <c r="AA9" t="n">
        <v>0.0</v>
      </c>
      <c r="AB9" t="n">
        <v>0.0</v>
      </c>
      <c r="AC9" t="n">
        <v>0.0</v>
      </c>
      <c r="AD9" t="n">
        <v>1180.0</v>
      </c>
      <c r="AE9" t="n">
        <v>3.0</v>
      </c>
      <c r="AF9" t="n">
        <v>4.0</v>
      </c>
      <c r="AG9" t="n">
        <v>0.0</v>
      </c>
      <c r="AH9" t="n">
        <v>2.0</v>
      </c>
      <c r="AI9" t="n">
        <v>1.0</v>
      </c>
      <c r="AJ9" t="n">
        <v>0.0</v>
      </c>
      <c r="AK9" t="n">
        <v>12.491525423728813</v>
      </c>
      <c r="AL9" t="inlineStr">
        <is>
          <t/>
        </is>
      </c>
    </row>
    <row r="10">
      <c r="A10" t="inlineStr">
        <is>
          <t>被办公室同事问爆，69一周的减脂虾仁❗️</t>
        </is>
      </c>
      <c r="B10" t="inlineStr">
        <is>
          <t>6a5db74d000000000f00b08d</t>
        </is>
      </c>
      <c r="C10" s="9" t="n">
        <f>HYPERLINK("https://www.xiaohongshu.com/explore/6a5db74d000000000f00b08d?xsec_token=TBhNPC94_6xvOzlNirloUV2C1BwJRhthBMTeA7umoni50=&amp;xsec_source=pc_trdark","https://www.xiaohongshu.com/explore/6a5db74d000000000f00b08d?xsec_token=TBhNPC94_6xvOzlNirloUV2C1BwJRhthBMTeA7umoni50=&amp;xsec_source=pc_trdark")</f>
        <v>0.0</v>
      </c>
      <c r="D10" t="inlineStr">
        <is>
          <t>菲菲上班吃什么</t>
        </is>
      </c>
      <c r="E10" t="inlineStr">
        <is>
          <t>49936530607</t>
        </is>
      </c>
      <c r="F10" t="inlineStr">
        <is>
          <t>2026-07-20 13:51:09</t>
        </is>
      </c>
      <c r="G10" t="inlineStr">
        <is>
          <t>视频</t>
        </is>
      </c>
      <c r="H10" t="inlineStr">
        <is>
          <t>手剥虾仁 无冰衣无添加 低脂餐一人食 上班带饭 顺丰包邮 5盒装</t>
        </is>
      </c>
      <c r="I10" t="inlineStr">
        <is>
          <t>694baba01d450d00013662f0</t>
        </is>
      </c>
      <c r="J10" t="n">
        <v>26.0</v>
      </c>
      <c r="K10" t="n">
        <v>263.0</v>
      </c>
      <c r="L10" t="n">
        <v>3.0</v>
      </c>
      <c r="M10" t="n">
        <v>14.0</v>
      </c>
      <c r="N10" t="inlineStr">
        <is>
          <t>0.012248468941382326</t>
        </is>
      </c>
      <c r="O10" t="n">
        <v>14.0</v>
      </c>
      <c r="P10" t="n">
        <v>3.0</v>
      </c>
      <c r="Q10" t="inlineStr">
        <is>
          <t>0.21428571428571427</t>
        </is>
      </c>
      <c r="R10" t="inlineStr">
        <is>
          <t>0.21428571428571427</t>
        </is>
      </c>
      <c r="S10" t="n">
        <v>0.0</v>
      </c>
      <c r="T10" t="n">
        <v>0.0</v>
      </c>
      <c r="U10" t="n">
        <v>0.0</v>
      </c>
      <c r="V10" t="n">
        <v>0.0</v>
      </c>
      <c r="W10" t="n">
        <v>0.0</v>
      </c>
      <c r="X10" t="n">
        <v>0.0</v>
      </c>
      <c r="Y10" t="n">
        <v>1.0</v>
      </c>
      <c r="Z10" t="n">
        <v>5.0</v>
      </c>
      <c r="AA10" t="n">
        <v>0.0</v>
      </c>
      <c r="AB10" t="n">
        <v>0.0</v>
      </c>
      <c r="AC10" t="n">
        <v>0.0</v>
      </c>
      <c r="AD10" t="n">
        <v>1143.0</v>
      </c>
      <c r="AE10" t="n">
        <v>5.0</v>
      </c>
      <c r="AF10" t="n">
        <v>1.0</v>
      </c>
      <c r="AG10" t="n">
        <v>0.0</v>
      </c>
      <c r="AH10" t="n">
        <v>0.0</v>
      </c>
      <c r="AI10" t="n">
        <v>1.0</v>
      </c>
      <c r="AJ10" t="n">
        <v>0.0</v>
      </c>
      <c r="AK10" t="n">
        <v>4.079615048118985</v>
      </c>
      <c r="AL10" t="inlineStr">
        <is>
          <t>0.04869565217391304</t>
        </is>
      </c>
    </row>
    <row r="11">
      <c r="A11" t="inlineStr">
        <is>
          <t>某姆的虾仁我吃了半年，最后还是换了</t>
        </is>
      </c>
      <c r="B11" t="inlineStr">
        <is>
          <t>69d8bab3000000001b020eca</t>
        </is>
      </c>
      <c r="C11" s="10" t="n">
        <f>HYPERLINK("https://www.xiaohongshu.com/explore/69d8bab3000000001b020eca?xsec_token=TBaP4Vb_xh4r06-3Gp1C6IeILNLrtFIrQfrsTDsdRVKsM=&amp;xsec_source=pc_trdark","https://www.xiaohongshu.com/explore/69d8bab3000000001b020eca?xsec_token=TBaP4Vb_xh4r06-3Gp1C6IeILNLrtFIrQfrsTDsdRVKsM=&amp;xsec_source=pc_trdark")</f>
        <v>0.0</v>
      </c>
      <c r="D11" t="inlineStr">
        <is>
          <t>菲菲上班吃什么</t>
        </is>
      </c>
      <c r="E11" t="inlineStr">
        <is>
          <t>49936530607</t>
        </is>
      </c>
      <c r="F11" t="inlineStr">
        <is>
          <t>2026-04-10 16:54:11</t>
        </is>
      </c>
      <c r="G11" t="inlineStr">
        <is>
          <t>图文</t>
        </is>
      </c>
      <c r="H11" t="inlineStr">
        <is>
          <t>手剥虾仁 无冰衣无添加 低脂餐一人食 上班带饭 顺丰包邮 5盒装</t>
        </is>
      </c>
      <c r="I11" t="inlineStr">
        <is>
          <t>694baba01d450d00013662f0</t>
        </is>
      </c>
      <c r="J11" t="inlineStr">
        <is>
          <t/>
        </is>
      </c>
      <c r="K11" t="n">
        <v>195.0</v>
      </c>
      <c r="L11" t="n">
        <v>2.0</v>
      </c>
      <c r="M11" t="n">
        <v>51.0</v>
      </c>
      <c r="N11" t="inlineStr">
        <is>
          <t>0.05957943925233645</t>
        </is>
      </c>
      <c r="O11" t="n">
        <v>40.0</v>
      </c>
      <c r="P11" t="n">
        <v>2.0</v>
      </c>
      <c r="Q11" t="n">
        <v>0.0392156862745098</v>
      </c>
      <c r="R11" t="n">
        <v>0.05</v>
      </c>
      <c r="S11" t="n">
        <v>0.0</v>
      </c>
      <c r="T11" t="n">
        <v>0.0</v>
      </c>
      <c r="U11" t="n">
        <v>0.0</v>
      </c>
      <c r="V11" t="n">
        <v>0.0</v>
      </c>
      <c r="W11" t="n">
        <v>0.0</v>
      </c>
      <c r="X11" t="n">
        <v>0.0</v>
      </c>
      <c r="Y11" t="n">
        <v>8.0</v>
      </c>
      <c r="Z11" t="n">
        <v>17.0</v>
      </c>
      <c r="AA11" t="n">
        <v>0.0</v>
      </c>
      <c r="AB11" t="n">
        <v>0.0</v>
      </c>
      <c r="AC11" t="n">
        <v>0.0</v>
      </c>
      <c r="AD11" t="n">
        <v>856.0</v>
      </c>
      <c r="AE11" t="n">
        <v>2.0</v>
      </c>
      <c r="AF11" t="n">
        <v>0.0</v>
      </c>
      <c r="AG11" t="n">
        <v>0.0</v>
      </c>
      <c r="AH11" t="n">
        <v>0.0</v>
      </c>
      <c r="AI11" t="n">
        <v>0.0</v>
      </c>
      <c r="AJ11" t="n">
        <v>0.0</v>
      </c>
      <c r="AK11" t="n">
        <v>12.720794392523365</v>
      </c>
      <c r="AL11" t="inlineStr">
        <is>
          <t/>
        </is>
      </c>
    </row>
    <row r="12">
      <c r="A12" t="inlineStr">
        <is>
          <t>管理期！！！请你反复观看！！！！</t>
        </is>
      </c>
      <c r="B12" t="inlineStr">
        <is>
          <t>6a2e1102000000003501d574</t>
        </is>
      </c>
      <c r="C12" s="11" t="n">
        <f>HYPERLINK("https://www.xiaohongshu.com/explore/6a2e1102000000003501d574?xsec_token=TBhHjC2DWrdLZDWzxKRIYz51L1qe5qsuNS5SzfyedhfkM=&amp;xsec_source=pc_trdark","https://www.xiaohongshu.com/explore/6a2e1102000000003501d574?xsec_token=TBhHjC2DWrdLZDWzxKRIYz51L1qe5qsuNS5SzfyedhfkM=&amp;xsec_source=pc_trdark")</f>
        <v>0.0</v>
      </c>
      <c r="D12" t="inlineStr">
        <is>
          <t>鲜水湾甄选</t>
        </is>
      </c>
      <c r="E12" t="inlineStr">
        <is>
          <t>27401929161</t>
        </is>
      </c>
      <c r="F12" t="inlineStr">
        <is>
          <t>2026-06-14 10:25:06</t>
        </is>
      </c>
      <c r="G12" t="inlineStr">
        <is>
          <t>视频</t>
        </is>
      </c>
      <c r="H12" t="inlineStr">
        <is>
          <t>手剥虾仁 无冰衣无添加 低脂餐一人食 上班带饭 顺丰包邮 5盒装</t>
        </is>
      </c>
      <c r="I12" t="inlineStr">
        <is>
          <t>694baba01d450d00013662f0</t>
        </is>
      </c>
      <c r="J12" t="n">
        <v>20.0</v>
      </c>
      <c r="K12" t="n">
        <v>0.0</v>
      </c>
      <c r="L12" t="n">
        <v>0.0</v>
      </c>
      <c r="M12" t="n">
        <v>3.0</v>
      </c>
      <c r="N12" t="inlineStr">
        <is>
          <t>0.003676470588235294</t>
        </is>
      </c>
      <c r="O12" t="n">
        <v>3.0</v>
      </c>
      <c r="P12" t="n">
        <v>0.0</v>
      </c>
      <c r="Q12" t="n">
        <v>0.0</v>
      </c>
      <c r="R12" t="n">
        <v>0.0</v>
      </c>
      <c r="S12" t="n">
        <v>0.0</v>
      </c>
      <c r="T12" t="n">
        <v>0.0</v>
      </c>
      <c r="U12" t="n">
        <v>0.0</v>
      </c>
      <c r="V12" t="n">
        <v>0.0</v>
      </c>
      <c r="W12" t="inlineStr">
        <is>
          <t/>
        </is>
      </c>
      <c r="X12" t="n">
        <v>0.0</v>
      </c>
      <c r="Y12" t="n">
        <v>1.0</v>
      </c>
      <c r="Z12" t="n">
        <v>0.0</v>
      </c>
      <c r="AA12" t="n">
        <v>0.0</v>
      </c>
      <c r="AB12" t="n">
        <v>0.0</v>
      </c>
      <c r="AC12" t="n">
        <v>0.0</v>
      </c>
      <c r="AD12" t="n">
        <v>816.0</v>
      </c>
      <c r="AE12" t="n">
        <v>0.0</v>
      </c>
      <c r="AF12" t="n">
        <v>0.0</v>
      </c>
      <c r="AG12" t="n">
        <v>0.0</v>
      </c>
      <c r="AH12" t="n">
        <v>0.0</v>
      </c>
      <c r="AI12" t="n">
        <v>0.0</v>
      </c>
      <c r="AJ12" t="n">
        <v>0.0</v>
      </c>
      <c r="AK12" t="n">
        <v>2.138480392156863</v>
      </c>
      <c r="AL12" t="inlineStr">
        <is>
          <t>0.017326732673267328</t>
        </is>
      </c>
    </row>
    <row r="13">
      <c r="A13" t="inlineStr">
        <is>
          <t>其实，300块能吃一个月的三文鱼😎</t>
        </is>
      </c>
      <c r="B13" t="inlineStr">
        <is>
          <t>69456f51000000001f006a7b</t>
        </is>
      </c>
      <c r="C13" s="12" t="n">
        <f>HYPERLINK("https://www.xiaohongshu.com/explore/69456f51000000001f006a7b?xsec_token=TB7p1vWXvB33zoX2lon7HfpbhaeUpox4g5KLr6HjX1WtA=&amp;xsec_source=pc_trdark","https://www.xiaohongshu.com/explore/69456f51000000001f006a7b?xsec_token=TB7p1vWXvB33zoX2lon7HfpbhaeUpox4g5KLr6HjX1WtA=&amp;xsec_source=pc_trdark")</f>
        <v>0.0</v>
      </c>
      <c r="D13" t="inlineStr">
        <is>
          <t>鲜水湾</t>
        </is>
      </c>
      <c r="E13" t="inlineStr">
        <is>
          <t>49316638994</t>
        </is>
      </c>
      <c r="F13" t="inlineStr">
        <is>
          <t>2025-12-19 23:29:21</t>
        </is>
      </c>
      <c r="G13" t="inlineStr">
        <is>
          <t>图文</t>
        </is>
      </c>
      <c r="H13" t="inlineStr">
        <is>
          <t>智利尾端中段整条三文鱼 8斤深海鱼低脂餐囤货一周备菜顺丰包邮</t>
        </is>
      </c>
      <c r="I13" t="inlineStr">
        <is>
          <t>69fab80d64eb410001ece0c0</t>
        </is>
      </c>
      <c r="J13" t="inlineStr">
        <is>
          <t/>
        </is>
      </c>
      <c r="K13" t="n">
        <v>494.0</v>
      </c>
      <c r="L13" t="n">
        <v>2.0</v>
      </c>
      <c r="M13" t="n">
        <v>96.0</v>
      </c>
      <c r="N13" t="inlineStr">
        <is>
          <t>0.12229299363057325</t>
        </is>
      </c>
      <c r="O13" t="n">
        <v>88.0</v>
      </c>
      <c r="P13" t="n">
        <v>2.0</v>
      </c>
      <c r="Q13" t="inlineStr">
        <is>
          <t>0.020833333333333332</t>
        </is>
      </c>
      <c r="R13" t="inlineStr">
        <is>
          <t>0.022727272727272728</t>
        </is>
      </c>
      <c r="S13" t="n">
        <v>367.0</v>
      </c>
      <c r="T13" t="n">
        <v>1.0</v>
      </c>
      <c r="U13" t="n">
        <v>1.0</v>
      </c>
      <c r="V13" t="n">
        <v>367.0</v>
      </c>
      <c r="W13" t="n">
        <v>0.742914979757085</v>
      </c>
      <c r="X13" t="n">
        <v>1.0</v>
      </c>
      <c r="Y13" t="n">
        <v>21.0</v>
      </c>
      <c r="Z13" t="n">
        <v>20.0</v>
      </c>
      <c r="AA13" t="n">
        <v>0.0</v>
      </c>
      <c r="AB13" t="n">
        <v>0.0</v>
      </c>
      <c r="AC13" t="n">
        <v>0.0</v>
      </c>
      <c r="AD13" t="n">
        <v>785.0</v>
      </c>
      <c r="AE13" t="n">
        <v>5.0</v>
      </c>
      <c r="AF13" t="n">
        <v>2.0</v>
      </c>
      <c r="AG13" t="n">
        <v>0.0</v>
      </c>
      <c r="AH13" t="n">
        <v>1.0</v>
      </c>
      <c r="AI13" t="n">
        <v>1.0</v>
      </c>
      <c r="AJ13" t="n">
        <v>0.0</v>
      </c>
      <c r="AK13" t="n">
        <v>10.840764331210192</v>
      </c>
      <c r="AL13" t="inlineStr">
        <is>
          <t/>
        </is>
      </c>
    </row>
    <row r="14">
      <c r="A14" t="inlineStr">
        <is>
          <t>月子中心吃过一次，我回家买了一整条</t>
        </is>
      </c>
      <c r="B14" t="inlineStr">
        <is>
          <t>6a1539b00000000006030c36</t>
        </is>
      </c>
      <c r="C14" s="13" t="n">
        <f>HYPERLINK("https://www.xiaohongshu.com/explore/6a1539b00000000006030c36?xsec_token=TB-9iWPr9Mx2NrjMC4lGPdgErr0mHUm-LhdWEAOkc095E=&amp;xsec_source=pc_trdark","https://www.xiaohongshu.com/explore/6a1539b00000000006030c36?xsec_token=TB-9iWPr9Mx2NrjMC4lGPdgErr0mHUm-LhdWEAOkc095E=&amp;xsec_source=pc_trdark")</f>
        <v>0.0</v>
      </c>
      <c r="D14" t="inlineStr">
        <is>
          <t>婉婉上班吃什么</t>
        </is>
      </c>
      <c r="E14" t="inlineStr">
        <is>
          <t>11434449706</t>
        </is>
      </c>
      <c r="F14" t="inlineStr">
        <is>
          <t>2026-05-26 14:12:00</t>
        </is>
      </c>
      <c r="G14" t="inlineStr">
        <is>
          <t>图文</t>
        </is>
      </c>
      <c r="H14" t="inlineStr">
        <is>
          <t>智利尾端中段整条三文鱼 8斤深海鱼低脂餐囤货一周备菜顺丰包邮</t>
        </is>
      </c>
      <c r="I14" t="inlineStr">
        <is>
          <t>69fab80d64eb410001ece0c0</t>
        </is>
      </c>
      <c r="J14" t="inlineStr">
        <is>
          <t/>
        </is>
      </c>
      <c r="K14" t="n">
        <v>144.0</v>
      </c>
      <c r="L14" t="n">
        <v>1.0</v>
      </c>
      <c r="M14" t="n">
        <v>28.0</v>
      </c>
      <c r="N14" t="inlineStr">
        <is>
          <t>0.038620689655172416</t>
        </is>
      </c>
      <c r="O14" t="n">
        <v>25.0</v>
      </c>
      <c r="P14" t="n">
        <v>1.0</v>
      </c>
      <c r="Q14" t="inlineStr">
        <is>
          <t>0.03571428571428571</t>
        </is>
      </c>
      <c r="R14" t="n">
        <v>0.04</v>
      </c>
      <c r="S14" t="n">
        <v>0.0</v>
      </c>
      <c r="T14" t="n">
        <v>0.0</v>
      </c>
      <c r="U14" t="n">
        <v>0.0</v>
      </c>
      <c r="V14" t="n">
        <v>0.0</v>
      </c>
      <c r="W14" t="n">
        <v>0.0</v>
      </c>
      <c r="X14" t="n">
        <v>0.0</v>
      </c>
      <c r="Y14" t="n">
        <v>6.0</v>
      </c>
      <c r="Z14" t="n">
        <v>3.0</v>
      </c>
      <c r="AA14" t="n">
        <v>0.0</v>
      </c>
      <c r="AB14" t="n">
        <v>0.0</v>
      </c>
      <c r="AC14" t="n">
        <v>0.0</v>
      </c>
      <c r="AD14" t="n">
        <v>725.0</v>
      </c>
      <c r="AE14" t="n">
        <v>5.0</v>
      </c>
      <c r="AF14" t="n">
        <v>1.0</v>
      </c>
      <c r="AG14" t="n">
        <v>0.0</v>
      </c>
      <c r="AH14" t="n">
        <v>1.0</v>
      </c>
      <c r="AI14" t="n">
        <v>0.0</v>
      </c>
      <c r="AJ14" t="n">
        <v>0.0</v>
      </c>
      <c r="AK14" t="n">
        <v>12.982068965517241</v>
      </c>
      <c r="AL14" t="inlineStr">
        <is>
          <t/>
        </is>
      </c>
    </row>
    <row r="15">
      <c r="A15" t="inlineStr">
        <is>
          <t>瘦干螂饮食法🔥100来块够吃一周了</t>
        </is>
      </c>
      <c r="B15" t="inlineStr">
        <is>
          <t>6a1009a900000000070218e0</t>
        </is>
      </c>
      <c r="C15" s="14" t="n">
        <f>HYPERLINK("https://www.xiaohongshu.com/explore/6a1009a900000000070218e0?xsec_token=TB7sem-CvPGayaJut4jTEfsPqbtkJ5RlZbpjE8ymAyBdU=&amp;xsec_source=pc_trdark","https://www.xiaohongshu.com/explore/6a1009a900000000070218e0?xsec_token=TB7sem-CvPGayaJut4jTEfsPqbtkJ5RlZbpjE8ymAyBdU=&amp;xsec_source=pc_trdark")</f>
        <v>0.0</v>
      </c>
      <c r="D15" t="inlineStr">
        <is>
          <t>婉婉上班吃什么</t>
        </is>
      </c>
      <c r="E15" t="inlineStr">
        <is>
          <t>11434449706</t>
        </is>
      </c>
      <c r="F15" t="inlineStr">
        <is>
          <t>2026-05-22 15:45:45</t>
        </is>
      </c>
      <c r="G15" t="inlineStr">
        <is>
          <t>图文</t>
        </is>
      </c>
      <c r="H15" t="inlineStr">
        <is>
          <t>智利尾端中段整条三文鱼 8斤深海鱼低脂餐囤货一周备菜顺丰包邮</t>
        </is>
      </c>
      <c r="I15" t="inlineStr">
        <is>
          <t>69fab80d64eb410001ece0c0</t>
        </is>
      </c>
      <c r="J15" t="inlineStr">
        <is>
          <t/>
        </is>
      </c>
      <c r="K15" t="n">
        <v>0.0</v>
      </c>
      <c r="L15" t="n">
        <v>0.0</v>
      </c>
      <c r="M15" t="n">
        <v>28.0</v>
      </c>
      <c r="N15" t="inlineStr">
        <is>
          <t>0.040172166427546625</t>
        </is>
      </c>
      <c r="O15" t="n">
        <v>24.0</v>
      </c>
      <c r="P15" t="n">
        <v>0.0</v>
      </c>
      <c r="Q15" t="n">
        <v>0.0</v>
      </c>
      <c r="R15" t="n">
        <v>0.0</v>
      </c>
      <c r="S15" t="n">
        <v>0.0</v>
      </c>
      <c r="T15" t="n">
        <v>0.0</v>
      </c>
      <c r="U15" t="n">
        <v>0.0</v>
      </c>
      <c r="V15" t="n">
        <v>0.0</v>
      </c>
      <c r="W15" t="inlineStr">
        <is>
          <t/>
        </is>
      </c>
      <c r="X15" t="n">
        <v>0.0</v>
      </c>
      <c r="Y15" t="n">
        <v>5.0</v>
      </c>
      <c r="Z15" t="n">
        <v>7.0</v>
      </c>
      <c r="AA15" t="n">
        <v>0.0</v>
      </c>
      <c r="AB15" t="n">
        <v>0.0</v>
      </c>
      <c r="AC15" t="n">
        <v>0.0</v>
      </c>
      <c r="AD15" t="n">
        <v>697.0</v>
      </c>
      <c r="AE15" t="n">
        <v>10.0</v>
      </c>
      <c r="AF15" t="n">
        <v>5.0</v>
      </c>
      <c r="AG15" t="n">
        <v>0.0</v>
      </c>
      <c r="AH15" t="n">
        <v>2.0</v>
      </c>
      <c r="AI15" t="n">
        <v>0.0</v>
      </c>
      <c r="AJ15" t="n">
        <v>0.0</v>
      </c>
      <c r="AK15" t="n">
        <v>10.553802008608322</v>
      </c>
      <c r="AL15" t="inlineStr">
        <is>
          <t/>
        </is>
      </c>
    </row>
    <row r="16">
      <c r="A16" t="inlineStr">
        <is>
          <t>同事天天问我带的虾仁便当，水煮3分钟就能吃</t>
        </is>
      </c>
      <c r="B16" t="inlineStr">
        <is>
          <t>6a68bcf9000000001400719c</t>
        </is>
      </c>
      <c r="C16" s="15" t="n">
        <f>HYPERLINK("https://www.xiaohongshu.com/explore/6a68bcf9000000001400719c?xsec_token=TBuVqV6OAJJIOGGQlO2UOOSNBOqtAvJgtFCaAB6DxJjtY=&amp;xsec_source=pc_trdark","https://www.xiaohongshu.com/explore/6a68bcf9000000001400719c?xsec_token=TBuVqV6OAJJIOGGQlO2UOOSNBOqtAvJgtFCaAB6DxJjtY=&amp;xsec_source=pc_trdark")</f>
        <v>0.0</v>
      </c>
      <c r="D16" t="inlineStr">
        <is>
          <t>婉婉上班吃什么</t>
        </is>
      </c>
      <c r="E16" t="inlineStr">
        <is>
          <t>11434449706</t>
        </is>
      </c>
      <c r="F16" t="inlineStr">
        <is>
          <t>2026-07-28 22:30:17</t>
        </is>
      </c>
      <c r="G16" t="inlineStr">
        <is>
          <t>图文</t>
        </is>
      </c>
      <c r="H16" t="inlineStr">
        <is>
          <t>手剥虾仁 无冰衣无添加 低脂餐一人食 上班带饭 顺丰包邮 5盒装</t>
        </is>
      </c>
      <c r="I16" t="inlineStr">
        <is>
          <t>694baba01d450d00013662f0</t>
        </is>
      </c>
      <c r="J16" t="inlineStr">
        <is>
          <t/>
        </is>
      </c>
      <c r="K16" t="n">
        <v>68.0</v>
      </c>
      <c r="L16" t="n">
        <v>1.0</v>
      </c>
      <c r="M16" t="n">
        <v>32.0</v>
      </c>
      <c r="N16" t="inlineStr">
        <is>
          <t>0.046511627906976744</t>
        </is>
      </c>
      <c r="O16" t="n">
        <v>28.0</v>
      </c>
      <c r="P16" t="n">
        <v>1.0</v>
      </c>
      <c r="Q16" t="n">
        <v>0.03125</v>
      </c>
      <c r="R16" t="inlineStr">
        <is>
          <t>0.03571428571428571</t>
        </is>
      </c>
      <c r="S16" t="n">
        <v>0.0</v>
      </c>
      <c r="T16" t="n">
        <v>0.0</v>
      </c>
      <c r="U16" t="n">
        <v>0.0</v>
      </c>
      <c r="V16" t="n">
        <v>0.0</v>
      </c>
      <c r="W16" t="n">
        <v>0.0</v>
      </c>
      <c r="X16" t="n">
        <v>0.0</v>
      </c>
      <c r="Y16" t="n">
        <v>9.0</v>
      </c>
      <c r="Z16" t="n">
        <v>9.0</v>
      </c>
      <c r="AA16" t="n">
        <v>0.0</v>
      </c>
      <c r="AB16" t="n">
        <v>0.0</v>
      </c>
      <c r="AC16" t="n">
        <v>0.0</v>
      </c>
      <c r="AD16" t="n">
        <v>688.0</v>
      </c>
      <c r="AE16" t="n">
        <v>5.0</v>
      </c>
      <c r="AF16" t="n">
        <v>1.0</v>
      </c>
      <c r="AG16" t="n">
        <v>0.0</v>
      </c>
      <c r="AH16" t="n">
        <v>0.0</v>
      </c>
      <c r="AI16" t="n">
        <v>0.0</v>
      </c>
      <c r="AJ16" t="n">
        <v>0.0</v>
      </c>
      <c r="AK16" t="n">
        <v>10.914244186046512</v>
      </c>
      <c r="AL16" t="inlineStr">
        <is>
          <t/>
        </is>
      </c>
    </row>
    <row r="17">
      <c r="A17" t="inlineStr">
        <is>
          <t>减脂期的姐妹一定要试试这个清蒸鲈鱼</t>
        </is>
      </c>
      <c r="B17" t="inlineStr">
        <is>
          <t>6a6c123f0000000022015a91</t>
        </is>
      </c>
      <c r="C17" s="16" t="n">
        <f>HYPERLINK("https://www.xiaohongshu.com/explore/6a6c123f0000000022015a91?xsec_token=TBpbsD5cK9v8WYsSJHgrIHr8BN3G8FgrSAu0DZ1orp1Ho=&amp;xsec_source=pc_trdark","https://www.xiaohongshu.com/explore/6a6c123f0000000022015a91?xsec_token=TBpbsD5cK9v8WYsSJHgrIHr8BN3G8FgrSAu0DZ1orp1Ho=&amp;xsec_source=pc_trdark")</f>
        <v>0.0</v>
      </c>
      <c r="D17" t="inlineStr">
        <is>
          <t>鲜水湾</t>
        </is>
      </c>
      <c r="E17" t="inlineStr">
        <is>
          <t>49316638994</t>
        </is>
      </c>
      <c r="F17" t="inlineStr">
        <is>
          <t>2026-07-31 11:10:55</t>
        </is>
      </c>
      <c r="G17" t="inlineStr">
        <is>
          <t>视频</t>
        </is>
      </c>
      <c r="H17" t="inlineStr">
        <is>
          <t>开背鲈鱼·免处理深海鱼·去鳞去内脏处理干净到家直接蒸</t>
        </is>
      </c>
      <c r="I17" t="inlineStr">
        <is>
          <t>6a0c0b4b09bd620001ef240a</t>
        </is>
      </c>
      <c r="J17" t="n">
        <v>37.0</v>
      </c>
      <c r="K17" t="n">
        <v>0.0</v>
      </c>
      <c r="L17" t="n">
        <v>0.0</v>
      </c>
      <c r="M17" t="n">
        <v>3.0</v>
      </c>
      <c r="N17" t="inlineStr">
        <is>
          <t>0.0045385779122541605</t>
        </is>
      </c>
      <c r="O17" t="n">
        <v>3.0</v>
      </c>
      <c r="P17" t="n">
        <v>0.0</v>
      </c>
      <c r="Q17" t="n">
        <v>0.0</v>
      </c>
      <c r="R17" t="n">
        <v>0.0</v>
      </c>
      <c r="S17" t="n">
        <v>0.0</v>
      </c>
      <c r="T17" t="n">
        <v>0.0</v>
      </c>
      <c r="U17" t="n">
        <v>0.0</v>
      </c>
      <c r="V17" t="n">
        <v>0.0</v>
      </c>
      <c r="W17" t="inlineStr">
        <is>
          <t/>
        </is>
      </c>
      <c r="X17" t="n">
        <v>0.0</v>
      </c>
      <c r="Y17" t="n">
        <v>0.0</v>
      </c>
      <c r="Z17" t="n">
        <v>4.0</v>
      </c>
      <c r="AA17" t="n">
        <v>0.0</v>
      </c>
      <c r="AB17" t="n">
        <v>0.0</v>
      </c>
      <c r="AC17" t="n">
        <v>0.0</v>
      </c>
      <c r="AD17" t="n">
        <v>661.0</v>
      </c>
      <c r="AE17" t="n">
        <v>15.0</v>
      </c>
      <c r="AF17" t="n">
        <v>15.0</v>
      </c>
      <c r="AG17" t="n">
        <v>0.0</v>
      </c>
      <c r="AH17" t="n">
        <v>7.0</v>
      </c>
      <c r="AI17" t="n">
        <v>5.0</v>
      </c>
      <c r="AJ17" t="n">
        <v>0.0</v>
      </c>
      <c r="AK17" t="n">
        <v>26.963691376701966</v>
      </c>
      <c r="AL17" t="n">
        <v>0.3521560574948665</v>
      </c>
    </row>
    <row r="18">
      <c r="A18" t="inlineStr">
        <is>
          <t>孕期也可以吃的三文鱼</t>
        </is>
      </c>
      <c r="B18" t="inlineStr">
        <is>
          <t>6a6b0d040000000025014a5d</t>
        </is>
      </c>
      <c r="C18" s="17" t="n">
        <f>HYPERLINK("https://www.xiaohongshu.com/explore/6a6b0d040000000025014a5d?xsec_token=TBHA1sOilTIahikB8-qFTo9vc7zpGFE2msTo6P4SeNSfY=&amp;xsec_source=pc_trdark","https://www.xiaohongshu.com/explore/6a6b0d040000000025014a5d?xsec_token=TBHA1sOilTIahikB8-qFTo9vc7zpGFE2msTo6P4SeNSfY=&amp;xsec_source=pc_trdark")</f>
        <v>0.0</v>
      </c>
      <c r="D18" t="inlineStr">
        <is>
          <t>婉婉上班吃什么</t>
        </is>
      </c>
      <c r="E18" t="inlineStr">
        <is>
          <t>11434449706</t>
        </is>
      </c>
      <c r="F18" t="inlineStr">
        <is>
          <t>2026-07-30 16:36:20</t>
        </is>
      </c>
      <c r="G18" t="inlineStr">
        <is>
          <t>图文</t>
        </is>
      </c>
      <c r="H18" t="inlineStr">
        <is>
          <t>智利三文鱼切块·整条三文鱼·深海鱼一人食健康饮食</t>
        </is>
      </c>
      <c r="I18" t="inlineStr">
        <is>
          <t>691ac562a524ee0001b51d7b</t>
        </is>
      </c>
      <c r="J18" t="inlineStr">
        <is>
          <t/>
        </is>
      </c>
      <c r="K18" t="n">
        <v>0.0</v>
      </c>
      <c r="L18" t="n">
        <v>0.0</v>
      </c>
      <c r="M18" t="n">
        <v>32.0</v>
      </c>
      <c r="N18" t="inlineStr">
        <is>
          <t>0.04885496183206107</t>
        </is>
      </c>
      <c r="O18" t="n">
        <v>29.0</v>
      </c>
      <c r="P18" t="n">
        <v>0.0</v>
      </c>
      <c r="Q18" t="n">
        <v>0.0</v>
      </c>
      <c r="R18" t="n">
        <v>0.0</v>
      </c>
      <c r="S18" t="n">
        <v>0.0</v>
      </c>
      <c r="T18" t="n">
        <v>0.0</v>
      </c>
      <c r="U18" t="n">
        <v>0.0</v>
      </c>
      <c r="V18" t="n">
        <v>0.0</v>
      </c>
      <c r="W18" t="inlineStr">
        <is>
          <t/>
        </is>
      </c>
      <c r="X18" t="n">
        <v>0.0</v>
      </c>
      <c r="Y18" t="n">
        <v>7.0</v>
      </c>
      <c r="Z18" t="n">
        <v>10.0</v>
      </c>
      <c r="AA18" t="n">
        <v>0.0</v>
      </c>
      <c r="AB18" t="n">
        <v>0.0</v>
      </c>
      <c r="AC18" t="n">
        <v>0.0</v>
      </c>
      <c r="AD18" t="n">
        <v>655.0</v>
      </c>
      <c r="AE18" t="n">
        <v>4.0</v>
      </c>
      <c r="AF18" t="n">
        <v>2.0</v>
      </c>
      <c r="AG18" t="n">
        <v>0.0</v>
      </c>
      <c r="AH18" t="n">
        <v>4.0</v>
      </c>
      <c r="AI18" t="n">
        <v>0.0</v>
      </c>
      <c r="AJ18" t="n">
        <v>0.0</v>
      </c>
      <c r="AK18" t="n">
        <v>17.00152671755725</v>
      </c>
      <c r="AL18" t="inlineStr">
        <is>
          <t/>
        </is>
      </c>
    </row>
    <row r="19">
      <c r="A19" t="inlineStr">
        <is>
          <t>和老爸商量了推出控体三文鱼小包装</t>
        </is>
      </c>
      <c r="B19" t="inlineStr">
        <is>
          <t>6a0833f200000000080001ac</t>
        </is>
      </c>
      <c r="C19" s="18" t="n">
        <f>HYPERLINK("https://www.xiaohongshu.com/explore/6a0833f200000000080001ac?xsec_token=TB4DqilU8Iz_RTzVurf6g8eqn5kWHrUw7jaAJSdZGlXzM=&amp;xsec_source=pc_trdark","https://www.xiaohongshu.com/explore/6a0833f200000000080001ac?xsec_token=TB4DqilU8Iz_RTzVurf6g8eqn5kWHrUw7jaAJSdZGlXzM=&amp;xsec_source=pc_trdark")</f>
        <v>0.0</v>
      </c>
      <c r="D19" t="inlineStr">
        <is>
          <t>鲜水湾</t>
        </is>
      </c>
      <c r="E19" t="inlineStr">
        <is>
          <t>49316638994</t>
        </is>
      </c>
      <c r="F19" t="inlineStr">
        <is>
          <t>2026-05-16 17:08:02</t>
        </is>
      </c>
      <c r="G19" t="inlineStr">
        <is>
          <t>图文</t>
        </is>
      </c>
      <c r="H19" t="inlineStr">
        <is>
          <t>智利三文鱼切块·整条三文鱼·深海鱼一人食健康饮食</t>
        </is>
      </c>
      <c r="I19" t="inlineStr">
        <is>
          <t>691ac562a524ee0001b51d7b</t>
        </is>
      </c>
      <c r="J19" t="inlineStr">
        <is>
          <t/>
        </is>
      </c>
      <c r="K19" t="n">
        <v>289.0</v>
      </c>
      <c r="L19" t="n">
        <v>3.0</v>
      </c>
      <c r="M19" t="n">
        <v>88.0</v>
      </c>
      <c r="N19" t="inlineStr">
        <is>
          <t>0.13643410852713178</t>
        </is>
      </c>
      <c r="O19" t="n">
        <v>80.0</v>
      </c>
      <c r="P19" t="n">
        <v>3.0</v>
      </c>
      <c r="Q19" t="inlineStr">
        <is>
          <t>0.03409090909090909</t>
        </is>
      </c>
      <c r="R19" t="n">
        <v>0.0375</v>
      </c>
      <c r="S19" t="n">
        <v>0.0</v>
      </c>
      <c r="T19" t="n">
        <v>0.0</v>
      </c>
      <c r="U19" t="n">
        <v>0.0</v>
      </c>
      <c r="V19" t="n">
        <v>0.0</v>
      </c>
      <c r="W19" t="n">
        <v>0.0</v>
      </c>
      <c r="X19" t="n">
        <v>0.0</v>
      </c>
      <c r="Y19" t="n">
        <v>12.0</v>
      </c>
      <c r="Z19" t="n">
        <v>64.0</v>
      </c>
      <c r="AA19" t="n">
        <v>0.0</v>
      </c>
      <c r="AB19" t="n">
        <v>0.0</v>
      </c>
      <c r="AC19" t="n">
        <v>0.0</v>
      </c>
      <c r="AD19" t="n">
        <v>645.0</v>
      </c>
      <c r="AE19" t="n">
        <v>4.0</v>
      </c>
      <c r="AF19" t="n">
        <v>2.0</v>
      </c>
      <c r="AG19" t="n">
        <v>0.0</v>
      </c>
      <c r="AH19" t="n">
        <v>2.0</v>
      </c>
      <c r="AI19" t="n">
        <v>0.0</v>
      </c>
      <c r="AJ19" t="n">
        <v>0.0</v>
      </c>
      <c r="AK19" t="n">
        <v>11.418604651162791</v>
      </c>
      <c r="AL19" t="inlineStr">
        <is>
          <t/>
        </is>
      </c>
    </row>
    <row r="20">
      <c r="A20" t="inlineStr">
        <is>
          <t>听劝！给宝宝吃三文鱼一定要熟吃</t>
        </is>
      </c>
      <c r="B20" t="inlineStr">
        <is>
          <t>6a699657000000001c00d114</t>
        </is>
      </c>
      <c r="C20" s="19" t="n">
        <f>HYPERLINK("https://www.xiaohongshu.com/explore/6a699657000000001c00d114?xsec_token=TBJ6ASIbBevmLmI2amyjDnmXS_IaXUIfwDoS431X5GYBg=&amp;xsec_source=pc_trdark","https://www.xiaohongshu.com/explore/6a699657000000001c00d114?xsec_token=TBJ6ASIbBevmLmI2amyjDnmXS_IaXUIfwDoS431X5GYBg=&amp;xsec_source=pc_trdark")</f>
        <v>0.0</v>
      </c>
      <c r="D20" t="inlineStr">
        <is>
          <t>婉婉上班吃什么</t>
        </is>
      </c>
      <c r="E20" t="inlineStr">
        <is>
          <t>11434449706</t>
        </is>
      </c>
      <c r="F20" t="inlineStr">
        <is>
          <t>2026-07-29 13:57:43</t>
        </is>
      </c>
      <c r="G20" t="inlineStr">
        <is>
          <t>图文</t>
        </is>
      </c>
      <c r="H20" t="inlineStr">
        <is>
          <t>智利三文鱼切块·整条三文鱼·深海鱼一人食健康饮食</t>
        </is>
      </c>
      <c r="I20" t="inlineStr">
        <is>
          <t>691ac562a524ee0001b51d7b</t>
        </is>
      </c>
      <c r="J20" t="inlineStr">
        <is>
          <t/>
        </is>
      </c>
      <c r="K20" t="n">
        <v>67.0</v>
      </c>
      <c r="L20" t="n">
        <v>1.0</v>
      </c>
      <c r="M20" t="n">
        <v>16.0</v>
      </c>
      <c r="N20" t="inlineStr">
        <is>
          <t>0.026578073089700997</t>
        </is>
      </c>
      <c r="O20" t="n">
        <v>14.0</v>
      </c>
      <c r="P20" t="n">
        <v>1.0</v>
      </c>
      <c r="Q20" t="n">
        <v>0.0625</v>
      </c>
      <c r="R20" t="inlineStr">
        <is>
          <t>0.07142857142857142</t>
        </is>
      </c>
      <c r="S20" t="n">
        <v>0.0</v>
      </c>
      <c r="T20" t="n">
        <v>0.0</v>
      </c>
      <c r="U20" t="n">
        <v>0.0</v>
      </c>
      <c r="V20" t="n">
        <v>0.0</v>
      </c>
      <c r="W20" t="n">
        <v>0.0</v>
      </c>
      <c r="X20" t="n">
        <v>0.0</v>
      </c>
      <c r="Y20" t="n">
        <v>1.0</v>
      </c>
      <c r="Z20" t="n">
        <v>5.0</v>
      </c>
      <c r="AA20" t="n">
        <v>0.0</v>
      </c>
      <c r="AB20" t="n">
        <v>0.0</v>
      </c>
      <c r="AC20" t="n">
        <v>0.0</v>
      </c>
      <c r="AD20" t="n">
        <v>602.0</v>
      </c>
      <c r="AE20" t="n">
        <v>1.0</v>
      </c>
      <c r="AF20" t="n">
        <v>0.0</v>
      </c>
      <c r="AG20" t="n">
        <v>0.0</v>
      </c>
      <c r="AH20" t="n">
        <v>0.0</v>
      </c>
      <c r="AI20" t="n">
        <v>0.0</v>
      </c>
      <c r="AJ20" t="n">
        <v>0.0</v>
      </c>
      <c r="AK20" t="n">
        <v>16.88704318936877</v>
      </c>
      <c r="AL20" t="inlineStr">
        <is>
          <t/>
        </is>
      </c>
    </row>
    <row r="21">
      <c r="A21" t="inlineStr">
        <is>
          <t>减脂期打工人午饭，终于不用自己算大卡了</t>
        </is>
      </c>
      <c r="B21" t="inlineStr">
        <is>
          <t>6a65c316000000000f03e5a0</t>
        </is>
      </c>
      <c r="C21" s="20" t="n">
        <f>HYPERLINK("https://www.xiaohongshu.com/explore/6a65c316000000000f03e5a0?xsec_token=TB58XJIgbz5sDQhjTMNqitzI0vD8H0TnYziTrwKzSv3kc=&amp;xsec_source=pc_trdark","https://www.xiaohongshu.com/explore/6a65c316000000000f03e5a0?xsec_token=TB58XJIgbz5sDQhjTMNqitzI0vD8H0TnYziTrwKzSv3kc=&amp;xsec_source=pc_trdark")</f>
        <v>0.0</v>
      </c>
      <c r="D21" t="inlineStr">
        <is>
          <t>菲菲上班吃什么</t>
        </is>
      </c>
      <c r="E21" t="inlineStr">
        <is>
          <t>49936530607</t>
        </is>
      </c>
      <c r="F21" t="inlineStr">
        <is>
          <t>2026-07-26 16:19:34</t>
        </is>
      </c>
      <c r="G21" t="inlineStr">
        <is>
          <t>视频</t>
        </is>
      </c>
      <c r="H21" t="inlineStr">
        <is>
          <t>手剥虾仁 无冰衣无添加 低脂餐一人食 上班带饭 顺丰包邮 5盒装</t>
        </is>
      </c>
      <c r="I21" t="inlineStr">
        <is>
          <t>694baba01d450d00013662f0</t>
        </is>
      </c>
      <c r="J21" t="n">
        <v>26.0</v>
      </c>
      <c r="K21" t="n">
        <v>0.0</v>
      </c>
      <c r="L21" t="n">
        <v>0.0</v>
      </c>
      <c r="M21" t="n">
        <v>5.0</v>
      </c>
      <c r="N21" t="inlineStr">
        <is>
          <t>0.008944543828264758</t>
        </is>
      </c>
      <c r="O21" t="n">
        <v>4.0</v>
      </c>
      <c r="P21" t="n">
        <v>0.0</v>
      </c>
      <c r="Q21" t="n">
        <v>0.0</v>
      </c>
      <c r="R21" t="n">
        <v>0.0</v>
      </c>
      <c r="S21" t="n">
        <v>0.0</v>
      </c>
      <c r="T21" t="n">
        <v>0.0</v>
      </c>
      <c r="U21" t="n">
        <v>0.0</v>
      </c>
      <c r="V21" t="n">
        <v>0.0</v>
      </c>
      <c r="W21" t="inlineStr">
        <is>
          <t/>
        </is>
      </c>
      <c r="X21" t="n">
        <v>0.0</v>
      </c>
      <c r="Y21" t="n">
        <v>0.0</v>
      </c>
      <c r="Z21" t="n">
        <v>2.0</v>
      </c>
      <c r="AA21" t="n">
        <v>0.0</v>
      </c>
      <c r="AB21" t="n">
        <v>0.0</v>
      </c>
      <c r="AC21" t="n">
        <v>0.0</v>
      </c>
      <c r="AD21" t="n">
        <v>559.0</v>
      </c>
      <c r="AE21" t="n">
        <v>1.0</v>
      </c>
      <c r="AF21" t="n">
        <v>0.0</v>
      </c>
      <c r="AG21" t="n">
        <v>0.0</v>
      </c>
      <c r="AH21" t="n">
        <v>0.0</v>
      </c>
      <c r="AI21" t="n">
        <v>0.0</v>
      </c>
      <c r="AJ21" t="n">
        <v>0.0</v>
      </c>
      <c r="AK21" t="n">
        <v>2.955277280858676</v>
      </c>
      <c r="AL21" t="inlineStr">
        <is>
          <t>0.03074141048824593</t>
        </is>
      </c>
    </row>
    <row r="22">
      <c r="A22" t="inlineStr">
        <is>
          <t>长期主义的三文鱼，真的没有平替。。。</t>
        </is>
      </c>
      <c r="B22" t="inlineStr">
        <is>
          <t>69c3a5ab00000000280097e2</t>
        </is>
      </c>
      <c r="C22" s="21" t="n">
        <f>HYPERLINK("https://www.xiaohongshu.com/explore/69c3a5ab00000000280097e2?xsec_token=TBedSEQ7qtT06AlsylOAiUw-qadzhLzP290aPufd-NgOI=&amp;xsec_source=pc_trdark","https://www.xiaohongshu.com/explore/69c3a5ab00000000280097e2?xsec_token=TBedSEQ7qtT06AlsylOAiUw-qadzhLzP290aPufd-NgOI=&amp;xsec_source=pc_trdark")</f>
        <v>0.0</v>
      </c>
      <c r="D22" t="inlineStr">
        <is>
          <t>菲菲上班吃什么</t>
        </is>
      </c>
      <c r="E22" t="inlineStr">
        <is>
          <t>49936530607</t>
        </is>
      </c>
      <c r="F22" t="inlineStr">
        <is>
          <t>2026-03-25 17:06:51</t>
        </is>
      </c>
      <c r="G22" t="inlineStr">
        <is>
          <t>图文</t>
        </is>
      </c>
      <c r="H22" t="inlineStr">
        <is>
          <t>智利三文鱼切块·整条三文鱼·深海鱼一人食健康饮食</t>
        </is>
      </c>
      <c r="I22" t="inlineStr">
        <is>
          <t>691ac562a524ee0001b51d7b</t>
        </is>
      </c>
      <c r="J22" t="inlineStr">
        <is>
          <t/>
        </is>
      </c>
      <c r="K22" t="n">
        <v>0.0</v>
      </c>
      <c r="L22" t="n">
        <v>0.0</v>
      </c>
      <c r="M22" t="n">
        <v>41.0</v>
      </c>
      <c r="N22" t="inlineStr">
        <is>
          <t>0.07441016333938294</t>
        </is>
      </c>
      <c r="O22" t="n">
        <v>38.0</v>
      </c>
      <c r="P22" t="n">
        <v>0.0</v>
      </c>
      <c r="Q22" t="n">
        <v>0.0</v>
      </c>
      <c r="R22" t="n">
        <v>0.0</v>
      </c>
      <c r="S22" t="n">
        <v>0.0</v>
      </c>
      <c r="T22" t="n">
        <v>0.0</v>
      </c>
      <c r="U22" t="n">
        <v>0.0</v>
      </c>
      <c r="V22" t="n">
        <v>0.0</v>
      </c>
      <c r="W22" t="inlineStr">
        <is>
          <t/>
        </is>
      </c>
      <c r="X22" t="n">
        <v>0.0</v>
      </c>
      <c r="Y22" t="n">
        <v>2.0</v>
      </c>
      <c r="Z22" t="n">
        <v>1.0</v>
      </c>
      <c r="AA22" t="n">
        <v>0.0</v>
      </c>
      <c r="AB22" t="n">
        <v>0.0</v>
      </c>
      <c r="AC22" t="n">
        <v>0.0</v>
      </c>
      <c r="AD22" t="n">
        <v>551.0</v>
      </c>
      <c r="AE22" t="n">
        <v>2.0</v>
      </c>
      <c r="AF22" t="n">
        <v>1.0</v>
      </c>
      <c r="AG22" t="n">
        <v>0.0</v>
      </c>
      <c r="AH22" t="n">
        <v>1.0</v>
      </c>
      <c r="AI22" t="n">
        <v>0.0</v>
      </c>
      <c r="AJ22" t="n">
        <v>0.0</v>
      </c>
      <c r="AK22" t="n">
        <v>7.651542649727768</v>
      </c>
      <c r="AL22" t="inlineStr">
        <is>
          <t/>
        </is>
      </c>
    </row>
    <row r="23">
      <c r="A23" t="inlineStr">
        <is>
          <t>女孩子多吃蛋白质的含金量还在上升...</t>
        </is>
      </c>
      <c r="B23" t="inlineStr">
        <is>
          <t>6a717f36000000003301ed85</t>
        </is>
      </c>
      <c r="C23" s="22" t="n">
        <f>HYPERLINK("https://www.xiaohongshu.com/explore/6a717f36000000003301ed85?xsec_token=TBGdlgq0FqunFmaLrhl7mervI0SFoSPxCTtmrFZO9dnr4=&amp;xsec_source=pc_trdark","https://www.xiaohongshu.com/explore/6a717f36000000003301ed85?xsec_token=TBGdlgq0FqunFmaLrhl7mervI0SFoSPxCTtmrFZO9dnr4=&amp;xsec_source=pc_trdark")</f>
        <v>0.0</v>
      </c>
      <c r="D23" t="inlineStr">
        <is>
          <t>婉婉上班吃什么</t>
        </is>
      </c>
      <c r="E23" t="inlineStr">
        <is>
          <t>11434449706</t>
        </is>
      </c>
      <c r="F23" t="inlineStr">
        <is>
          <t>2026-08-04 13:57:10</t>
        </is>
      </c>
      <c r="G23" t="inlineStr">
        <is>
          <t>图文</t>
        </is>
      </c>
      <c r="H23" t="inlineStr">
        <is>
          <t>手剥虾仁 无冰衣无添加 低脂餐一人食 上班带饭 顺丰包邮 5盒装</t>
        </is>
      </c>
      <c r="I23" t="inlineStr">
        <is>
          <t>694baba01d450d00013662f0</t>
        </is>
      </c>
      <c r="J23" t="inlineStr">
        <is>
          <t/>
        </is>
      </c>
      <c r="K23" t="n">
        <v>64.0</v>
      </c>
      <c r="L23" t="n">
        <v>1.0</v>
      </c>
      <c r="M23" t="n">
        <v>29.0</v>
      </c>
      <c r="N23" t="inlineStr">
        <is>
          <t>0.05420560747663551</t>
        </is>
      </c>
      <c r="O23" t="n">
        <v>27.0</v>
      </c>
      <c r="P23" t="n">
        <v>1.0</v>
      </c>
      <c r="Q23" t="inlineStr">
        <is>
          <t>0.034482758620689655</t>
        </is>
      </c>
      <c r="R23" t="inlineStr">
        <is>
          <t>0.037037037037037035</t>
        </is>
      </c>
      <c r="S23" t="n">
        <v>0.0</v>
      </c>
      <c r="T23" t="n">
        <v>0.0</v>
      </c>
      <c r="U23" t="n">
        <v>0.0</v>
      </c>
      <c r="V23" t="n">
        <v>0.0</v>
      </c>
      <c r="W23" t="n">
        <v>0.0</v>
      </c>
      <c r="X23" t="n">
        <v>0.0</v>
      </c>
      <c r="Y23" t="n">
        <v>6.0</v>
      </c>
      <c r="Z23" t="n">
        <v>4.0</v>
      </c>
      <c r="AA23" t="n">
        <v>0.0</v>
      </c>
      <c r="AB23" t="n">
        <v>0.0</v>
      </c>
      <c r="AC23" t="n">
        <v>0.0</v>
      </c>
      <c r="AD23" t="n">
        <v>535.0</v>
      </c>
      <c r="AE23" t="n">
        <v>3.0</v>
      </c>
      <c r="AF23" t="n">
        <v>1.0</v>
      </c>
      <c r="AG23" t="n">
        <v>1.0</v>
      </c>
      <c r="AH23" t="n">
        <v>0.0</v>
      </c>
      <c r="AI23" t="n">
        <v>0.0</v>
      </c>
      <c r="AJ23" t="n">
        <v>0.0</v>
      </c>
      <c r="AK23" t="n">
        <v>13.480373831775701</v>
      </c>
      <c r="AL23" t="inlineStr">
        <is>
          <t/>
        </is>
      </c>
    </row>
    <row r="24">
      <c r="A24" t="inlineStr">
        <is>
          <t>抗炎饮食21天，脸看着轻了</t>
        </is>
      </c>
      <c r="B24" t="inlineStr">
        <is>
          <t>6a3a35060000000008027a59</t>
        </is>
      </c>
      <c r="C24" s="23" t="n">
        <f>HYPERLINK("https://www.xiaohongshu.com/explore/6a3a35060000000008027a59?xsec_token=TB6JLlH-I5wyeOIL4LxmWU3jmW_Y6t8-vi9axecxfflIM=&amp;xsec_source=pc_trdark","https://www.xiaohongshu.com/explore/6a3a35060000000008027a59?xsec_token=TB6JLlH-I5wyeOIL4LxmWU3jmW_Y6t8-vi9axecxfflIM=&amp;xsec_source=pc_trdark")</f>
        <v>0.0</v>
      </c>
      <c r="D24" t="inlineStr">
        <is>
          <t>婉婉上班吃什么</t>
        </is>
      </c>
      <c r="E24" t="inlineStr">
        <is>
          <t>11434449706</t>
        </is>
      </c>
      <c r="F24" t="inlineStr">
        <is>
          <t>2026-06-23 15:25:58</t>
        </is>
      </c>
      <c r="G24" t="inlineStr">
        <is>
          <t>图文</t>
        </is>
      </c>
      <c r="H24" t="inlineStr">
        <is>
          <t>智利尾端中段整条三文鱼 8斤深海鱼低脂餐囤货一周备菜顺丰包邮</t>
        </is>
      </c>
      <c r="I24" t="inlineStr">
        <is>
          <t>69fab80d64eb410001ece0c0</t>
        </is>
      </c>
      <c r="J24" t="inlineStr">
        <is>
          <t/>
        </is>
      </c>
      <c r="K24" t="n">
        <v>127.0</v>
      </c>
      <c r="L24" t="n">
        <v>1.0</v>
      </c>
      <c r="M24" t="n">
        <v>15.0</v>
      </c>
      <c r="N24" t="inlineStr">
        <is>
          <t>0.02862595419847328</t>
        </is>
      </c>
      <c r="O24" t="n">
        <v>13.0</v>
      </c>
      <c r="P24" t="n">
        <v>1.0</v>
      </c>
      <c r="Q24" t="inlineStr">
        <is>
          <t>0.06666666666666667</t>
        </is>
      </c>
      <c r="R24" t="inlineStr">
        <is>
          <t>0.07692307692307693</t>
        </is>
      </c>
      <c r="S24" t="n">
        <v>0.0</v>
      </c>
      <c r="T24" t="n">
        <v>0.0</v>
      </c>
      <c r="U24" t="n">
        <v>0.0</v>
      </c>
      <c r="V24" t="n">
        <v>0.0</v>
      </c>
      <c r="W24" t="n">
        <v>0.0</v>
      </c>
      <c r="X24" t="n">
        <v>0.0</v>
      </c>
      <c r="Y24" t="n">
        <v>3.0</v>
      </c>
      <c r="Z24" t="n">
        <v>13.0</v>
      </c>
      <c r="AA24" t="n">
        <v>0.0</v>
      </c>
      <c r="AB24" t="n">
        <v>0.0</v>
      </c>
      <c r="AC24" t="n">
        <v>0.0</v>
      </c>
      <c r="AD24" t="n">
        <v>524.0</v>
      </c>
      <c r="AE24" t="n">
        <v>6.0</v>
      </c>
      <c r="AF24" t="n">
        <v>3.0</v>
      </c>
      <c r="AG24" t="n">
        <v>0.0</v>
      </c>
      <c r="AH24" t="n">
        <v>3.0</v>
      </c>
      <c r="AI24" t="n">
        <v>0.0</v>
      </c>
      <c r="AJ24" t="n">
        <v>0.0</v>
      </c>
      <c r="AK24" t="n">
        <v>12.908396946564885</v>
      </c>
      <c r="AL24" t="inlineStr">
        <is>
          <t/>
        </is>
      </c>
    </row>
    <row r="25">
      <c r="A25" t="inlineStr">
        <is>
          <t>天热！真的要及时取件😩</t>
        </is>
      </c>
      <c r="B25" t="inlineStr">
        <is>
          <t>6a73fade000000002501478d</t>
        </is>
      </c>
      <c r="C25" s="24" t="n">
        <f>HYPERLINK("https://www.xiaohongshu.com/explore/6a73fade000000002501478d?xsec_token=TBSsKfBXXtDdhqA8Z1ziNPgK06XURq6QmdMz4CSco558U=&amp;xsec_source=pc_trdark","https://www.xiaohongshu.com/explore/6a73fade000000002501478d?xsec_token=TBSsKfBXXtDdhqA8Z1ziNPgK06XURq6QmdMz4CSco558U=&amp;xsec_source=pc_trdark")</f>
        <v>0.0</v>
      </c>
      <c r="D25" t="inlineStr">
        <is>
          <t>鲜水湾</t>
        </is>
      </c>
      <c r="E25" t="inlineStr">
        <is>
          <t>49316638994</t>
        </is>
      </c>
      <c r="F25" t="inlineStr">
        <is>
          <t>2026-08-06 11:09:18</t>
        </is>
      </c>
      <c r="G25" t="inlineStr">
        <is>
          <t>图文</t>
        </is>
      </c>
      <c r="H25" t="inlineStr">
        <is>
          <t>手剥虾仁 无冰衣无添加 低脂餐一人食 上班带饭 顺丰包邮 5盒装</t>
        </is>
      </c>
      <c r="I25" t="inlineStr">
        <is>
          <t>694baba01d450d00013662f0</t>
        </is>
      </c>
      <c r="J25" t="inlineStr">
        <is>
          <t/>
        </is>
      </c>
      <c r="K25" t="n">
        <v>127.0</v>
      </c>
      <c r="L25" t="n">
        <v>1.0</v>
      </c>
      <c r="M25" t="n">
        <v>7.0</v>
      </c>
      <c r="N25" t="inlineStr">
        <is>
          <t>0.01417004048582996</t>
        </is>
      </c>
      <c r="O25" t="n">
        <v>7.0</v>
      </c>
      <c r="P25" t="n">
        <v>1.0</v>
      </c>
      <c r="Q25" t="inlineStr">
        <is>
          <t>0.14285714285714285</t>
        </is>
      </c>
      <c r="R25" t="inlineStr">
        <is>
          <t>0.14285714285714285</t>
        </is>
      </c>
      <c r="S25" t="n">
        <v>0.0</v>
      </c>
      <c r="T25" t="n">
        <v>0.0</v>
      </c>
      <c r="U25" t="n">
        <v>0.0</v>
      </c>
      <c r="V25" t="n">
        <v>0.0</v>
      </c>
      <c r="W25" t="n">
        <v>0.0</v>
      </c>
      <c r="X25" t="n">
        <v>0.0</v>
      </c>
      <c r="Y25" t="n">
        <v>2.0</v>
      </c>
      <c r="Z25" t="n">
        <v>4.0</v>
      </c>
      <c r="AA25" t="n">
        <v>0.0</v>
      </c>
      <c r="AB25" t="n">
        <v>0.0</v>
      </c>
      <c r="AC25" t="n">
        <v>0.0</v>
      </c>
      <c r="AD25" t="n">
        <v>494.0</v>
      </c>
      <c r="AE25" t="n">
        <v>0.0</v>
      </c>
      <c r="AF25" t="n">
        <v>0.0</v>
      </c>
      <c r="AG25" t="n">
        <v>0.0</v>
      </c>
      <c r="AH25" t="n">
        <v>0.0</v>
      </c>
      <c r="AI25" t="n">
        <v>0.0</v>
      </c>
      <c r="AJ25" t="n">
        <v>0.0</v>
      </c>
      <c r="AK25" t="n">
        <v>7.852226720647773</v>
      </c>
      <c r="AL25" t="inlineStr">
        <is>
          <t/>
        </is>
      </c>
    </row>
    <row r="26">
      <c r="A26" t="inlineStr">
        <is>
          <t>我发现能控制住血糖的人都有一个饮食特点</t>
        </is>
      </c>
      <c r="B26" t="inlineStr">
        <is>
          <t>69e5905f000000001f007150</t>
        </is>
      </c>
      <c r="C26" s="25" t="n">
        <f>HYPERLINK("https://www.xiaohongshu.com/explore/69e5905f000000001f007150?xsec_token=TBRM_4pSbJalcnymykJyoKXWvkT-9IkSRh6z2weKwOlWg=&amp;xsec_source=pc_trdark","https://www.xiaohongshu.com/explore/69e5905f000000001f007150?xsec_token=TBRM_4pSbJalcnymykJyoKXWvkT-9IkSRh6z2weKwOlWg=&amp;xsec_source=pc_trdark")</f>
        <v>0.0</v>
      </c>
      <c r="D26" t="inlineStr">
        <is>
          <t>婉婉上班吃什么</t>
        </is>
      </c>
      <c r="E26" t="inlineStr">
        <is>
          <t>11434449706</t>
        </is>
      </c>
      <c r="F26" t="inlineStr">
        <is>
          <t>2026-04-20 10:33:03</t>
        </is>
      </c>
      <c r="G26" t="inlineStr">
        <is>
          <t>图文</t>
        </is>
      </c>
      <c r="H26" t="inlineStr">
        <is>
          <t>手剥虾仁 无冰衣无添加 低脂餐一人食 上班带饭 顺丰包邮 5盒装</t>
        </is>
      </c>
      <c r="I26" t="inlineStr">
        <is>
          <t>694baba01d450d00013662f0</t>
        </is>
      </c>
      <c r="J26" t="inlineStr">
        <is>
          <t/>
        </is>
      </c>
      <c r="K26" t="n">
        <v>133.0</v>
      </c>
      <c r="L26" t="n">
        <v>2.0</v>
      </c>
      <c r="M26" t="n">
        <v>24.0</v>
      </c>
      <c r="N26" t="inlineStr">
        <is>
          <t>0.04979253112033195</t>
        </is>
      </c>
      <c r="O26" t="n">
        <v>22.0</v>
      </c>
      <c r="P26" t="n">
        <v>2.0</v>
      </c>
      <c r="Q26" t="inlineStr">
        <is>
          <t>0.08333333333333333</t>
        </is>
      </c>
      <c r="R26" t="inlineStr">
        <is>
          <t>0.09090909090909091</t>
        </is>
      </c>
      <c r="S26" t="n">
        <v>0.0</v>
      </c>
      <c r="T26" t="n">
        <v>0.0</v>
      </c>
      <c r="U26" t="n">
        <v>0.0</v>
      </c>
      <c r="V26" t="n">
        <v>0.0</v>
      </c>
      <c r="W26" t="n">
        <v>0.0</v>
      </c>
      <c r="X26" t="n">
        <v>0.0</v>
      </c>
      <c r="Y26" t="n">
        <v>8.0</v>
      </c>
      <c r="Z26" t="n">
        <v>6.0</v>
      </c>
      <c r="AA26" t="n">
        <v>0.0</v>
      </c>
      <c r="AB26" t="n">
        <v>0.0</v>
      </c>
      <c r="AC26" t="n">
        <v>0.0</v>
      </c>
      <c r="AD26" t="n">
        <v>482.0</v>
      </c>
      <c r="AE26" t="n">
        <v>3.0</v>
      </c>
      <c r="AF26" t="n">
        <v>3.0</v>
      </c>
      <c r="AG26" t="n">
        <v>0.0</v>
      </c>
      <c r="AH26" t="n">
        <v>0.0</v>
      </c>
      <c r="AI26" t="n">
        <v>1.0</v>
      </c>
      <c r="AJ26" t="n">
        <v>0.0</v>
      </c>
      <c r="AK26" t="n">
        <v>13.282157676348548</v>
      </c>
      <c r="AL26" t="inlineStr">
        <is>
          <t/>
        </is>
      </c>
    </row>
    <row r="27">
      <c r="A27" t="inlineStr">
        <is>
          <t>轻断食 真的会So！！！</t>
        </is>
      </c>
      <c r="B27" t="inlineStr">
        <is>
          <t>69ecb38d000000001f001453</t>
        </is>
      </c>
      <c r="C27" s="26" t="n">
        <f>HYPERLINK("https://www.xiaohongshu.com/explore/69ecb38d000000001f001453?xsec_token=TBnoSF_--XRDuLtfF77lVqPzmBP6txFLRe1sGAcnYMMuY=&amp;xsec_source=pc_trdark","https://www.xiaohongshu.com/explore/69ecb38d000000001f001453?xsec_token=TBnoSF_--XRDuLtfF77lVqPzmBP6txFLRe1sGAcnYMMuY=&amp;xsec_source=pc_trdark")</f>
        <v>0.0</v>
      </c>
      <c r="D27" t="inlineStr">
        <is>
          <t>菲菲上班吃什么</t>
        </is>
      </c>
      <c r="E27" t="inlineStr">
        <is>
          <t>49936530607</t>
        </is>
      </c>
      <c r="F27" t="inlineStr">
        <is>
          <t>2026-04-25 21:30:00</t>
        </is>
      </c>
      <c r="G27" t="inlineStr">
        <is>
          <t>图文</t>
        </is>
      </c>
      <c r="H27" t="inlineStr">
        <is>
          <t>手剥虾仁 无冰衣无添加 低脂餐一人食 上班带饭 顺丰包邮 5盒装</t>
        </is>
      </c>
      <c r="I27" t="inlineStr">
        <is>
          <t>694baba01d450d00013662f0</t>
        </is>
      </c>
      <c r="J27" t="inlineStr">
        <is>
          <t/>
        </is>
      </c>
      <c r="K27" t="n">
        <v>264.0</v>
      </c>
      <c r="L27" t="n">
        <v>3.0</v>
      </c>
      <c r="M27" t="n">
        <v>28.0</v>
      </c>
      <c r="N27" t="inlineStr">
        <is>
          <t>0.059322033898305086</t>
        </is>
      </c>
      <c r="O27" t="n">
        <v>18.0</v>
      </c>
      <c r="P27" t="n">
        <v>3.0</v>
      </c>
      <c r="Q27" t="inlineStr">
        <is>
          <t>0.10714285714285714</t>
        </is>
      </c>
      <c r="R27" t="inlineStr">
        <is>
          <t>0.16666666666666666</t>
        </is>
      </c>
      <c r="S27" t="n">
        <v>0.0</v>
      </c>
      <c r="T27" t="n">
        <v>0.0</v>
      </c>
      <c r="U27" t="n">
        <v>0.0</v>
      </c>
      <c r="V27" t="n">
        <v>0.0</v>
      </c>
      <c r="W27" t="n">
        <v>0.0</v>
      </c>
      <c r="X27" t="n">
        <v>0.0</v>
      </c>
      <c r="Y27" t="n">
        <v>3.0</v>
      </c>
      <c r="Z27" t="n">
        <v>7.0</v>
      </c>
      <c r="AA27" t="n">
        <v>0.0</v>
      </c>
      <c r="AB27" t="n">
        <v>0.0</v>
      </c>
      <c r="AC27" t="n">
        <v>0.0</v>
      </c>
      <c r="AD27" t="n">
        <v>472.0</v>
      </c>
      <c r="AE27" t="n">
        <v>5.0</v>
      </c>
      <c r="AF27" t="n">
        <v>1.0</v>
      </c>
      <c r="AG27" t="n">
        <v>0.0</v>
      </c>
      <c r="AH27" t="n">
        <v>1.0</v>
      </c>
      <c r="AI27" t="n">
        <v>0.0</v>
      </c>
      <c r="AJ27" t="n">
        <v>0.0</v>
      </c>
      <c r="AK27" t="n">
        <v>19.093220338983052</v>
      </c>
      <c r="AL27" t="inlineStr">
        <is>
          <t/>
        </is>
      </c>
    </row>
    <row r="28">
      <c r="A28" t="inlineStr">
        <is>
          <t>短短一周逼自己So了好多</t>
        </is>
      </c>
      <c r="B28" t="inlineStr">
        <is>
          <t>69e5f2cd000000001b000539</t>
        </is>
      </c>
      <c r="C28" s="27" t="n">
        <f>HYPERLINK("https://www.xiaohongshu.com/explore/69e5f2cd000000001b000539?xsec_token=TBRM_4pSbJalcnymykJyoKXfqslIx2hoqb6xxi8WPBCRA=&amp;xsec_source=pc_trdark","https://www.xiaohongshu.com/explore/69e5f2cd000000001b000539?xsec_token=TBRM_4pSbJalcnymykJyoKXfqslIx2hoqb6xxi8WPBCRA=&amp;xsec_source=pc_trdark")</f>
        <v>0.0</v>
      </c>
      <c r="D28" t="inlineStr">
        <is>
          <t>鲜水湾甄选</t>
        </is>
      </c>
      <c r="E28" t="inlineStr">
        <is>
          <t>27401929161</t>
        </is>
      </c>
      <c r="F28" t="inlineStr">
        <is>
          <t>2026-04-20 18:32:00</t>
        </is>
      </c>
      <c r="G28" t="inlineStr">
        <is>
          <t>图文</t>
        </is>
      </c>
      <c r="H28" t="inlineStr">
        <is>
          <t>手剥虾仁 无冰衣无添加 低脂餐一人食 上班带饭 顺丰包邮 5盒装</t>
        </is>
      </c>
      <c r="I28" t="inlineStr">
        <is>
          <t>694baba01d450d00013662f0</t>
        </is>
      </c>
      <c r="J28" t="inlineStr">
        <is>
          <t/>
        </is>
      </c>
      <c r="K28" t="n">
        <v>68.0</v>
      </c>
      <c r="L28" t="n">
        <v>1.0</v>
      </c>
      <c r="M28" t="n">
        <v>11.0</v>
      </c>
      <c r="N28" t="inlineStr">
        <is>
          <t>0.024608501118568233</t>
        </is>
      </c>
      <c r="O28" t="n">
        <v>11.0</v>
      </c>
      <c r="P28" t="n">
        <v>1.0</v>
      </c>
      <c r="Q28" t="inlineStr">
        <is>
          <t>0.09090909090909091</t>
        </is>
      </c>
      <c r="R28" t="inlineStr">
        <is>
          <t>0.09090909090909091</t>
        </is>
      </c>
      <c r="S28" t="n">
        <v>0.0</v>
      </c>
      <c r="T28" t="n">
        <v>0.0</v>
      </c>
      <c r="U28" t="n">
        <v>0.0</v>
      </c>
      <c r="V28" t="n">
        <v>0.0</v>
      </c>
      <c r="W28" t="n">
        <v>0.0</v>
      </c>
      <c r="X28" t="n">
        <v>0.0</v>
      </c>
      <c r="Y28" t="n">
        <v>3.0</v>
      </c>
      <c r="Z28" t="n">
        <v>6.0</v>
      </c>
      <c r="AA28" t="n">
        <v>0.0</v>
      </c>
      <c r="AB28" t="n">
        <v>0.0</v>
      </c>
      <c r="AC28" t="n">
        <v>0.0</v>
      </c>
      <c r="AD28" t="n">
        <v>447.0</v>
      </c>
      <c r="AE28" t="n">
        <v>6.0</v>
      </c>
      <c r="AF28" t="n">
        <v>7.0</v>
      </c>
      <c r="AG28" t="n">
        <v>0.0</v>
      </c>
      <c r="AH28" t="n">
        <v>1.0</v>
      </c>
      <c r="AI28" t="n">
        <v>0.0</v>
      </c>
      <c r="AJ28" t="n">
        <v>0.0</v>
      </c>
      <c r="AK28" t="n">
        <v>20.404921700223714</v>
      </c>
      <c r="AL28" t="inlineStr">
        <is>
          <t/>
        </is>
      </c>
    </row>
    <row r="29">
      <c r="A29" t="inlineStr">
        <is>
          <t>太喜欢这个整条三文鱼了，比Sam实惠多了</t>
        </is>
      </c>
      <c r="B29" t="inlineStr">
        <is>
          <t>69dca905000000002202add5</t>
        </is>
      </c>
      <c r="C29" s="28" t="n">
        <f>HYPERLINK("https://www.xiaohongshu.com/explore/69dca905000000002202add5?xsec_token=TBe8vKhJyviDCWrA3Jp-irCZLYAJWU-XXTQ2oALgtR6hU=&amp;xsec_source=pc_trdark","https://www.xiaohongshu.com/explore/69dca905000000002202add5?xsec_token=TBe8vKhJyviDCWrA3Jp-irCZLYAJWU-XXTQ2oALgtR6hU=&amp;xsec_source=pc_trdark")</f>
        <v>0.0</v>
      </c>
      <c r="D29" t="inlineStr">
        <is>
          <t>菲菲上班吃什么</t>
        </is>
      </c>
      <c r="E29" t="inlineStr">
        <is>
          <t>49936530607</t>
        </is>
      </c>
      <c r="F29" t="inlineStr">
        <is>
          <t>2026-04-13 16:27:49</t>
        </is>
      </c>
      <c r="G29" t="inlineStr">
        <is>
          <t>图文</t>
        </is>
      </c>
      <c r="H29" t="inlineStr">
        <is>
          <t>智利尾端中段整条三文鱼 8斤深海鱼低脂餐囤货一周备菜顺丰包邮</t>
        </is>
      </c>
      <c r="I29" t="inlineStr">
        <is>
          <t>69fab80d64eb410001ece0c0</t>
        </is>
      </c>
      <c r="J29" t="inlineStr">
        <is>
          <t/>
        </is>
      </c>
      <c r="K29" t="n">
        <v>0.0</v>
      </c>
      <c r="L29" t="n">
        <v>0.0</v>
      </c>
      <c r="M29" t="n">
        <v>54.0</v>
      </c>
      <c r="N29" t="inlineStr">
        <is>
          <t>0.12272727272727273</t>
        </is>
      </c>
      <c r="O29" t="n">
        <v>42.0</v>
      </c>
      <c r="P29" t="n">
        <v>0.0</v>
      </c>
      <c r="Q29" t="n">
        <v>0.0</v>
      </c>
      <c r="R29" t="n">
        <v>0.0</v>
      </c>
      <c r="S29" t="n">
        <v>0.0</v>
      </c>
      <c r="T29" t="n">
        <v>0.0</v>
      </c>
      <c r="U29" t="n">
        <v>0.0</v>
      </c>
      <c r="V29" t="n">
        <v>0.0</v>
      </c>
      <c r="W29" t="inlineStr">
        <is>
          <t/>
        </is>
      </c>
      <c r="X29" t="n">
        <v>0.0</v>
      </c>
      <c r="Y29" t="n">
        <v>10.0</v>
      </c>
      <c r="Z29" t="n">
        <v>15.0</v>
      </c>
      <c r="AA29" t="n">
        <v>0.0</v>
      </c>
      <c r="AB29" t="n">
        <v>0.0</v>
      </c>
      <c r="AC29" t="n">
        <v>0.0</v>
      </c>
      <c r="AD29" t="n">
        <v>440.0</v>
      </c>
      <c r="AE29" t="n">
        <v>2.0</v>
      </c>
      <c r="AF29" t="n">
        <v>1.0</v>
      </c>
      <c r="AG29" t="n">
        <v>0.0</v>
      </c>
      <c r="AH29" t="n">
        <v>1.0</v>
      </c>
      <c r="AI29" t="n">
        <v>0.0</v>
      </c>
      <c r="AJ29" t="n">
        <v>0.0</v>
      </c>
      <c r="AK29" t="n">
        <v>11.329545454545455</v>
      </c>
      <c r="AL29" t="inlineStr">
        <is>
          <t/>
        </is>
      </c>
    </row>
    <row r="30">
      <c r="A30" t="inlineStr">
        <is>
          <t>以为连吃一周三文鱼很贵，实际才花 100+💰</t>
        </is>
      </c>
      <c r="B30" t="inlineStr">
        <is>
          <t>6a72cb62000000002202d167</t>
        </is>
      </c>
      <c r="C30" s="29" t="n">
        <f>HYPERLINK("https://www.xiaohongshu.com/explore/6a72cb62000000002202d167?xsec_token=TBRm5Oz6TgnkTuHlzu05n-z2Jz9M9CCAFM3HBgbs3nweA=&amp;xsec_source=pc_trdark","https://www.xiaohongshu.com/explore/6a72cb62000000002202d167?xsec_token=TBRm5Oz6TgnkTuHlzu05n-z2Jz9M9CCAFM3HBgbs3nweA=&amp;xsec_source=pc_trdark")</f>
        <v>0.0</v>
      </c>
      <c r="D30" t="inlineStr">
        <is>
          <t>鲜水湾</t>
        </is>
      </c>
      <c r="E30" t="inlineStr">
        <is>
          <t>49316638994</t>
        </is>
      </c>
      <c r="F30" t="inlineStr">
        <is>
          <t>2026-08-05 13:34:26</t>
        </is>
      </c>
      <c r="G30" t="inlineStr">
        <is>
          <t>图文</t>
        </is>
      </c>
      <c r="H30" t="inlineStr">
        <is>
          <t>智利三文鱼切块·整条三文鱼·深海鱼一人食健康饮食</t>
        </is>
      </c>
      <c r="I30" t="inlineStr">
        <is>
          <t>691ac562a524ee0001b51d7b</t>
        </is>
      </c>
      <c r="J30" t="inlineStr">
        <is>
          <t/>
        </is>
      </c>
      <c r="K30" t="n">
        <v>0.0</v>
      </c>
      <c r="L30" t="n">
        <v>0.0</v>
      </c>
      <c r="M30" t="n">
        <v>69.0</v>
      </c>
      <c r="N30" t="inlineStr">
        <is>
          <t>0.18699186991869918</t>
        </is>
      </c>
      <c r="O30" t="n">
        <v>61.0</v>
      </c>
      <c r="P30" t="n">
        <v>0.0</v>
      </c>
      <c r="Q30" t="n">
        <v>0.0</v>
      </c>
      <c r="R30" t="n">
        <v>0.0</v>
      </c>
      <c r="S30" t="n">
        <v>0.0</v>
      </c>
      <c r="T30" t="n">
        <v>0.0</v>
      </c>
      <c r="U30" t="n">
        <v>0.0</v>
      </c>
      <c r="V30" t="n">
        <v>0.0</v>
      </c>
      <c r="W30" t="inlineStr">
        <is>
          <t/>
        </is>
      </c>
      <c r="X30" t="n">
        <v>0.0</v>
      </c>
      <c r="Y30" t="n">
        <v>7.0</v>
      </c>
      <c r="Z30" t="n">
        <v>20.0</v>
      </c>
      <c r="AA30" t="n">
        <v>0.0</v>
      </c>
      <c r="AB30" t="n">
        <v>0.0</v>
      </c>
      <c r="AC30" t="n">
        <v>0.0</v>
      </c>
      <c r="AD30" t="n">
        <v>369.0</v>
      </c>
      <c r="AE30" t="n">
        <v>4.0</v>
      </c>
      <c r="AF30" t="n">
        <v>1.0</v>
      </c>
      <c r="AG30" t="n">
        <v>0.0</v>
      </c>
      <c r="AH30" t="n">
        <v>1.0</v>
      </c>
      <c r="AI30" t="n">
        <v>0.0</v>
      </c>
      <c r="AJ30" t="n">
        <v>0.0</v>
      </c>
      <c r="AK30" t="n">
        <v>12.173441734417343</v>
      </c>
      <c r="AL30" t="inlineStr">
        <is>
          <t/>
        </is>
      </c>
    </row>
    <row r="31">
      <c r="A31" t="inlineStr">
        <is>
          <t>奉劝大家不要低估 100 来块的购买力</t>
        </is>
      </c>
      <c r="B31" t="inlineStr">
        <is>
          <t>6a0089820000000006021d85</t>
        </is>
      </c>
      <c r="C31" s="30" t="n">
        <f>HYPERLINK("https://www.xiaohongshu.com/explore/6a0089820000000006021d85?xsec_token=TBC4Bowzh3MiDD5QIQgjgpqRATY98M-ZEkKKLg-we7hfY=&amp;xsec_source=pc_trdark","https://www.xiaohongshu.com/explore/6a0089820000000006021d85?xsec_token=TBC4Bowzh3MiDD5QIQgjgpqRATY98M-ZEkKKLg-we7hfY=&amp;xsec_source=pc_trdark")</f>
        <v>0.0</v>
      </c>
      <c r="D31" t="inlineStr">
        <is>
          <t>鲜水湾</t>
        </is>
      </c>
      <c r="E31" t="inlineStr">
        <is>
          <t>49316638994</t>
        </is>
      </c>
      <c r="F31" t="inlineStr">
        <is>
          <t>2026-05-10 21:34:58</t>
        </is>
      </c>
      <c r="G31" t="inlineStr">
        <is>
          <t>图文</t>
        </is>
      </c>
      <c r="H31" t="inlineStr">
        <is>
          <t>智利尾端中段整条三文鱼 8斤深海鱼低脂餐囤货一周备菜顺丰包邮</t>
        </is>
      </c>
      <c r="I31" t="inlineStr">
        <is>
          <t>69fab80d64eb410001ece0c0</t>
        </is>
      </c>
      <c r="J31" t="inlineStr">
        <is>
          <t/>
        </is>
      </c>
      <c r="K31" t="n">
        <v>382.0</v>
      </c>
      <c r="L31" t="n">
        <v>4.0</v>
      </c>
      <c r="M31" t="n">
        <v>115.0</v>
      </c>
      <c r="N31" t="n">
        <v>0.3194444444444444</v>
      </c>
      <c r="O31" t="n">
        <v>103.0</v>
      </c>
      <c r="P31" t="n">
        <v>4.0</v>
      </c>
      <c r="Q31" t="inlineStr">
        <is>
          <t>0.034782608695652174</t>
        </is>
      </c>
      <c r="R31" t="inlineStr">
        <is>
          <t>0.038834951456310676</t>
        </is>
      </c>
      <c r="S31" t="n">
        <v>0.0</v>
      </c>
      <c r="T31" t="n">
        <v>0.0</v>
      </c>
      <c r="U31" t="n">
        <v>0.0</v>
      </c>
      <c r="V31" t="n">
        <v>0.0</v>
      </c>
      <c r="W31" t="n">
        <v>0.0</v>
      </c>
      <c r="X31" t="n">
        <v>0.0</v>
      </c>
      <c r="Y31" t="n">
        <v>18.0</v>
      </c>
      <c r="Z31" t="n">
        <v>38.0</v>
      </c>
      <c r="AA31" t="n">
        <v>0.0</v>
      </c>
      <c r="AB31" t="n">
        <v>0.0</v>
      </c>
      <c r="AC31" t="n">
        <v>0.0</v>
      </c>
      <c r="AD31" t="n">
        <v>360.0</v>
      </c>
      <c r="AE31" t="n">
        <v>5.0</v>
      </c>
      <c r="AF31" t="n">
        <v>3.0</v>
      </c>
      <c r="AG31" t="n">
        <v>0.0</v>
      </c>
      <c r="AH31" t="n">
        <v>0.0</v>
      </c>
      <c r="AI31" t="n">
        <v>1.0</v>
      </c>
      <c r="AJ31" t="n">
        <v>0.0</v>
      </c>
      <c r="AK31" t="n">
        <v>15.8</v>
      </c>
      <c r="AL31" t="inlineStr">
        <is>
          <t/>
        </is>
      </c>
    </row>
    <row r="32">
      <c r="A32" t="inlineStr">
        <is>
          <t>孕妈妈可以放心吃的盐田虾</t>
        </is>
      </c>
      <c r="B32" t="inlineStr">
        <is>
          <t>6a7fc5ba000000003400e81d</t>
        </is>
      </c>
      <c r="C32" s="31" t="n">
        <f>HYPERLINK("https://www.xiaohongshu.com/explore/6a7fc5ba000000003400e81d?xsec_token=TBOvTVCR4unbx8qqc2sgSq4V0r7fVVkzrFsqdDZedJbbk=&amp;xsec_source=pc_trdark","https://www.xiaohongshu.com/explore/6a7fc5ba000000003400e81d?xsec_token=TBOvTVCR4unbx8qqc2sgSq4V0r7fVVkzrFsqdDZedJbbk=&amp;xsec_source=pc_trdark")</f>
        <v>0.0</v>
      </c>
      <c r="D32" t="inlineStr">
        <is>
          <t>鲜水湾</t>
        </is>
      </c>
      <c r="E32" t="inlineStr">
        <is>
          <t>49316638994</t>
        </is>
      </c>
      <c r="F32" t="inlineStr">
        <is>
          <t>2026-08-15 09:49:46</t>
        </is>
      </c>
      <c r="G32" t="inlineStr">
        <is>
          <t>图文</t>
        </is>
      </c>
      <c r="H32" t="inlineStr">
        <is>
          <t>盐田虾无抗有机盐田虾孕妈妈宝宝辅食顺丰包邮无打药无污染健康虾</t>
        </is>
      </c>
      <c r="I32" t="inlineStr">
        <is>
          <t>693244a046e530000140adb2</t>
        </is>
      </c>
      <c r="J32" t="inlineStr">
        <is>
          <t/>
        </is>
      </c>
      <c r="K32" t="n">
        <v>78.0</v>
      </c>
      <c r="L32" t="n">
        <v>1.0</v>
      </c>
      <c r="M32" t="n">
        <v>51.0</v>
      </c>
      <c r="N32" t="inlineStr">
        <is>
          <t>0.14366197183098592</t>
        </is>
      </c>
      <c r="O32" t="n">
        <v>44.0</v>
      </c>
      <c r="P32" t="n">
        <v>1.0</v>
      </c>
      <c r="Q32" t="n">
        <v>0.0196078431372549</v>
      </c>
      <c r="R32" t="inlineStr">
        <is>
          <t>0.022727272727272728</t>
        </is>
      </c>
      <c r="S32" t="n">
        <v>0.0</v>
      </c>
      <c r="T32" t="n">
        <v>0.0</v>
      </c>
      <c r="U32" t="n">
        <v>0.0</v>
      </c>
      <c r="V32" t="n">
        <v>0.0</v>
      </c>
      <c r="W32" t="n">
        <v>0.0</v>
      </c>
      <c r="X32" t="n">
        <v>0.0</v>
      </c>
      <c r="Y32" t="n">
        <v>7.0</v>
      </c>
      <c r="Z32" t="n">
        <v>36.0</v>
      </c>
      <c r="AA32" t="n">
        <v>0.0</v>
      </c>
      <c r="AB32" t="n">
        <v>0.0</v>
      </c>
      <c r="AC32" t="n">
        <v>0.0</v>
      </c>
      <c r="AD32" t="n">
        <v>355.0</v>
      </c>
      <c r="AE32" t="n">
        <v>2.0</v>
      </c>
      <c r="AF32" t="n">
        <v>1.0</v>
      </c>
      <c r="AG32" t="n">
        <v>0.0</v>
      </c>
      <c r="AH32" t="n">
        <v>2.0</v>
      </c>
      <c r="AI32" t="n">
        <v>1.0</v>
      </c>
      <c r="AJ32" t="n">
        <v>0.0</v>
      </c>
      <c r="AK32" t="n">
        <v>10.211267605633802</v>
      </c>
      <c r="AL32" t="inlineStr">
        <is>
          <t/>
        </is>
      </c>
    </row>
    <row r="33">
      <c r="A33" t="inlineStr">
        <is>
          <t>五一前后，给青岛老丈人送条鲅鱼吧！</t>
        </is>
      </c>
      <c r="B33" t="inlineStr">
        <is>
          <t>69de58330000000023014b34</t>
        </is>
      </c>
      <c r="C33" s="32" t="n">
        <f>HYPERLINK("https://www.xiaohongshu.com/explore/69de58330000000023014b34?xsec_token=TB59yoDgsQvcJ0I-utjSL7kIvxJKdylutz66Ktx1JN9FM=&amp;xsec_source=pc_trdark","https://www.xiaohongshu.com/explore/69de58330000000023014b34?xsec_token=TB59yoDgsQvcJ0I-utjSL7kIvxJKdylutz66Ktx1JN9FM=&amp;xsec_source=pc_trdark")</f>
        <v>0.0</v>
      </c>
      <c r="D33" t="inlineStr">
        <is>
          <t>鲜水湾</t>
        </is>
      </c>
      <c r="E33" t="inlineStr">
        <is>
          <t>49316638994</t>
        </is>
      </c>
      <c r="F33" t="inlineStr">
        <is>
          <t>2026-04-14 23:07:31</t>
        </is>
      </c>
      <c r="G33" t="inlineStr">
        <is>
          <t>图文</t>
        </is>
      </c>
      <c r="H33" t="inlineStr">
        <is>
          <t>青岛大鲅鱼春鲅鱼鲅鱼新鲜冷冻马鲛鱼蓝点马鲛鱼顺丰包邮</t>
        </is>
      </c>
      <c r="I33" t="inlineStr">
        <is>
          <t>6932506ad36285000198a8a6</t>
        </is>
      </c>
      <c r="J33" t="inlineStr">
        <is>
          <t/>
        </is>
      </c>
      <c r="K33" t="n">
        <v>0.0</v>
      </c>
      <c r="L33" t="n">
        <v>0.0</v>
      </c>
      <c r="M33" t="n">
        <v>19.0</v>
      </c>
      <c r="N33" t="inlineStr">
        <is>
          <t>0.05637982195845697</t>
        </is>
      </c>
      <c r="O33" t="n">
        <v>19.0</v>
      </c>
      <c r="P33" t="n">
        <v>0.0</v>
      </c>
      <c r="Q33" t="n">
        <v>0.0</v>
      </c>
      <c r="R33" t="n">
        <v>0.0</v>
      </c>
      <c r="S33" t="n">
        <v>0.0</v>
      </c>
      <c r="T33" t="n">
        <v>0.0</v>
      </c>
      <c r="U33" t="n">
        <v>0.0</v>
      </c>
      <c r="V33" t="n">
        <v>0.0</v>
      </c>
      <c r="W33" t="inlineStr">
        <is>
          <t/>
        </is>
      </c>
      <c r="X33" t="n">
        <v>0.0</v>
      </c>
      <c r="Y33" t="n">
        <v>4.0</v>
      </c>
      <c r="Z33" t="n">
        <v>4.0</v>
      </c>
      <c r="AA33" t="n">
        <v>0.0</v>
      </c>
      <c r="AB33" t="n">
        <v>0.0</v>
      </c>
      <c r="AC33" t="n">
        <v>0.0</v>
      </c>
      <c r="AD33" t="n">
        <v>337.0</v>
      </c>
      <c r="AE33" t="n">
        <v>1.0</v>
      </c>
      <c r="AF33" t="n">
        <v>0.0</v>
      </c>
      <c r="AG33" t="n">
        <v>0.0</v>
      </c>
      <c r="AH33" t="n">
        <v>2.0</v>
      </c>
      <c r="AI33" t="n">
        <v>0.0</v>
      </c>
      <c r="AJ33" t="n">
        <v>0.0</v>
      </c>
      <c r="AK33" t="n">
        <v>13.623145400593472</v>
      </c>
      <c r="AL33" t="inlineStr">
        <is>
          <t/>
        </is>
      </c>
    </row>
    <row r="34">
      <c r="A34" t="inlineStr">
        <is>
          <t>虾仁别直接下锅煮，难怪你做出来又柴又腥</t>
        </is>
      </c>
      <c r="B34" t="inlineStr">
        <is>
          <t>6a019ac600000000080303d1</t>
        </is>
      </c>
      <c r="C34" s="33" t="n">
        <f>HYPERLINK("https://www.xiaohongshu.com/explore/6a019ac600000000080303d1?xsec_token=TBbTMdCTPOAzll1S0w5oGNgugs2fxJuJ3BmL31QJQV8SY=&amp;xsec_source=pc_trdark","https://www.xiaohongshu.com/explore/6a019ac600000000080303d1?xsec_token=TBbTMdCTPOAzll1S0w5oGNgugs2fxJuJ3BmL31QJQV8SY=&amp;xsec_source=pc_trdark")</f>
        <v>0.0</v>
      </c>
      <c r="D34" t="inlineStr">
        <is>
          <t>婉婉上班吃什么</t>
        </is>
      </c>
      <c r="E34" t="inlineStr">
        <is>
          <t>11434449706</t>
        </is>
      </c>
      <c r="F34" t="inlineStr">
        <is>
          <t>2026-05-11 17:00:54</t>
        </is>
      </c>
      <c r="G34" t="inlineStr">
        <is>
          <t>图文</t>
        </is>
      </c>
      <c r="H34" t="inlineStr">
        <is>
          <t>手剥虾仁 无冰衣无添加 低脂餐一人食 上班带饭 顺丰包邮 5盒装</t>
        </is>
      </c>
      <c r="I34" t="inlineStr">
        <is>
          <t>694baba01d450d00013662f0</t>
        </is>
      </c>
      <c r="J34" t="inlineStr">
        <is>
          <t/>
        </is>
      </c>
      <c r="K34" t="n">
        <v>0.0</v>
      </c>
      <c r="L34" t="n">
        <v>0.0</v>
      </c>
      <c r="M34" t="n">
        <v>1.0</v>
      </c>
      <c r="N34" t="inlineStr">
        <is>
          <t>0.003067484662576687</t>
        </is>
      </c>
      <c r="O34" t="n">
        <v>1.0</v>
      </c>
      <c r="P34" t="n">
        <v>0.0</v>
      </c>
      <c r="Q34" t="n">
        <v>0.0</v>
      </c>
      <c r="R34" t="n">
        <v>0.0</v>
      </c>
      <c r="S34" t="n">
        <v>0.0</v>
      </c>
      <c r="T34" t="n">
        <v>0.0</v>
      </c>
      <c r="U34" t="n">
        <v>0.0</v>
      </c>
      <c r="V34" t="n">
        <v>0.0</v>
      </c>
      <c r="W34" t="inlineStr">
        <is>
          <t/>
        </is>
      </c>
      <c r="X34" t="n">
        <v>0.0</v>
      </c>
      <c r="Y34" t="n">
        <v>0.0</v>
      </c>
      <c r="Z34" t="n">
        <v>1.0</v>
      </c>
      <c r="AA34" t="n">
        <v>0.0</v>
      </c>
      <c r="AB34" t="n">
        <v>0.0</v>
      </c>
      <c r="AC34" t="n">
        <v>0.0</v>
      </c>
      <c r="AD34" t="n">
        <v>326.0</v>
      </c>
      <c r="AE34" t="n">
        <v>1.0</v>
      </c>
      <c r="AF34" t="n">
        <v>0.0</v>
      </c>
      <c r="AG34" t="n">
        <v>0.0</v>
      </c>
      <c r="AH34" t="n">
        <v>0.0</v>
      </c>
      <c r="AI34" t="n">
        <v>0.0</v>
      </c>
      <c r="AJ34" t="n">
        <v>0.0</v>
      </c>
      <c r="AK34" t="n">
        <v>17.432515337423315</v>
      </c>
      <c r="AL34" t="inlineStr">
        <is>
          <t/>
        </is>
      </c>
    </row>
    <row r="35">
      <c r="A35" t="inlineStr">
        <is>
          <t>谁知道水煮虾仁到底怎么煮！</t>
        </is>
      </c>
      <c r="B35" t="inlineStr">
        <is>
          <t>69fc68160000000022026836</t>
        </is>
      </c>
      <c r="C35" s="34" t="n">
        <f>HYPERLINK("https://www.xiaohongshu.com/explore/69fc68160000000022026836?xsec_token=TB1OifDdqM9yEX6kPeVGJEToSzNAO9vxvt1-zbEs63JJU=&amp;xsec_source=pc_trdark","https://www.xiaohongshu.com/explore/69fc68160000000022026836?xsec_token=TB1OifDdqM9yEX6kPeVGJEToSzNAO9vxvt1-zbEs63JJU=&amp;xsec_source=pc_trdark")</f>
        <v>0.0</v>
      </c>
      <c r="D35" t="inlineStr">
        <is>
          <t>婉婉上班吃什么</t>
        </is>
      </c>
      <c r="E35" t="inlineStr">
        <is>
          <t>11434449706</t>
        </is>
      </c>
      <c r="F35" t="inlineStr">
        <is>
          <t>2026-05-07 18:23:18</t>
        </is>
      </c>
      <c r="G35" t="inlineStr">
        <is>
          <t>图文</t>
        </is>
      </c>
      <c r="H35" t="inlineStr">
        <is>
          <t>手剥虾仁 无冰衣无添加 低脂餐一人食 上班带饭 顺丰包邮 5盒装</t>
        </is>
      </c>
      <c r="I35" t="inlineStr">
        <is>
          <t>694baba01d450d00013662f0</t>
        </is>
      </c>
      <c r="J35" t="inlineStr">
        <is>
          <t/>
        </is>
      </c>
      <c r="K35" t="n">
        <v>0.0</v>
      </c>
      <c r="L35" t="n">
        <v>0.0</v>
      </c>
      <c r="M35" t="n">
        <v>2.0</v>
      </c>
      <c r="N35" t="inlineStr">
        <is>
          <t>0.006172839506172839</t>
        </is>
      </c>
      <c r="O35" t="n">
        <v>2.0</v>
      </c>
      <c r="P35" t="n">
        <v>0.0</v>
      </c>
      <c r="Q35" t="n">
        <v>0.0</v>
      </c>
      <c r="R35" t="n">
        <v>0.0</v>
      </c>
      <c r="S35" t="n">
        <v>0.0</v>
      </c>
      <c r="T35" t="n">
        <v>0.0</v>
      </c>
      <c r="U35" t="n">
        <v>0.0</v>
      </c>
      <c r="V35" t="n">
        <v>0.0</v>
      </c>
      <c r="W35" t="inlineStr">
        <is>
          <t/>
        </is>
      </c>
      <c r="X35" t="n">
        <v>0.0</v>
      </c>
      <c r="Y35" t="n">
        <v>0.0</v>
      </c>
      <c r="Z35" t="n">
        <v>3.0</v>
      </c>
      <c r="AA35" t="n">
        <v>0.0</v>
      </c>
      <c r="AB35" t="n">
        <v>0.0</v>
      </c>
      <c r="AC35" t="n">
        <v>0.0</v>
      </c>
      <c r="AD35" t="n">
        <v>324.0</v>
      </c>
      <c r="AE35" t="n">
        <v>8.0</v>
      </c>
      <c r="AF35" t="n">
        <v>5.0</v>
      </c>
      <c r="AG35" t="n">
        <v>0.0</v>
      </c>
      <c r="AH35" t="n">
        <v>0.0</v>
      </c>
      <c r="AI35" t="n">
        <v>0.0</v>
      </c>
      <c r="AJ35" t="n">
        <v>0.0</v>
      </c>
      <c r="AK35" t="n">
        <v>23.228395061728396</v>
      </c>
      <c r="AL35" t="inlineStr">
        <is>
          <t/>
        </is>
      </c>
    </row>
    <row r="36">
      <c r="A36" t="inlineStr">
        <is>
          <t>三文鱼真的太适合管理期吃啦</t>
        </is>
      </c>
      <c r="B36" t="inlineStr">
        <is>
          <t>69e34338000000002202a0d3</t>
        </is>
      </c>
      <c r="C36" s="35" t="n">
        <f>HYPERLINK("https://www.xiaohongshu.com/explore/69e34338000000002202a0d3?xsec_token=TBdjj7K6Nlm9yT2LpYB6PpNvRs9DX7aNjnrfn5AcZP4cs=&amp;xsec_source=pc_trdark","https://www.xiaohongshu.com/explore/69e34338000000002202a0d3?xsec_token=TBdjj7K6Nlm9yT2LpYB6PpNvRs9DX7aNjnrfn5AcZP4cs=&amp;xsec_source=pc_trdark")</f>
        <v>0.0</v>
      </c>
      <c r="D36" t="inlineStr">
        <is>
          <t>婉婉上班吃什么</t>
        </is>
      </c>
      <c r="E36" t="inlineStr">
        <is>
          <t>11434449706</t>
        </is>
      </c>
      <c r="F36" t="inlineStr">
        <is>
          <t>2026-04-18 16:39:20</t>
        </is>
      </c>
      <c r="G36" t="inlineStr">
        <is>
          <t>图文</t>
        </is>
      </c>
      <c r="H36" t="inlineStr">
        <is>
          <t>智利尾端中段整条三文鱼 8斤深海鱼低脂餐囤货一周备菜顺丰包邮</t>
        </is>
      </c>
      <c r="I36" t="inlineStr">
        <is>
          <t>69fab80d64eb410001ece0c0</t>
        </is>
      </c>
      <c r="J36" t="inlineStr">
        <is>
          <t/>
        </is>
      </c>
      <c r="K36" t="n">
        <v>194.0</v>
      </c>
      <c r="L36" t="n">
        <v>2.0</v>
      </c>
      <c r="M36" t="n">
        <v>42.0</v>
      </c>
      <c r="N36" t="inlineStr">
        <is>
          <t>0.13291139240506328</t>
        </is>
      </c>
      <c r="O36" t="n">
        <v>38.0</v>
      </c>
      <c r="P36" t="n">
        <v>2.0</v>
      </c>
      <c r="Q36" t="inlineStr">
        <is>
          <t>0.047619047619047616</t>
        </is>
      </c>
      <c r="R36" t="inlineStr">
        <is>
          <t>0.05263157894736842</t>
        </is>
      </c>
      <c r="S36" t="n">
        <v>0.0</v>
      </c>
      <c r="T36" t="n">
        <v>0.0</v>
      </c>
      <c r="U36" t="n">
        <v>0.0</v>
      </c>
      <c r="V36" t="n">
        <v>0.0</v>
      </c>
      <c r="W36" t="n">
        <v>0.0</v>
      </c>
      <c r="X36" t="n">
        <v>0.0</v>
      </c>
      <c r="Y36" t="n">
        <v>7.0</v>
      </c>
      <c r="Z36" t="n">
        <v>4.0</v>
      </c>
      <c r="AA36" t="n">
        <v>0.0</v>
      </c>
      <c r="AB36" t="n">
        <v>0.0</v>
      </c>
      <c r="AC36" t="n">
        <v>0.0</v>
      </c>
      <c r="AD36" t="n">
        <v>316.0</v>
      </c>
      <c r="AE36" t="n">
        <v>3.0</v>
      </c>
      <c r="AF36" t="n">
        <v>0.0</v>
      </c>
      <c r="AG36" t="n">
        <v>0.0</v>
      </c>
      <c r="AH36" t="n">
        <v>0.0</v>
      </c>
      <c r="AI36" t="n">
        <v>0.0</v>
      </c>
      <c r="AJ36" t="n">
        <v>0.0</v>
      </c>
      <c r="AK36" t="n">
        <v>13.64873417721519</v>
      </c>
      <c r="AL36" t="inlineStr">
        <is>
          <t/>
        </is>
      </c>
    </row>
    <row r="37">
      <c r="A37" t="inlineStr">
        <is>
          <t>身材管理期吃它！我两周掉了6斤！</t>
        </is>
      </c>
      <c r="B37" t="inlineStr">
        <is>
          <t>69ee09de00000000220253aa</t>
        </is>
      </c>
      <c r="C37" s="36" t="n">
        <f>HYPERLINK("https://www.xiaohongshu.com/explore/69ee09de00000000220253aa?xsec_token=TB3JCI8OO3ItJ5gw9_OIE0bAOIPn6kiPo88TNVrdHSWD8=&amp;xsec_source=pc_trdark","https://www.xiaohongshu.com/explore/69ee09de00000000220253aa?xsec_token=TB3JCI8OO3ItJ5gw9_OIE0bAOIPn6kiPo88TNVrdHSWD8=&amp;xsec_source=pc_trdark")</f>
        <v>0.0</v>
      </c>
      <c r="D37" t="inlineStr">
        <is>
          <t>鲜水湾</t>
        </is>
      </c>
      <c r="E37" t="inlineStr">
        <is>
          <t>49316638994</t>
        </is>
      </c>
      <c r="F37" t="inlineStr">
        <is>
          <t>2026-04-26 20:49:34</t>
        </is>
      </c>
      <c r="G37" t="inlineStr">
        <is>
          <t>图文</t>
        </is>
      </c>
      <c r="H37" t="inlineStr">
        <is>
          <t>智利尾端中段整条三文鱼 8斤深海鱼低脂餐囤货一周备菜顺丰包邮</t>
        </is>
      </c>
      <c r="I37" t="inlineStr">
        <is>
          <t>69fab80d64eb410001ece0c0</t>
        </is>
      </c>
      <c r="J37" t="inlineStr">
        <is>
          <t/>
        </is>
      </c>
      <c r="K37" t="n">
        <v>314.0</v>
      </c>
      <c r="L37" t="n">
        <v>4.0</v>
      </c>
      <c r="M37" t="n">
        <v>79.0</v>
      </c>
      <c r="N37" t="n">
        <v>0.2581699346405229</v>
      </c>
      <c r="O37" t="n">
        <v>75.0</v>
      </c>
      <c r="P37" t="n">
        <v>4.0</v>
      </c>
      <c r="Q37" t="inlineStr">
        <is>
          <t>0.05063291139240506</t>
        </is>
      </c>
      <c r="R37" t="inlineStr">
        <is>
          <t>0.05333333333333334</t>
        </is>
      </c>
      <c r="S37" t="n">
        <v>0.0</v>
      </c>
      <c r="T37" t="n">
        <v>0.0</v>
      </c>
      <c r="U37" t="n">
        <v>0.0</v>
      </c>
      <c r="V37" t="n">
        <v>0.0</v>
      </c>
      <c r="W37" t="n">
        <v>0.0</v>
      </c>
      <c r="X37" t="n">
        <v>0.0</v>
      </c>
      <c r="Y37" t="n">
        <v>12.0</v>
      </c>
      <c r="Z37" t="n">
        <v>15.0</v>
      </c>
      <c r="AA37" t="n">
        <v>0.0</v>
      </c>
      <c r="AB37" t="n">
        <v>0.0</v>
      </c>
      <c r="AC37" t="n">
        <v>0.0</v>
      </c>
      <c r="AD37" t="n">
        <v>306.0</v>
      </c>
      <c r="AE37" t="n">
        <v>1.0</v>
      </c>
      <c r="AF37" t="n">
        <v>2.0</v>
      </c>
      <c r="AG37" t="n">
        <v>0.0</v>
      </c>
      <c r="AH37" t="n">
        <v>1.0</v>
      </c>
      <c r="AI37" t="n">
        <v>0.0</v>
      </c>
      <c r="AJ37" t="n">
        <v>0.0</v>
      </c>
      <c r="AK37" t="n">
        <v>24.522875816993466</v>
      </c>
      <c r="AL37" t="inlineStr">
        <is>
          <t/>
        </is>
      </c>
    </row>
    <row r="38">
      <c r="A38" t="inlineStr">
        <is>
          <t>听劝…给孩子吃就买这种配料表干净的虾仁</t>
        </is>
      </c>
      <c r="B38" t="inlineStr">
        <is>
          <t>69dcb1e6000000001f002f0f</t>
        </is>
      </c>
      <c r="C38" s="37" t="n">
        <f>HYPERLINK("https://www.xiaohongshu.com/explore/69dcb1e6000000001f002f0f?xsec_token=TBe8vKhJyviDCWrA3Jp-irCWD95AR0Rdoykf5sYcdAhU4=&amp;xsec_source=pc_trdark","https://www.xiaohongshu.com/explore/69dcb1e6000000001f002f0f?xsec_token=TBe8vKhJyviDCWrA3Jp-irCWD95AR0Rdoykf5sYcdAhU4=&amp;xsec_source=pc_trdark")</f>
        <v>0.0</v>
      </c>
      <c r="D38" t="inlineStr">
        <is>
          <t>婉婉上班吃什么</t>
        </is>
      </c>
      <c r="E38" t="inlineStr">
        <is>
          <t>11434449706</t>
        </is>
      </c>
      <c r="F38" t="inlineStr">
        <is>
          <t>2026-04-13 17:05:42</t>
        </is>
      </c>
      <c r="G38" t="inlineStr">
        <is>
          <t>图文</t>
        </is>
      </c>
      <c r="H38" t="inlineStr">
        <is>
          <t>手剥虾仁 无冰衣无添加 低脂餐一人食 上班带饭 顺丰包邮 5盒装</t>
        </is>
      </c>
      <c r="I38" t="inlineStr">
        <is>
          <t>694baba01d450d00013662f0</t>
        </is>
      </c>
      <c r="J38" t="inlineStr">
        <is>
          <t/>
        </is>
      </c>
      <c r="K38" t="n">
        <v>136.0</v>
      </c>
      <c r="L38" t="n">
        <v>2.0</v>
      </c>
      <c r="M38" t="n">
        <v>13.0</v>
      </c>
      <c r="N38" t="inlineStr">
        <is>
          <t>0.043478260869565216</t>
        </is>
      </c>
      <c r="O38" t="n">
        <v>13.0</v>
      </c>
      <c r="P38" t="n">
        <v>2.0</v>
      </c>
      <c r="Q38" t="inlineStr">
        <is>
          <t>0.15384615384615385</t>
        </is>
      </c>
      <c r="R38" t="inlineStr">
        <is>
          <t>0.15384615384615385</t>
        </is>
      </c>
      <c r="S38" t="n">
        <v>0.0</v>
      </c>
      <c r="T38" t="n">
        <v>0.0</v>
      </c>
      <c r="U38" t="n">
        <v>0.0</v>
      </c>
      <c r="V38" t="n">
        <v>0.0</v>
      </c>
      <c r="W38" t="n">
        <v>0.0</v>
      </c>
      <c r="X38" t="n">
        <v>0.0</v>
      </c>
      <c r="Y38" t="n">
        <v>2.0</v>
      </c>
      <c r="Z38" t="n">
        <v>1.0</v>
      </c>
      <c r="AA38" t="n">
        <v>0.0</v>
      </c>
      <c r="AB38" t="n">
        <v>0.0</v>
      </c>
      <c r="AC38" t="n">
        <v>0.0</v>
      </c>
      <c r="AD38" t="n">
        <v>299.0</v>
      </c>
      <c r="AE38" t="n">
        <v>0.0</v>
      </c>
      <c r="AF38" t="n">
        <v>1.0</v>
      </c>
      <c r="AG38" t="n">
        <v>0.0</v>
      </c>
      <c r="AH38" t="n">
        <v>1.0</v>
      </c>
      <c r="AI38" t="n">
        <v>0.0</v>
      </c>
      <c r="AJ38" t="n">
        <v>0.0</v>
      </c>
      <c r="AK38" t="n">
        <v>7.2441471571906355</v>
      </c>
      <c r="AL38" t="inlineStr">
        <is>
          <t/>
        </is>
      </c>
    </row>
    <row r="39">
      <c r="A39" t="inlineStr">
        <is>
          <t>吃了15天虾的后果。。。</t>
        </is>
      </c>
      <c r="B39" t="inlineStr">
        <is>
          <t>69db7ec4000000001b020293</t>
        </is>
      </c>
      <c r="C39" s="38" t="n">
        <f>HYPERLINK("https://www.xiaohongshu.com/explore/69db7ec4000000001b020293?xsec_token=TBv7n0Oy0CPbFvgz473v78keQecbstGF0cUNv2hLl4Hho=&amp;xsec_source=pc_trdark","https://www.xiaohongshu.com/explore/69db7ec4000000001b020293?xsec_token=TBv7n0Oy0CPbFvgz473v78keQecbstGF0cUNv2hLl4Hho=&amp;xsec_source=pc_trdark")</f>
        <v>0.0</v>
      </c>
      <c r="D39" t="inlineStr">
        <is>
          <t>婉婉上班吃什么</t>
        </is>
      </c>
      <c r="E39" t="inlineStr">
        <is>
          <t>11434449706</t>
        </is>
      </c>
      <c r="F39" t="inlineStr">
        <is>
          <t>2026-04-12 19:15:17</t>
        </is>
      </c>
      <c r="G39" t="inlineStr">
        <is>
          <t>图文</t>
        </is>
      </c>
      <c r="H39" t="inlineStr">
        <is>
          <t>手剥虾仁 无冰衣无添加 低脂餐一人食 上班带饭 顺丰包邮 5盒装</t>
        </is>
      </c>
      <c r="I39" t="inlineStr">
        <is>
          <t>694baba01d450d00013662f0</t>
        </is>
      </c>
      <c r="J39" t="inlineStr">
        <is>
          <t/>
        </is>
      </c>
      <c r="K39" t="n">
        <v>0.0</v>
      </c>
      <c r="L39" t="n">
        <v>0.0</v>
      </c>
      <c r="M39" t="n">
        <v>7.0</v>
      </c>
      <c r="N39" t="inlineStr">
        <is>
          <t>0.026217228464419477</t>
        </is>
      </c>
      <c r="O39" t="n">
        <v>7.0</v>
      </c>
      <c r="P39" t="n">
        <v>0.0</v>
      </c>
      <c r="Q39" t="n">
        <v>0.0</v>
      </c>
      <c r="R39" t="n">
        <v>0.0</v>
      </c>
      <c r="S39" t="n">
        <v>0.0</v>
      </c>
      <c r="T39" t="n">
        <v>0.0</v>
      </c>
      <c r="U39" t="n">
        <v>0.0</v>
      </c>
      <c r="V39" t="n">
        <v>0.0</v>
      </c>
      <c r="W39" t="inlineStr">
        <is>
          <t/>
        </is>
      </c>
      <c r="X39" t="n">
        <v>0.0</v>
      </c>
      <c r="Y39" t="n">
        <v>1.0</v>
      </c>
      <c r="Z39" t="n">
        <v>1.0</v>
      </c>
      <c r="AA39" t="n">
        <v>0.0</v>
      </c>
      <c r="AB39" t="n">
        <v>0.0</v>
      </c>
      <c r="AC39" t="n">
        <v>0.0</v>
      </c>
      <c r="AD39" t="n">
        <v>267.0</v>
      </c>
      <c r="AE39" t="n">
        <v>0.0</v>
      </c>
      <c r="AF39" t="n">
        <v>0.0</v>
      </c>
      <c r="AG39" t="n">
        <v>0.0</v>
      </c>
      <c r="AH39" t="n">
        <v>1.0</v>
      </c>
      <c r="AI39" t="n">
        <v>0.0</v>
      </c>
      <c r="AJ39" t="n">
        <v>0.0</v>
      </c>
      <c r="AK39" t="n">
        <v>13.217228464419476</v>
      </c>
      <c r="AL39" t="inlineStr">
        <is>
          <t/>
        </is>
      </c>
    </row>
    <row r="40">
      <c r="A40" t="inlineStr">
        <is>
          <t>某姆很好，但没有小包装真的劝退</t>
        </is>
      </c>
      <c r="B40" t="inlineStr">
        <is>
          <t>69db4e240000000023014b5b</t>
        </is>
      </c>
      <c r="C40" s="39" t="n">
        <f>HYPERLINK("https://www.xiaohongshu.com/explore/69db4e240000000023014b5b?xsec_token=TBv7n0Oy0CPbFvgz473v78kYjCIf6cx4_xmAQmDSGhkxA=&amp;xsec_source=pc_trdark","https://www.xiaohongshu.com/explore/69db4e240000000023014b5b?xsec_token=TBv7n0Oy0CPbFvgz473v78kYjCIf6cx4_xmAQmDSGhkxA=&amp;xsec_source=pc_trdark")</f>
        <v>0.0</v>
      </c>
      <c r="D40" t="inlineStr">
        <is>
          <t>鲜水湾</t>
        </is>
      </c>
      <c r="E40" t="inlineStr">
        <is>
          <t>49316638994</t>
        </is>
      </c>
      <c r="F40" t="inlineStr">
        <is>
          <t>2026-04-12 15:47:48</t>
        </is>
      </c>
      <c r="G40" t="inlineStr">
        <is>
          <t>图文</t>
        </is>
      </c>
      <c r="H40" t="inlineStr">
        <is>
          <t>手剥虾仁 无冰衣无添加 低脂餐一人食 上班带饭 顺丰包邮 5盒装</t>
        </is>
      </c>
      <c r="I40" t="inlineStr">
        <is>
          <t>694baba01d450d00013662f0</t>
        </is>
      </c>
      <c r="J40" t="inlineStr">
        <is>
          <t/>
        </is>
      </c>
      <c r="K40" t="n">
        <v>68.0</v>
      </c>
      <c r="L40" t="n">
        <v>1.0</v>
      </c>
      <c r="M40" t="n">
        <v>21.0</v>
      </c>
      <c r="N40" t="n">
        <v>0.0860655737704918</v>
      </c>
      <c r="O40" t="n">
        <v>19.0</v>
      </c>
      <c r="P40" t="n">
        <v>1.0</v>
      </c>
      <c r="Q40" t="inlineStr">
        <is>
          <t>0.047619047619047616</t>
        </is>
      </c>
      <c r="R40" t="inlineStr">
        <is>
          <t>0.05263157894736842</t>
        </is>
      </c>
      <c r="S40" t="n">
        <v>0.0</v>
      </c>
      <c r="T40" t="n">
        <v>0.0</v>
      </c>
      <c r="U40" t="n">
        <v>0.0</v>
      </c>
      <c r="V40" t="n">
        <v>0.0</v>
      </c>
      <c r="W40" t="n">
        <v>0.0</v>
      </c>
      <c r="X40" t="n">
        <v>0.0</v>
      </c>
      <c r="Y40" t="n">
        <v>4.0</v>
      </c>
      <c r="Z40" t="n">
        <v>10.0</v>
      </c>
      <c r="AA40" t="n">
        <v>0.0</v>
      </c>
      <c r="AB40" t="n">
        <v>0.0</v>
      </c>
      <c r="AC40" t="n">
        <v>0.0</v>
      </c>
      <c r="AD40" t="n">
        <v>244.0</v>
      </c>
      <c r="AE40" t="n">
        <v>1.0</v>
      </c>
      <c r="AF40" t="n">
        <v>0.0</v>
      </c>
      <c r="AG40" t="n">
        <v>0.0</v>
      </c>
      <c r="AH40" t="n">
        <v>0.0</v>
      </c>
      <c r="AI40" t="n">
        <v>0.0</v>
      </c>
      <c r="AJ40" t="n">
        <v>0.0</v>
      </c>
      <c r="AK40" t="n">
        <v>8.14344262295082</v>
      </c>
      <c r="AL40" t="inlineStr">
        <is>
          <t/>
        </is>
      </c>
    </row>
    <row r="41">
      <c r="A41" t="inlineStr">
        <is>
          <t>建议控体姐妹多吃，整个身子都轻盈了</t>
        </is>
      </c>
      <c r="B41" t="inlineStr">
        <is>
          <t>6a41189a0000000007020a38</t>
        </is>
      </c>
      <c r="C41" s="40" t="n">
        <f>HYPERLINK("https://www.xiaohongshu.com/explore/6a41189a0000000007020a38?xsec_token=TBRNUk5wH66TXTF2VcDeTk6WwjqryTp2XNJJDDIg6CnTI=&amp;xsec_source=pc_trdark","https://www.xiaohongshu.com/explore/6a41189a0000000007020a38?xsec_token=TBRNUk5wH66TXTF2VcDeTk6WwjqryTp2XNJJDDIg6CnTI=&amp;xsec_source=pc_trdark")</f>
        <v>0.0</v>
      </c>
      <c r="D41" t="inlineStr">
        <is>
          <t>婉婉上班吃什么</t>
        </is>
      </c>
      <c r="E41" t="inlineStr">
        <is>
          <t>11434449706</t>
        </is>
      </c>
      <c r="F41" t="inlineStr">
        <is>
          <t>2026-06-28 20:50:34</t>
        </is>
      </c>
      <c r="G41" t="inlineStr">
        <is>
          <t>图文</t>
        </is>
      </c>
      <c r="H41" t="inlineStr">
        <is>
          <t>智利三文鱼切块·整条三文鱼·深海鱼一人食健康饮食</t>
        </is>
      </c>
      <c r="I41" t="inlineStr">
        <is>
          <t>691ac562a524ee0001b51d7b</t>
        </is>
      </c>
      <c r="J41" t="inlineStr">
        <is>
          <t/>
        </is>
      </c>
      <c r="K41" t="n">
        <v>0.0</v>
      </c>
      <c r="L41" t="n">
        <v>0.0</v>
      </c>
      <c r="M41" t="n">
        <v>14.0</v>
      </c>
      <c r="N41" t="inlineStr">
        <is>
          <t>0.058823529411764705</t>
        </is>
      </c>
      <c r="O41" t="n">
        <v>12.0</v>
      </c>
      <c r="P41" t="n">
        <v>0.0</v>
      </c>
      <c r="Q41" t="n">
        <v>0.0</v>
      </c>
      <c r="R41" t="n">
        <v>0.0</v>
      </c>
      <c r="S41" t="n">
        <v>0.0</v>
      </c>
      <c r="T41" t="n">
        <v>0.0</v>
      </c>
      <c r="U41" t="n">
        <v>0.0</v>
      </c>
      <c r="V41" t="n">
        <v>0.0</v>
      </c>
      <c r="W41" t="inlineStr">
        <is>
          <t/>
        </is>
      </c>
      <c r="X41" t="n">
        <v>0.0</v>
      </c>
      <c r="Y41" t="n">
        <v>2.0</v>
      </c>
      <c r="Z41" t="n">
        <v>10.0</v>
      </c>
      <c r="AA41" t="n">
        <v>0.0</v>
      </c>
      <c r="AB41" t="n">
        <v>0.0</v>
      </c>
      <c r="AC41" t="n">
        <v>0.0</v>
      </c>
      <c r="AD41" t="n">
        <v>238.0</v>
      </c>
      <c r="AE41" t="n">
        <v>4.0</v>
      </c>
      <c r="AF41" t="n">
        <v>1.0</v>
      </c>
      <c r="AG41" t="n">
        <v>0.0</v>
      </c>
      <c r="AH41" t="n">
        <v>0.0</v>
      </c>
      <c r="AI41" t="n">
        <v>0.0</v>
      </c>
      <c r="AJ41" t="n">
        <v>0.0</v>
      </c>
      <c r="AK41" t="n">
        <v>14.663865546218487</v>
      </c>
      <c r="AL41" t="inlineStr">
        <is>
          <t/>
        </is>
      </c>
    </row>
    <row r="42">
      <c r="A42" t="inlineStr">
        <is>
          <t>对不起某姆，还是小包装更有幸福感～</t>
        </is>
      </c>
      <c r="B42" t="inlineStr">
        <is>
          <t>6a2c0c7e00000000060306e4</t>
        </is>
      </c>
      <c r="C42" s="41" t="n">
        <f>HYPERLINK("https://www.xiaohongshu.com/explore/6a2c0c7e00000000060306e4?xsec_token=TBXfyg70k-fjSy8LCGl6_2c7QvmiAd_x3wjQNqJu-_4xE=&amp;xsec_source=pc_trdark","https://www.xiaohongshu.com/explore/6a2c0c7e00000000060306e4?xsec_token=TBXfyg70k-fjSy8LCGl6_2c7QvmiAd_x3wjQNqJu-_4xE=&amp;xsec_source=pc_trdark")</f>
        <v>0.0</v>
      </c>
      <c r="D42" t="inlineStr">
        <is>
          <t>婉婉上班吃什么</t>
        </is>
      </c>
      <c r="E42" t="inlineStr">
        <is>
          <t>11434449706</t>
        </is>
      </c>
      <c r="F42" t="inlineStr">
        <is>
          <t>2026-06-12 21:41:18</t>
        </is>
      </c>
      <c r="G42" t="inlineStr">
        <is>
          <t>图文</t>
        </is>
      </c>
      <c r="H42" t="inlineStr">
        <is>
          <t>手剥虾仁 无冰衣无添加 低脂餐一人食 上班带饭 顺丰包邮 5盒装</t>
        </is>
      </c>
      <c r="I42" t="inlineStr">
        <is>
          <t>694baba01d450d00013662f0</t>
        </is>
      </c>
      <c r="J42" t="inlineStr">
        <is>
          <t/>
        </is>
      </c>
      <c r="K42" t="n">
        <v>127.0</v>
      </c>
      <c r="L42" t="n">
        <v>1.0</v>
      </c>
      <c r="M42" t="n">
        <v>12.0</v>
      </c>
      <c r="N42" t="inlineStr">
        <is>
          <t>0.05150214592274678</t>
        </is>
      </c>
      <c r="O42" t="n">
        <v>11.0</v>
      </c>
      <c r="P42" t="n">
        <v>1.0</v>
      </c>
      <c r="Q42" t="inlineStr">
        <is>
          <t>0.08333333333333333</t>
        </is>
      </c>
      <c r="R42" t="inlineStr">
        <is>
          <t>0.09090909090909091</t>
        </is>
      </c>
      <c r="S42" t="n">
        <v>0.0</v>
      </c>
      <c r="T42" t="n">
        <v>0.0</v>
      </c>
      <c r="U42" t="n">
        <v>0.0</v>
      </c>
      <c r="V42" t="n">
        <v>0.0</v>
      </c>
      <c r="W42" t="n">
        <v>0.0</v>
      </c>
      <c r="X42" t="n">
        <v>0.0</v>
      </c>
      <c r="Y42" t="n">
        <v>0.0</v>
      </c>
      <c r="Z42" t="n">
        <v>0.0</v>
      </c>
      <c r="AA42" t="n">
        <v>0.0</v>
      </c>
      <c r="AB42" t="n">
        <v>0.0</v>
      </c>
      <c r="AC42" t="n">
        <v>0.0</v>
      </c>
      <c r="AD42" t="n">
        <v>233.0</v>
      </c>
      <c r="AE42" t="n">
        <v>1.0</v>
      </c>
      <c r="AF42" t="n">
        <v>1.0</v>
      </c>
      <c r="AG42" t="n">
        <v>0.0</v>
      </c>
      <c r="AH42" t="n">
        <v>0.0</v>
      </c>
      <c r="AI42" t="n">
        <v>0.0</v>
      </c>
      <c r="AJ42" t="n">
        <v>0.0</v>
      </c>
      <c r="AK42" t="n">
        <v>5.9742489270386265</v>
      </c>
      <c r="AL42" t="inlineStr">
        <is>
          <t/>
        </is>
      </c>
    </row>
    <row r="43">
      <c r="A43" t="inlineStr">
        <is>
          <t>我妈：你就卖点好的，贵点没关系</t>
        </is>
      </c>
      <c r="B43" t="inlineStr">
        <is>
          <t>69733ba5000000000b012ea6</t>
        </is>
      </c>
      <c r="C43" s="42" t="n">
        <f>HYPERLINK("https://www.xiaohongshu.com/explore/69733ba5000000000b012ea6?xsec_token=TBK07qywxRjCZuuyJUweFeXzWpMfGOIYuVR7tfyDWyPPY=&amp;xsec_source=pc_trdark","https://www.xiaohongshu.com/explore/69733ba5000000000b012ea6?xsec_token=TBK07qywxRjCZuuyJUweFeXzWpMfGOIYuVR7tfyDWyPPY=&amp;xsec_source=pc_trdark")</f>
        <v>0.0</v>
      </c>
      <c r="D43" t="inlineStr">
        <is>
          <t>鲜水湾甄选</t>
        </is>
      </c>
      <c r="E43" t="inlineStr">
        <is>
          <t>27401929161</t>
        </is>
      </c>
      <c r="F43" t="inlineStr">
        <is>
          <t>2026-01-23 17:13:09</t>
        </is>
      </c>
      <c r="G43" t="inlineStr">
        <is>
          <t>图文</t>
        </is>
      </c>
      <c r="H43" t="inlineStr">
        <is>
          <t>北极甜虾头籽甜虾元宝虾北极熊冰虾孕妈妈宝宝辅食顺丰</t>
        </is>
      </c>
      <c r="I43" t="inlineStr">
        <is>
          <t>6953717eb8f0bb000115158d</t>
        </is>
      </c>
      <c r="J43" t="inlineStr">
        <is>
          <t/>
        </is>
      </c>
      <c r="K43" t="n">
        <v>157.0</v>
      </c>
      <c r="L43" t="n">
        <v>1.0</v>
      </c>
      <c r="M43" t="n">
        <v>28.0</v>
      </c>
      <c r="N43" t="n">
        <v>0.1206896551724138</v>
      </c>
      <c r="O43" t="n">
        <v>23.0</v>
      </c>
      <c r="P43" t="n">
        <v>1.0</v>
      </c>
      <c r="Q43" t="inlineStr">
        <is>
          <t>0.03571428571428571</t>
        </is>
      </c>
      <c r="R43" t="inlineStr">
        <is>
          <t>0.043478260869565216</t>
        </is>
      </c>
      <c r="S43" t="n">
        <v>157.0</v>
      </c>
      <c r="T43" t="n">
        <v>1.0</v>
      </c>
      <c r="U43" t="n">
        <v>1.0</v>
      </c>
      <c r="V43" t="n">
        <v>157.0</v>
      </c>
      <c r="W43" t="n">
        <v>1.0</v>
      </c>
      <c r="X43" t="n">
        <v>1.0</v>
      </c>
      <c r="Y43" t="n">
        <v>1.0</v>
      </c>
      <c r="Z43" t="n">
        <v>4.0</v>
      </c>
      <c r="AA43" t="n">
        <v>0.0</v>
      </c>
      <c r="AB43" t="n">
        <v>0.0</v>
      </c>
      <c r="AC43" t="n">
        <v>0.0</v>
      </c>
      <c r="AD43" t="n">
        <v>232.0</v>
      </c>
      <c r="AE43" t="n">
        <v>0.0</v>
      </c>
      <c r="AF43" t="n">
        <v>0.0</v>
      </c>
      <c r="AG43" t="n">
        <v>0.0</v>
      </c>
      <c r="AH43" t="n">
        <v>0.0</v>
      </c>
      <c r="AI43" t="n">
        <v>0.0</v>
      </c>
      <c r="AJ43" t="n">
        <v>0.0</v>
      </c>
      <c r="AK43" t="n">
        <v>8.051724137931034</v>
      </c>
      <c r="AL43" t="inlineStr">
        <is>
          <t/>
        </is>
      </c>
    </row>
    <row r="44">
      <c r="A44" t="inlineStr">
        <is>
          <t>山母对不起，还是小包装更有幸福感～</t>
        </is>
      </c>
      <c r="B44" t="inlineStr">
        <is>
          <t>6a1e8d92000000000702fa8c</t>
        </is>
      </c>
      <c r="C44" s="43" t="n">
        <f>HYPERLINK("https://www.xiaohongshu.com/explore/6a1e8d92000000000702fa8c?xsec_token=TB-3bUuyjb2g56J4RSha7EmnBWjhpP7kH5j2UPlMLCfVw=&amp;xsec_source=pc_trdark","https://www.xiaohongshu.com/explore/6a1e8d92000000000702fa8c?xsec_token=TB-3bUuyjb2g56J4RSha7EmnBWjhpP7kH5j2UPlMLCfVw=&amp;xsec_source=pc_trdark")</f>
        <v>0.0</v>
      </c>
      <c r="D44" t="inlineStr">
        <is>
          <t>婉婉上班吃什么</t>
        </is>
      </c>
      <c r="E44" t="inlineStr">
        <is>
          <t>11434449706</t>
        </is>
      </c>
      <c r="F44" t="inlineStr">
        <is>
          <t>2026-06-02 16:00:18</t>
        </is>
      </c>
      <c r="G44" t="inlineStr">
        <is>
          <t>图文</t>
        </is>
      </c>
      <c r="H44" t="inlineStr">
        <is>
          <t>手剥虾仁 无冰衣无添加 低脂餐一人食 上班带饭 顺丰包邮 5盒装</t>
        </is>
      </c>
      <c r="I44" t="inlineStr">
        <is>
          <t>694baba01d450d00013662f0</t>
        </is>
      </c>
      <c r="J44" t="inlineStr">
        <is>
          <t/>
        </is>
      </c>
      <c r="K44" t="n">
        <v>0.0</v>
      </c>
      <c r="L44" t="n">
        <v>0.0</v>
      </c>
      <c r="M44" t="n">
        <v>1.0</v>
      </c>
      <c r="N44" t="inlineStr">
        <is>
          <t>0.004366812227074236</t>
        </is>
      </c>
      <c r="O44" t="n">
        <v>1.0</v>
      </c>
      <c r="P44" t="n">
        <v>0.0</v>
      </c>
      <c r="Q44" t="n">
        <v>0.0</v>
      </c>
      <c r="R44" t="n">
        <v>0.0</v>
      </c>
      <c r="S44" t="n">
        <v>0.0</v>
      </c>
      <c r="T44" t="n">
        <v>0.0</v>
      </c>
      <c r="U44" t="n">
        <v>0.0</v>
      </c>
      <c r="V44" t="n">
        <v>0.0</v>
      </c>
      <c r="W44" t="inlineStr">
        <is>
          <t/>
        </is>
      </c>
      <c r="X44" t="n">
        <v>0.0</v>
      </c>
      <c r="Y44" t="n">
        <v>0.0</v>
      </c>
      <c r="Z44" t="n">
        <v>4.0</v>
      </c>
      <c r="AA44" t="n">
        <v>0.0</v>
      </c>
      <c r="AB44" t="n">
        <v>0.0</v>
      </c>
      <c r="AC44" t="n">
        <v>0.0</v>
      </c>
      <c r="AD44" t="n">
        <v>229.0</v>
      </c>
      <c r="AE44" t="n">
        <v>0.0</v>
      </c>
      <c r="AF44" t="n">
        <v>0.0</v>
      </c>
      <c r="AG44" t="n">
        <v>0.0</v>
      </c>
      <c r="AH44" t="n">
        <v>0.0</v>
      </c>
      <c r="AI44" t="n">
        <v>0.0</v>
      </c>
      <c r="AJ44" t="n">
        <v>0.0</v>
      </c>
      <c r="AK44" t="n">
        <v>5.685589519650655</v>
      </c>
      <c r="AL44" t="inlineStr">
        <is>
          <t/>
        </is>
      </c>
    </row>
    <row r="45">
      <c r="A45" t="inlineStr">
        <is>
          <t>控体期发现一个比液断还牛的方法</t>
        </is>
      </c>
      <c r="B45" t="inlineStr">
        <is>
          <t>69d8ce0a000000001a02e88f</t>
        </is>
      </c>
      <c r="C45" s="44" t="n">
        <f>HYPERLINK("https://www.xiaohongshu.com/explore/69d8ce0a000000001a02e88f?xsec_token=TBaP4Vb_xh4r06-3Gp1C6IeOZZxYERWnqD7HFnEEF6zgo=&amp;xsec_source=pc_trdark","https://www.xiaohongshu.com/explore/69d8ce0a000000001a02e88f?xsec_token=TBaP4Vb_xh4r06-3Gp1C6IeOZZxYERWnqD7HFnEEF6zgo=&amp;xsec_source=pc_trdark")</f>
        <v>0.0</v>
      </c>
      <c r="D45" t="inlineStr">
        <is>
          <t>菲菲上班吃什么</t>
        </is>
      </c>
      <c r="E45" t="inlineStr">
        <is>
          <t>49936530607</t>
        </is>
      </c>
      <c r="F45" t="inlineStr">
        <is>
          <t>2026-04-10 18:16:42</t>
        </is>
      </c>
      <c r="G45" t="inlineStr">
        <is>
          <t>图文</t>
        </is>
      </c>
      <c r="H45" t="inlineStr">
        <is>
          <t>手剥虾仁 无冰衣无添加 低脂餐一人食 上班带饭 顺丰包邮 5盒装</t>
        </is>
      </c>
      <c r="I45" t="inlineStr">
        <is>
          <t>694baba01d450d00013662f0</t>
        </is>
      </c>
      <c r="J45" t="inlineStr">
        <is>
          <t/>
        </is>
      </c>
      <c r="K45" t="n">
        <v>0.0</v>
      </c>
      <c r="L45" t="n">
        <v>0.0</v>
      </c>
      <c r="M45" t="n">
        <v>7.0</v>
      </c>
      <c r="N45" t="inlineStr">
        <is>
          <t>0.03070175438596491</t>
        </is>
      </c>
      <c r="O45" t="n">
        <v>7.0</v>
      </c>
      <c r="P45" t="n">
        <v>0.0</v>
      </c>
      <c r="Q45" t="n">
        <v>0.0</v>
      </c>
      <c r="R45" t="n">
        <v>0.0</v>
      </c>
      <c r="S45" t="n">
        <v>0.0</v>
      </c>
      <c r="T45" t="n">
        <v>0.0</v>
      </c>
      <c r="U45" t="n">
        <v>0.0</v>
      </c>
      <c r="V45" t="n">
        <v>0.0</v>
      </c>
      <c r="W45" t="inlineStr">
        <is>
          <t/>
        </is>
      </c>
      <c r="X45" t="n">
        <v>0.0</v>
      </c>
      <c r="Y45" t="n">
        <v>0.0</v>
      </c>
      <c r="Z45" t="n">
        <v>2.0</v>
      </c>
      <c r="AA45" t="n">
        <v>0.0</v>
      </c>
      <c r="AB45" t="n">
        <v>0.0</v>
      </c>
      <c r="AC45" t="n">
        <v>0.0</v>
      </c>
      <c r="AD45" t="n">
        <v>228.0</v>
      </c>
      <c r="AE45" t="n">
        <v>2.0</v>
      </c>
      <c r="AF45" t="n">
        <v>0.0</v>
      </c>
      <c r="AG45" t="n">
        <v>0.0</v>
      </c>
      <c r="AH45" t="n">
        <v>0.0</v>
      </c>
      <c r="AI45" t="n">
        <v>0.0</v>
      </c>
      <c r="AJ45" t="n">
        <v>0.0</v>
      </c>
      <c r="AK45" t="n">
        <v>12.153508771929825</v>
      </c>
      <c r="AL45" t="inlineStr">
        <is>
          <t/>
        </is>
      </c>
    </row>
    <row r="46">
      <c r="A46" t="inlineStr">
        <is>
          <t>健身后，虾仁就走进了我的世界</t>
        </is>
      </c>
      <c r="B46" t="inlineStr">
        <is>
          <t>6a3de89a000000000803168b</t>
        </is>
      </c>
      <c r="C46" s="45" t="n">
        <f>HYPERLINK("https://www.xiaohongshu.com/explore/6a3de89a000000000803168b?xsec_token=TB86hQ-xkUBjAY90uToPmFjRArt6mpUMJmObn0iH8wYIw=&amp;xsec_source=pc_trdark","https://www.xiaohongshu.com/explore/6a3de89a000000000803168b?xsec_token=TB86hQ-xkUBjAY90uToPmFjRArt6mpUMJmObn0iH8wYIw=&amp;xsec_source=pc_trdark")</f>
        <v>0.0</v>
      </c>
      <c r="D46" t="inlineStr">
        <is>
          <t>婉婉上班吃什么</t>
        </is>
      </c>
      <c r="E46" t="inlineStr">
        <is>
          <t>11434449706</t>
        </is>
      </c>
      <c r="F46" t="inlineStr">
        <is>
          <t>2026-06-26 10:48:58</t>
        </is>
      </c>
      <c r="G46" t="inlineStr">
        <is>
          <t>图文</t>
        </is>
      </c>
      <c r="H46" t="inlineStr">
        <is>
          <t>手剥虾仁 无冰衣无添加 低脂餐一人食 上班带饭 顺丰包邮 5盒装</t>
        </is>
      </c>
      <c r="I46" t="inlineStr">
        <is>
          <t>694baba01d450d00013662f0</t>
        </is>
      </c>
      <c r="J46" t="inlineStr">
        <is>
          <t/>
        </is>
      </c>
      <c r="K46" t="n">
        <v>259.0</v>
      </c>
      <c r="L46" t="n">
        <v>3.0</v>
      </c>
      <c r="M46" t="n">
        <v>29.0</v>
      </c>
      <c r="N46" t="inlineStr">
        <is>
          <t>0.13488372093023257</t>
        </is>
      </c>
      <c r="O46" t="n">
        <v>23.0</v>
      </c>
      <c r="P46" t="n">
        <v>3.0</v>
      </c>
      <c r="Q46" t="inlineStr">
        <is>
          <t>0.10344827586206896</t>
        </is>
      </c>
      <c r="R46" t="inlineStr">
        <is>
          <t>0.13043478260869565</t>
        </is>
      </c>
      <c r="S46" t="n">
        <v>127.0</v>
      </c>
      <c r="T46" t="n">
        <v>1.0</v>
      </c>
      <c r="U46" t="n">
        <v>1.0</v>
      </c>
      <c r="V46" t="n">
        <v>127.0</v>
      </c>
      <c r="W46" t="inlineStr">
        <is>
          <t>0.49034749034749037</t>
        </is>
      </c>
      <c r="X46" t="n">
        <v>1.0</v>
      </c>
      <c r="Y46" t="n">
        <v>4.0</v>
      </c>
      <c r="Z46" t="n">
        <v>1.0</v>
      </c>
      <c r="AA46" t="n">
        <v>0.0</v>
      </c>
      <c r="AB46" t="n">
        <v>0.0</v>
      </c>
      <c r="AC46" t="n">
        <v>0.0</v>
      </c>
      <c r="AD46" t="n">
        <v>215.0</v>
      </c>
      <c r="AE46" t="n">
        <v>1.0</v>
      </c>
      <c r="AF46" t="n">
        <v>0.0</v>
      </c>
      <c r="AG46" t="n">
        <v>0.0</v>
      </c>
      <c r="AH46" t="n">
        <v>0.0</v>
      </c>
      <c r="AI46" t="n">
        <v>0.0</v>
      </c>
      <c r="AJ46" t="n">
        <v>0.0</v>
      </c>
      <c r="AK46" t="n">
        <v>11.511627906976743</v>
      </c>
      <c r="AL46" t="inlineStr">
        <is>
          <t/>
        </is>
      </c>
    </row>
    <row r="47">
      <c r="A47" t="inlineStr">
        <is>
          <t>因为我一个人，带动了整个办公室</t>
        </is>
      </c>
      <c r="B47" t="inlineStr">
        <is>
          <t>6a1111470000000008025231</t>
        </is>
      </c>
      <c r="C47" s="46" t="n">
        <f>HYPERLINK("https://www.xiaohongshu.com/explore/6a1111470000000008025231?xsec_token=TB-gytXmUM8EaC3dkg0qkvTodfMij2nr66WRvOJ1XevM0=&amp;xsec_source=pc_trdark","https://www.xiaohongshu.com/explore/6a1111470000000008025231?xsec_token=TB-gytXmUM8EaC3dkg0qkvTodfMij2nr66WRvOJ1XevM0=&amp;xsec_source=pc_trdark")</f>
        <v>0.0</v>
      </c>
      <c r="D47" t="inlineStr">
        <is>
          <t>婉婉上班吃什么</t>
        </is>
      </c>
      <c r="E47" t="inlineStr">
        <is>
          <t>11434449706</t>
        </is>
      </c>
      <c r="F47" t="inlineStr">
        <is>
          <t>2026-05-23 10:30:31</t>
        </is>
      </c>
      <c r="G47" t="inlineStr">
        <is>
          <t>图文</t>
        </is>
      </c>
      <c r="H47" t="inlineStr">
        <is>
          <t>手剥虾仁 无冰衣无添加 低脂餐一人食 上班带饭 顺丰包邮 5盒装</t>
        </is>
      </c>
      <c r="I47" t="inlineStr">
        <is>
          <t>694baba01d450d00013662f0</t>
        </is>
      </c>
      <c r="J47" t="inlineStr">
        <is>
          <t/>
        </is>
      </c>
      <c r="K47" t="n">
        <v>68.0</v>
      </c>
      <c r="L47" t="n">
        <v>1.0</v>
      </c>
      <c r="M47" t="n">
        <v>16.0</v>
      </c>
      <c r="N47" t="n">
        <v>0.0784313725490196</v>
      </c>
      <c r="O47" t="n">
        <v>15.0</v>
      </c>
      <c r="P47" t="n">
        <v>1.0</v>
      </c>
      <c r="Q47" t="n">
        <v>0.0625</v>
      </c>
      <c r="R47" t="inlineStr">
        <is>
          <t>0.06666666666666667</t>
        </is>
      </c>
      <c r="S47" t="n">
        <v>0.0</v>
      </c>
      <c r="T47" t="n">
        <v>0.0</v>
      </c>
      <c r="U47" t="n">
        <v>0.0</v>
      </c>
      <c r="V47" t="n">
        <v>0.0</v>
      </c>
      <c r="W47" t="n">
        <v>0.0</v>
      </c>
      <c r="X47" t="n">
        <v>0.0</v>
      </c>
      <c r="Y47" t="n">
        <v>4.0</v>
      </c>
      <c r="Z47" t="n">
        <v>1.0</v>
      </c>
      <c r="AA47" t="n">
        <v>0.0</v>
      </c>
      <c r="AB47" t="n">
        <v>0.0</v>
      </c>
      <c r="AC47" t="n">
        <v>0.0</v>
      </c>
      <c r="AD47" t="n">
        <v>204.0</v>
      </c>
      <c r="AE47" t="n">
        <v>1.0</v>
      </c>
      <c r="AF47" t="n">
        <v>0.0</v>
      </c>
      <c r="AG47" t="n">
        <v>0.0</v>
      </c>
      <c r="AH47" t="n">
        <v>1.0</v>
      </c>
      <c r="AI47" t="n">
        <v>0.0</v>
      </c>
      <c r="AJ47" t="n">
        <v>0.0</v>
      </c>
      <c r="AK47" t="n">
        <v>10.950980392156863</v>
      </c>
      <c r="AL47" t="inlineStr">
        <is>
          <t/>
        </is>
      </c>
    </row>
    <row r="48">
      <c r="A48" t="inlineStr">
        <is>
          <t>老天奶...一周9斤啊</t>
        </is>
      </c>
      <c r="B48" t="inlineStr">
        <is>
          <t>69dd0d05000000001a0347cc</t>
        </is>
      </c>
      <c r="C48" s="47" t="n">
        <f>HYPERLINK("https://www.xiaohongshu.com/explore/69dd0d05000000001a0347cc?xsec_token=TB8r3ufLA5jFsQMlCYrT2kPp98gy2lsYvRmV_oIBW0Iwg=&amp;xsec_source=pc_trdark","https://www.xiaohongshu.com/explore/69dd0d05000000001a0347cc?xsec_token=TB8r3ufLA5jFsQMlCYrT2kPp98gy2lsYvRmV_oIBW0Iwg=&amp;xsec_source=pc_trdark")</f>
        <v>0.0</v>
      </c>
      <c r="D48" t="inlineStr">
        <is>
          <t>菲菲上班吃什么</t>
        </is>
      </c>
      <c r="E48" t="inlineStr">
        <is>
          <t>49936530607</t>
        </is>
      </c>
      <c r="F48" t="inlineStr">
        <is>
          <t>2026-04-13 23:34:29</t>
        </is>
      </c>
      <c r="G48" t="inlineStr">
        <is>
          <t>图文</t>
        </is>
      </c>
      <c r="H48" t="inlineStr">
        <is>
          <t>手剥虾仁 无冰衣无添加 低脂餐一人食 上班带饭 顺丰包邮 5盒装</t>
        </is>
      </c>
      <c r="I48" t="inlineStr">
        <is>
          <t>694baba01d450d00013662f0</t>
        </is>
      </c>
      <c r="J48" t="inlineStr">
        <is>
          <t/>
        </is>
      </c>
      <c r="K48" t="n">
        <v>0.0</v>
      </c>
      <c r="L48" t="n">
        <v>0.0</v>
      </c>
      <c r="M48" t="n">
        <v>19.0</v>
      </c>
      <c r="N48" t="inlineStr">
        <is>
          <t>0.09313725490196079</t>
        </is>
      </c>
      <c r="O48" t="n">
        <v>16.0</v>
      </c>
      <c r="P48" t="n">
        <v>0.0</v>
      </c>
      <c r="Q48" t="n">
        <v>0.0</v>
      </c>
      <c r="R48" t="n">
        <v>0.0</v>
      </c>
      <c r="S48" t="n">
        <v>0.0</v>
      </c>
      <c r="T48" t="n">
        <v>0.0</v>
      </c>
      <c r="U48" t="n">
        <v>0.0</v>
      </c>
      <c r="V48" t="n">
        <v>0.0</v>
      </c>
      <c r="W48" t="inlineStr">
        <is>
          <t/>
        </is>
      </c>
      <c r="X48" t="n">
        <v>0.0</v>
      </c>
      <c r="Y48" t="n">
        <v>3.0</v>
      </c>
      <c r="Z48" t="n">
        <v>1.0</v>
      </c>
      <c r="AA48" t="n">
        <v>0.0</v>
      </c>
      <c r="AB48" t="n">
        <v>0.0</v>
      </c>
      <c r="AC48" t="n">
        <v>0.0</v>
      </c>
      <c r="AD48" t="n">
        <v>204.0</v>
      </c>
      <c r="AE48" t="n">
        <v>1.0</v>
      </c>
      <c r="AF48" t="n">
        <v>0.0</v>
      </c>
      <c r="AG48" t="n">
        <v>0.0</v>
      </c>
      <c r="AH48" t="n">
        <v>0.0</v>
      </c>
      <c r="AI48" t="n">
        <v>0.0</v>
      </c>
      <c r="AJ48" t="n">
        <v>0.0</v>
      </c>
      <c r="AK48" t="n">
        <v>13.377450980392156</v>
      </c>
      <c r="AL48" t="inlineStr">
        <is>
          <t/>
        </is>
      </c>
    </row>
    <row r="49">
      <c r="A49" t="inlineStr">
        <is>
          <t>真的，低估了300多块钱的购买力！</t>
        </is>
      </c>
      <c r="B49" t="inlineStr">
        <is>
          <t>6a3a14a90000000022008d6d</t>
        </is>
      </c>
      <c r="C49" s="48" t="n">
        <f>HYPERLINK("https://www.xiaohongshu.com/explore/6a3a14a90000000022008d6d?xsec_token=TB6JLlH-I5wyeOIL4LxmWU3pRd86vYt4Mq91CcERDeMGE=&amp;xsec_source=pc_trdark","https://www.xiaohongshu.com/explore/6a3a14a90000000022008d6d?xsec_token=TB6JLlH-I5wyeOIL4LxmWU3pRd86vYt4Mq91CcERDeMGE=&amp;xsec_source=pc_trdark")</f>
        <v>0.0</v>
      </c>
      <c r="D49" t="inlineStr">
        <is>
          <t>婉婉上班吃什么</t>
        </is>
      </c>
      <c r="E49" t="inlineStr">
        <is>
          <t>11434449706</t>
        </is>
      </c>
      <c r="F49" t="inlineStr">
        <is>
          <t>2026-06-23 13:07:53</t>
        </is>
      </c>
      <c r="G49" t="inlineStr">
        <is>
          <t>图文</t>
        </is>
      </c>
      <c r="H49" t="inlineStr">
        <is>
          <t>智利尾端中段整条三文鱼 8斤深海鱼低脂餐囤货一周备菜顺丰包邮</t>
        </is>
      </c>
      <c r="I49" t="inlineStr">
        <is>
          <t>69fab80d64eb410001ece0c0</t>
        </is>
      </c>
      <c r="J49" t="inlineStr">
        <is>
          <t/>
        </is>
      </c>
      <c r="K49" t="n">
        <v>127.0</v>
      </c>
      <c r="L49" t="n">
        <v>1.0</v>
      </c>
      <c r="M49" t="n">
        <v>23.0</v>
      </c>
      <c r="N49" t="inlineStr">
        <is>
          <t>0.11616161616161616</t>
        </is>
      </c>
      <c r="O49" t="n">
        <v>18.0</v>
      </c>
      <c r="P49" t="n">
        <v>1.0</v>
      </c>
      <c r="Q49" t="inlineStr">
        <is>
          <t>0.043478260869565216</t>
        </is>
      </c>
      <c r="R49" t="inlineStr">
        <is>
          <t>0.05555555555555555</t>
        </is>
      </c>
      <c r="S49" t="n">
        <v>0.0</v>
      </c>
      <c r="T49" t="n">
        <v>0.0</v>
      </c>
      <c r="U49" t="n">
        <v>0.0</v>
      </c>
      <c r="V49" t="n">
        <v>0.0</v>
      </c>
      <c r="W49" t="n">
        <v>0.0</v>
      </c>
      <c r="X49" t="n">
        <v>0.0</v>
      </c>
      <c r="Y49" t="n">
        <v>7.0</v>
      </c>
      <c r="Z49" t="n">
        <v>11.0</v>
      </c>
      <c r="AA49" t="n">
        <v>0.0</v>
      </c>
      <c r="AB49" t="n">
        <v>0.0</v>
      </c>
      <c r="AC49" t="n">
        <v>0.0</v>
      </c>
      <c r="AD49" t="n">
        <v>198.0</v>
      </c>
      <c r="AE49" t="n">
        <v>2.0</v>
      </c>
      <c r="AF49" t="n">
        <v>0.0</v>
      </c>
      <c r="AG49" t="n">
        <v>2.0</v>
      </c>
      <c r="AH49" t="n">
        <v>0.0</v>
      </c>
      <c r="AI49" t="n">
        <v>0.0</v>
      </c>
      <c r="AJ49" t="n">
        <v>0.0</v>
      </c>
      <c r="AK49" t="n">
        <v>17.181818181818183</v>
      </c>
      <c r="AL49" t="inlineStr">
        <is>
          <t/>
        </is>
      </c>
    </row>
    <row r="50">
      <c r="A50" t="inlineStr">
        <is>
          <t>终于找到孕妈妈可以放心吃的盐田虾了</t>
        </is>
      </c>
      <c r="B50" t="inlineStr">
        <is>
          <t>6a0c1cbe0000000008026b45</t>
        </is>
      </c>
      <c r="C50" s="49" t="n">
        <f>HYPERLINK("https://www.xiaohongshu.com/explore/6a0c1cbe0000000008026b45?xsec_token=TBM83lsGB1pVe48oYCuJr8OCePgadUYRYMaYD_O7v78DU=&amp;xsec_source=pc_trdark","https://www.xiaohongshu.com/explore/6a0c1cbe0000000008026b45?xsec_token=TBM83lsGB1pVe48oYCuJr8OCePgadUYRYMaYD_O7v78DU=&amp;xsec_source=pc_trdark")</f>
        <v>0.0</v>
      </c>
      <c r="D50" t="inlineStr">
        <is>
          <t>婉婉上班吃什么</t>
        </is>
      </c>
      <c r="E50" t="inlineStr">
        <is>
          <t>11434449706</t>
        </is>
      </c>
      <c r="F50" t="inlineStr">
        <is>
          <t>2026-05-19 16:18:06</t>
        </is>
      </c>
      <c r="G50" t="inlineStr">
        <is>
          <t>图文</t>
        </is>
      </c>
      <c r="H50" t="inlineStr">
        <is>
          <t>盐田虾无抗有机盐田虾孕妈妈宝宝辅食顺丰包邮无打药无污染健康虾</t>
        </is>
      </c>
      <c r="I50" t="inlineStr">
        <is>
          <t>693244a046e530000140adb2</t>
        </is>
      </c>
      <c r="J50" t="inlineStr">
        <is>
          <t/>
        </is>
      </c>
      <c r="K50" t="n">
        <v>78.0</v>
      </c>
      <c r="L50" t="n">
        <v>1.0</v>
      </c>
      <c r="M50" t="n">
        <v>20.0</v>
      </c>
      <c r="N50" t="inlineStr">
        <is>
          <t>0.10256410256410256</t>
        </is>
      </c>
      <c r="O50" t="n">
        <v>14.0</v>
      </c>
      <c r="P50" t="n">
        <v>1.0</v>
      </c>
      <c r="Q50" t="n">
        <v>0.05</v>
      </c>
      <c r="R50" t="inlineStr">
        <is>
          <t>0.07142857142857142</t>
        </is>
      </c>
      <c r="S50" t="n">
        <v>0.0</v>
      </c>
      <c r="T50" t="n">
        <v>0.0</v>
      </c>
      <c r="U50" t="n">
        <v>0.0</v>
      </c>
      <c r="V50" t="n">
        <v>0.0</v>
      </c>
      <c r="W50" t="n">
        <v>0.0</v>
      </c>
      <c r="X50" t="n">
        <v>0.0</v>
      </c>
      <c r="Y50" t="n">
        <v>3.0</v>
      </c>
      <c r="Z50" t="n">
        <v>14.0</v>
      </c>
      <c r="AA50" t="n">
        <v>0.0</v>
      </c>
      <c r="AB50" t="n">
        <v>0.0</v>
      </c>
      <c r="AC50" t="n">
        <v>0.0</v>
      </c>
      <c r="AD50" t="n">
        <v>195.0</v>
      </c>
      <c r="AE50" t="n">
        <v>0.0</v>
      </c>
      <c r="AF50" t="n">
        <v>0.0</v>
      </c>
      <c r="AG50" t="n">
        <v>0.0</v>
      </c>
      <c r="AH50" t="n">
        <v>1.0</v>
      </c>
      <c r="AI50" t="n">
        <v>0.0</v>
      </c>
      <c r="AJ50" t="n">
        <v>0.0</v>
      </c>
      <c r="AK50" t="n">
        <v>7.3076923076923075</v>
      </c>
      <c r="AL50" t="inlineStr">
        <is>
          <t/>
        </is>
      </c>
    </row>
    <row r="51">
      <c r="A51" t="inlineStr">
        <is>
          <t>不贵，118买1000g大包装，减脂期爱了</t>
        </is>
      </c>
      <c r="B51" t="inlineStr">
        <is>
          <t>6a660ee60000000010025d20</t>
        </is>
      </c>
      <c r="C51" s="50" t="n">
        <f>HYPERLINK("https://www.xiaohongshu.com/explore/6a660ee60000000010025d20?xsec_token=TBIHthkK-vLT6HWx1MaVA_QQmC6GMKrKDiRvbZ9Aa5YZ8=&amp;xsec_source=pc_trdark","https://www.xiaohongshu.com/explore/6a660ee60000000010025d20?xsec_token=TBIHthkK-vLT6HWx1MaVA_QQmC6GMKrKDiRvbZ9Aa5YZ8=&amp;xsec_source=pc_trdark")</f>
        <v>0.0</v>
      </c>
      <c r="D51" t="inlineStr">
        <is>
          <t>婉婉上班吃什么</t>
        </is>
      </c>
      <c r="E51" t="inlineStr">
        <is>
          <t>11434449706</t>
        </is>
      </c>
      <c r="F51" t="inlineStr">
        <is>
          <t>2026-07-26 21:43:02</t>
        </is>
      </c>
      <c r="G51" t="inlineStr">
        <is>
          <t>图文</t>
        </is>
      </c>
      <c r="H51" t="inlineStr">
        <is>
          <t>智利三文鱼切块·整条三文鱼·深海鱼一人食健康饮食</t>
        </is>
      </c>
      <c r="I51" t="inlineStr">
        <is>
          <t>691ac562a524ee0001b51d7b</t>
        </is>
      </c>
      <c r="J51" t="inlineStr">
        <is>
          <t/>
        </is>
      </c>
      <c r="K51" t="n">
        <v>0.0</v>
      </c>
      <c r="L51" t="n">
        <v>0.0</v>
      </c>
      <c r="M51" t="n">
        <v>16.0</v>
      </c>
      <c r="N51" t="n">
        <v>0.0855614973262032</v>
      </c>
      <c r="O51" t="n">
        <v>14.0</v>
      </c>
      <c r="P51" t="n">
        <v>0.0</v>
      </c>
      <c r="Q51" t="n">
        <v>0.0</v>
      </c>
      <c r="R51" t="n">
        <v>0.0</v>
      </c>
      <c r="S51" t="n">
        <v>0.0</v>
      </c>
      <c r="T51" t="n">
        <v>0.0</v>
      </c>
      <c r="U51" t="n">
        <v>0.0</v>
      </c>
      <c r="V51" t="n">
        <v>0.0</v>
      </c>
      <c r="W51" t="inlineStr">
        <is>
          <t/>
        </is>
      </c>
      <c r="X51" t="n">
        <v>0.0</v>
      </c>
      <c r="Y51" t="n">
        <v>5.0</v>
      </c>
      <c r="Z51" t="n">
        <v>1.0</v>
      </c>
      <c r="AA51" t="n">
        <v>0.0</v>
      </c>
      <c r="AB51" t="n">
        <v>0.0</v>
      </c>
      <c r="AC51" t="n">
        <v>0.0</v>
      </c>
      <c r="AD51" t="n">
        <v>187.0</v>
      </c>
      <c r="AE51" t="n">
        <v>1.0</v>
      </c>
      <c r="AF51" t="n">
        <v>0.0</v>
      </c>
      <c r="AG51" t="n">
        <v>0.0</v>
      </c>
      <c r="AH51" t="n">
        <v>0.0</v>
      </c>
      <c r="AI51" t="n">
        <v>0.0</v>
      </c>
      <c r="AJ51" t="n">
        <v>0.0</v>
      </c>
      <c r="AK51" t="n">
        <v>12.481283422459892</v>
      </c>
      <c r="AL51" t="inlineStr">
        <is>
          <t/>
        </is>
      </c>
    </row>
    <row r="52">
      <c r="A52" t="inlineStr">
        <is>
          <t>终于知道为什么每天吃虾反而更瘦了</t>
        </is>
      </c>
      <c r="B52" t="inlineStr">
        <is>
          <t>69db5a7c000000001b023c60</t>
        </is>
      </c>
      <c r="C52" s="51" t="n">
        <f>HYPERLINK("https://www.xiaohongshu.com/explore/69db5a7c000000001b023c60?xsec_token=TBv7n0Oy0CPbFvgz473v78kdG3sNBy5SkQx9ohab4c5r4=&amp;xsec_source=pc_trdark","https://www.xiaohongshu.com/explore/69db5a7c000000001b023c60?xsec_token=TBv7n0Oy0CPbFvgz473v78kdG3sNBy5SkQx9ohab4c5r4=&amp;xsec_source=pc_trdark")</f>
        <v>0.0</v>
      </c>
      <c r="D52" t="inlineStr">
        <is>
          <t>婉婉上班吃什么</t>
        </is>
      </c>
      <c r="E52" t="inlineStr">
        <is>
          <t>11434449706</t>
        </is>
      </c>
      <c r="F52" t="inlineStr">
        <is>
          <t>2026-04-12 16:40:28</t>
        </is>
      </c>
      <c r="G52" t="inlineStr">
        <is>
          <t>图文</t>
        </is>
      </c>
      <c r="H52" t="inlineStr">
        <is>
          <t>手剥虾仁 无冰衣无添加 低脂餐一人食 上班带饭 顺丰包邮 5盒装</t>
        </is>
      </c>
      <c r="I52" t="inlineStr">
        <is>
          <t>694baba01d450d00013662f0</t>
        </is>
      </c>
      <c r="J52" t="inlineStr">
        <is>
          <t/>
        </is>
      </c>
      <c r="K52" t="n">
        <v>0.0</v>
      </c>
      <c r="L52" t="n">
        <v>0.0</v>
      </c>
      <c r="M52" t="n">
        <v>6.0</v>
      </c>
      <c r="N52" t="inlineStr">
        <is>
          <t>0.03225806451612903</t>
        </is>
      </c>
      <c r="O52" t="n">
        <v>5.0</v>
      </c>
      <c r="P52" t="n">
        <v>0.0</v>
      </c>
      <c r="Q52" t="n">
        <v>0.0</v>
      </c>
      <c r="R52" t="n">
        <v>0.0</v>
      </c>
      <c r="S52" t="n">
        <v>0.0</v>
      </c>
      <c r="T52" t="n">
        <v>0.0</v>
      </c>
      <c r="U52" t="n">
        <v>0.0</v>
      </c>
      <c r="V52" t="n">
        <v>0.0</v>
      </c>
      <c r="W52" t="inlineStr">
        <is>
          <t/>
        </is>
      </c>
      <c r="X52" t="n">
        <v>0.0</v>
      </c>
      <c r="Y52" t="n">
        <v>0.0</v>
      </c>
      <c r="Z52" t="n">
        <v>3.0</v>
      </c>
      <c r="AA52" t="n">
        <v>0.0</v>
      </c>
      <c r="AB52" t="n">
        <v>0.0</v>
      </c>
      <c r="AC52" t="n">
        <v>0.0</v>
      </c>
      <c r="AD52" t="n">
        <v>186.0</v>
      </c>
      <c r="AE52" t="n">
        <v>1.0</v>
      </c>
      <c r="AF52" t="n">
        <v>0.0</v>
      </c>
      <c r="AG52" t="n">
        <v>0.0</v>
      </c>
      <c r="AH52" t="n">
        <v>0.0</v>
      </c>
      <c r="AI52" t="n">
        <v>0.0</v>
      </c>
      <c r="AJ52" t="n">
        <v>0.0</v>
      </c>
      <c r="AK52" t="n">
        <v>13.591397849462366</v>
      </c>
      <c r="AL52" t="inlineStr">
        <is>
          <t/>
        </is>
      </c>
    </row>
    <row r="53">
      <c r="A53" t="inlineStr">
        <is>
          <t>不是所有鱼，都能平替三文鱼</t>
        </is>
      </c>
      <c r="B53" t="inlineStr">
        <is>
          <t>6a0c732d00000000070222e6</t>
        </is>
      </c>
      <c r="C53" s="52" t="n">
        <f>HYPERLINK("https://www.xiaohongshu.com/explore/6a0c732d00000000070222e6?xsec_token=TBM83lsGB1pVe48oYCuJr8OPojbZcb2G4Bb83VPxWnlGw=&amp;xsec_source=pc_trdark","https://www.xiaohongshu.com/explore/6a0c732d00000000070222e6?xsec_token=TBM83lsGB1pVe48oYCuJr8OPojbZcb2G4Bb83VPxWnlGw=&amp;xsec_source=pc_trdark")</f>
        <v>0.0</v>
      </c>
      <c r="D53" t="inlineStr">
        <is>
          <t>鲜水湾</t>
        </is>
      </c>
      <c r="E53" t="inlineStr">
        <is>
          <t>49316638994</t>
        </is>
      </c>
      <c r="F53" t="inlineStr">
        <is>
          <t>2026-05-19 22:26:53</t>
        </is>
      </c>
      <c r="G53" t="inlineStr">
        <is>
          <t>图文</t>
        </is>
      </c>
      <c r="H53" t="inlineStr">
        <is>
          <t>智利尾端中段整条三文鱼 8斤深海鱼低脂餐囤货一周备菜顺丰包邮</t>
        </is>
      </c>
      <c r="I53" t="inlineStr">
        <is>
          <t>69fab80d64eb410001ece0c0</t>
        </is>
      </c>
      <c r="J53" t="inlineStr">
        <is>
          <t/>
        </is>
      </c>
      <c r="K53" t="n">
        <v>0.0</v>
      </c>
      <c r="L53" t="n">
        <v>0.0</v>
      </c>
      <c r="M53" t="n">
        <v>23.0</v>
      </c>
      <c r="N53" t="inlineStr">
        <is>
          <t>0.12568306010928962</t>
        </is>
      </c>
      <c r="O53" t="n">
        <v>17.0</v>
      </c>
      <c r="P53" t="n">
        <v>0.0</v>
      </c>
      <c r="Q53" t="n">
        <v>0.0</v>
      </c>
      <c r="R53" t="n">
        <v>0.0</v>
      </c>
      <c r="S53" t="n">
        <v>0.0</v>
      </c>
      <c r="T53" t="n">
        <v>0.0</v>
      </c>
      <c r="U53" t="n">
        <v>0.0</v>
      </c>
      <c r="V53" t="n">
        <v>0.0</v>
      </c>
      <c r="W53" t="inlineStr">
        <is>
          <t/>
        </is>
      </c>
      <c r="X53" t="n">
        <v>0.0</v>
      </c>
      <c r="Y53" t="n">
        <v>6.0</v>
      </c>
      <c r="Z53" t="n">
        <v>2.0</v>
      </c>
      <c r="AA53" t="n">
        <v>0.0</v>
      </c>
      <c r="AB53" t="n">
        <v>0.0</v>
      </c>
      <c r="AC53" t="n">
        <v>0.0</v>
      </c>
      <c r="AD53" t="n">
        <v>183.0</v>
      </c>
      <c r="AE53" t="n">
        <v>0.0</v>
      </c>
      <c r="AF53" t="n">
        <v>0.0</v>
      </c>
      <c r="AG53" t="n">
        <v>0.0</v>
      </c>
      <c r="AH53" t="n">
        <v>0.0</v>
      </c>
      <c r="AI53" t="n">
        <v>0.0</v>
      </c>
      <c r="AJ53" t="n">
        <v>0.0</v>
      </c>
      <c r="AK53" t="n">
        <v>20.185792349726775</v>
      </c>
      <c r="AL53" t="inlineStr">
        <is>
          <t/>
        </is>
      </c>
    </row>
    <row r="54">
      <c r="A54" t="inlineStr">
        <is>
          <t>60块独立小包装虾仁，解决我一周减脂餐！！！</t>
        </is>
      </c>
      <c r="B54" t="inlineStr">
        <is>
          <t>6a45dc470000000007021475</t>
        </is>
      </c>
      <c r="C54" s="53" t="n">
        <f>HYPERLINK("https://www.xiaohongshu.com/explore/6a45dc470000000007021475?xsec_token=TBc3hrIjXUbUVl-pJFVTIemXAkXgtXP7CWparUDPmAY5g=&amp;xsec_source=pc_trdark","https://www.xiaohongshu.com/explore/6a45dc470000000007021475?xsec_token=TBc3hrIjXUbUVl-pJFVTIemXAkXgtXP7CWparUDPmAY5g=&amp;xsec_source=pc_trdark")</f>
        <v>0.0</v>
      </c>
      <c r="D54" t="inlineStr">
        <is>
          <t>菲菲上班吃什么</t>
        </is>
      </c>
      <c r="E54" t="inlineStr">
        <is>
          <t>49936530607</t>
        </is>
      </c>
      <c r="F54" t="inlineStr">
        <is>
          <t>2026-07-02 11:34:31</t>
        </is>
      </c>
      <c r="G54" t="inlineStr">
        <is>
          <t>图文</t>
        </is>
      </c>
      <c r="H54" t="inlineStr">
        <is>
          <t>手剥虾仁 无冰衣无添加 低脂餐一人食 上班带饭 顺丰包邮 5盒装</t>
        </is>
      </c>
      <c r="I54" t="inlineStr">
        <is>
          <t>694baba01d450d00013662f0</t>
        </is>
      </c>
      <c r="J54" t="inlineStr">
        <is>
          <t/>
        </is>
      </c>
      <c r="K54" t="n">
        <v>0.0</v>
      </c>
      <c r="L54" t="n">
        <v>0.0</v>
      </c>
      <c r="M54" t="n">
        <v>29.0</v>
      </c>
      <c r="N54" t="inlineStr">
        <is>
          <t>0.16201117318435754</t>
        </is>
      </c>
      <c r="O54" t="n">
        <v>27.0</v>
      </c>
      <c r="P54" t="n">
        <v>0.0</v>
      </c>
      <c r="Q54" t="n">
        <v>0.0</v>
      </c>
      <c r="R54" t="n">
        <v>0.0</v>
      </c>
      <c r="S54" t="n">
        <v>0.0</v>
      </c>
      <c r="T54" t="n">
        <v>0.0</v>
      </c>
      <c r="U54" t="n">
        <v>0.0</v>
      </c>
      <c r="V54" t="n">
        <v>0.0</v>
      </c>
      <c r="W54" t="inlineStr">
        <is>
          <t/>
        </is>
      </c>
      <c r="X54" t="n">
        <v>0.0</v>
      </c>
      <c r="Y54" t="n">
        <v>3.0</v>
      </c>
      <c r="Z54" t="n">
        <v>6.0</v>
      </c>
      <c r="AA54" t="n">
        <v>0.0</v>
      </c>
      <c r="AB54" t="n">
        <v>0.0</v>
      </c>
      <c r="AC54" t="n">
        <v>0.0</v>
      </c>
      <c r="AD54" t="n">
        <v>179.0</v>
      </c>
      <c r="AE54" t="n">
        <v>0.0</v>
      </c>
      <c r="AF54" t="n">
        <v>0.0</v>
      </c>
      <c r="AG54" t="n">
        <v>0.0</v>
      </c>
      <c r="AH54" t="n">
        <v>0.0</v>
      </c>
      <c r="AI54" t="n">
        <v>0.0</v>
      </c>
      <c r="AJ54" t="n">
        <v>0.0</v>
      </c>
      <c r="AK54" t="n">
        <v>15.078212290502794</v>
      </c>
      <c r="AL54" t="inlineStr">
        <is>
          <t/>
        </is>
      </c>
    </row>
    <row r="55">
      <c r="A55" t="inlineStr">
        <is>
          <t>终于找到Sam三文鱼的平替了</t>
        </is>
      </c>
      <c r="B55" t="inlineStr">
        <is>
          <t>6a5d95f900000000100241b4</t>
        </is>
      </c>
      <c r="C55" s="54" t="n">
        <f>HYPERLINK("https://www.xiaohongshu.com/explore/6a5d95f900000000100241b4?xsec_token=TBhNPC94_6xvOzlNirloUV2IYmWBKQQIddQ6CTEopstZY=&amp;xsec_source=pc_trdark","https://www.xiaohongshu.com/explore/6a5d95f900000000100241b4?xsec_token=TBhNPC94_6xvOzlNirloUV2IYmWBKQQIddQ6CTEopstZY=&amp;xsec_source=pc_trdark")</f>
        <v>0.0</v>
      </c>
      <c r="D55" t="inlineStr">
        <is>
          <t>婉婉上班吃什么</t>
        </is>
      </c>
      <c r="E55" t="inlineStr">
        <is>
          <t>11434449706</t>
        </is>
      </c>
      <c r="F55" t="inlineStr">
        <is>
          <t>2026-07-20 11:28:57</t>
        </is>
      </c>
      <c r="G55" t="inlineStr">
        <is>
          <t>图文</t>
        </is>
      </c>
      <c r="H55" t="inlineStr">
        <is>
          <t>智利三文鱼切块·整条三文鱼·深海鱼一人食健康饮食</t>
        </is>
      </c>
      <c r="I55" t="inlineStr">
        <is>
          <t>691ac562a524ee0001b51d7b</t>
        </is>
      </c>
      <c r="J55" t="inlineStr">
        <is>
          <t/>
        </is>
      </c>
      <c r="K55" t="n">
        <v>0.0</v>
      </c>
      <c r="L55" t="n">
        <v>0.0</v>
      </c>
      <c r="M55" t="n">
        <v>15.0</v>
      </c>
      <c r="N55" t="inlineStr">
        <is>
          <t>0.08522727272727272</t>
        </is>
      </c>
      <c r="O55" t="n">
        <v>13.0</v>
      </c>
      <c r="P55" t="n">
        <v>0.0</v>
      </c>
      <c r="Q55" t="n">
        <v>0.0</v>
      </c>
      <c r="R55" t="n">
        <v>0.0</v>
      </c>
      <c r="S55" t="n">
        <v>0.0</v>
      </c>
      <c r="T55" t="n">
        <v>0.0</v>
      </c>
      <c r="U55" t="n">
        <v>0.0</v>
      </c>
      <c r="V55" t="n">
        <v>0.0</v>
      </c>
      <c r="W55" t="inlineStr">
        <is>
          <t/>
        </is>
      </c>
      <c r="X55" t="n">
        <v>0.0</v>
      </c>
      <c r="Y55" t="n">
        <v>3.0</v>
      </c>
      <c r="Z55" t="n">
        <v>3.0</v>
      </c>
      <c r="AA55" t="n">
        <v>0.0</v>
      </c>
      <c r="AB55" t="n">
        <v>0.0</v>
      </c>
      <c r="AC55" t="n">
        <v>0.0</v>
      </c>
      <c r="AD55" t="n">
        <v>176.0</v>
      </c>
      <c r="AE55" t="n">
        <v>3.0</v>
      </c>
      <c r="AF55" t="n">
        <v>0.0</v>
      </c>
      <c r="AG55" t="n">
        <v>0.0</v>
      </c>
      <c r="AH55" t="n">
        <v>0.0</v>
      </c>
      <c r="AI55" t="n">
        <v>0.0</v>
      </c>
      <c r="AJ55" t="n">
        <v>0.0</v>
      </c>
      <c r="AK55" t="n">
        <v>7.909090909090909</v>
      </c>
      <c r="AL55" t="inlineStr">
        <is>
          <t/>
        </is>
      </c>
    </row>
    <row r="56">
      <c r="A56" t="inlineStr">
        <is>
          <t>凭一己之力带动整个办公室自制减脂餐</t>
        </is>
      </c>
      <c r="B56" t="inlineStr">
        <is>
          <t>6a058fd400000000070214cd</t>
        </is>
      </c>
      <c r="C56" s="55" t="n">
        <f>HYPERLINK("https://www.xiaohongshu.com/explore/6a058fd400000000070214cd?xsec_token=TB5fIXEADm3ztd3cFmDO51aFysIZllB4fS4WLhuv24gyQ=&amp;xsec_source=pc_trdark","https://www.xiaohongshu.com/explore/6a058fd400000000070214cd?xsec_token=TB5fIXEADm3ztd3cFmDO51aFysIZllB4fS4WLhuv24gyQ=&amp;xsec_source=pc_trdark")</f>
        <v>0.0</v>
      </c>
      <c r="D56" t="inlineStr">
        <is>
          <t>婉婉上班吃什么</t>
        </is>
      </c>
      <c r="E56" t="inlineStr">
        <is>
          <t>11434449706</t>
        </is>
      </c>
      <c r="F56" t="inlineStr">
        <is>
          <t>2026-05-14 17:03:16</t>
        </is>
      </c>
      <c r="G56" t="inlineStr">
        <is>
          <t>图文</t>
        </is>
      </c>
      <c r="H56" t="inlineStr">
        <is>
          <t>手剥虾仁 无冰衣无添加 低脂餐一人食 上班带饭 顺丰包邮 5盒装</t>
        </is>
      </c>
      <c r="I56" t="inlineStr">
        <is>
          <t>694baba01d450d00013662f0</t>
        </is>
      </c>
      <c r="J56" t="inlineStr">
        <is>
          <t/>
        </is>
      </c>
      <c r="K56" t="n">
        <v>0.0</v>
      </c>
      <c r="L56" t="n">
        <v>0.0</v>
      </c>
      <c r="M56" t="n">
        <v>6.0</v>
      </c>
      <c r="N56" t="inlineStr">
        <is>
          <t>0.034482758620689655</t>
        </is>
      </c>
      <c r="O56" t="n">
        <v>6.0</v>
      </c>
      <c r="P56" t="n">
        <v>0.0</v>
      </c>
      <c r="Q56" t="n">
        <v>0.0</v>
      </c>
      <c r="R56" t="n">
        <v>0.0</v>
      </c>
      <c r="S56" t="n">
        <v>0.0</v>
      </c>
      <c r="T56" t="n">
        <v>0.0</v>
      </c>
      <c r="U56" t="n">
        <v>0.0</v>
      </c>
      <c r="V56" t="n">
        <v>0.0</v>
      </c>
      <c r="W56" t="inlineStr">
        <is>
          <t/>
        </is>
      </c>
      <c r="X56" t="n">
        <v>0.0</v>
      </c>
      <c r="Y56" t="n">
        <v>2.0</v>
      </c>
      <c r="Z56" t="n">
        <v>7.0</v>
      </c>
      <c r="AA56" t="n">
        <v>0.0</v>
      </c>
      <c r="AB56" t="n">
        <v>0.0</v>
      </c>
      <c r="AC56" t="n">
        <v>0.0</v>
      </c>
      <c r="AD56" t="n">
        <v>174.0</v>
      </c>
      <c r="AE56" t="n">
        <v>2.0</v>
      </c>
      <c r="AF56" t="n">
        <v>0.0</v>
      </c>
      <c r="AG56" t="n">
        <v>0.0</v>
      </c>
      <c r="AH56" t="n">
        <v>0.0</v>
      </c>
      <c r="AI56" t="n">
        <v>0.0</v>
      </c>
      <c r="AJ56" t="n">
        <v>0.0</v>
      </c>
      <c r="AK56" t="n">
        <v>10.649425287356323</v>
      </c>
      <c r="AL56" t="inlineStr">
        <is>
          <t/>
        </is>
      </c>
    </row>
    <row r="57">
      <c r="A57" t="inlineStr">
        <is>
          <t>请孕妈妈放心吃，保证没打药</t>
        </is>
      </c>
      <c r="B57" t="inlineStr">
        <is>
          <t>6a61e78b000000000f03ea45</t>
        </is>
      </c>
      <c r="C57" s="56" t="n">
        <f>HYPERLINK("https://www.xiaohongshu.com/explore/6a61e78b000000000f03ea45?xsec_token=TB-QSBNGI3fwo1dWDP7LsEqr0sEwcB4Hs7AOdIU4xULU4=&amp;xsec_source=pc_trdark","https://www.xiaohongshu.com/explore/6a61e78b000000000f03ea45?xsec_token=TB-QSBNGI3fwo1dWDP7LsEqr0sEwcB4Hs7AOdIU4xULU4=&amp;xsec_source=pc_trdark")</f>
        <v>0.0</v>
      </c>
      <c r="D57" t="inlineStr">
        <is>
          <t>鲜水湾</t>
        </is>
      </c>
      <c r="E57" t="inlineStr">
        <is>
          <t>49316638994</t>
        </is>
      </c>
      <c r="F57" t="inlineStr">
        <is>
          <t>2026-07-23 18:06:03</t>
        </is>
      </c>
      <c r="G57" t="inlineStr">
        <is>
          <t>图文</t>
        </is>
      </c>
      <c r="H57" t="inlineStr">
        <is>
          <t>手剥虾仁 无冰衣无添加 低脂餐一人食 上班带饭 顺丰包邮 5盒装</t>
        </is>
      </c>
      <c r="I57" t="inlineStr">
        <is>
          <t>694baba01d450d00013662f0</t>
        </is>
      </c>
      <c r="J57" t="inlineStr">
        <is>
          <t/>
        </is>
      </c>
      <c r="K57" t="n">
        <v>0.0</v>
      </c>
      <c r="L57" t="n">
        <v>0.0</v>
      </c>
      <c r="M57" t="n">
        <v>8.0</v>
      </c>
      <c r="N57" t="inlineStr">
        <is>
          <t>0.047058823529411764</t>
        </is>
      </c>
      <c r="O57" t="n">
        <v>8.0</v>
      </c>
      <c r="P57" t="n">
        <v>0.0</v>
      </c>
      <c r="Q57" t="n">
        <v>0.0</v>
      </c>
      <c r="R57" t="n">
        <v>0.0</v>
      </c>
      <c r="S57" t="n">
        <v>0.0</v>
      </c>
      <c r="T57" t="n">
        <v>0.0</v>
      </c>
      <c r="U57" t="n">
        <v>0.0</v>
      </c>
      <c r="V57" t="n">
        <v>0.0</v>
      </c>
      <c r="W57" t="inlineStr">
        <is>
          <t/>
        </is>
      </c>
      <c r="X57" t="n">
        <v>0.0</v>
      </c>
      <c r="Y57" t="n">
        <v>1.0</v>
      </c>
      <c r="Z57" t="n">
        <v>1.0</v>
      </c>
      <c r="AA57" t="n">
        <v>0.0</v>
      </c>
      <c r="AB57" t="n">
        <v>0.0</v>
      </c>
      <c r="AC57" t="n">
        <v>0.0</v>
      </c>
      <c r="AD57" t="n">
        <v>170.0</v>
      </c>
      <c r="AE57" t="n">
        <v>0.0</v>
      </c>
      <c r="AF57" t="n">
        <v>0.0</v>
      </c>
      <c r="AG57" t="n">
        <v>0.0</v>
      </c>
      <c r="AH57" t="n">
        <v>0.0</v>
      </c>
      <c r="AI57" t="n">
        <v>0.0</v>
      </c>
      <c r="AJ57" t="n">
        <v>0.0</v>
      </c>
      <c r="AK57" t="n">
        <v>24.5</v>
      </c>
      <c r="AL57" t="inlineStr">
        <is>
          <t/>
        </is>
      </c>
    </row>
    <row r="58">
      <c r="A58" t="inlineStr">
        <is>
          <t>某马对不起，还是无保水虾仁更适合我</t>
        </is>
      </c>
      <c r="B58" t="inlineStr">
        <is>
          <t>6a0ff39e000000000702d78a</t>
        </is>
      </c>
      <c r="C58" s="57" t="n">
        <f>HYPERLINK("https://www.xiaohongshu.com/explore/6a0ff39e000000000702d78a?xsec_token=TBd_B63JN0tjdtncBm9C_ukiFiT-RQnZAX5W7DUrsTyWY=&amp;xsec_source=pc_trdark","https://www.xiaohongshu.com/explore/6a0ff39e000000000702d78a?xsec_token=TBd_B63JN0tjdtncBm9C_ukiFiT-RQnZAX5W7DUrsTyWY=&amp;xsec_source=pc_trdark")</f>
        <v>0.0</v>
      </c>
      <c r="D58" t="inlineStr">
        <is>
          <t>婉婉上班吃什么</t>
        </is>
      </c>
      <c r="E58" t="inlineStr">
        <is>
          <t>11434449706</t>
        </is>
      </c>
      <c r="F58" t="inlineStr">
        <is>
          <t>2026-05-22 14:11:42</t>
        </is>
      </c>
      <c r="G58" t="inlineStr">
        <is>
          <t>图文</t>
        </is>
      </c>
      <c r="H58" t="inlineStr">
        <is>
          <t>手剥虾仁 无冰衣无添加 低脂餐一人食 上班带饭 顺丰包邮 5盒装</t>
        </is>
      </c>
      <c r="I58" t="inlineStr">
        <is>
          <t>694baba01d450d00013662f0</t>
        </is>
      </c>
      <c r="J58" t="inlineStr">
        <is>
          <t/>
        </is>
      </c>
      <c r="K58" t="n">
        <v>0.0</v>
      </c>
      <c r="L58" t="n">
        <v>0.0</v>
      </c>
      <c r="M58" t="n">
        <v>10.0</v>
      </c>
      <c r="N58" t="inlineStr">
        <is>
          <t>0.06369426751592357</t>
        </is>
      </c>
      <c r="O58" t="n">
        <v>8.0</v>
      </c>
      <c r="P58" t="n">
        <v>0.0</v>
      </c>
      <c r="Q58" t="n">
        <v>0.0</v>
      </c>
      <c r="R58" t="n">
        <v>0.0</v>
      </c>
      <c r="S58" t="n">
        <v>0.0</v>
      </c>
      <c r="T58" t="n">
        <v>0.0</v>
      </c>
      <c r="U58" t="n">
        <v>0.0</v>
      </c>
      <c r="V58" t="n">
        <v>0.0</v>
      </c>
      <c r="W58" t="inlineStr">
        <is>
          <t/>
        </is>
      </c>
      <c r="X58" t="n">
        <v>0.0</v>
      </c>
      <c r="Y58" t="n">
        <v>4.0</v>
      </c>
      <c r="Z58" t="n">
        <v>0.0</v>
      </c>
      <c r="AA58" t="n">
        <v>0.0</v>
      </c>
      <c r="AB58" t="n">
        <v>0.0</v>
      </c>
      <c r="AC58" t="n">
        <v>0.0</v>
      </c>
      <c r="AD58" t="n">
        <v>157.0</v>
      </c>
      <c r="AE58" t="n">
        <v>1.0</v>
      </c>
      <c r="AF58" t="n">
        <v>0.0</v>
      </c>
      <c r="AG58" t="n">
        <v>0.0</v>
      </c>
      <c r="AH58" t="n">
        <v>0.0</v>
      </c>
      <c r="AI58" t="n">
        <v>0.0</v>
      </c>
      <c r="AJ58" t="n">
        <v>0.0</v>
      </c>
      <c r="AK58" t="n">
        <v>10.757961783439491</v>
      </c>
      <c r="AL58" t="inlineStr">
        <is>
          <t/>
        </is>
      </c>
    </row>
    <row r="59">
      <c r="A59" t="inlineStr">
        <is>
          <t>同事问我怎么每天带饭都是虾仁……</t>
        </is>
      </c>
      <c r="B59" t="inlineStr">
        <is>
          <t>69c4f367000000001f00102e</t>
        </is>
      </c>
      <c r="C59" s="58" t="n">
        <f>HYPERLINK("https://www.xiaohongshu.com/explore/69c4f367000000001f00102e?xsec_token=TBIVv4KG_Is8XT8uyOgDE1Rx9jc3uVRVNnU2AS_ccjcSg=&amp;xsec_source=pc_trdark","https://www.xiaohongshu.com/explore/69c4f367000000001f00102e?xsec_token=TBIVv4KG_Is8XT8uyOgDE1Rx9jc3uVRVNnU2AS_ccjcSg=&amp;xsec_source=pc_trdark")</f>
        <v>0.0</v>
      </c>
      <c r="D59" t="inlineStr">
        <is>
          <t>婉婉上班吃什么</t>
        </is>
      </c>
      <c r="E59" t="inlineStr">
        <is>
          <t>11434449706</t>
        </is>
      </c>
      <c r="F59" t="inlineStr">
        <is>
          <t>2026-03-26 16:50:47</t>
        </is>
      </c>
      <c r="G59" t="inlineStr">
        <is>
          <t>图文</t>
        </is>
      </c>
      <c r="H59" t="inlineStr">
        <is>
          <t>手剥虾仁 无冰衣无添加 低脂餐一人食 上班带饭 顺丰包邮 5盒装</t>
        </is>
      </c>
      <c r="I59" t="inlineStr">
        <is>
          <t>694baba01d450d00013662f0</t>
        </is>
      </c>
      <c r="J59" t="inlineStr">
        <is>
          <t/>
        </is>
      </c>
      <c r="K59" t="n">
        <v>0.0</v>
      </c>
      <c r="L59" t="n">
        <v>0.0</v>
      </c>
      <c r="M59" t="n">
        <v>3.0</v>
      </c>
      <c r="N59" t="inlineStr">
        <is>
          <t>0.019736842105263157</t>
        </is>
      </c>
      <c r="O59" t="n">
        <v>3.0</v>
      </c>
      <c r="P59" t="n">
        <v>0.0</v>
      </c>
      <c r="Q59" t="n">
        <v>0.0</v>
      </c>
      <c r="R59" t="n">
        <v>0.0</v>
      </c>
      <c r="S59" t="n">
        <v>0.0</v>
      </c>
      <c r="T59" t="n">
        <v>0.0</v>
      </c>
      <c r="U59" t="n">
        <v>0.0</v>
      </c>
      <c r="V59" t="n">
        <v>0.0</v>
      </c>
      <c r="W59" t="inlineStr">
        <is>
          <t/>
        </is>
      </c>
      <c r="X59" t="n">
        <v>0.0</v>
      </c>
      <c r="Y59" t="n">
        <v>1.0</v>
      </c>
      <c r="Z59" t="n">
        <v>1.0</v>
      </c>
      <c r="AA59" t="n">
        <v>0.0</v>
      </c>
      <c r="AB59" t="n">
        <v>0.0</v>
      </c>
      <c r="AC59" t="n">
        <v>0.0</v>
      </c>
      <c r="AD59" t="n">
        <v>152.0</v>
      </c>
      <c r="AE59" t="n">
        <v>0.0</v>
      </c>
      <c r="AF59" t="n">
        <v>1.0</v>
      </c>
      <c r="AG59" t="n">
        <v>0.0</v>
      </c>
      <c r="AH59" t="n">
        <v>0.0</v>
      </c>
      <c r="AI59" t="n">
        <v>0.0</v>
      </c>
      <c r="AJ59" t="n">
        <v>0.0</v>
      </c>
      <c r="AK59" t="n">
        <v>9.19078947368421</v>
      </c>
      <c r="AL59" t="inlineStr">
        <is>
          <t/>
        </is>
      </c>
    </row>
    <row r="60">
      <c r="A60" t="inlineStr">
        <is>
          <t>我发现，坚持抗炎饮食的人都有一个必选食物</t>
        </is>
      </c>
      <c r="B60" t="inlineStr">
        <is>
          <t>6a3e4656000000000701304f</t>
        </is>
      </c>
      <c r="C60" s="59" t="n">
        <f>HYPERLINK("https://www.xiaohongshu.com/explore/6a3e4656000000000701304f?xsec_token=TBr0r0iKecestw8rIiwqZdvuDFNUI5WiShbZuY1VFCQNM=&amp;xsec_source=pc_trdark","https://www.xiaohongshu.com/explore/6a3e4656000000000701304f?xsec_token=TBr0r0iKecestw8rIiwqZdvuDFNUI5WiShbZuY1VFCQNM=&amp;xsec_source=pc_trdark")</f>
        <v>0.0</v>
      </c>
      <c r="D60" t="inlineStr">
        <is>
          <t>鲜水湾</t>
        </is>
      </c>
      <c r="E60" t="inlineStr">
        <is>
          <t>49316638994</t>
        </is>
      </c>
      <c r="F60" t="inlineStr">
        <is>
          <t>2026-06-26 17:28:54</t>
        </is>
      </c>
      <c r="G60" t="inlineStr">
        <is>
          <t>图文</t>
        </is>
      </c>
      <c r="H60" t="inlineStr">
        <is>
          <t>智利三文鱼切块·整条三文鱼·深海鱼一人食健康饮食</t>
        </is>
      </c>
      <c r="I60" t="inlineStr">
        <is>
          <t>691ac562a524ee0001b51d7b</t>
        </is>
      </c>
      <c r="J60" t="inlineStr">
        <is>
          <t/>
        </is>
      </c>
      <c r="K60" t="n">
        <v>0.0</v>
      </c>
      <c r="L60" t="n">
        <v>0.0</v>
      </c>
      <c r="M60" t="n">
        <v>11.0</v>
      </c>
      <c r="N60" t="inlineStr">
        <is>
          <t>0.07333333333333333</t>
        </is>
      </c>
      <c r="O60" t="n">
        <v>9.0</v>
      </c>
      <c r="P60" t="n">
        <v>0.0</v>
      </c>
      <c r="Q60" t="n">
        <v>0.0</v>
      </c>
      <c r="R60" t="n">
        <v>0.0</v>
      </c>
      <c r="S60" t="n">
        <v>0.0</v>
      </c>
      <c r="T60" t="n">
        <v>0.0</v>
      </c>
      <c r="U60" t="n">
        <v>0.0</v>
      </c>
      <c r="V60" t="n">
        <v>0.0</v>
      </c>
      <c r="W60" t="inlineStr">
        <is>
          <t/>
        </is>
      </c>
      <c r="X60" t="n">
        <v>0.0</v>
      </c>
      <c r="Y60" t="n">
        <v>0.0</v>
      </c>
      <c r="Z60" t="n">
        <v>2.0</v>
      </c>
      <c r="AA60" t="n">
        <v>0.0</v>
      </c>
      <c r="AB60" t="n">
        <v>0.0</v>
      </c>
      <c r="AC60" t="n">
        <v>0.0</v>
      </c>
      <c r="AD60" t="n">
        <v>150.0</v>
      </c>
      <c r="AE60" t="n">
        <v>2.0</v>
      </c>
      <c r="AF60" t="n">
        <v>0.0</v>
      </c>
      <c r="AG60" t="n">
        <v>0.0</v>
      </c>
      <c r="AH60" t="n">
        <v>1.0</v>
      </c>
      <c r="AI60" t="n">
        <v>0.0</v>
      </c>
      <c r="AJ60" t="n">
        <v>0.0</v>
      </c>
      <c r="AK60" t="n">
        <v>10.786666666666667</v>
      </c>
      <c r="AL60" t="inlineStr">
        <is>
          <t/>
        </is>
      </c>
    </row>
    <row r="61">
      <c r="A61" t="inlineStr">
        <is>
          <t>300块吃一月的减脂餐，减脂人可以抄作业</t>
        </is>
      </c>
      <c r="B61" t="inlineStr">
        <is>
          <t>6a71856b000000003300eec6</t>
        </is>
      </c>
      <c r="C61" s="60" t="n">
        <f>HYPERLINK("https://www.xiaohongshu.com/explore/6a71856b000000003300eec6?xsec_token=TBGdlgq0FqunFmaLrhl7merjN9K6HO91igmscJ6aQ3DbM=&amp;xsec_source=pc_trdark","https://www.xiaohongshu.com/explore/6a71856b000000003300eec6?xsec_token=TBGdlgq0FqunFmaLrhl7merjN9K6HO91igmscJ6aQ3DbM=&amp;xsec_source=pc_trdark")</f>
        <v>0.0</v>
      </c>
      <c r="D61" t="inlineStr">
        <is>
          <t>菲菲上班吃什么</t>
        </is>
      </c>
      <c r="E61" t="inlineStr">
        <is>
          <t>49936530607</t>
        </is>
      </c>
      <c r="F61" t="inlineStr">
        <is>
          <t>2026-08-04 14:23:39</t>
        </is>
      </c>
      <c r="G61" t="inlineStr">
        <is>
          <t>图文</t>
        </is>
      </c>
      <c r="H61" t="inlineStr">
        <is>
          <t>智利尾端中段整条三文鱼 8斤深海鱼低脂餐囤货一周备菜顺丰包邮</t>
        </is>
      </c>
      <c r="I61" t="inlineStr">
        <is>
          <t>69fab80d64eb410001ece0c0</t>
        </is>
      </c>
      <c r="J61" t="inlineStr">
        <is>
          <t/>
        </is>
      </c>
      <c r="K61" t="n">
        <v>113.0</v>
      </c>
      <c r="L61" t="n">
        <v>1.0</v>
      </c>
      <c r="M61" t="n">
        <v>17.0</v>
      </c>
      <c r="N61" t="inlineStr">
        <is>
          <t>0.11724137931034483</t>
        </is>
      </c>
      <c r="O61" t="n">
        <v>13.0</v>
      </c>
      <c r="P61" t="n">
        <v>1.0</v>
      </c>
      <c r="Q61" t="inlineStr">
        <is>
          <t>0.058823529411764705</t>
        </is>
      </c>
      <c r="R61" t="inlineStr">
        <is>
          <t>0.07692307692307693</t>
        </is>
      </c>
      <c r="S61" t="n">
        <v>0.0</v>
      </c>
      <c r="T61" t="n">
        <v>0.0</v>
      </c>
      <c r="U61" t="n">
        <v>0.0</v>
      </c>
      <c r="V61" t="n">
        <v>0.0</v>
      </c>
      <c r="W61" t="n">
        <v>0.0</v>
      </c>
      <c r="X61" t="n">
        <v>0.0</v>
      </c>
      <c r="Y61" t="n">
        <v>2.0</v>
      </c>
      <c r="Z61" t="n">
        <v>3.0</v>
      </c>
      <c r="AA61" t="n">
        <v>0.0</v>
      </c>
      <c r="AB61" t="n">
        <v>0.0</v>
      </c>
      <c r="AC61" t="n">
        <v>0.0</v>
      </c>
      <c r="AD61" t="n">
        <v>145.0</v>
      </c>
      <c r="AE61" t="n">
        <v>1.0</v>
      </c>
      <c r="AF61" t="n">
        <v>0.0</v>
      </c>
      <c r="AG61" t="n">
        <v>0.0</v>
      </c>
      <c r="AH61" t="n">
        <v>1.0</v>
      </c>
      <c r="AI61" t="n">
        <v>0.0</v>
      </c>
      <c r="AJ61" t="n">
        <v>0.0</v>
      </c>
      <c r="AK61" t="n">
        <v>18.55862068965517</v>
      </c>
      <c r="AL61" t="inlineStr">
        <is>
          <t/>
        </is>
      </c>
    </row>
    <row r="62">
      <c r="A62" t="inlineStr">
        <is>
          <t>以为69没多少结果够我吃一星期了😂</t>
        </is>
      </c>
      <c r="B62" t="inlineStr">
        <is>
          <t>6a28dd1e0000000008000d78</t>
        </is>
      </c>
      <c r="C62" s="61" t="n">
        <f>HYPERLINK("https://www.xiaohongshu.com/explore/6a28dd1e0000000008000d78?xsec_token=TBjRDlWvuanGfwsOwntw7dMxhXiYKZNPCfT_Ah5Q3Od60=&amp;xsec_source=pc_trdark","https://www.xiaohongshu.com/explore/6a28dd1e0000000008000d78?xsec_token=TBjRDlWvuanGfwsOwntw7dMxhXiYKZNPCfT_Ah5Q3Od60=&amp;xsec_source=pc_trdark")</f>
        <v>0.0</v>
      </c>
      <c r="D62" t="inlineStr">
        <is>
          <t>婉婉上班吃什么</t>
        </is>
      </c>
      <c r="E62" t="inlineStr">
        <is>
          <t>11434449706</t>
        </is>
      </c>
      <c r="F62" t="inlineStr">
        <is>
          <t>2026-06-10 11:42:22</t>
        </is>
      </c>
      <c r="G62" t="inlineStr">
        <is>
          <t>图文</t>
        </is>
      </c>
      <c r="H62" t="inlineStr">
        <is>
          <t>手剥虾仁 无冰衣无添加 低脂餐一人食 上班带饭 顺丰包邮 5盒装</t>
        </is>
      </c>
      <c r="I62" t="inlineStr">
        <is>
          <t>694baba01d450d00013662f0</t>
        </is>
      </c>
      <c r="J62" t="inlineStr">
        <is>
          <t/>
        </is>
      </c>
      <c r="K62" t="n">
        <v>127.0</v>
      </c>
      <c r="L62" t="n">
        <v>1.0</v>
      </c>
      <c r="M62" t="n">
        <v>22.0</v>
      </c>
      <c r="N62" t="inlineStr">
        <is>
          <t>0.15602836879432624</t>
        </is>
      </c>
      <c r="O62" t="n">
        <v>19.0</v>
      </c>
      <c r="P62" t="n">
        <v>1.0</v>
      </c>
      <c r="Q62" t="inlineStr">
        <is>
          <t>0.045454545454545456</t>
        </is>
      </c>
      <c r="R62" t="inlineStr">
        <is>
          <t>0.05263157894736842</t>
        </is>
      </c>
      <c r="S62" t="n">
        <v>0.0</v>
      </c>
      <c r="T62" t="n">
        <v>0.0</v>
      </c>
      <c r="U62" t="n">
        <v>0.0</v>
      </c>
      <c r="V62" t="n">
        <v>0.0</v>
      </c>
      <c r="W62" t="n">
        <v>0.0</v>
      </c>
      <c r="X62" t="n">
        <v>0.0</v>
      </c>
      <c r="Y62" t="n">
        <v>6.0</v>
      </c>
      <c r="Z62" t="n">
        <v>7.0</v>
      </c>
      <c r="AA62" t="n">
        <v>0.0</v>
      </c>
      <c r="AB62" t="n">
        <v>0.0</v>
      </c>
      <c r="AC62" t="n">
        <v>0.0</v>
      </c>
      <c r="AD62" t="n">
        <v>141.0</v>
      </c>
      <c r="AE62" t="n">
        <v>3.0</v>
      </c>
      <c r="AF62" t="n">
        <v>2.0</v>
      </c>
      <c r="AG62" t="n">
        <v>0.0</v>
      </c>
      <c r="AH62" t="n">
        <v>1.0</v>
      </c>
      <c r="AI62" t="n">
        <v>0.0</v>
      </c>
      <c r="AJ62" t="n">
        <v>0.0</v>
      </c>
      <c r="AK62" t="n">
        <v>27.0</v>
      </c>
      <c r="AL62" t="inlineStr">
        <is>
          <t/>
        </is>
      </c>
    </row>
    <row r="63">
      <c r="A63" t="inlineStr">
        <is>
          <t>跟风吃了一个月的高蛋白……</t>
        </is>
      </c>
      <c r="B63" t="inlineStr">
        <is>
          <t>69dd0bda000000001f004e57</t>
        </is>
      </c>
      <c r="C63" s="62" t="n">
        <f>HYPERLINK("https://www.xiaohongshu.com/explore/69dd0bda000000001f004e57?xsec_token=TB8r3ufLA5jFsQMlCYrT2kPthzKtQi5kmvYCm1YQIY_dc=&amp;xsec_source=pc_trdark","https://www.xiaohongshu.com/explore/69dd0bda000000001f004e57?xsec_token=TB8r3ufLA5jFsQMlCYrT2kPthzKtQi5kmvYCm1YQIY_dc=&amp;xsec_source=pc_trdark")</f>
        <v>0.0</v>
      </c>
      <c r="D63" t="inlineStr">
        <is>
          <t>婉婉上班吃什么</t>
        </is>
      </c>
      <c r="E63" t="inlineStr">
        <is>
          <t>11434449706</t>
        </is>
      </c>
      <c r="F63" t="inlineStr">
        <is>
          <t>2026-04-13 23:29:30</t>
        </is>
      </c>
      <c r="G63" t="inlineStr">
        <is>
          <t>图文</t>
        </is>
      </c>
      <c r="H63" t="inlineStr">
        <is>
          <t>手剥虾仁 无冰衣无添加 低脂餐一人食 上班带饭 顺丰包邮 5盒装</t>
        </is>
      </c>
      <c r="I63" t="inlineStr">
        <is>
          <t>694baba01d450d00013662f0</t>
        </is>
      </c>
      <c r="J63" t="inlineStr">
        <is>
          <t/>
        </is>
      </c>
      <c r="K63" t="n">
        <v>0.0</v>
      </c>
      <c r="L63" t="n">
        <v>0.0</v>
      </c>
      <c r="M63" t="n">
        <v>4.0</v>
      </c>
      <c r="N63" t="inlineStr">
        <is>
          <t>0.029411764705882353</t>
        </is>
      </c>
      <c r="O63" t="n">
        <v>4.0</v>
      </c>
      <c r="P63" t="n">
        <v>0.0</v>
      </c>
      <c r="Q63" t="n">
        <v>0.0</v>
      </c>
      <c r="R63" t="n">
        <v>0.0</v>
      </c>
      <c r="S63" t="n">
        <v>0.0</v>
      </c>
      <c r="T63" t="n">
        <v>0.0</v>
      </c>
      <c r="U63" t="n">
        <v>0.0</v>
      </c>
      <c r="V63" t="n">
        <v>0.0</v>
      </c>
      <c r="W63" t="inlineStr">
        <is>
          <t/>
        </is>
      </c>
      <c r="X63" t="n">
        <v>0.0</v>
      </c>
      <c r="Y63" t="n">
        <v>1.0</v>
      </c>
      <c r="Z63" t="n">
        <v>3.0</v>
      </c>
      <c r="AA63" t="n">
        <v>0.0</v>
      </c>
      <c r="AB63" t="n">
        <v>0.0</v>
      </c>
      <c r="AC63" t="n">
        <v>0.0</v>
      </c>
      <c r="AD63" t="n">
        <v>136.0</v>
      </c>
      <c r="AE63" t="n">
        <v>0.0</v>
      </c>
      <c r="AF63" t="n">
        <v>0.0</v>
      </c>
      <c r="AG63" t="n">
        <v>0.0</v>
      </c>
      <c r="AH63" t="n">
        <v>0.0</v>
      </c>
      <c r="AI63" t="n">
        <v>0.0</v>
      </c>
      <c r="AJ63" t="n">
        <v>0.0</v>
      </c>
      <c r="AK63" t="n">
        <v>9.198529411764707</v>
      </c>
      <c r="AL63" t="inlineStr">
        <is>
          <t/>
        </is>
      </c>
    </row>
    <row r="64">
      <c r="A64" t="inlineStr">
        <is>
          <t>人少别贪多，1000g 鱼排刚好</t>
        </is>
      </c>
      <c r="B64" t="inlineStr">
        <is>
          <t>6a3a32840000000007028267</t>
        </is>
      </c>
      <c r="C64" s="63" t="n">
        <f>HYPERLINK("https://www.xiaohongshu.com/explore/6a3a32840000000007028267?xsec_token=TB6JLlH-I5wyeOIL4LxmWU3uadj5oEGVQZcjlqFGGU3z8=&amp;xsec_source=pc_trdark","https://www.xiaohongshu.com/explore/6a3a32840000000007028267?xsec_token=TB6JLlH-I5wyeOIL4LxmWU3uadj5oEGVQZcjlqFGGU3z8=&amp;xsec_source=pc_trdark")</f>
        <v>0.0</v>
      </c>
      <c r="D64" t="inlineStr">
        <is>
          <t>鲜水湾</t>
        </is>
      </c>
      <c r="E64" t="inlineStr">
        <is>
          <t>49316638994</t>
        </is>
      </c>
      <c r="F64" t="inlineStr">
        <is>
          <t>2026-06-23 15:15:17</t>
        </is>
      </c>
      <c r="G64" t="inlineStr">
        <is>
          <t>图文</t>
        </is>
      </c>
      <c r="H64" t="inlineStr">
        <is>
          <t>智利尾端中段整条三文鱼 8斤深海鱼低脂餐囤货一周备菜顺丰包邮</t>
        </is>
      </c>
      <c r="I64" t="inlineStr">
        <is>
          <t>69fab80d64eb410001ece0c0</t>
        </is>
      </c>
      <c r="J64" t="inlineStr">
        <is>
          <t/>
        </is>
      </c>
      <c r="K64" t="n">
        <v>0.0</v>
      </c>
      <c r="L64" t="n">
        <v>0.0</v>
      </c>
      <c r="M64" t="n">
        <v>11.0</v>
      </c>
      <c r="N64" t="inlineStr">
        <is>
          <t>0.08148148148148149</t>
        </is>
      </c>
      <c r="O64" t="n">
        <v>9.0</v>
      </c>
      <c r="P64" t="n">
        <v>0.0</v>
      </c>
      <c r="Q64" t="n">
        <v>0.0</v>
      </c>
      <c r="R64" t="n">
        <v>0.0</v>
      </c>
      <c r="S64" t="n">
        <v>0.0</v>
      </c>
      <c r="T64" t="n">
        <v>0.0</v>
      </c>
      <c r="U64" t="n">
        <v>0.0</v>
      </c>
      <c r="V64" t="n">
        <v>0.0</v>
      </c>
      <c r="W64" t="inlineStr">
        <is>
          <t/>
        </is>
      </c>
      <c r="X64" t="n">
        <v>0.0</v>
      </c>
      <c r="Y64" t="n">
        <v>2.0</v>
      </c>
      <c r="Z64" t="n">
        <v>3.0</v>
      </c>
      <c r="AA64" t="n">
        <v>0.0</v>
      </c>
      <c r="AB64" t="n">
        <v>0.0</v>
      </c>
      <c r="AC64" t="n">
        <v>0.0</v>
      </c>
      <c r="AD64" t="n">
        <v>135.0</v>
      </c>
      <c r="AE64" t="n">
        <v>2.0</v>
      </c>
      <c r="AF64" t="n">
        <v>1.0</v>
      </c>
      <c r="AG64" t="n">
        <v>0.0</v>
      </c>
      <c r="AH64" t="n">
        <v>0.0</v>
      </c>
      <c r="AI64" t="n">
        <v>0.0</v>
      </c>
      <c r="AJ64" t="n">
        <v>0.0</v>
      </c>
      <c r="AK64" t="n">
        <v>11.11111111111111</v>
      </c>
      <c r="AL64" t="inlineStr">
        <is>
          <t/>
        </is>
      </c>
    </row>
    <row r="65">
      <c r="A65" t="inlineStr">
        <is>
          <t>这也太方便了吧😂15分钟复刻三文鱼能量碗</t>
        </is>
      </c>
      <c r="B65" t="inlineStr">
        <is>
          <t>6a1d832d0000000006030016</t>
        </is>
      </c>
      <c r="C65" s="64" t="n">
        <f>HYPERLINK("https://www.xiaohongshu.com/explore/6a1d832d0000000006030016?xsec_token=TB9kCrU1OKj1OYrarOG6c5h4P_dwbvRxd4FUoHlYYj1mA=&amp;xsec_source=pc_trdark","https://www.xiaohongshu.com/explore/6a1d832d0000000006030016?xsec_token=TB9kCrU1OKj1OYrarOG6c5h4P_dwbvRxd4FUoHlYYj1mA=&amp;xsec_source=pc_trdark")</f>
        <v>0.0</v>
      </c>
      <c r="D65" t="inlineStr">
        <is>
          <t>鲜水湾</t>
        </is>
      </c>
      <c r="E65" t="inlineStr">
        <is>
          <t>49316638994</t>
        </is>
      </c>
      <c r="F65" t="inlineStr">
        <is>
          <t>2026-06-01 21:03:41</t>
        </is>
      </c>
      <c r="G65" t="inlineStr">
        <is>
          <t>图文</t>
        </is>
      </c>
      <c r="H65" t="inlineStr">
        <is>
          <t>智利尾端中段整条三文鱼 8斤深海鱼低脂餐囤货一周备菜顺丰包邮</t>
        </is>
      </c>
      <c r="I65" t="inlineStr">
        <is>
          <t>69fab80d64eb410001ece0c0</t>
        </is>
      </c>
      <c r="J65" t="inlineStr">
        <is>
          <t/>
        </is>
      </c>
      <c r="K65" t="n">
        <v>0.0</v>
      </c>
      <c r="L65" t="n">
        <v>0.0</v>
      </c>
      <c r="M65" t="n">
        <v>2.0</v>
      </c>
      <c r="N65" t="inlineStr">
        <is>
          <t>0.015037593984962405</t>
        </is>
      </c>
      <c r="O65" t="n">
        <v>2.0</v>
      </c>
      <c r="P65" t="n">
        <v>0.0</v>
      </c>
      <c r="Q65" t="n">
        <v>0.0</v>
      </c>
      <c r="R65" t="n">
        <v>0.0</v>
      </c>
      <c r="S65" t="n">
        <v>0.0</v>
      </c>
      <c r="T65" t="n">
        <v>0.0</v>
      </c>
      <c r="U65" t="n">
        <v>0.0</v>
      </c>
      <c r="V65" t="n">
        <v>0.0</v>
      </c>
      <c r="W65" t="inlineStr">
        <is>
          <t/>
        </is>
      </c>
      <c r="X65" t="n">
        <v>0.0</v>
      </c>
      <c r="Y65" t="n">
        <v>0.0</v>
      </c>
      <c r="Z65" t="n">
        <v>0.0</v>
      </c>
      <c r="AA65" t="n">
        <v>0.0</v>
      </c>
      <c r="AB65" t="n">
        <v>0.0</v>
      </c>
      <c r="AC65" t="n">
        <v>0.0</v>
      </c>
      <c r="AD65" t="n">
        <v>133.0</v>
      </c>
      <c r="AE65" t="n">
        <v>1.0</v>
      </c>
      <c r="AF65" t="n">
        <v>2.0</v>
      </c>
      <c r="AG65" t="n">
        <v>0.0</v>
      </c>
      <c r="AH65" t="n">
        <v>0.0</v>
      </c>
      <c r="AI65" t="n">
        <v>0.0</v>
      </c>
      <c r="AJ65" t="n">
        <v>0.0</v>
      </c>
      <c r="AK65" t="n">
        <v>7.593984962406015</v>
      </c>
      <c r="AL65" t="inlineStr">
        <is>
          <t/>
        </is>
      </c>
    </row>
    <row r="66">
      <c r="A66" t="inlineStr">
        <is>
          <t>给暗恋的同事带了三文鱼藜麦饭</t>
        </is>
      </c>
      <c r="B66" t="inlineStr">
        <is>
          <t>69e0a4ce000000001a02de44</t>
        </is>
      </c>
      <c r="C66" s="65" t="n">
        <f>HYPERLINK("https://www.xiaohongshu.com/explore/69e0a4ce000000001a02de44?xsec_token=TB4w-SzmaCvFu1U8FhRGBUu6ej3n_IEHYklNLmvaOejz0=&amp;xsec_source=pc_trdark","https://www.xiaohongshu.com/explore/69e0a4ce000000001a02de44?xsec_token=TB4w-SzmaCvFu1U8FhRGBUu6ej3n_IEHYklNLmvaOejz0=&amp;xsec_source=pc_trdark")</f>
        <v>0.0</v>
      </c>
      <c r="D66" t="inlineStr">
        <is>
          <t>菲菲上班吃什么</t>
        </is>
      </c>
      <c r="E66" t="inlineStr">
        <is>
          <t>49936530607</t>
        </is>
      </c>
      <c r="F66" t="inlineStr">
        <is>
          <t>2026-04-16 16:58:54</t>
        </is>
      </c>
      <c r="G66" t="inlineStr">
        <is>
          <t>图文</t>
        </is>
      </c>
      <c r="H66" t="inlineStr">
        <is>
          <t>智利尾端中段整条三文鱼 8斤深海鱼低脂餐囤货一周备菜顺丰包邮</t>
        </is>
      </c>
      <c r="I66" t="inlineStr">
        <is>
          <t>69fab80d64eb410001ece0c0</t>
        </is>
      </c>
      <c r="J66" t="inlineStr">
        <is>
          <t/>
        </is>
      </c>
      <c r="K66" t="n">
        <v>0.0</v>
      </c>
      <c r="L66" t="n">
        <v>0.0</v>
      </c>
      <c r="M66" t="n">
        <v>6.0</v>
      </c>
      <c r="N66" t="inlineStr">
        <is>
          <t>0.045112781954887216</t>
        </is>
      </c>
      <c r="O66" t="n">
        <v>5.0</v>
      </c>
      <c r="P66" t="n">
        <v>0.0</v>
      </c>
      <c r="Q66" t="n">
        <v>0.0</v>
      </c>
      <c r="R66" t="n">
        <v>0.0</v>
      </c>
      <c r="S66" t="n">
        <v>0.0</v>
      </c>
      <c r="T66" t="n">
        <v>0.0</v>
      </c>
      <c r="U66" t="n">
        <v>0.0</v>
      </c>
      <c r="V66" t="n">
        <v>0.0</v>
      </c>
      <c r="W66" t="inlineStr">
        <is>
          <t/>
        </is>
      </c>
      <c r="X66" t="n">
        <v>0.0</v>
      </c>
      <c r="Y66" t="n">
        <v>2.0</v>
      </c>
      <c r="Z66" t="n">
        <v>1.0</v>
      </c>
      <c r="AA66" t="n">
        <v>0.0</v>
      </c>
      <c r="AB66" t="n">
        <v>0.0</v>
      </c>
      <c r="AC66" t="n">
        <v>0.0</v>
      </c>
      <c r="AD66" t="n">
        <v>133.0</v>
      </c>
      <c r="AE66" t="n">
        <v>1.0</v>
      </c>
      <c r="AF66" t="n">
        <v>0.0</v>
      </c>
      <c r="AG66" t="n">
        <v>0.0</v>
      </c>
      <c r="AH66" t="n">
        <v>1.0</v>
      </c>
      <c r="AI66" t="n">
        <v>0.0</v>
      </c>
      <c r="AJ66" t="n">
        <v>0.0</v>
      </c>
      <c r="AK66" t="n">
        <v>9.759398496240602</v>
      </c>
      <c r="AL66" t="inlineStr">
        <is>
          <t/>
        </is>
      </c>
    </row>
    <row r="67">
      <c r="A67" t="inlineStr">
        <is>
          <t>同事看我天天吃虾，还以为我伙食开销很高😭</t>
        </is>
      </c>
      <c r="B67" t="inlineStr">
        <is>
          <t>6a6e0126000000002c002510</t>
        </is>
      </c>
      <c r="C67" s="66" t="n">
        <f>HYPERLINK("https://www.xiaohongshu.com/explore/6a6e0126000000002c002510?xsec_token=TBtNkliAah_1QzUOs2HAMynLwy0Eobz4gGipO037wZM5I=&amp;xsec_source=pc_trdark","https://www.xiaohongshu.com/explore/6a6e0126000000002c002510?xsec_token=TBtNkliAah_1QzUOs2HAMynLwy0Eobz4gGipO037wZM5I=&amp;xsec_source=pc_trdark")</f>
        <v>0.0</v>
      </c>
      <c r="D67" t="inlineStr">
        <is>
          <t>鲜水湾甄选</t>
        </is>
      </c>
      <c r="E67" t="inlineStr">
        <is>
          <t>27401929161</t>
        </is>
      </c>
      <c r="F67" t="inlineStr">
        <is>
          <t>2026-08-01 22:22:30</t>
        </is>
      </c>
      <c r="G67" t="inlineStr">
        <is>
          <t>图文</t>
        </is>
      </c>
      <c r="H67" t="inlineStr">
        <is>
          <t>手剥虾仁 无冰衣无添加 低脂餐一人食 上班带饭 顺丰包邮 5盒装</t>
        </is>
      </c>
      <c r="I67" t="inlineStr">
        <is>
          <t>694baba01d450d00013662f0</t>
        </is>
      </c>
      <c r="J67" t="inlineStr">
        <is>
          <t/>
        </is>
      </c>
      <c r="K67" t="n">
        <v>0.0</v>
      </c>
      <c r="L67" t="n">
        <v>0.0</v>
      </c>
      <c r="M67" t="n">
        <v>24.0</v>
      </c>
      <c r="N67" t="inlineStr">
        <is>
          <t>0.18181818181818182</t>
        </is>
      </c>
      <c r="O67" t="n">
        <v>22.0</v>
      </c>
      <c r="P67" t="n">
        <v>0.0</v>
      </c>
      <c r="Q67" t="n">
        <v>0.0</v>
      </c>
      <c r="R67" t="n">
        <v>0.0</v>
      </c>
      <c r="S67" t="n">
        <v>0.0</v>
      </c>
      <c r="T67" t="n">
        <v>0.0</v>
      </c>
      <c r="U67" t="n">
        <v>0.0</v>
      </c>
      <c r="V67" t="n">
        <v>0.0</v>
      </c>
      <c r="W67" t="inlineStr">
        <is>
          <t/>
        </is>
      </c>
      <c r="X67" t="n">
        <v>0.0</v>
      </c>
      <c r="Y67" t="n">
        <v>7.0</v>
      </c>
      <c r="Z67" t="n">
        <v>1.0</v>
      </c>
      <c r="AA67" t="n">
        <v>0.0</v>
      </c>
      <c r="AB67" t="n">
        <v>0.0</v>
      </c>
      <c r="AC67" t="n">
        <v>0.0</v>
      </c>
      <c r="AD67" t="n">
        <v>132.0</v>
      </c>
      <c r="AE67" t="n">
        <v>5.0</v>
      </c>
      <c r="AF67" t="n">
        <v>0.0</v>
      </c>
      <c r="AG67" t="n">
        <v>1.0</v>
      </c>
      <c r="AH67" t="n">
        <v>1.0</v>
      </c>
      <c r="AI67" t="n">
        <v>0.0</v>
      </c>
      <c r="AJ67" t="n">
        <v>0.0</v>
      </c>
      <c r="AK67" t="n">
        <v>9.575757575757576</v>
      </c>
      <c r="AL67" t="inlineStr">
        <is>
          <t/>
        </is>
      </c>
    </row>
    <row r="68">
      <c r="A68" t="inlineStr">
        <is>
          <t>青岛女婿每年的必备支出！鲅鱼跳丈人笑🤣</t>
        </is>
      </c>
      <c r="B68" t="inlineStr">
        <is>
          <t>69e85fff000000002301407d</t>
        </is>
      </c>
      <c r="C68" s="67" t="n">
        <f>HYPERLINK("https://www.xiaohongshu.com/explore/69e85fff000000002301407d?xsec_token=TBrsJGfbmdICsvnXoyd4QdRi709iaEKX_YbCo0GIYYE5w=&amp;xsec_source=pc_trdark","https://www.xiaohongshu.com/explore/69e85fff000000002301407d?xsec_token=TBrsJGfbmdICsvnXoyd4QdRi709iaEKX_YbCo0GIYYE5w=&amp;xsec_source=pc_trdark")</f>
        <v>0.0</v>
      </c>
      <c r="D68" t="inlineStr">
        <is>
          <t>鲜水湾</t>
        </is>
      </c>
      <c r="E68" t="inlineStr">
        <is>
          <t>49316638994</t>
        </is>
      </c>
      <c r="F68" t="inlineStr">
        <is>
          <t>2026-04-22 13:43:27</t>
        </is>
      </c>
      <c r="G68" t="inlineStr">
        <is>
          <t>图文</t>
        </is>
      </c>
      <c r="H68" t="inlineStr">
        <is>
          <t>青岛大鲅鱼春鲅鱼鲅鱼新鲜冷冻马鲛鱼蓝点马鲛鱼顺丰包邮</t>
        </is>
      </c>
      <c r="I68" t="inlineStr">
        <is>
          <t>6932506ad36285000198a8a6</t>
        </is>
      </c>
      <c r="J68" t="inlineStr">
        <is>
          <t/>
        </is>
      </c>
      <c r="K68" t="n">
        <v>0.0</v>
      </c>
      <c r="L68" t="n">
        <v>0.0</v>
      </c>
      <c r="M68" t="n">
        <v>7.0</v>
      </c>
      <c r="N68" t="inlineStr">
        <is>
          <t>0.05384615384615385</t>
        </is>
      </c>
      <c r="O68" t="n">
        <v>5.0</v>
      </c>
      <c r="P68" t="n">
        <v>0.0</v>
      </c>
      <c r="Q68" t="n">
        <v>0.0</v>
      </c>
      <c r="R68" t="n">
        <v>0.0</v>
      </c>
      <c r="S68" t="n">
        <v>0.0</v>
      </c>
      <c r="T68" t="n">
        <v>0.0</v>
      </c>
      <c r="U68" t="n">
        <v>0.0</v>
      </c>
      <c r="V68" t="n">
        <v>0.0</v>
      </c>
      <c r="W68" t="inlineStr">
        <is>
          <t/>
        </is>
      </c>
      <c r="X68" t="n">
        <v>0.0</v>
      </c>
      <c r="Y68" t="n">
        <v>1.0</v>
      </c>
      <c r="Z68" t="n">
        <v>11.0</v>
      </c>
      <c r="AA68" t="n">
        <v>0.0</v>
      </c>
      <c r="AB68" t="n">
        <v>0.0</v>
      </c>
      <c r="AC68" t="n">
        <v>0.0</v>
      </c>
      <c r="AD68" t="n">
        <v>130.0</v>
      </c>
      <c r="AE68" t="n">
        <v>0.0</v>
      </c>
      <c r="AF68" t="n">
        <v>0.0</v>
      </c>
      <c r="AG68" t="n">
        <v>0.0</v>
      </c>
      <c r="AH68" t="n">
        <v>0.0</v>
      </c>
      <c r="AI68" t="n">
        <v>2.0</v>
      </c>
      <c r="AJ68" t="n">
        <v>0.0</v>
      </c>
      <c r="AK68" t="n">
        <v>10.007692307692308</v>
      </c>
      <c r="AL68" t="inlineStr">
        <is>
          <t/>
        </is>
      </c>
    </row>
    <row r="69">
      <c r="A69" t="inlineStr">
        <is>
          <t>听劝！不吃晚饭真的会稳稳反弹</t>
        </is>
      </c>
      <c r="B69" t="inlineStr">
        <is>
          <t>69bdf758000000001f004836</t>
        </is>
      </c>
      <c r="C69" s="68" t="n">
        <f>HYPERLINK("https://www.xiaohongshu.com/explore/69bdf758000000001f004836?xsec_token=TBRwbx0S6Y78qN5wWC1_PyBCQJvx4Waifepj2V-Bu94KA=&amp;xsec_source=pc_trdark","https://www.xiaohongshu.com/explore/69bdf758000000001f004836?xsec_token=TBRwbx0S6Y78qN5wWC1_PyBCQJvx4Waifepj2V-Bu94KA=&amp;xsec_source=pc_trdark")</f>
        <v>0.0</v>
      </c>
      <c r="D69" t="inlineStr">
        <is>
          <t>婉婉上班吃什么</t>
        </is>
      </c>
      <c r="E69" t="inlineStr">
        <is>
          <t>11434449706</t>
        </is>
      </c>
      <c r="F69" t="inlineStr">
        <is>
          <t>2026-03-21 09:41:44</t>
        </is>
      </c>
      <c r="G69" t="inlineStr">
        <is>
          <t>图文</t>
        </is>
      </c>
      <c r="H69" t="inlineStr">
        <is>
          <t>手剥虾仁 无冰衣无添加 低脂餐一人食 上班带饭 顺丰包邮 5盒装</t>
        </is>
      </c>
      <c r="I69" t="inlineStr">
        <is>
          <t>694baba01d450d00013662f0</t>
        </is>
      </c>
      <c r="J69" t="inlineStr">
        <is>
          <t/>
        </is>
      </c>
      <c r="K69" t="n">
        <v>0.0</v>
      </c>
      <c r="L69" t="n">
        <v>0.0</v>
      </c>
      <c r="M69" t="n">
        <v>6.0</v>
      </c>
      <c r="N69" t="inlineStr">
        <is>
          <t>0.046511627906976744</t>
        </is>
      </c>
      <c r="O69" t="n">
        <v>6.0</v>
      </c>
      <c r="P69" t="n">
        <v>0.0</v>
      </c>
      <c r="Q69" t="n">
        <v>0.0</v>
      </c>
      <c r="R69" t="n">
        <v>0.0</v>
      </c>
      <c r="S69" t="n">
        <v>0.0</v>
      </c>
      <c r="T69" t="n">
        <v>0.0</v>
      </c>
      <c r="U69" t="n">
        <v>0.0</v>
      </c>
      <c r="V69" t="n">
        <v>0.0</v>
      </c>
      <c r="W69" t="inlineStr">
        <is>
          <t/>
        </is>
      </c>
      <c r="X69" t="n">
        <v>0.0</v>
      </c>
      <c r="Y69" t="n">
        <v>0.0</v>
      </c>
      <c r="Z69" t="n">
        <v>4.0</v>
      </c>
      <c r="AA69" t="n">
        <v>0.0</v>
      </c>
      <c r="AB69" t="n">
        <v>0.0</v>
      </c>
      <c r="AC69" t="n">
        <v>0.0</v>
      </c>
      <c r="AD69" t="n">
        <v>129.0</v>
      </c>
      <c r="AE69" t="n">
        <v>0.0</v>
      </c>
      <c r="AF69" t="n">
        <v>0.0</v>
      </c>
      <c r="AG69" t="n">
        <v>0.0</v>
      </c>
      <c r="AH69" t="n">
        <v>1.0</v>
      </c>
      <c r="AI69" t="n">
        <v>1.0</v>
      </c>
      <c r="AJ69" t="n">
        <v>0.0</v>
      </c>
      <c r="AK69" t="n">
        <v>9.976744186046512</v>
      </c>
      <c r="AL69" t="inlineStr">
        <is>
          <t/>
        </is>
      </c>
    </row>
    <row r="70">
      <c r="A70" t="inlineStr">
        <is>
          <t>质疑 理解 成为…懒人带饭党</t>
        </is>
      </c>
      <c r="B70" t="inlineStr">
        <is>
          <t>69be6912000000001f002fb0</t>
        </is>
      </c>
      <c r="C70" s="69" t="n">
        <f>HYPERLINK("https://www.xiaohongshu.com/explore/69be6912000000001f002fb0?xsec_token=TBEV1jCaY14J6usHdX26xRKBFlHHt5vQDCEYPHobXPR-w=&amp;xsec_source=pc_trdark","https://www.xiaohongshu.com/explore/69be6912000000001f002fb0?xsec_token=TBEV1jCaY14J6usHdX26xRKBFlHHt5vQDCEYPHobXPR-w=&amp;xsec_source=pc_trdark")</f>
        <v>0.0</v>
      </c>
      <c r="D70" t="inlineStr">
        <is>
          <t>婉婉上班吃什么</t>
        </is>
      </c>
      <c r="E70" t="inlineStr">
        <is>
          <t>11434449706</t>
        </is>
      </c>
      <c r="F70" t="inlineStr">
        <is>
          <t>2026-03-21 17:46:58</t>
        </is>
      </c>
      <c r="G70" t="inlineStr">
        <is>
          <t>图文</t>
        </is>
      </c>
      <c r="H70" t="inlineStr">
        <is>
          <t>手剥虾仁 无冰衣无添加 低脂餐一人食 上班带饭 顺丰包邮 5盒装</t>
        </is>
      </c>
      <c r="I70" t="inlineStr">
        <is>
          <t>694baba01d450d00013662f0</t>
        </is>
      </c>
      <c r="J70" t="inlineStr">
        <is>
          <t/>
        </is>
      </c>
      <c r="K70" t="n">
        <v>0.0</v>
      </c>
      <c r="L70" t="n">
        <v>0.0</v>
      </c>
      <c r="M70" t="n">
        <v>4.0</v>
      </c>
      <c r="N70" t="inlineStr">
        <is>
          <t>0.031746031746031744</t>
        </is>
      </c>
      <c r="O70" t="n">
        <v>3.0</v>
      </c>
      <c r="P70" t="n">
        <v>0.0</v>
      </c>
      <c r="Q70" t="n">
        <v>0.0</v>
      </c>
      <c r="R70" t="n">
        <v>0.0</v>
      </c>
      <c r="S70" t="n">
        <v>0.0</v>
      </c>
      <c r="T70" t="n">
        <v>0.0</v>
      </c>
      <c r="U70" t="n">
        <v>0.0</v>
      </c>
      <c r="V70" t="n">
        <v>0.0</v>
      </c>
      <c r="W70" t="inlineStr">
        <is>
          <t/>
        </is>
      </c>
      <c r="X70" t="n">
        <v>0.0</v>
      </c>
      <c r="Y70" t="n">
        <v>0.0</v>
      </c>
      <c r="Z70" t="n">
        <v>1.0</v>
      </c>
      <c r="AA70" t="n">
        <v>0.0</v>
      </c>
      <c r="AB70" t="n">
        <v>0.0</v>
      </c>
      <c r="AC70" t="n">
        <v>0.0</v>
      </c>
      <c r="AD70" t="n">
        <v>126.0</v>
      </c>
      <c r="AE70" t="n">
        <v>0.0</v>
      </c>
      <c r="AF70" t="n">
        <v>0.0</v>
      </c>
      <c r="AG70" t="n">
        <v>0.0</v>
      </c>
      <c r="AH70" t="n">
        <v>0.0</v>
      </c>
      <c r="AI70" t="n">
        <v>0.0</v>
      </c>
      <c r="AJ70" t="n">
        <v>0.0</v>
      </c>
      <c r="AK70" t="n">
        <v>7.555555555555555</v>
      </c>
      <c r="AL70" t="inlineStr">
        <is>
          <t/>
        </is>
      </c>
    </row>
    <row r="71">
      <c r="A71" t="inlineStr">
        <is>
          <t>听老爸的话，给控体人推出备餐小包装了</t>
        </is>
      </c>
      <c r="B71" t="inlineStr">
        <is>
          <t>6a26571c000000002103ceaa</t>
        </is>
      </c>
      <c r="C71" s="70" t="n">
        <f>HYPERLINK("https://www.xiaohongshu.com/explore/6a26571c000000002103ceaa?xsec_token=TB6Q3z0Jm3jMFQ1Wl1RTAnfs0vdUohLbQxouyyseXWN1o=&amp;xsec_source=pc_trdark","https://www.xiaohongshu.com/explore/6a26571c000000002103ceaa?xsec_token=TB6Q3z0Jm3jMFQ1Wl1RTAnfs0vdUohLbQxouyyseXWN1o=&amp;xsec_source=pc_trdark")</f>
        <v>0.0</v>
      </c>
      <c r="D71" t="inlineStr">
        <is>
          <t>鲜水湾</t>
        </is>
      </c>
      <c r="E71" t="inlineStr">
        <is>
          <t>49316638994</t>
        </is>
      </c>
      <c r="F71" t="inlineStr">
        <is>
          <t>2026-06-08 13:46:04</t>
        </is>
      </c>
      <c r="G71" t="inlineStr">
        <is>
          <t>图文</t>
        </is>
      </c>
      <c r="H71" t="inlineStr">
        <is>
          <t>智利三文鱼切块·整条三文鱼·深海鱼一人食健康饮食</t>
        </is>
      </c>
      <c r="I71" t="inlineStr">
        <is>
          <t>691ac562a524ee0001b51d7b</t>
        </is>
      </c>
      <c r="J71" t="inlineStr">
        <is>
          <t/>
        </is>
      </c>
      <c r="K71" t="n">
        <v>0.0</v>
      </c>
      <c r="L71" t="n">
        <v>0.0</v>
      </c>
      <c r="M71" t="n">
        <v>24.0</v>
      </c>
      <c r="N71" t="inlineStr">
        <is>
          <t>0.19672131147540983</t>
        </is>
      </c>
      <c r="O71" t="n">
        <v>18.0</v>
      </c>
      <c r="P71" t="n">
        <v>0.0</v>
      </c>
      <c r="Q71" t="n">
        <v>0.0</v>
      </c>
      <c r="R71" t="n">
        <v>0.0</v>
      </c>
      <c r="S71" t="n">
        <v>0.0</v>
      </c>
      <c r="T71" t="n">
        <v>0.0</v>
      </c>
      <c r="U71" t="n">
        <v>0.0</v>
      </c>
      <c r="V71" t="n">
        <v>0.0</v>
      </c>
      <c r="W71" t="inlineStr">
        <is>
          <t/>
        </is>
      </c>
      <c r="X71" t="n">
        <v>0.0</v>
      </c>
      <c r="Y71" t="n">
        <v>1.0</v>
      </c>
      <c r="Z71" t="n">
        <v>6.0</v>
      </c>
      <c r="AA71" t="n">
        <v>0.0</v>
      </c>
      <c r="AB71" t="n">
        <v>0.0</v>
      </c>
      <c r="AC71" t="n">
        <v>0.0</v>
      </c>
      <c r="AD71" t="n">
        <v>122.0</v>
      </c>
      <c r="AE71" t="n">
        <v>2.0</v>
      </c>
      <c r="AF71" t="n">
        <v>1.0</v>
      </c>
      <c r="AG71" t="n">
        <v>0.0</v>
      </c>
      <c r="AH71" t="n">
        <v>1.0</v>
      </c>
      <c r="AI71" t="n">
        <v>0.0</v>
      </c>
      <c r="AJ71" t="n">
        <v>0.0</v>
      </c>
      <c r="AK71" t="n">
        <v>36.71311475409836</v>
      </c>
      <c r="AL71" t="inlineStr">
        <is>
          <t/>
        </is>
      </c>
    </row>
    <row r="72">
      <c r="A72" t="inlineStr">
        <is>
          <t>要不是三文鱼so得快，我早就不吃了。。。</t>
        </is>
      </c>
      <c r="B72" t="inlineStr">
        <is>
          <t>69db6b8a000000002202ac8f</t>
        </is>
      </c>
      <c r="C72" s="71" t="n">
        <f>HYPERLINK("https://www.xiaohongshu.com/explore/69db6b8a000000002202ac8f?xsec_token=TBv7n0Oy0CPbFvgz473v78kdl6tynKdbEr7kGWGO8XYeY=&amp;xsec_source=pc_trdark","https://www.xiaohongshu.com/explore/69db6b8a000000002202ac8f?xsec_token=TBv7n0Oy0CPbFvgz473v78kdl6tynKdbEr7kGWGO8XYeY=&amp;xsec_source=pc_trdark")</f>
        <v>0.0</v>
      </c>
      <c r="D72" t="inlineStr">
        <is>
          <t>菲菲上班吃什么</t>
        </is>
      </c>
      <c r="E72" t="inlineStr">
        <is>
          <t>49936530607</t>
        </is>
      </c>
      <c r="F72" t="inlineStr">
        <is>
          <t>2026-04-12 17:53:14</t>
        </is>
      </c>
      <c r="G72" t="inlineStr">
        <is>
          <t>图文</t>
        </is>
      </c>
      <c r="H72" t="inlineStr">
        <is>
          <t>智利三文鱼切块·整条三文鱼·深海鱼一人食健康饮食</t>
        </is>
      </c>
      <c r="I72" t="inlineStr">
        <is>
          <t>691ac562a524ee0001b51d7b</t>
        </is>
      </c>
      <c r="J72" t="inlineStr">
        <is>
          <t/>
        </is>
      </c>
      <c r="K72" t="n">
        <v>0.0</v>
      </c>
      <c r="L72" t="n">
        <v>0.0</v>
      </c>
      <c r="M72" t="n">
        <v>7.0</v>
      </c>
      <c r="N72" t="inlineStr">
        <is>
          <t>0.05785123966942149</t>
        </is>
      </c>
      <c r="O72" t="n">
        <v>6.0</v>
      </c>
      <c r="P72" t="n">
        <v>0.0</v>
      </c>
      <c r="Q72" t="n">
        <v>0.0</v>
      </c>
      <c r="R72" t="n">
        <v>0.0</v>
      </c>
      <c r="S72" t="n">
        <v>0.0</v>
      </c>
      <c r="T72" t="n">
        <v>0.0</v>
      </c>
      <c r="U72" t="n">
        <v>0.0</v>
      </c>
      <c r="V72" t="n">
        <v>0.0</v>
      </c>
      <c r="W72" t="inlineStr">
        <is>
          <t/>
        </is>
      </c>
      <c r="X72" t="n">
        <v>0.0</v>
      </c>
      <c r="Y72" t="n">
        <v>0.0</v>
      </c>
      <c r="Z72" t="n">
        <v>2.0</v>
      </c>
      <c r="AA72" t="n">
        <v>0.0</v>
      </c>
      <c r="AB72" t="n">
        <v>0.0</v>
      </c>
      <c r="AC72" t="n">
        <v>0.0</v>
      </c>
      <c r="AD72" t="n">
        <v>121.0</v>
      </c>
      <c r="AE72" t="n">
        <v>0.0</v>
      </c>
      <c r="AF72" t="n">
        <v>0.0</v>
      </c>
      <c r="AG72" t="n">
        <v>0.0</v>
      </c>
      <c r="AH72" t="n">
        <v>0.0</v>
      </c>
      <c r="AI72" t="n">
        <v>0.0</v>
      </c>
      <c r="AJ72" t="n">
        <v>0.0</v>
      </c>
      <c r="AK72" t="n">
        <v>10.355371900826446</v>
      </c>
      <c r="AL72" t="inlineStr">
        <is>
          <t/>
        </is>
      </c>
    </row>
    <row r="73">
      <c r="A73" t="inlineStr">
        <is>
          <t>区区 300 多，囤够了我一个月的健康饮食</t>
        </is>
      </c>
      <c r="B73" t="inlineStr">
        <is>
          <t>6a7158d4000000002202f171</t>
        </is>
      </c>
      <c r="C73" s="72" t="n">
        <f>HYPERLINK("https://www.xiaohongshu.com/explore/6a7158d4000000002202f171?xsec_token=TBGdlgq0FqunFmaLrhl7mernH0BVSLA2xs2uls3jMZ7KQ=&amp;xsec_source=pc_trdark","https://www.xiaohongshu.com/explore/6a7158d4000000002202f171?xsec_token=TBGdlgq0FqunFmaLrhl7mernH0BVSLA2xs2uls3jMZ7KQ=&amp;xsec_source=pc_trdark")</f>
        <v>0.0</v>
      </c>
      <c r="D73" t="inlineStr">
        <is>
          <t>鲜水湾</t>
        </is>
      </c>
      <c r="E73" t="inlineStr">
        <is>
          <t>49316638994</t>
        </is>
      </c>
      <c r="F73" t="inlineStr">
        <is>
          <t>2026-08-04 11:13:24</t>
        </is>
      </c>
      <c r="G73" t="inlineStr">
        <is>
          <t>图文</t>
        </is>
      </c>
      <c r="H73" t="inlineStr">
        <is>
          <t>智利三文鱼切块·整条三文鱼·深海鱼一人食健康饮食</t>
        </is>
      </c>
      <c r="I73" t="inlineStr">
        <is>
          <t>691ac562a524ee0001b51d7b</t>
        </is>
      </c>
      <c r="J73" t="inlineStr">
        <is>
          <t/>
        </is>
      </c>
      <c r="K73" t="n">
        <v>666.0</v>
      </c>
      <c r="L73" t="n">
        <v>2.0</v>
      </c>
      <c r="M73" t="n">
        <v>33.0</v>
      </c>
      <c r="N73" t="n">
        <v>0.275</v>
      </c>
      <c r="O73" t="n">
        <v>28.0</v>
      </c>
      <c r="P73" t="n">
        <v>2.0</v>
      </c>
      <c r="Q73" t="inlineStr">
        <is>
          <t>0.06060606060606061</t>
        </is>
      </c>
      <c r="R73" t="inlineStr">
        <is>
          <t>0.07142857142857142</t>
        </is>
      </c>
      <c r="S73" t="n">
        <v>0.0</v>
      </c>
      <c r="T73" t="n">
        <v>0.0</v>
      </c>
      <c r="U73" t="n">
        <v>0.0</v>
      </c>
      <c r="V73" t="n">
        <v>0.0</v>
      </c>
      <c r="W73" t="n">
        <v>0.0</v>
      </c>
      <c r="X73" t="n">
        <v>0.0</v>
      </c>
      <c r="Y73" t="n">
        <v>6.0</v>
      </c>
      <c r="Z73" t="n">
        <v>2.0</v>
      </c>
      <c r="AA73" t="n">
        <v>0.0</v>
      </c>
      <c r="AB73" t="n">
        <v>0.0</v>
      </c>
      <c r="AC73" t="n">
        <v>0.0</v>
      </c>
      <c r="AD73" t="n">
        <v>120.0</v>
      </c>
      <c r="AE73" t="n">
        <v>0.0</v>
      </c>
      <c r="AF73" t="n">
        <v>1.0</v>
      </c>
      <c r="AG73" t="n">
        <v>0.0</v>
      </c>
      <c r="AH73" t="n">
        <v>3.0</v>
      </c>
      <c r="AI73" t="n">
        <v>0.0</v>
      </c>
      <c r="AJ73" t="n">
        <v>0.0</v>
      </c>
      <c r="AK73" t="n">
        <v>26.916666666666668</v>
      </c>
      <c r="AL73" t="inlineStr">
        <is>
          <t/>
        </is>
      </c>
    </row>
    <row r="74">
      <c r="A74" t="inlineStr">
        <is>
          <t>比Sam都实惠的整条三文鱼</t>
        </is>
      </c>
      <c r="B74" t="inlineStr">
        <is>
          <t>69df3dc3000000001d01fb12</t>
        </is>
      </c>
      <c r="C74" s="73" t="n">
        <f>HYPERLINK("https://www.xiaohongshu.com/explore/69df3dc3000000001d01fb12?xsec_token=TBbELi6fdmnK2TYKEzYY0fWjmBIBHd0guHlLGJ7PV-9wE=&amp;xsec_source=pc_trdark","https://www.xiaohongshu.com/explore/69df3dc3000000001d01fb12?xsec_token=TBbELi6fdmnK2TYKEzYY0fWjmBIBHd0guHlLGJ7PV-9wE=&amp;xsec_source=pc_trdark")</f>
        <v>0.0</v>
      </c>
      <c r="D74" t="inlineStr">
        <is>
          <t>鲜水湾甄选</t>
        </is>
      </c>
      <c r="E74" t="inlineStr">
        <is>
          <t>27401929161</t>
        </is>
      </c>
      <c r="F74" t="inlineStr">
        <is>
          <t>2026-04-15 15:26:59</t>
        </is>
      </c>
      <c r="G74" t="inlineStr">
        <is>
          <t>图文</t>
        </is>
      </c>
      <c r="H74" t="inlineStr">
        <is>
          <t>智利尾端中段整条三文鱼 8斤深海鱼低脂餐囤货一周备菜顺丰包邮</t>
        </is>
      </c>
      <c r="I74" t="inlineStr">
        <is>
          <t>69fab80d64eb410001ece0c0</t>
        </is>
      </c>
      <c r="J74" t="inlineStr">
        <is>
          <t/>
        </is>
      </c>
      <c r="K74" t="n">
        <v>0.0</v>
      </c>
      <c r="L74" t="n">
        <v>0.0</v>
      </c>
      <c r="M74" t="n">
        <v>17.0</v>
      </c>
      <c r="N74" t="inlineStr">
        <is>
          <t>0.14655172413793102</t>
        </is>
      </c>
      <c r="O74" t="n">
        <v>15.0</v>
      </c>
      <c r="P74" t="n">
        <v>0.0</v>
      </c>
      <c r="Q74" t="n">
        <v>0.0</v>
      </c>
      <c r="R74" t="n">
        <v>0.0</v>
      </c>
      <c r="S74" t="n">
        <v>0.0</v>
      </c>
      <c r="T74" t="n">
        <v>0.0</v>
      </c>
      <c r="U74" t="n">
        <v>0.0</v>
      </c>
      <c r="V74" t="n">
        <v>0.0</v>
      </c>
      <c r="W74" t="inlineStr">
        <is>
          <t/>
        </is>
      </c>
      <c r="X74" t="n">
        <v>0.0</v>
      </c>
      <c r="Y74" t="n">
        <v>3.0</v>
      </c>
      <c r="Z74" t="n">
        <v>7.0</v>
      </c>
      <c r="AA74" t="n">
        <v>0.0</v>
      </c>
      <c r="AB74" t="n">
        <v>0.0</v>
      </c>
      <c r="AC74" t="n">
        <v>0.0</v>
      </c>
      <c r="AD74" t="n">
        <v>116.0</v>
      </c>
      <c r="AE74" t="n">
        <v>0.0</v>
      </c>
      <c r="AF74" t="n">
        <v>0.0</v>
      </c>
      <c r="AG74" t="n">
        <v>0.0</v>
      </c>
      <c r="AH74" t="n">
        <v>0.0</v>
      </c>
      <c r="AI74" t="n">
        <v>0.0</v>
      </c>
      <c r="AJ74" t="n">
        <v>0.0</v>
      </c>
      <c r="AK74" t="n">
        <v>10.189655172413794</v>
      </c>
      <c r="AL74" t="inlineStr">
        <is>
          <t/>
        </is>
      </c>
    </row>
    <row r="75">
      <c r="A75" t="inlineStr">
        <is>
          <t>同事问我：你天天带虾仁，月薪多少啊</t>
        </is>
      </c>
      <c r="B75" t="inlineStr">
        <is>
          <t>69d750700000000023006a58</t>
        </is>
      </c>
      <c r="C75" s="74" t="n">
        <f>HYPERLINK("https://www.xiaohongshu.com/explore/69d750700000000023006a58?xsec_token=TBabSJw1DqF320Z_FWL3yrQ7icBD2YBtgxXQUoeYygv_8=&amp;xsec_source=pc_trdark","https://www.xiaohongshu.com/explore/69d750700000000023006a58?xsec_token=TBabSJw1DqF320Z_FWL3yrQ7icBD2YBtgxXQUoeYygv_8=&amp;xsec_source=pc_trdark")</f>
        <v>0.0</v>
      </c>
      <c r="D75" t="inlineStr">
        <is>
          <t>婉婉上班吃什么</t>
        </is>
      </c>
      <c r="E75" t="inlineStr">
        <is>
          <t>11434449706</t>
        </is>
      </c>
      <c r="F75" t="inlineStr">
        <is>
          <t>2026-04-09 15:08:32</t>
        </is>
      </c>
      <c r="G75" t="inlineStr">
        <is>
          <t>图文</t>
        </is>
      </c>
      <c r="H75" t="inlineStr">
        <is>
          <t>手剥虾仁 无冰衣无添加 低脂餐一人食 上班带饭 顺丰包邮 5盒装</t>
        </is>
      </c>
      <c r="I75" t="inlineStr">
        <is>
          <t>694baba01d450d00013662f0</t>
        </is>
      </c>
      <c r="J75" t="inlineStr">
        <is>
          <t/>
        </is>
      </c>
      <c r="K75" t="n">
        <v>127.0</v>
      </c>
      <c r="L75" t="n">
        <v>1.0</v>
      </c>
      <c r="M75" t="n">
        <v>8.0</v>
      </c>
      <c r="N75" t="inlineStr">
        <is>
          <t>0.06956521739130435</t>
        </is>
      </c>
      <c r="O75" t="n">
        <v>6.0</v>
      </c>
      <c r="P75" t="n">
        <v>1.0</v>
      </c>
      <c r="Q75" t="n">
        <v>0.125</v>
      </c>
      <c r="R75" t="inlineStr">
        <is>
          <t>0.16666666666666666</t>
        </is>
      </c>
      <c r="S75" t="n">
        <v>0.0</v>
      </c>
      <c r="T75" t="n">
        <v>0.0</v>
      </c>
      <c r="U75" t="n">
        <v>0.0</v>
      </c>
      <c r="V75" t="n">
        <v>0.0</v>
      </c>
      <c r="W75" t="n">
        <v>0.0</v>
      </c>
      <c r="X75" t="n">
        <v>0.0</v>
      </c>
      <c r="Y75" t="n">
        <v>1.0</v>
      </c>
      <c r="Z75" t="n">
        <v>0.0</v>
      </c>
      <c r="AA75" t="n">
        <v>0.0</v>
      </c>
      <c r="AB75" t="n">
        <v>0.0</v>
      </c>
      <c r="AC75" t="n">
        <v>0.0</v>
      </c>
      <c r="AD75" t="n">
        <v>115.0</v>
      </c>
      <c r="AE75" t="n">
        <v>0.0</v>
      </c>
      <c r="AF75" t="n">
        <v>0.0</v>
      </c>
      <c r="AG75" t="n">
        <v>0.0</v>
      </c>
      <c r="AH75" t="n">
        <v>0.0</v>
      </c>
      <c r="AI75" t="n">
        <v>0.0</v>
      </c>
      <c r="AJ75" t="n">
        <v>0.0</v>
      </c>
      <c r="AK75" t="n">
        <v>9.556521739130435</v>
      </c>
      <c r="AL75" t="inlineStr">
        <is>
          <t/>
        </is>
      </c>
    </row>
    <row r="76">
      <c r="A76" t="inlineStr">
        <is>
          <t>虾仁！！！打工人下班10分钟吃上饭！！！</t>
        </is>
      </c>
      <c r="B76" t="inlineStr">
        <is>
          <t>6a1ecb4e0000000006023cac</t>
        </is>
      </c>
      <c r="C76" s="75" t="n">
        <f>HYPERLINK("https://www.xiaohongshu.com/explore/6a1ecb4e0000000006023cac?xsec_token=TB-3bUuyjb2g56J4RSha7EmueG-_ALCs3KdxVgaV3tzJQ=&amp;xsec_source=pc_trdark","https://www.xiaohongshu.com/explore/6a1ecb4e0000000006023cac?xsec_token=TB-3bUuyjb2g56J4RSha7EmueG-_ALCs3KdxVgaV3tzJQ=&amp;xsec_source=pc_trdark")</f>
        <v>0.0</v>
      </c>
      <c r="D76" t="inlineStr">
        <is>
          <t>菲菲上班吃什么</t>
        </is>
      </c>
      <c r="E76" t="inlineStr">
        <is>
          <t>49936530607</t>
        </is>
      </c>
      <c r="F76" t="inlineStr">
        <is>
          <t>2026-06-02 20:23:42</t>
        </is>
      </c>
      <c r="G76" t="inlineStr">
        <is>
          <t>图文</t>
        </is>
      </c>
      <c r="H76" t="inlineStr">
        <is>
          <t>手剥虾仁 无冰衣无添加 低脂餐一人食 上班带饭 顺丰包邮 5盒装</t>
        </is>
      </c>
      <c r="I76" t="inlineStr">
        <is>
          <t>694baba01d450d00013662f0</t>
        </is>
      </c>
      <c r="J76" t="inlineStr">
        <is>
          <t/>
        </is>
      </c>
      <c r="K76" t="n">
        <v>0.0</v>
      </c>
      <c r="L76" t="n">
        <v>0.0</v>
      </c>
      <c r="M76" t="n">
        <v>11.0</v>
      </c>
      <c r="N76" t="inlineStr">
        <is>
          <t>0.09649122807017543</t>
        </is>
      </c>
      <c r="O76" t="n">
        <v>8.0</v>
      </c>
      <c r="P76" t="n">
        <v>0.0</v>
      </c>
      <c r="Q76" t="n">
        <v>0.0</v>
      </c>
      <c r="R76" t="n">
        <v>0.0</v>
      </c>
      <c r="S76" t="n">
        <v>0.0</v>
      </c>
      <c r="T76" t="n">
        <v>0.0</v>
      </c>
      <c r="U76" t="n">
        <v>0.0</v>
      </c>
      <c r="V76" t="n">
        <v>0.0</v>
      </c>
      <c r="W76" t="inlineStr">
        <is>
          <t/>
        </is>
      </c>
      <c r="X76" t="n">
        <v>0.0</v>
      </c>
      <c r="Y76" t="n">
        <v>2.0</v>
      </c>
      <c r="Z76" t="n">
        <v>5.0</v>
      </c>
      <c r="AA76" t="n">
        <v>0.0</v>
      </c>
      <c r="AB76" t="n">
        <v>0.0</v>
      </c>
      <c r="AC76" t="n">
        <v>0.0</v>
      </c>
      <c r="AD76" t="n">
        <v>114.0</v>
      </c>
      <c r="AE76" t="n">
        <v>0.0</v>
      </c>
      <c r="AF76" t="n">
        <v>1.0</v>
      </c>
      <c r="AG76" t="n">
        <v>0.0</v>
      </c>
      <c r="AH76" t="n">
        <v>0.0</v>
      </c>
      <c r="AI76" t="n">
        <v>0.0</v>
      </c>
      <c r="AJ76" t="n">
        <v>0.0</v>
      </c>
      <c r="AK76" t="n">
        <v>9.385964912280702</v>
      </c>
      <c r="AL76" t="inlineStr">
        <is>
          <t/>
        </is>
      </c>
    </row>
    <row r="77">
      <c r="A77" t="inlineStr">
        <is>
          <t>管理期天天吃三文鱼？同事以为我暴富了……</t>
        </is>
      </c>
      <c r="B77" t="inlineStr">
        <is>
          <t>6a6af38200000000140076cc</t>
        </is>
      </c>
      <c r="C77" s="76" t="n">
        <f>HYPERLINK("https://www.xiaohongshu.com/explore/6a6af38200000000140076cc?xsec_token=TBlqVLEFjND1igtxhsDYFb6PZ0hXrE08sk1DNzxqp4D4c=&amp;xsec_source=pc_trdark","https://www.xiaohongshu.com/explore/6a6af38200000000140076cc?xsec_token=TBlqVLEFjND1igtxhsDYFb6PZ0hXrE08sk1DNzxqp4D4c=&amp;xsec_source=pc_trdark")</f>
        <v>0.0</v>
      </c>
      <c r="D77" t="inlineStr">
        <is>
          <t>鲜水湾</t>
        </is>
      </c>
      <c r="E77" t="inlineStr">
        <is>
          <t>49316638994</t>
        </is>
      </c>
      <c r="F77" t="inlineStr">
        <is>
          <t>2026-07-30 14:47:30</t>
        </is>
      </c>
      <c r="G77" t="inlineStr">
        <is>
          <t>图文</t>
        </is>
      </c>
      <c r="H77" t="inlineStr">
        <is>
          <t>智利三文鱼切块·整条三文鱼·深海鱼一人食健康饮食</t>
        </is>
      </c>
      <c r="I77" t="inlineStr">
        <is>
          <t>691ac562a524ee0001b51d7b</t>
        </is>
      </c>
      <c r="J77" t="inlineStr">
        <is>
          <t/>
        </is>
      </c>
      <c r="K77" t="n">
        <v>0.0</v>
      </c>
      <c r="L77" t="n">
        <v>0.0</v>
      </c>
      <c r="M77" t="n">
        <v>4.0</v>
      </c>
      <c r="N77" t="inlineStr">
        <is>
          <t>0.035398230088495575</t>
        </is>
      </c>
      <c r="O77" t="n">
        <v>4.0</v>
      </c>
      <c r="P77" t="n">
        <v>0.0</v>
      </c>
      <c r="Q77" t="n">
        <v>0.0</v>
      </c>
      <c r="R77" t="n">
        <v>0.0</v>
      </c>
      <c r="S77" t="n">
        <v>0.0</v>
      </c>
      <c r="T77" t="n">
        <v>0.0</v>
      </c>
      <c r="U77" t="n">
        <v>0.0</v>
      </c>
      <c r="V77" t="n">
        <v>0.0</v>
      </c>
      <c r="W77" t="inlineStr">
        <is>
          <t/>
        </is>
      </c>
      <c r="X77" t="n">
        <v>0.0</v>
      </c>
      <c r="Y77" t="n">
        <v>0.0</v>
      </c>
      <c r="Z77" t="n">
        <v>1.0</v>
      </c>
      <c r="AA77" t="n">
        <v>0.0</v>
      </c>
      <c r="AB77" t="n">
        <v>0.0</v>
      </c>
      <c r="AC77" t="n">
        <v>0.0</v>
      </c>
      <c r="AD77" t="n">
        <v>113.0</v>
      </c>
      <c r="AE77" t="n">
        <v>0.0</v>
      </c>
      <c r="AF77" t="n">
        <v>1.0</v>
      </c>
      <c r="AG77" t="n">
        <v>0.0</v>
      </c>
      <c r="AH77" t="n">
        <v>0.0</v>
      </c>
      <c r="AI77" t="n">
        <v>0.0</v>
      </c>
      <c r="AJ77" t="n">
        <v>0.0</v>
      </c>
      <c r="AK77" t="n">
        <v>8.584070796460177</v>
      </c>
      <c r="AL77" t="inlineStr">
        <is>
          <t/>
        </is>
      </c>
    </row>
    <row r="78">
      <c r="A78" t="inlineStr">
        <is>
          <t>懒人真的可以常备这款三文鱼🐟</t>
        </is>
      </c>
      <c r="B78" t="inlineStr">
        <is>
          <t>6a759e66000000002803154b</t>
        </is>
      </c>
      <c r="C78" s="77" t="n">
        <f>HYPERLINK("https://www.xiaohongshu.com/explore/6a759e66000000002803154b?xsec_token=TB7zWT8uC_Q-m_VusJubEL4HINFOneyZnchK4aK__4bxo=&amp;xsec_source=pc_trdark","https://www.xiaohongshu.com/explore/6a759e66000000002803154b?xsec_token=TB7zWT8uC_Q-m_VusJubEL4HINFOneyZnchK4aK__4bxo=&amp;xsec_source=pc_trdark")</f>
        <v>0.0</v>
      </c>
      <c r="D78" t="inlineStr">
        <is>
          <t>鲜水湾</t>
        </is>
      </c>
      <c r="E78" t="inlineStr">
        <is>
          <t>49316638994</t>
        </is>
      </c>
      <c r="F78" t="inlineStr">
        <is>
          <t>2026-08-07 16:59:18</t>
        </is>
      </c>
      <c r="G78" t="inlineStr">
        <is>
          <t>图文</t>
        </is>
      </c>
      <c r="H78" t="inlineStr">
        <is>
          <t>智利三文鱼切块·整条三文鱼·深海鱼一人食健康饮食</t>
        </is>
      </c>
      <c r="I78" t="inlineStr">
        <is>
          <t>691ac562a524ee0001b51d7b</t>
        </is>
      </c>
      <c r="J78" t="inlineStr">
        <is>
          <t/>
        </is>
      </c>
      <c r="K78" t="n">
        <v>63.0</v>
      </c>
      <c r="L78" t="n">
        <v>1.0</v>
      </c>
      <c r="M78" t="n">
        <v>17.0</v>
      </c>
      <c r="N78" t="inlineStr">
        <is>
          <t>0.15178571428571427</t>
        </is>
      </c>
      <c r="O78" t="n">
        <v>17.0</v>
      </c>
      <c r="P78" t="n">
        <v>1.0</v>
      </c>
      <c r="Q78" t="inlineStr">
        <is>
          <t>0.058823529411764705</t>
        </is>
      </c>
      <c r="R78" t="inlineStr">
        <is>
          <t>0.058823529411764705</t>
        </is>
      </c>
      <c r="S78" t="n">
        <v>0.0</v>
      </c>
      <c r="T78" t="n">
        <v>0.0</v>
      </c>
      <c r="U78" t="n">
        <v>0.0</v>
      </c>
      <c r="V78" t="n">
        <v>0.0</v>
      </c>
      <c r="W78" t="n">
        <v>0.0</v>
      </c>
      <c r="X78" t="n">
        <v>0.0</v>
      </c>
      <c r="Y78" t="n">
        <v>7.0</v>
      </c>
      <c r="Z78" t="n">
        <v>4.0</v>
      </c>
      <c r="AA78" t="n">
        <v>0.0</v>
      </c>
      <c r="AB78" t="n">
        <v>0.0</v>
      </c>
      <c r="AC78" t="n">
        <v>0.0</v>
      </c>
      <c r="AD78" t="n">
        <v>112.0</v>
      </c>
      <c r="AE78" t="n">
        <v>4.0</v>
      </c>
      <c r="AF78" t="n">
        <v>1.0</v>
      </c>
      <c r="AG78" t="n">
        <v>0.0</v>
      </c>
      <c r="AH78" t="n">
        <v>2.0</v>
      </c>
      <c r="AI78" t="n">
        <v>0.0</v>
      </c>
      <c r="AJ78" t="n">
        <v>0.0</v>
      </c>
      <c r="AK78" t="n">
        <v>12.883928571428571</v>
      </c>
      <c r="AL78" t="inlineStr">
        <is>
          <t/>
        </is>
      </c>
    </row>
    <row r="79">
      <c r="A79" t="inlineStr">
        <is>
          <t>区区69💰居然够我自律期吃一周了！</t>
        </is>
      </c>
      <c r="B79" t="inlineStr">
        <is>
          <t>6a02f3f2000000003503af35</t>
        </is>
      </c>
      <c r="C79" s="78" t="n">
        <f>HYPERLINK("https://www.xiaohongshu.com/explore/6a02f3f2000000003503af35?xsec_token=TBPwq-ce0mzGyOoBGbWlmZ4JKQCU-bgnlrQI9xyKAyBHU=&amp;xsec_source=pc_trdark","https://www.xiaohongshu.com/explore/6a02f3f2000000003503af35?xsec_token=TBPwq-ce0mzGyOoBGbWlmZ4JKQCU-bgnlrQI9xyKAyBHU=&amp;xsec_source=pc_trdark")</f>
        <v>0.0</v>
      </c>
      <c r="D79" t="inlineStr">
        <is>
          <t>鲜水湾甄选</t>
        </is>
      </c>
      <c r="E79" t="inlineStr">
        <is>
          <t>27401929161</t>
        </is>
      </c>
      <c r="F79" t="inlineStr">
        <is>
          <t>2026-05-12 19:57:00</t>
        </is>
      </c>
      <c r="G79" t="inlineStr">
        <is>
          <t>图文</t>
        </is>
      </c>
      <c r="H79" t="inlineStr">
        <is>
          <t>手剥虾仁 无冰衣无添加 低脂餐一人食 上班带饭 顺丰包邮 5盒装</t>
        </is>
      </c>
      <c r="I79" t="inlineStr">
        <is>
          <t>694baba01d450d00013662f0</t>
        </is>
      </c>
      <c r="J79" t="inlineStr">
        <is>
          <t/>
        </is>
      </c>
      <c r="K79" t="n">
        <v>0.0</v>
      </c>
      <c r="L79" t="n">
        <v>0.0</v>
      </c>
      <c r="M79" t="n">
        <v>21.0</v>
      </c>
      <c r="N79" t="n">
        <v>0.1926605504587156</v>
      </c>
      <c r="O79" t="n">
        <v>18.0</v>
      </c>
      <c r="P79" t="n">
        <v>0.0</v>
      </c>
      <c r="Q79" t="n">
        <v>0.0</v>
      </c>
      <c r="R79" t="n">
        <v>0.0</v>
      </c>
      <c r="S79" t="n">
        <v>0.0</v>
      </c>
      <c r="T79" t="n">
        <v>0.0</v>
      </c>
      <c r="U79" t="n">
        <v>0.0</v>
      </c>
      <c r="V79" t="n">
        <v>0.0</v>
      </c>
      <c r="W79" t="inlineStr">
        <is>
          <t/>
        </is>
      </c>
      <c r="X79" t="n">
        <v>0.0</v>
      </c>
      <c r="Y79" t="n">
        <v>3.0</v>
      </c>
      <c r="Z79" t="n">
        <v>0.0</v>
      </c>
      <c r="AA79" t="n">
        <v>0.0</v>
      </c>
      <c r="AB79" t="n">
        <v>0.0</v>
      </c>
      <c r="AC79" t="n">
        <v>0.0</v>
      </c>
      <c r="AD79" t="n">
        <v>109.0</v>
      </c>
      <c r="AE79" t="n">
        <v>0.0</v>
      </c>
      <c r="AF79" t="n">
        <v>1.0</v>
      </c>
      <c r="AG79" t="n">
        <v>0.0</v>
      </c>
      <c r="AH79" t="n">
        <v>0.0</v>
      </c>
      <c r="AI79" t="n">
        <v>0.0</v>
      </c>
      <c r="AJ79" t="n">
        <v>0.0</v>
      </c>
      <c r="AK79" t="n">
        <v>12.422018348623853</v>
      </c>
      <c r="AL79" t="inlineStr">
        <is>
          <t/>
        </is>
      </c>
    </row>
    <row r="80">
      <c r="A80" t="inlineStr">
        <is>
          <t>同事说我每天吃虾很奢侈🥲......</t>
        </is>
      </c>
      <c r="B80" t="inlineStr">
        <is>
          <t>69fe0399000000002301cf8e</t>
        </is>
      </c>
      <c r="C80" s="79" t="n">
        <f>HYPERLINK("https://www.xiaohongshu.com/explore/69fe0399000000002301cf8e?xsec_token=TBW_z8KxT9AgMNTeavZZG2U31UaYz_J7LqhydMQJGbTZo=&amp;xsec_source=pc_trdark","https://www.xiaohongshu.com/explore/69fe0399000000002301cf8e?xsec_token=TBW_z8KxT9AgMNTeavZZG2U31UaYz_J7LqhydMQJGbTZo=&amp;xsec_source=pc_trdark")</f>
        <v>0.0</v>
      </c>
      <c r="D80" t="inlineStr">
        <is>
          <t>婉婉上班吃什么</t>
        </is>
      </c>
      <c r="E80" t="inlineStr">
        <is>
          <t>11434449706</t>
        </is>
      </c>
      <c r="F80" t="inlineStr">
        <is>
          <t>2026-05-08 23:39:05</t>
        </is>
      </c>
      <c r="G80" t="inlineStr">
        <is>
          <t>图文</t>
        </is>
      </c>
      <c r="H80" t="inlineStr">
        <is>
          <t>手剥虾仁 无冰衣无添加 低脂餐一人食 上班带饭 顺丰包邮 5盒装</t>
        </is>
      </c>
      <c r="I80" t="inlineStr">
        <is>
          <t>694baba01d450d00013662f0</t>
        </is>
      </c>
      <c r="J80" t="inlineStr">
        <is>
          <t/>
        </is>
      </c>
      <c r="K80" t="n">
        <v>0.0</v>
      </c>
      <c r="L80" t="n">
        <v>0.0</v>
      </c>
      <c r="M80" t="n">
        <v>5.0</v>
      </c>
      <c r="N80" t="inlineStr">
        <is>
          <t>0.047619047619047616</t>
        </is>
      </c>
      <c r="O80" t="n">
        <v>5.0</v>
      </c>
      <c r="P80" t="n">
        <v>0.0</v>
      </c>
      <c r="Q80" t="n">
        <v>0.0</v>
      </c>
      <c r="R80" t="n">
        <v>0.0</v>
      </c>
      <c r="S80" t="n">
        <v>0.0</v>
      </c>
      <c r="T80" t="n">
        <v>0.0</v>
      </c>
      <c r="U80" t="n">
        <v>0.0</v>
      </c>
      <c r="V80" t="n">
        <v>0.0</v>
      </c>
      <c r="W80" t="inlineStr">
        <is>
          <t/>
        </is>
      </c>
      <c r="X80" t="n">
        <v>0.0</v>
      </c>
      <c r="Y80" t="n">
        <v>1.0</v>
      </c>
      <c r="Z80" t="n">
        <v>3.0</v>
      </c>
      <c r="AA80" t="n">
        <v>0.0</v>
      </c>
      <c r="AB80" t="n">
        <v>0.0</v>
      </c>
      <c r="AC80" t="n">
        <v>0.0</v>
      </c>
      <c r="AD80" t="n">
        <v>105.0</v>
      </c>
      <c r="AE80" t="n">
        <v>1.0</v>
      </c>
      <c r="AF80" t="n">
        <v>0.0</v>
      </c>
      <c r="AG80" t="n">
        <v>0.0</v>
      </c>
      <c r="AH80" t="n">
        <v>0.0</v>
      </c>
      <c r="AI80" t="n">
        <v>0.0</v>
      </c>
      <c r="AJ80" t="n">
        <v>0.0</v>
      </c>
      <c r="AK80" t="n">
        <v>9.8</v>
      </c>
      <c r="AL80" t="inlineStr">
        <is>
          <t/>
        </is>
      </c>
    </row>
    <row r="81">
      <c r="A81" t="inlineStr">
        <is>
          <t>请全国孕麻麻，宝宝放心吃，没打一点药</t>
        </is>
      </c>
      <c r="B81" t="inlineStr">
        <is>
          <t>6a743909000000000502299e</t>
        </is>
      </c>
      <c r="C81" s="80" t="n">
        <f>HYPERLINK("https://www.xiaohongshu.com/explore/6a743909000000000502299e?xsec_token=TBJtS_xn5m5mCKtnUbGCdZGaePnfBa2BsbRJEz3DUjoSg=&amp;xsec_source=pc_trdark","https://www.xiaohongshu.com/explore/6a743909000000000502299e?xsec_token=TBJtS_xn5m5mCKtnUbGCdZGaePnfBa2BsbRJEz3DUjoSg=&amp;xsec_source=pc_trdark")</f>
        <v>0.0</v>
      </c>
      <c r="D81" t="inlineStr">
        <is>
          <t>鲜水湾</t>
        </is>
      </c>
      <c r="E81" t="inlineStr">
        <is>
          <t>49316638994</t>
        </is>
      </c>
      <c r="F81" t="inlineStr">
        <is>
          <t>2026-08-06 15:34:33</t>
        </is>
      </c>
      <c r="G81" t="inlineStr">
        <is>
          <t>图文</t>
        </is>
      </c>
      <c r="H81" t="inlineStr">
        <is>
          <t>手剥虾仁 无冰衣无添加 低脂餐一人食 上班带饭 顺丰包邮 5盒装</t>
        </is>
      </c>
      <c r="I81" t="inlineStr">
        <is>
          <t>694baba01d450d00013662f0</t>
        </is>
      </c>
      <c r="J81" t="inlineStr">
        <is>
          <t/>
        </is>
      </c>
      <c r="K81" t="n">
        <v>0.0</v>
      </c>
      <c r="L81" t="n">
        <v>0.0</v>
      </c>
      <c r="M81" t="n">
        <v>5.0</v>
      </c>
      <c r="N81" t="inlineStr">
        <is>
          <t>0.04854368932038835</t>
        </is>
      </c>
      <c r="O81" t="n">
        <v>5.0</v>
      </c>
      <c r="P81" t="n">
        <v>0.0</v>
      </c>
      <c r="Q81" t="n">
        <v>0.0</v>
      </c>
      <c r="R81" t="n">
        <v>0.0</v>
      </c>
      <c r="S81" t="n">
        <v>0.0</v>
      </c>
      <c r="T81" t="n">
        <v>0.0</v>
      </c>
      <c r="U81" t="n">
        <v>0.0</v>
      </c>
      <c r="V81" t="n">
        <v>0.0</v>
      </c>
      <c r="W81" t="inlineStr">
        <is>
          <t/>
        </is>
      </c>
      <c r="X81" t="n">
        <v>0.0</v>
      </c>
      <c r="Y81" t="n">
        <v>2.0</v>
      </c>
      <c r="Z81" t="n">
        <v>12.0</v>
      </c>
      <c r="AA81" t="n">
        <v>0.0</v>
      </c>
      <c r="AB81" t="n">
        <v>0.0</v>
      </c>
      <c r="AC81" t="n">
        <v>0.0</v>
      </c>
      <c r="AD81" t="n">
        <v>103.0</v>
      </c>
      <c r="AE81" t="n">
        <v>1.0</v>
      </c>
      <c r="AF81" t="n">
        <v>0.0</v>
      </c>
      <c r="AG81" t="n">
        <v>0.0</v>
      </c>
      <c r="AH81" t="n">
        <v>3.0</v>
      </c>
      <c r="AI81" t="n">
        <v>0.0</v>
      </c>
      <c r="AJ81" t="n">
        <v>0.0</v>
      </c>
      <c r="AK81" t="n">
        <v>8.029126213592233</v>
      </c>
      <c r="AL81" t="inlineStr">
        <is>
          <t/>
        </is>
      </c>
    </row>
    <row r="82">
      <c r="A82" t="inlineStr">
        <is>
          <t>善良使我定价300/条，但凡不好吃回来真实我</t>
        </is>
      </c>
      <c r="B82" t="inlineStr">
        <is>
          <t>6a79685000000000330098c0</t>
        </is>
      </c>
      <c r="C82" s="81" t="n">
        <f>HYPERLINK("https://www.xiaohongshu.com/explore/6a79685000000000330098c0?xsec_token=TBsnAROY2EYN-xIVUvJJxKjdyuuaxC9jKK2tL0UCewlCA=&amp;xsec_source=pc_trdark","https://www.xiaohongshu.com/explore/6a79685000000000330098c0?xsec_token=TBsnAROY2EYN-xIVUvJJxKjdyuuaxC9jKK2tL0UCewlCA=&amp;xsec_source=pc_trdark")</f>
        <v>0.0</v>
      </c>
      <c r="D82" t="inlineStr">
        <is>
          <t>鲜水湾</t>
        </is>
      </c>
      <c r="E82" t="inlineStr">
        <is>
          <t>49316638994</t>
        </is>
      </c>
      <c r="F82" t="inlineStr">
        <is>
          <t>2026-08-10 13:57:36</t>
        </is>
      </c>
      <c r="G82" t="inlineStr">
        <is>
          <t>图文</t>
        </is>
      </c>
      <c r="H82" t="inlineStr">
        <is>
          <t>智利尾端中段整条三文鱼 8斤深海鱼低脂餐囤货一周备菜顺丰包邮</t>
        </is>
      </c>
      <c r="I82" t="inlineStr">
        <is>
          <t>69fab80d64eb410001ece0c0</t>
        </is>
      </c>
      <c r="J82" t="inlineStr">
        <is>
          <t/>
        </is>
      </c>
      <c r="K82" t="n">
        <v>0.0</v>
      </c>
      <c r="L82" t="n">
        <v>0.0</v>
      </c>
      <c r="M82" t="n">
        <v>11.0</v>
      </c>
      <c r="N82" t="inlineStr">
        <is>
          <t>0.10784313725490197</t>
        </is>
      </c>
      <c r="O82" t="n">
        <v>8.0</v>
      </c>
      <c r="P82" t="n">
        <v>0.0</v>
      </c>
      <c r="Q82" t="n">
        <v>0.0</v>
      </c>
      <c r="R82" t="n">
        <v>0.0</v>
      </c>
      <c r="S82" t="n">
        <v>0.0</v>
      </c>
      <c r="T82" t="n">
        <v>0.0</v>
      </c>
      <c r="U82" t="n">
        <v>0.0</v>
      </c>
      <c r="V82" t="n">
        <v>0.0</v>
      </c>
      <c r="W82" t="inlineStr">
        <is>
          <t/>
        </is>
      </c>
      <c r="X82" t="n">
        <v>0.0</v>
      </c>
      <c r="Y82" t="n">
        <v>1.0</v>
      </c>
      <c r="Z82" t="n">
        <v>7.0</v>
      </c>
      <c r="AA82" t="n">
        <v>0.0</v>
      </c>
      <c r="AB82" t="n">
        <v>0.0</v>
      </c>
      <c r="AC82" t="n">
        <v>0.0</v>
      </c>
      <c r="AD82" t="n">
        <v>102.0</v>
      </c>
      <c r="AE82" t="n">
        <v>1.0</v>
      </c>
      <c r="AF82" t="n">
        <v>1.0</v>
      </c>
      <c r="AG82" t="n">
        <v>0.0</v>
      </c>
      <c r="AH82" t="n">
        <v>2.0</v>
      </c>
      <c r="AI82" t="n">
        <v>1.0</v>
      </c>
      <c r="AJ82" t="n">
        <v>0.0</v>
      </c>
      <c r="AK82" t="n">
        <v>10.392156862745098</v>
      </c>
      <c r="AL82" t="inlineStr">
        <is>
          <t/>
        </is>
      </c>
    </row>
    <row r="83">
      <c r="A83" t="inlineStr">
        <is>
          <t>教大家一个订婚前15天瘦骨感巨屌的tips</t>
        </is>
      </c>
      <c r="B83" t="inlineStr">
        <is>
          <t>69c8c5ed000000001a036ea7</t>
        </is>
      </c>
      <c r="C83" s="82" t="n">
        <f>HYPERLINK("https://www.xiaohongshu.com/explore/69c8c5ed000000001a036ea7?xsec_token=TBSs0bsvi6YGXB042lLCz_JAtAdzT2WCUkvkIxLXDLMXY=&amp;xsec_source=pc_trdark","https://www.xiaohongshu.com/explore/69c8c5ed000000001a036ea7?xsec_token=TBSs0bsvi6YGXB042lLCz_JAtAdzT2WCUkvkIxLXDLMXY=&amp;xsec_source=pc_trdark")</f>
        <v>0.0</v>
      </c>
      <c r="D83" t="inlineStr">
        <is>
          <t>菲菲上班吃什么</t>
        </is>
      </c>
      <c r="E83" t="inlineStr">
        <is>
          <t>49936530607</t>
        </is>
      </c>
      <c r="F83" t="inlineStr">
        <is>
          <t>2026-03-29 14:25:49</t>
        </is>
      </c>
      <c r="G83" t="inlineStr">
        <is>
          <t>图文</t>
        </is>
      </c>
      <c r="H83" t="inlineStr">
        <is>
          <t>手剥虾仁 无冰衣无添加 低脂餐一人食 上班带饭 顺丰包邮 5盒装</t>
        </is>
      </c>
      <c r="I83" t="inlineStr">
        <is>
          <t>694baba01d450d00013662f0</t>
        </is>
      </c>
      <c r="J83" t="inlineStr">
        <is>
          <t/>
        </is>
      </c>
      <c r="K83" t="n">
        <v>0.0</v>
      </c>
      <c r="L83" t="n">
        <v>0.0</v>
      </c>
      <c r="M83" t="n">
        <v>8.0</v>
      </c>
      <c r="N83" t="n">
        <v>0.0784313725490196</v>
      </c>
      <c r="O83" t="n">
        <v>7.0</v>
      </c>
      <c r="P83" t="n">
        <v>0.0</v>
      </c>
      <c r="Q83" t="n">
        <v>0.0</v>
      </c>
      <c r="R83" t="n">
        <v>0.0</v>
      </c>
      <c r="S83" t="n">
        <v>0.0</v>
      </c>
      <c r="T83" t="n">
        <v>0.0</v>
      </c>
      <c r="U83" t="n">
        <v>0.0</v>
      </c>
      <c r="V83" t="n">
        <v>0.0</v>
      </c>
      <c r="W83" t="inlineStr">
        <is>
          <t/>
        </is>
      </c>
      <c r="X83" t="n">
        <v>0.0</v>
      </c>
      <c r="Y83" t="n">
        <v>3.0</v>
      </c>
      <c r="Z83" t="n">
        <v>4.0</v>
      </c>
      <c r="AA83" t="n">
        <v>0.0</v>
      </c>
      <c r="AB83" t="n">
        <v>0.0</v>
      </c>
      <c r="AC83" t="n">
        <v>0.0</v>
      </c>
      <c r="AD83" t="n">
        <v>102.0</v>
      </c>
      <c r="AE83" t="n">
        <v>5.0</v>
      </c>
      <c r="AF83" t="n">
        <v>0.0</v>
      </c>
      <c r="AG83" t="n">
        <v>0.0</v>
      </c>
      <c r="AH83" t="n">
        <v>0.0</v>
      </c>
      <c r="AI83" t="n">
        <v>0.0</v>
      </c>
      <c r="AJ83" t="n">
        <v>0.0</v>
      </c>
      <c r="AK83" t="n">
        <v>12.068627450980392</v>
      </c>
      <c r="AL83" t="inlineStr">
        <is>
          <t/>
        </is>
      </c>
    </row>
    <row r="84">
      <c r="A84" t="inlineStr">
        <is>
          <t>第一次对爬坡后吃快碳起了敬意…</t>
        </is>
      </c>
      <c r="B84" t="inlineStr">
        <is>
          <t>69e5e6020000000022029222</t>
        </is>
      </c>
      <c r="C84" s="83" t="n">
        <f>HYPERLINK("https://www.xiaohongshu.com/explore/69e5e6020000000022029222?xsec_token=TBRM_4pSbJalcnymykJyoKXZoNY-P_7xCkGDjytDnPOYk=&amp;xsec_source=pc_trdark","https://www.xiaohongshu.com/explore/69e5e6020000000022029222?xsec_token=TBRM_4pSbJalcnymykJyoKXZoNY-P_7xCkGDjytDnPOYk=&amp;xsec_source=pc_trdark")</f>
        <v>0.0</v>
      </c>
      <c r="D84" t="inlineStr">
        <is>
          <t>菲菲上班吃什么</t>
        </is>
      </c>
      <c r="E84" t="inlineStr">
        <is>
          <t>49936530607</t>
        </is>
      </c>
      <c r="F84" t="inlineStr">
        <is>
          <t>2026-04-20 16:38:26</t>
        </is>
      </c>
      <c r="G84" t="inlineStr">
        <is>
          <t>图文</t>
        </is>
      </c>
      <c r="H84" t="inlineStr">
        <is>
          <t>手剥虾仁 无冰衣无添加 低脂餐一人食 上班带饭 顺丰包邮 5盒装</t>
        </is>
      </c>
      <c r="I84" t="inlineStr">
        <is>
          <t>694baba01d450d00013662f0</t>
        </is>
      </c>
      <c r="J84" t="inlineStr">
        <is>
          <t/>
        </is>
      </c>
      <c r="K84" t="n">
        <v>0.0</v>
      </c>
      <c r="L84" t="n">
        <v>0.0</v>
      </c>
      <c r="M84" t="n">
        <v>5.0</v>
      </c>
      <c r="N84" t="inlineStr">
        <is>
          <t>0.04950495049504951</t>
        </is>
      </c>
      <c r="O84" t="n">
        <v>3.0</v>
      </c>
      <c r="P84" t="n">
        <v>0.0</v>
      </c>
      <c r="Q84" t="n">
        <v>0.0</v>
      </c>
      <c r="R84" t="n">
        <v>0.0</v>
      </c>
      <c r="S84" t="n">
        <v>0.0</v>
      </c>
      <c r="T84" t="n">
        <v>0.0</v>
      </c>
      <c r="U84" t="n">
        <v>0.0</v>
      </c>
      <c r="V84" t="n">
        <v>0.0</v>
      </c>
      <c r="W84" t="inlineStr">
        <is>
          <t/>
        </is>
      </c>
      <c r="X84" t="n">
        <v>0.0</v>
      </c>
      <c r="Y84" t="n">
        <v>0.0</v>
      </c>
      <c r="Z84" t="n">
        <v>2.0</v>
      </c>
      <c r="AA84" t="n">
        <v>0.0</v>
      </c>
      <c r="AB84" t="n">
        <v>0.0</v>
      </c>
      <c r="AC84" t="n">
        <v>0.0</v>
      </c>
      <c r="AD84" t="n">
        <v>101.0</v>
      </c>
      <c r="AE84" t="n">
        <v>0.0</v>
      </c>
      <c r="AF84" t="n">
        <v>0.0</v>
      </c>
      <c r="AG84" t="n">
        <v>0.0</v>
      </c>
      <c r="AH84" t="n">
        <v>0.0</v>
      </c>
      <c r="AI84" t="n">
        <v>0.0</v>
      </c>
      <c r="AJ84" t="n">
        <v>0.0</v>
      </c>
      <c r="AK84" t="n">
        <v>9.94059405940594</v>
      </c>
      <c r="AL84" t="inlineStr">
        <is>
          <t/>
        </is>
      </c>
    </row>
    <row r="85">
      <c r="A85" t="inlineStr">
        <is>
          <t>100块解决我半个月的轻食餐！！！</t>
        </is>
      </c>
      <c r="B85" t="inlineStr">
        <is>
          <t>6a72b984000000003301afb7</t>
        </is>
      </c>
      <c r="C85" s="84" t="n">
        <f>HYPERLINK("https://www.xiaohongshu.com/explore/6a72b984000000003301afb7?xsec_token=TBRm5Oz6TgnkTuHlzu05n-zwhWvAZpOc5mKZkn_b0PhJg=&amp;xsec_source=pc_trdark","https://www.xiaohongshu.com/explore/6a72b984000000003301afb7?xsec_token=TBRm5Oz6TgnkTuHlzu05n-zwhWvAZpOc5mKZkn_b0PhJg=&amp;xsec_source=pc_trdark")</f>
        <v>0.0</v>
      </c>
      <c r="D85" t="inlineStr">
        <is>
          <t>鲜水湾甄选</t>
        </is>
      </c>
      <c r="E85" t="inlineStr">
        <is>
          <t>27401929161</t>
        </is>
      </c>
      <c r="F85" t="inlineStr">
        <is>
          <t>2026-08-05 12:18:12</t>
        </is>
      </c>
      <c r="G85" t="inlineStr">
        <is>
          <t>图文</t>
        </is>
      </c>
      <c r="H85" t="inlineStr">
        <is>
          <t>手剥虾仁 无冰衣无添加 低脂餐一人食 上班带饭 顺丰包邮 5盒装</t>
        </is>
      </c>
      <c r="I85" t="inlineStr">
        <is>
          <t>694baba01d450d00013662f0</t>
        </is>
      </c>
      <c r="J85" t="inlineStr">
        <is>
          <t/>
        </is>
      </c>
      <c r="K85" t="n">
        <v>0.0</v>
      </c>
      <c r="L85" t="n">
        <v>0.0</v>
      </c>
      <c r="M85" t="n">
        <v>8.0</v>
      </c>
      <c r="N85" t="n">
        <v>0.08</v>
      </c>
      <c r="O85" t="n">
        <v>8.0</v>
      </c>
      <c r="P85" t="n">
        <v>0.0</v>
      </c>
      <c r="Q85" t="n">
        <v>0.0</v>
      </c>
      <c r="R85" t="n">
        <v>0.0</v>
      </c>
      <c r="S85" t="n">
        <v>0.0</v>
      </c>
      <c r="T85" t="n">
        <v>0.0</v>
      </c>
      <c r="U85" t="n">
        <v>0.0</v>
      </c>
      <c r="V85" t="n">
        <v>0.0</v>
      </c>
      <c r="W85" t="inlineStr">
        <is>
          <t/>
        </is>
      </c>
      <c r="X85" t="n">
        <v>0.0</v>
      </c>
      <c r="Y85" t="n">
        <v>1.0</v>
      </c>
      <c r="Z85" t="n">
        <v>3.0</v>
      </c>
      <c r="AA85" t="n">
        <v>0.0</v>
      </c>
      <c r="AB85" t="n">
        <v>0.0</v>
      </c>
      <c r="AC85" t="n">
        <v>0.0</v>
      </c>
      <c r="AD85" t="n">
        <v>100.0</v>
      </c>
      <c r="AE85" t="n">
        <v>1.0</v>
      </c>
      <c r="AF85" t="n">
        <v>2.0</v>
      </c>
      <c r="AG85" t="n">
        <v>0.0</v>
      </c>
      <c r="AH85" t="n">
        <v>0.0</v>
      </c>
      <c r="AI85" t="n">
        <v>0.0</v>
      </c>
      <c r="AJ85" t="n">
        <v>0.0</v>
      </c>
      <c r="AK85" t="n">
        <v>13.11</v>
      </c>
      <c r="AL85" t="inlineStr">
        <is>
          <t/>
        </is>
      </c>
    </row>
    <row r="86">
      <c r="A86" t="inlineStr">
        <is>
          <t>区区100块，搞定我半个多月轻食餐……</t>
        </is>
      </c>
      <c r="B86" t="inlineStr">
        <is>
          <t>6a82ce8a000000003301c2bb</t>
        </is>
      </c>
      <c r="C86" s="85" t="n">
        <f>HYPERLINK("https://www.xiaohongshu.com/explore/6a82ce8a000000003301c2bb?xsec_token=TBA1HIXh5By36RiQNQnYzmZblKayLXU-QmPsfWs1_6wl0=&amp;xsec_source=pc_trdark","https://www.xiaohongshu.com/explore/6a82ce8a000000003301c2bb?xsec_token=TBA1HIXh5By36RiQNQnYzmZblKayLXU-QmPsfWs1_6wl0=&amp;xsec_source=pc_trdark")</f>
        <v>0.0</v>
      </c>
      <c r="D86" t="inlineStr">
        <is>
          <t>婉婉上班吃什么</t>
        </is>
      </c>
      <c r="E86" t="inlineStr">
        <is>
          <t>11434449706</t>
        </is>
      </c>
      <c r="F86" t="inlineStr">
        <is>
          <t>2026-08-17 17:04:10</t>
        </is>
      </c>
      <c r="G86" t="inlineStr">
        <is>
          <t>图文</t>
        </is>
      </c>
      <c r="H86" t="inlineStr">
        <is>
          <t>手剥虾仁 无冰衣无添加 低脂餐一人食 上班带饭 顺丰包邮 5盒装</t>
        </is>
      </c>
      <c r="I86" t="inlineStr">
        <is>
          <t>694baba01d450d00013662f0</t>
        </is>
      </c>
      <c r="J86" t="inlineStr">
        <is>
          <t/>
        </is>
      </c>
      <c r="K86" t="n">
        <v>0.0</v>
      </c>
      <c r="L86" t="n">
        <v>0.0</v>
      </c>
      <c r="M86" t="n">
        <v>5.0</v>
      </c>
      <c r="N86" t="inlineStr">
        <is>
          <t>0.050505050505050504</t>
        </is>
      </c>
      <c r="O86" t="n">
        <v>5.0</v>
      </c>
      <c r="P86" t="n">
        <v>0.0</v>
      </c>
      <c r="Q86" t="n">
        <v>0.0</v>
      </c>
      <c r="R86" t="n">
        <v>0.0</v>
      </c>
      <c r="S86" t="n">
        <v>0.0</v>
      </c>
      <c r="T86" t="n">
        <v>0.0</v>
      </c>
      <c r="U86" t="n">
        <v>0.0</v>
      </c>
      <c r="V86" t="n">
        <v>0.0</v>
      </c>
      <c r="W86" t="inlineStr">
        <is>
          <t/>
        </is>
      </c>
      <c r="X86" t="n">
        <v>0.0</v>
      </c>
      <c r="Y86" t="n">
        <v>0.0</v>
      </c>
      <c r="Z86" t="n">
        <v>0.0</v>
      </c>
      <c r="AA86" t="n">
        <v>0.0</v>
      </c>
      <c r="AB86" t="n">
        <v>0.0</v>
      </c>
      <c r="AC86" t="n">
        <v>0.0</v>
      </c>
      <c r="AD86" t="n">
        <v>99.0</v>
      </c>
      <c r="AE86" t="n">
        <v>2.0</v>
      </c>
      <c r="AF86" t="n">
        <v>0.0</v>
      </c>
      <c r="AG86" t="n">
        <v>0.0</v>
      </c>
      <c r="AH86" t="n">
        <v>1.0</v>
      </c>
      <c r="AI86" t="n">
        <v>0.0</v>
      </c>
      <c r="AJ86" t="n">
        <v>0.0</v>
      </c>
      <c r="AK86" t="n">
        <v>6.96969696969697</v>
      </c>
      <c r="AL86" t="inlineStr">
        <is>
          <t/>
        </is>
      </c>
    </row>
    <row r="87">
      <c r="A87" t="inlineStr">
        <is>
          <t>太适合上班带饭了，一袋一顿</t>
        </is>
      </c>
      <c r="B87" t="inlineStr">
        <is>
          <t>6a661c4b0000000009034690</t>
        </is>
      </c>
      <c r="C87" s="86" t="n">
        <f>HYPERLINK("https://www.xiaohongshu.com/explore/6a661c4b0000000009034690?xsec_token=TBIHthkK-vLT6HWx1MaVA_QT3WFTE1ZFOGC8cphBo9wqM=&amp;xsec_source=pc_trdark","https://www.xiaohongshu.com/explore/6a661c4b0000000009034690?xsec_token=TBIHthkK-vLT6HWx1MaVA_QT3WFTE1ZFOGC8cphBo9wqM=&amp;xsec_source=pc_trdark")</f>
        <v>0.0</v>
      </c>
      <c r="D87" t="inlineStr">
        <is>
          <t>鲜水湾</t>
        </is>
      </c>
      <c r="E87" t="inlineStr">
        <is>
          <t>49316638994</t>
        </is>
      </c>
      <c r="F87" t="inlineStr">
        <is>
          <t>2026-07-26 22:40:11</t>
        </is>
      </c>
      <c r="G87" t="inlineStr">
        <is>
          <t>图文</t>
        </is>
      </c>
      <c r="H87" t="inlineStr">
        <is>
          <t>智利三文鱼切块·整条三文鱼·深海鱼一人食健康饮食</t>
        </is>
      </c>
      <c r="I87" t="inlineStr">
        <is>
          <t>691ac562a524ee0001b51d7b</t>
        </is>
      </c>
      <c r="J87" t="inlineStr">
        <is>
          <t/>
        </is>
      </c>
      <c r="K87" t="n">
        <v>0.0</v>
      </c>
      <c r="L87" t="n">
        <v>0.0</v>
      </c>
      <c r="M87" t="n">
        <v>18.0</v>
      </c>
      <c r="N87" t="inlineStr">
        <is>
          <t>0.18181818181818182</t>
        </is>
      </c>
      <c r="O87" t="n">
        <v>9.0</v>
      </c>
      <c r="P87" t="n">
        <v>0.0</v>
      </c>
      <c r="Q87" t="n">
        <v>0.0</v>
      </c>
      <c r="R87" t="n">
        <v>0.0</v>
      </c>
      <c r="S87" t="n">
        <v>0.0</v>
      </c>
      <c r="T87" t="n">
        <v>0.0</v>
      </c>
      <c r="U87" t="n">
        <v>0.0</v>
      </c>
      <c r="V87" t="n">
        <v>0.0</v>
      </c>
      <c r="W87" t="inlineStr">
        <is>
          <t/>
        </is>
      </c>
      <c r="X87" t="n">
        <v>0.0</v>
      </c>
      <c r="Y87" t="n">
        <v>2.0</v>
      </c>
      <c r="Z87" t="n">
        <v>2.0</v>
      </c>
      <c r="AA87" t="n">
        <v>0.0</v>
      </c>
      <c r="AB87" t="n">
        <v>0.0</v>
      </c>
      <c r="AC87" t="n">
        <v>0.0</v>
      </c>
      <c r="AD87" t="n">
        <v>99.0</v>
      </c>
      <c r="AE87" t="n">
        <v>1.0</v>
      </c>
      <c r="AF87" t="n">
        <v>0.0</v>
      </c>
      <c r="AG87" t="n">
        <v>0.0</v>
      </c>
      <c r="AH87" t="n">
        <v>1.0</v>
      </c>
      <c r="AI87" t="n">
        <v>0.0</v>
      </c>
      <c r="AJ87" t="n">
        <v>0.0</v>
      </c>
      <c r="AK87" t="n">
        <v>8.656565656565656</v>
      </c>
      <c r="AL87" t="inlineStr">
        <is>
          <t/>
        </is>
      </c>
    </row>
    <row r="88">
      <c r="A88" t="inlineStr">
        <is>
          <t>区区 300 多，承包了我一个月的减脂餐</t>
        </is>
      </c>
      <c r="B88" t="inlineStr">
        <is>
          <t>6a48779d000000000702f8b1</t>
        </is>
      </c>
      <c r="C88" s="87" t="n">
        <f>HYPERLINK("https://www.xiaohongshu.com/explore/6a48779d000000000702f8b1?xsec_token=TBXcQ3yr16tRF4vODUHcKAuTmHfO22j-CeMKdg8WhEWp4=&amp;xsec_source=pc_trdark","https://www.xiaohongshu.com/explore/6a48779d000000000702f8b1?xsec_token=TBXcQ3yr16tRF4vODUHcKAuTmHfO22j-CeMKdg8WhEWp4=&amp;xsec_source=pc_trdark")</f>
        <v>0.0</v>
      </c>
      <c r="D88" t="inlineStr">
        <is>
          <t>婉婉上班吃什么</t>
        </is>
      </c>
      <c r="E88" t="inlineStr">
        <is>
          <t>11434449706</t>
        </is>
      </c>
      <c r="F88" t="inlineStr">
        <is>
          <t>2026-07-04 11:01:49</t>
        </is>
      </c>
      <c r="G88" t="inlineStr">
        <is>
          <t>图文</t>
        </is>
      </c>
      <c r="H88" t="inlineStr">
        <is>
          <t>智利三文鱼切块·整条三文鱼·深海鱼一人食健康饮食</t>
        </is>
      </c>
      <c r="I88" t="inlineStr">
        <is>
          <t>691ac562a524ee0001b51d7b</t>
        </is>
      </c>
      <c r="J88" t="inlineStr">
        <is>
          <t/>
        </is>
      </c>
      <c r="K88" t="n">
        <v>0.0</v>
      </c>
      <c r="L88" t="n">
        <v>0.0</v>
      </c>
      <c r="M88" t="n">
        <v>19.0</v>
      </c>
      <c r="N88" t="inlineStr">
        <is>
          <t>0.19387755102040816</t>
        </is>
      </c>
      <c r="O88" t="n">
        <v>14.0</v>
      </c>
      <c r="P88" t="n">
        <v>0.0</v>
      </c>
      <c r="Q88" t="n">
        <v>0.0</v>
      </c>
      <c r="R88" t="n">
        <v>0.0</v>
      </c>
      <c r="S88" t="n">
        <v>0.0</v>
      </c>
      <c r="T88" t="n">
        <v>0.0</v>
      </c>
      <c r="U88" t="n">
        <v>0.0</v>
      </c>
      <c r="V88" t="n">
        <v>0.0</v>
      </c>
      <c r="W88" t="inlineStr">
        <is>
          <t/>
        </is>
      </c>
      <c r="X88" t="n">
        <v>0.0</v>
      </c>
      <c r="Y88" t="n">
        <v>6.0</v>
      </c>
      <c r="Z88" t="n">
        <v>13.0</v>
      </c>
      <c r="AA88" t="n">
        <v>367.0</v>
      </c>
      <c r="AB88" t="n">
        <v>0.0</v>
      </c>
      <c r="AC88" t="n">
        <v>0.0</v>
      </c>
      <c r="AD88" t="n">
        <v>98.0</v>
      </c>
      <c r="AE88" t="n">
        <v>1.0</v>
      </c>
      <c r="AF88" t="n">
        <v>0.0</v>
      </c>
      <c r="AG88" t="n">
        <v>0.0</v>
      </c>
      <c r="AH88" t="n">
        <v>2.0</v>
      </c>
      <c r="AI88" t="n">
        <v>0.0</v>
      </c>
      <c r="AJ88" t="n">
        <v>0.0</v>
      </c>
      <c r="AK88" t="n">
        <v>14.10204081632653</v>
      </c>
      <c r="AL88" t="inlineStr">
        <is>
          <t/>
        </is>
      </c>
    </row>
    <row r="89">
      <c r="A89" t="inlineStr">
        <is>
          <t>瘦都是我应得的｜懒人减脂餐食谱分享✨</t>
        </is>
      </c>
      <c r="B89" t="inlineStr">
        <is>
          <t>6a83fb5b000000003300ea89</t>
        </is>
      </c>
      <c r="C89" s="88" t="n">
        <f>HYPERLINK("https://www.xiaohongshu.com/explore/6a83fb5b000000003300ea89?xsec_token=TB4Ah0D2KqO0kkIBz273OgxcjCmZK1O-2OKhNOl0PIW1A=&amp;xsec_source=pc_trdark","https://www.xiaohongshu.com/explore/6a83fb5b000000003300ea89?xsec_token=TB4Ah0D2KqO0kkIBz273OgxcjCmZK1O-2OKhNOl0PIW1A=&amp;xsec_source=pc_trdark")</f>
        <v>0.0</v>
      </c>
      <c r="D89" t="inlineStr">
        <is>
          <t>婉婉上班吃什么</t>
        </is>
      </c>
      <c r="E89" t="inlineStr">
        <is>
          <t>11434449706</t>
        </is>
      </c>
      <c r="F89" t="inlineStr">
        <is>
          <t>2026-08-18 14:27:39</t>
        </is>
      </c>
      <c r="G89" t="inlineStr">
        <is>
          <t>图文</t>
        </is>
      </c>
      <c r="H89" t="inlineStr">
        <is>
          <t>手剥虾仁 无冰衣无添加 低脂餐一人食 上班带饭 顺丰包邮 5盒装</t>
        </is>
      </c>
      <c r="I89" t="inlineStr">
        <is>
          <t>694baba01d450d00013662f0</t>
        </is>
      </c>
      <c r="J89" t="inlineStr">
        <is>
          <t/>
        </is>
      </c>
      <c r="K89" t="n">
        <v>0.0</v>
      </c>
      <c r="L89" t="n">
        <v>0.0</v>
      </c>
      <c r="M89" t="n">
        <v>1.0</v>
      </c>
      <c r="N89" t="inlineStr">
        <is>
          <t>0.010416666666666666</t>
        </is>
      </c>
      <c r="O89" t="n">
        <v>1.0</v>
      </c>
      <c r="P89" t="n">
        <v>0.0</v>
      </c>
      <c r="Q89" t="n">
        <v>0.0</v>
      </c>
      <c r="R89" t="n">
        <v>0.0</v>
      </c>
      <c r="S89" t="n">
        <v>0.0</v>
      </c>
      <c r="T89" t="n">
        <v>0.0</v>
      </c>
      <c r="U89" t="n">
        <v>0.0</v>
      </c>
      <c r="V89" t="n">
        <v>0.0</v>
      </c>
      <c r="W89" t="inlineStr">
        <is>
          <t/>
        </is>
      </c>
      <c r="X89" t="n">
        <v>0.0</v>
      </c>
      <c r="Y89" t="n">
        <v>0.0</v>
      </c>
      <c r="Z89" t="n">
        <v>3.0</v>
      </c>
      <c r="AA89" t="n">
        <v>0.0</v>
      </c>
      <c r="AB89" t="n">
        <v>0.0</v>
      </c>
      <c r="AC89" t="n">
        <v>0.0</v>
      </c>
      <c r="AD89" t="n">
        <v>96.0</v>
      </c>
      <c r="AE89" t="n">
        <v>4.0</v>
      </c>
      <c r="AF89" t="n">
        <v>0.0</v>
      </c>
      <c r="AG89" t="n">
        <v>0.0</v>
      </c>
      <c r="AH89" t="n">
        <v>2.0</v>
      </c>
      <c r="AI89" t="n">
        <v>0.0</v>
      </c>
      <c r="AJ89" t="n">
        <v>0.0</v>
      </c>
      <c r="AK89" t="n">
        <v>17.520833333333332</v>
      </c>
      <c r="AL89" t="inlineStr">
        <is>
          <t/>
        </is>
      </c>
    </row>
    <row r="90">
      <c r="A90" t="inlineStr">
        <is>
          <t>第一次对爬坡后吃快碳起了敬意……</t>
        </is>
      </c>
      <c r="B90" t="inlineStr">
        <is>
          <t>69d3abb4000000001e00c0e7</t>
        </is>
      </c>
      <c r="C90" s="89" t="n">
        <f>HYPERLINK("https://www.xiaohongshu.com/explore/69d3abb4000000001e00c0e7?xsec_token=TBhEDzysvLbwbBD8CIa_-jscjy3Dc1tcyKoBddl5X7qo0=&amp;xsec_source=pc_trdark","https://www.xiaohongshu.com/explore/69d3abb4000000001e00c0e7?xsec_token=TBhEDzysvLbwbBD8CIa_-jscjy3Dc1tcyKoBddl5X7qo0=&amp;xsec_source=pc_trdark")</f>
        <v>0.0</v>
      </c>
      <c r="D90" t="inlineStr">
        <is>
          <t>菲菲上班吃什么</t>
        </is>
      </c>
      <c r="E90" t="inlineStr">
        <is>
          <t>49936530607</t>
        </is>
      </c>
      <c r="F90" t="inlineStr">
        <is>
          <t>2026-04-06 20:48:52</t>
        </is>
      </c>
      <c r="G90" t="inlineStr">
        <is>
          <t>图文</t>
        </is>
      </c>
      <c r="H90" t="inlineStr">
        <is>
          <t>手剥虾仁 无冰衣无添加 低脂餐一人食 上班带饭 顺丰包邮 5盒装</t>
        </is>
      </c>
      <c r="I90" t="inlineStr">
        <is>
          <t>694baba01d450d00013662f0</t>
        </is>
      </c>
      <c r="J90" t="inlineStr">
        <is>
          <t/>
        </is>
      </c>
      <c r="K90" t="n">
        <v>0.0</v>
      </c>
      <c r="L90" t="n">
        <v>0.0</v>
      </c>
      <c r="M90" t="n">
        <v>3.0</v>
      </c>
      <c r="N90" t="n">
        <v>0.03125</v>
      </c>
      <c r="O90" t="n">
        <v>3.0</v>
      </c>
      <c r="P90" t="n">
        <v>0.0</v>
      </c>
      <c r="Q90" t="n">
        <v>0.0</v>
      </c>
      <c r="R90" t="n">
        <v>0.0</v>
      </c>
      <c r="S90" t="n">
        <v>0.0</v>
      </c>
      <c r="T90" t="n">
        <v>0.0</v>
      </c>
      <c r="U90" t="n">
        <v>0.0</v>
      </c>
      <c r="V90" t="n">
        <v>0.0</v>
      </c>
      <c r="W90" t="inlineStr">
        <is>
          <t/>
        </is>
      </c>
      <c r="X90" t="n">
        <v>0.0</v>
      </c>
      <c r="Y90" t="n">
        <v>0.0</v>
      </c>
      <c r="Z90" t="n">
        <v>0.0</v>
      </c>
      <c r="AA90" t="n">
        <v>0.0</v>
      </c>
      <c r="AB90" t="n">
        <v>0.0</v>
      </c>
      <c r="AC90" t="n">
        <v>0.0</v>
      </c>
      <c r="AD90" t="n">
        <v>96.0</v>
      </c>
      <c r="AE90" t="n">
        <v>0.0</v>
      </c>
      <c r="AF90" t="n">
        <v>0.0</v>
      </c>
      <c r="AG90" t="n">
        <v>0.0</v>
      </c>
      <c r="AH90" t="n">
        <v>1.0</v>
      </c>
      <c r="AI90" t="n">
        <v>0.0</v>
      </c>
      <c r="AJ90" t="n">
        <v>0.0</v>
      </c>
      <c r="AK90" t="n">
        <v>10.40625</v>
      </c>
      <c r="AL90" t="inlineStr">
        <is>
          <t/>
        </is>
      </c>
    </row>
    <row r="91">
      <c r="A91" t="inlineStr">
        <is>
          <t>大家带去公司的饭都是隔夜饭吗？</t>
        </is>
      </c>
      <c r="B91" t="inlineStr">
        <is>
          <t>69ca38700000000022026688</t>
        </is>
      </c>
      <c r="C91" s="90" t="n">
        <f>HYPERLINK("https://www.xiaohongshu.com/explore/69ca38700000000022026688?xsec_token=TBZMwIQ43aS0K0DsaEHGlBqjc0vRAXVn4J4iN0BKg_DPE=&amp;xsec_source=pc_trdark","https://www.xiaohongshu.com/explore/69ca38700000000022026688?xsec_token=TBZMwIQ43aS0K0DsaEHGlBqjc0vRAXVn4J4iN0BKg_DPE=&amp;xsec_source=pc_trdark")</f>
        <v>0.0</v>
      </c>
      <c r="D91" t="inlineStr">
        <is>
          <t>菲菲上班吃什么</t>
        </is>
      </c>
      <c r="E91" t="inlineStr">
        <is>
          <t>49936530607</t>
        </is>
      </c>
      <c r="F91" t="inlineStr">
        <is>
          <t>2026-03-30 16:46:40</t>
        </is>
      </c>
      <c r="G91" t="inlineStr">
        <is>
          <t>图文</t>
        </is>
      </c>
      <c r="H91" t="inlineStr">
        <is>
          <t>手剥虾仁 无冰衣无添加 低脂餐一人食 上班带饭 顺丰包邮 5盒装</t>
        </is>
      </c>
      <c r="I91" t="inlineStr">
        <is>
          <t>694baba01d450d00013662f0</t>
        </is>
      </c>
      <c r="J91" t="inlineStr">
        <is>
          <t/>
        </is>
      </c>
      <c r="K91" t="n">
        <v>0.0</v>
      </c>
      <c r="L91" t="n">
        <v>0.0</v>
      </c>
      <c r="M91" t="n">
        <v>2.0</v>
      </c>
      <c r="N91" t="inlineStr">
        <is>
          <t>0.020833333333333332</t>
        </is>
      </c>
      <c r="O91" t="n">
        <v>2.0</v>
      </c>
      <c r="P91" t="n">
        <v>0.0</v>
      </c>
      <c r="Q91" t="n">
        <v>0.0</v>
      </c>
      <c r="R91" t="n">
        <v>0.0</v>
      </c>
      <c r="S91" t="n">
        <v>0.0</v>
      </c>
      <c r="T91" t="n">
        <v>0.0</v>
      </c>
      <c r="U91" t="n">
        <v>0.0</v>
      </c>
      <c r="V91" t="n">
        <v>0.0</v>
      </c>
      <c r="W91" t="inlineStr">
        <is>
          <t/>
        </is>
      </c>
      <c r="X91" t="n">
        <v>0.0</v>
      </c>
      <c r="Y91" t="n">
        <v>1.0</v>
      </c>
      <c r="Z91" t="n">
        <v>0.0</v>
      </c>
      <c r="AA91" t="n">
        <v>0.0</v>
      </c>
      <c r="AB91" t="n">
        <v>0.0</v>
      </c>
      <c r="AC91" t="n">
        <v>0.0</v>
      </c>
      <c r="AD91" t="n">
        <v>96.0</v>
      </c>
      <c r="AE91" t="n">
        <v>0.0</v>
      </c>
      <c r="AF91" t="n">
        <v>0.0</v>
      </c>
      <c r="AG91" t="n">
        <v>0.0</v>
      </c>
      <c r="AH91" t="n">
        <v>0.0</v>
      </c>
      <c r="AI91" t="n">
        <v>0.0</v>
      </c>
      <c r="AJ91" t="n">
        <v>0.0</v>
      </c>
      <c r="AK91" t="n">
        <v>7.583333333333333</v>
      </c>
      <c r="AL91" t="inlineStr">
        <is>
          <t/>
        </is>
      </c>
    </row>
    <row r="92">
      <c r="A92" t="inlineStr">
        <is>
          <t>我也不想买啊😭但69够我吃一周虾仁了</t>
        </is>
      </c>
      <c r="B92" t="inlineStr">
        <is>
          <t>69e30037000000002301d676</t>
        </is>
      </c>
      <c r="C92" s="91" t="n">
        <f>HYPERLINK("https://www.xiaohongshu.com/explore/69e30037000000002301d676?xsec_token=TBdjj7K6Nlm9yT2LpYB6PpNpLdpQ4LKy9NcpkA7wBt2M0=&amp;xsec_source=pc_trdark","https://www.xiaohongshu.com/explore/69e30037000000002301d676?xsec_token=TBdjj7K6Nlm9yT2LpYB6PpNpLdpQ4LKy9NcpkA7wBt2M0=&amp;xsec_source=pc_trdark")</f>
        <v>0.0</v>
      </c>
      <c r="D92" t="inlineStr">
        <is>
          <t>婉婉上班吃什么</t>
        </is>
      </c>
      <c r="E92" t="inlineStr">
        <is>
          <t>11434449706</t>
        </is>
      </c>
      <c r="F92" t="inlineStr">
        <is>
          <t>2026-04-18 11:53:27</t>
        </is>
      </c>
      <c r="G92" t="inlineStr">
        <is>
          <t>图文</t>
        </is>
      </c>
      <c r="H92" t="inlineStr">
        <is>
          <t>手剥虾仁 无冰衣无添加 低脂餐一人食 上班带饭 顺丰包邮 5盒装</t>
        </is>
      </c>
      <c r="I92" t="inlineStr">
        <is>
          <t>694baba01d450d00013662f0</t>
        </is>
      </c>
      <c r="J92" t="inlineStr">
        <is>
          <t/>
        </is>
      </c>
      <c r="K92" t="n">
        <v>0.0</v>
      </c>
      <c r="L92" t="n">
        <v>0.0</v>
      </c>
      <c r="M92" t="n">
        <v>7.0</v>
      </c>
      <c r="N92" t="inlineStr">
        <is>
          <t>0.07368421052631578</t>
        </is>
      </c>
      <c r="O92" t="n">
        <v>7.0</v>
      </c>
      <c r="P92" t="n">
        <v>0.0</v>
      </c>
      <c r="Q92" t="n">
        <v>0.0</v>
      </c>
      <c r="R92" t="n">
        <v>0.0</v>
      </c>
      <c r="S92" t="n">
        <v>0.0</v>
      </c>
      <c r="T92" t="n">
        <v>0.0</v>
      </c>
      <c r="U92" t="n">
        <v>0.0</v>
      </c>
      <c r="V92" t="n">
        <v>0.0</v>
      </c>
      <c r="W92" t="inlineStr">
        <is>
          <t/>
        </is>
      </c>
      <c r="X92" t="n">
        <v>0.0</v>
      </c>
      <c r="Y92" t="n">
        <v>1.0</v>
      </c>
      <c r="Z92" t="n">
        <v>0.0</v>
      </c>
      <c r="AA92" t="n">
        <v>0.0</v>
      </c>
      <c r="AB92" t="n">
        <v>0.0</v>
      </c>
      <c r="AC92" t="n">
        <v>0.0</v>
      </c>
      <c r="AD92" t="n">
        <v>95.0</v>
      </c>
      <c r="AE92" t="n">
        <v>1.0</v>
      </c>
      <c r="AF92" t="n">
        <v>0.0</v>
      </c>
      <c r="AG92" t="n">
        <v>0.0</v>
      </c>
      <c r="AH92" t="n">
        <v>0.0</v>
      </c>
      <c r="AI92" t="n">
        <v>0.0</v>
      </c>
      <c r="AJ92" t="n">
        <v>0.0</v>
      </c>
      <c r="AK92" t="n">
        <v>8.094736842105263</v>
      </c>
      <c r="AL92" t="inlineStr">
        <is>
          <t/>
        </is>
      </c>
    </row>
    <row r="93">
      <c r="A93" t="inlineStr">
        <is>
          <t>其实，300 块能吃一个月的三文鱼😎</t>
        </is>
      </c>
      <c r="B93" t="inlineStr">
        <is>
          <t>6a7abb03000000003301f2f2</t>
        </is>
      </c>
      <c r="C93" s="92" t="n">
        <f>HYPERLINK("https://www.xiaohongshu.com/explore/6a7abb03000000003301f2f2?xsec_token=TB0t4OYz0zvMWJMb3SXpV4SSyeu9WRBou_sIkEE7GlHKo=&amp;xsec_source=pc_trdark","https://www.xiaohongshu.com/explore/6a7abb03000000003301f2f2?xsec_token=TB0t4OYz0zvMWJMb3SXpV4SSyeu9WRBou_sIkEE7GlHKo=&amp;xsec_source=pc_trdark")</f>
        <v>0.0</v>
      </c>
      <c r="D93" t="inlineStr">
        <is>
          <t>鲜水湾</t>
        </is>
      </c>
      <c r="E93" t="inlineStr">
        <is>
          <t>49316638994</t>
        </is>
      </c>
      <c r="F93" t="inlineStr">
        <is>
          <t>2026-08-11 14:02:43</t>
        </is>
      </c>
      <c r="G93" t="inlineStr">
        <is>
          <t>图文</t>
        </is>
      </c>
      <c r="H93" t="inlineStr">
        <is>
          <t>智利尾端中段整条三文鱼 8斤深海鱼低脂餐囤货一周备菜顺丰包邮</t>
        </is>
      </c>
      <c r="I93" t="inlineStr">
        <is>
          <t>69fab80d64eb410001ece0c0</t>
        </is>
      </c>
      <c r="J93" t="inlineStr">
        <is>
          <t/>
        </is>
      </c>
      <c r="K93" t="n">
        <v>0.0</v>
      </c>
      <c r="L93" t="n">
        <v>0.0</v>
      </c>
      <c r="M93" t="n">
        <v>13.0</v>
      </c>
      <c r="N93" t="inlineStr">
        <is>
          <t>0.13829787234042554</t>
        </is>
      </c>
      <c r="O93" t="n">
        <v>10.0</v>
      </c>
      <c r="P93" t="n">
        <v>0.0</v>
      </c>
      <c r="Q93" t="n">
        <v>0.0</v>
      </c>
      <c r="R93" t="n">
        <v>0.0</v>
      </c>
      <c r="S93" t="n">
        <v>0.0</v>
      </c>
      <c r="T93" t="n">
        <v>0.0</v>
      </c>
      <c r="U93" t="n">
        <v>0.0</v>
      </c>
      <c r="V93" t="n">
        <v>0.0</v>
      </c>
      <c r="W93" t="inlineStr">
        <is>
          <t/>
        </is>
      </c>
      <c r="X93" t="n">
        <v>0.0</v>
      </c>
      <c r="Y93" t="n">
        <v>2.0</v>
      </c>
      <c r="Z93" t="n">
        <v>20.0</v>
      </c>
      <c r="AA93" t="n">
        <v>0.0</v>
      </c>
      <c r="AB93" t="n">
        <v>0.0</v>
      </c>
      <c r="AC93" t="n">
        <v>0.0</v>
      </c>
      <c r="AD93" t="n">
        <v>94.0</v>
      </c>
      <c r="AE93" t="n">
        <v>2.0</v>
      </c>
      <c r="AF93" t="n">
        <v>0.0</v>
      </c>
      <c r="AG93" t="n">
        <v>0.0</v>
      </c>
      <c r="AH93" t="n">
        <v>2.0</v>
      </c>
      <c r="AI93" t="n">
        <v>0.0</v>
      </c>
      <c r="AJ93" t="n">
        <v>0.0</v>
      </c>
      <c r="AK93" t="n">
        <v>12.372340425531915</v>
      </c>
      <c r="AL93" t="inlineStr">
        <is>
          <t/>
        </is>
      </c>
    </row>
    <row r="94">
      <c r="A94" t="inlineStr">
        <is>
          <t>连吃一周都不腻，低脂还饱腹✌️</t>
        </is>
      </c>
      <c r="B94" t="inlineStr">
        <is>
          <t>6a506bb80000000021020740</t>
        </is>
      </c>
      <c r="C94" s="93" t="n">
        <f>HYPERLINK("https://www.xiaohongshu.com/explore/6a506bb80000000021020740?xsec_token=TBJUAT_bOmtyXvbJR8RCxT5CkiorsLeMc77OE-i93Nx70=&amp;xsec_source=pc_trdark","https://www.xiaohongshu.com/explore/6a506bb80000000021020740?xsec_token=TBJUAT_bOmtyXvbJR8RCxT5CkiorsLeMc77OE-i93Nx70=&amp;xsec_source=pc_trdark")</f>
        <v>0.0</v>
      </c>
      <c r="D94" t="inlineStr">
        <is>
          <t>婉婉上班吃什么</t>
        </is>
      </c>
      <c r="E94" t="inlineStr">
        <is>
          <t>11434449706</t>
        </is>
      </c>
      <c r="F94" t="inlineStr">
        <is>
          <t>2026-07-10 11:49:12</t>
        </is>
      </c>
      <c r="G94" t="inlineStr">
        <is>
          <t>图文</t>
        </is>
      </c>
      <c r="H94" t="inlineStr">
        <is>
          <t>手剥虾仁 无冰衣无添加 低脂餐一人食 上班带饭 顺丰包邮 5盒装</t>
        </is>
      </c>
      <c r="I94" t="inlineStr">
        <is>
          <t>694baba01d450d00013662f0</t>
        </is>
      </c>
      <c r="J94" t="inlineStr">
        <is>
          <t/>
        </is>
      </c>
      <c r="K94" t="n">
        <v>0.0</v>
      </c>
      <c r="L94" t="n">
        <v>0.0</v>
      </c>
      <c r="M94" t="n">
        <v>7.0</v>
      </c>
      <c r="N94" t="inlineStr">
        <is>
          <t>0.07446808510638298</t>
        </is>
      </c>
      <c r="O94" t="n">
        <v>6.0</v>
      </c>
      <c r="P94" t="n">
        <v>0.0</v>
      </c>
      <c r="Q94" t="n">
        <v>0.0</v>
      </c>
      <c r="R94" t="n">
        <v>0.0</v>
      </c>
      <c r="S94" t="n">
        <v>0.0</v>
      </c>
      <c r="T94" t="n">
        <v>0.0</v>
      </c>
      <c r="U94" t="n">
        <v>0.0</v>
      </c>
      <c r="V94" t="n">
        <v>0.0</v>
      </c>
      <c r="W94" t="inlineStr">
        <is>
          <t/>
        </is>
      </c>
      <c r="X94" t="n">
        <v>0.0</v>
      </c>
      <c r="Y94" t="n">
        <v>0.0</v>
      </c>
      <c r="Z94" t="n">
        <v>4.0</v>
      </c>
      <c r="AA94" t="n">
        <v>0.0</v>
      </c>
      <c r="AB94" t="n">
        <v>0.0</v>
      </c>
      <c r="AC94" t="n">
        <v>0.0</v>
      </c>
      <c r="AD94" t="n">
        <v>94.0</v>
      </c>
      <c r="AE94" t="n">
        <v>0.0</v>
      </c>
      <c r="AF94" t="n">
        <v>1.0</v>
      </c>
      <c r="AG94" t="n">
        <v>0.0</v>
      </c>
      <c r="AH94" t="n">
        <v>0.0</v>
      </c>
      <c r="AI94" t="n">
        <v>0.0</v>
      </c>
      <c r="AJ94" t="n">
        <v>0.0</v>
      </c>
      <c r="AK94" t="n">
        <v>11.595744680851064</v>
      </c>
      <c r="AL94" t="inlineStr">
        <is>
          <t/>
        </is>
      </c>
    </row>
    <row r="95">
      <c r="A95" t="inlineStr">
        <is>
          <t>现在年轻人，严重低估了 60 块的购买力了</t>
        </is>
      </c>
      <c r="B95" t="inlineStr">
        <is>
          <t>6a7a78cd0000000033035eac</t>
        </is>
      </c>
      <c r="C95" s="94" t="n">
        <f>HYPERLINK("https://www.xiaohongshu.com/explore/6a7a78cd0000000033035eac?xsec_token=TB0t4OYz0zvMWJMb3SXpV4SWRKEOWMvbG42Ns2wji9-Ko=&amp;xsec_source=pc_trdark","https://www.xiaohongshu.com/explore/6a7a78cd0000000033035eac?xsec_token=TB0t4OYz0zvMWJMb3SXpV4SWRKEOWMvbG42Ns2wji9-Ko=&amp;xsec_source=pc_trdark")</f>
        <v>0.0</v>
      </c>
      <c r="D95" t="inlineStr">
        <is>
          <t>婉婉上班吃什么</t>
        </is>
      </c>
      <c r="E95" t="inlineStr">
        <is>
          <t>11434449706</t>
        </is>
      </c>
      <c r="F95" t="inlineStr">
        <is>
          <t>2026-08-11 09:20:13</t>
        </is>
      </c>
      <c r="G95" t="inlineStr">
        <is>
          <t>图文</t>
        </is>
      </c>
      <c r="H95" t="inlineStr">
        <is>
          <t>手剥虾仁 无冰衣无添加 低脂餐一人食 上班带饭 顺丰包邮 5盒装</t>
        </is>
      </c>
      <c r="I95" t="inlineStr">
        <is>
          <t>694baba01d450d00013662f0</t>
        </is>
      </c>
      <c r="J95" t="inlineStr">
        <is>
          <t/>
        </is>
      </c>
      <c r="K95" t="n">
        <v>69.0</v>
      </c>
      <c r="L95" t="n">
        <v>1.0</v>
      </c>
      <c r="M95" t="n">
        <v>16.0</v>
      </c>
      <c r="N95" t="inlineStr">
        <is>
          <t>0.17204301075268819</t>
        </is>
      </c>
      <c r="O95" t="n">
        <v>12.0</v>
      </c>
      <c r="P95" t="n">
        <v>1.0</v>
      </c>
      <c r="Q95" t="n">
        <v>0.0625</v>
      </c>
      <c r="R95" t="inlineStr">
        <is>
          <t>0.08333333333333333</t>
        </is>
      </c>
      <c r="S95" t="n">
        <v>0.0</v>
      </c>
      <c r="T95" t="n">
        <v>0.0</v>
      </c>
      <c r="U95" t="n">
        <v>0.0</v>
      </c>
      <c r="V95" t="n">
        <v>0.0</v>
      </c>
      <c r="W95" t="n">
        <v>0.0</v>
      </c>
      <c r="X95" t="n">
        <v>0.0</v>
      </c>
      <c r="Y95" t="n">
        <v>4.0</v>
      </c>
      <c r="Z95" t="n">
        <v>7.0</v>
      </c>
      <c r="AA95" t="n">
        <v>63.0</v>
      </c>
      <c r="AB95" t="n">
        <v>0.0</v>
      </c>
      <c r="AC95" t="n">
        <v>0.0</v>
      </c>
      <c r="AD95" t="n">
        <v>93.0</v>
      </c>
      <c r="AE95" t="n">
        <v>2.0</v>
      </c>
      <c r="AF95" t="n">
        <v>0.0</v>
      </c>
      <c r="AG95" t="n">
        <v>0.0</v>
      </c>
      <c r="AH95" t="n">
        <v>0.0</v>
      </c>
      <c r="AI95" t="n">
        <v>0.0</v>
      </c>
      <c r="AJ95" t="n">
        <v>0.0</v>
      </c>
      <c r="AK95" t="n">
        <v>13.236559139784946</v>
      </c>
      <c r="AL95" t="inlineStr">
        <is>
          <t/>
        </is>
      </c>
    </row>
    <row r="96">
      <c r="A96" t="inlineStr">
        <is>
          <t>请教教我无添加虾仁怎么在网上卖出去😂</t>
        </is>
      </c>
      <c r="B96" t="inlineStr">
        <is>
          <t>6a72d1630000000035015503</t>
        </is>
      </c>
      <c r="C96" s="95" t="n">
        <f>HYPERLINK("https://www.xiaohongshu.com/explore/6a72d1630000000035015503?xsec_token=TBRm5Oz6TgnkTuHlzu05n-z-gKdJXo4P6lWsdIHSPE3xo=&amp;xsec_source=pc_trdark","https://www.xiaohongshu.com/explore/6a72d1630000000035015503?xsec_token=TBRm5Oz6TgnkTuHlzu05n-z-gKdJXo4P6lWsdIHSPE3xo=&amp;xsec_source=pc_trdark")</f>
        <v>0.0</v>
      </c>
      <c r="D96" t="inlineStr">
        <is>
          <t>鲜水湾</t>
        </is>
      </c>
      <c r="E96" t="inlineStr">
        <is>
          <t>49316638994</t>
        </is>
      </c>
      <c r="F96" t="inlineStr">
        <is>
          <t>2026-08-05 14:00:03</t>
        </is>
      </c>
      <c r="G96" t="inlineStr">
        <is>
          <t>图文</t>
        </is>
      </c>
      <c r="H96" t="inlineStr">
        <is>
          <t>手剥虾仁 无冰衣无添加 低脂餐一人食 上班带饭 顺丰包邮 5盒装</t>
        </is>
      </c>
      <c r="I96" t="inlineStr">
        <is>
          <t>694baba01d450d00013662f0</t>
        </is>
      </c>
      <c r="J96" t="inlineStr">
        <is>
          <t/>
        </is>
      </c>
      <c r="K96" t="n">
        <v>0.0</v>
      </c>
      <c r="L96" t="n">
        <v>0.0</v>
      </c>
      <c r="M96" t="n">
        <v>16.0</v>
      </c>
      <c r="N96" t="inlineStr">
        <is>
          <t>0.17204301075268819</t>
        </is>
      </c>
      <c r="O96" t="n">
        <v>13.0</v>
      </c>
      <c r="P96" t="n">
        <v>0.0</v>
      </c>
      <c r="Q96" t="n">
        <v>0.0</v>
      </c>
      <c r="R96" t="n">
        <v>0.0</v>
      </c>
      <c r="S96" t="n">
        <v>0.0</v>
      </c>
      <c r="T96" t="n">
        <v>0.0</v>
      </c>
      <c r="U96" t="n">
        <v>0.0</v>
      </c>
      <c r="V96" t="n">
        <v>0.0</v>
      </c>
      <c r="W96" t="inlineStr">
        <is>
          <t/>
        </is>
      </c>
      <c r="X96" t="n">
        <v>0.0</v>
      </c>
      <c r="Y96" t="n">
        <v>6.0</v>
      </c>
      <c r="Z96" t="n">
        <v>7.0</v>
      </c>
      <c r="AA96" t="n">
        <v>0.0</v>
      </c>
      <c r="AB96" t="n">
        <v>0.0</v>
      </c>
      <c r="AC96" t="n">
        <v>0.0</v>
      </c>
      <c r="AD96" t="n">
        <v>93.0</v>
      </c>
      <c r="AE96" t="n">
        <v>0.0</v>
      </c>
      <c r="AF96" t="n">
        <v>2.0</v>
      </c>
      <c r="AG96" t="n">
        <v>0.0</v>
      </c>
      <c r="AH96" t="n">
        <v>0.0</v>
      </c>
      <c r="AI96" t="n">
        <v>0.0</v>
      </c>
      <c r="AJ96" t="n">
        <v>0.0</v>
      </c>
      <c r="AK96" t="n">
        <v>10.96774193548387</v>
      </c>
      <c r="AL96" t="inlineStr">
        <is>
          <t/>
        </is>
      </c>
    </row>
    <row r="97">
      <c r="A97" t="inlineStr">
        <is>
          <t>减脂期外卖 vs 自做虾仁，一个月省了500块</t>
        </is>
      </c>
      <c r="B97" t="inlineStr">
        <is>
          <t>69d477aa000000001e00f276</t>
        </is>
      </c>
      <c r="C97" s="96" t="n">
        <f>HYPERLINK("https://www.xiaohongshu.com/explore/69d477aa000000001e00f276?xsec_token=TBCfzrc-PQxdd2ruCVqHUjYj3OdikillPnkck2YBjFAHo=&amp;xsec_source=pc_trdark","https://www.xiaohongshu.com/explore/69d477aa000000001e00f276?xsec_token=TBCfzrc-PQxdd2ruCVqHUjYj3OdikillPnkck2YBjFAHo=&amp;xsec_source=pc_trdark")</f>
        <v>0.0</v>
      </c>
      <c r="D97" t="inlineStr">
        <is>
          <t>菲菲上班吃什么</t>
        </is>
      </c>
      <c r="E97" t="inlineStr">
        <is>
          <t>49936530607</t>
        </is>
      </c>
      <c r="F97" t="inlineStr">
        <is>
          <t>2026-04-07 11:19:06</t>
        </is>
      </c>
      <c r="G97" t="inlineStr">
        <is>
          <t>图文</t>
        </is>
      </c>
      <c r="H97" t="inlineStr">
        <is>
          <t>手剥虾仁 无冰衣无添加 低脂餐一人食 上班带饭 顺丰包邮 5盒装</t>
        </is>
      </c>
      <c r="I97" t="inlineStr">
        <is>
          <t>694baba01d450d00013662f0</t>
        </is>
      </c>
      <c r="J97" t="inlineStr">
        <is>
          <t/>
        </is>
      </c>
      <c r="K97" t="n">
        <v>0.0</v>
      </c>
      <c r="L97" t="n">
        <v>0.0</v>
      </c>
      <c r="M97" t="n">
        <v>8.0</v>
      </c>
      <c r="N97" t="inlineStr">
        <is>
          <t>0.09090909090909091</t>
        </is>
      </c>
      <c r="O97" t="n">
        <v>8.0</v>
      </c>
      <c r="P97" t="n">
        <v>0.0</v>
      </c>
      <c r="Q97" t="n">
        <v>0.0</v>
      </c>
      <c r="R97" t="n">
        <v>0.0</v>
      </c>
      <c r="S97" t="n">
        <v>0.0</v>
      </c>
      <c r="T97" t="n">
        <v>0.0</v>
      </c>
      <c r="U97" t="n">
        <v>0.0</v>
      </c>
      <c r="V97" t="n">
        <v>0.0</v>
      </c>
      <c r="W97" t="inlineStr">
        <is>
          <t/>
        </is>
      </c>
      <c r="X97" t="n">
        <v>0.0</v>
      </c>
      <c r="Y97" t="n">
        <v>3.0</v>
      </c>
      <c r="Z97" t="n">
        <v>0.0</v>
      </c>
      <c r="AA97" t="n">
        <v>0.0</v>
      </c>
      <c r="AB97" t="n">
        <v>0.0</v>
      </c>
      <c r="AC97" t="n">
        <v>0.0</v>
      </c>
      <c r="AD97" t="n">
        <v>88.0</v>
      </c>
      <c r="AE97" t="n">
        <v>2.0</v>
      </c>
      <c r="AF97" t="n">
        <v>0.0</v>
      </c>
      <c r="AG97" t="n">
        <v>0.0</v>
      </c>
      <c r="AH97" t="n">
        <v>0.0</v>
      </c>
      <c r="AI97" t="n">
        <v>0.0</v>
      </c>
      <c r="AJ97" t="n">
        <v>0.0</v>
      </c>
      <c r="AK97" t="n">
        <v>9.568181818181818</v>
      </c>
      <c r="AL97" t="inlineStr">
        <is>
          <t/>
        </is>
      </c>
    </row>
    <row r="98">
      <c r="A98" t="inlineStr">
        <is>
          <t>跟老爸商量后，决定推出独居小包装三文鱼</t>
        </is>
      </c>
      <c r="B98" t="inlineStr">
        <is>
          <t>6a7af210000000002500c310</t>
        </is>
      </c>
      <c r="C98" s="97" t="n">
        <f>HYPERLINK("https://www.xiaohongshu.com/explore/6a7af210000000002500c310?xsec_token=TB0t4OYz0zvMWJMb3SXpV4ScrARrBpXMjyYtsiGhWk-W0=&amp;xsec_source=pc_trdark","https://www.xiaohongshu.com/explore/6a7af210000000002500c310?xsec_token=TB0t4OYz0zvMWJMb3SXpV4ScrARrBpXMjyYtsiGhWk-W0=&amp;xsec_source=pc_trdark")</f>
        <v>0.0</v>
      </c>
      <c r="D98" t="inlineStr">
        <is>
          <t>婉婉上班吃什么</t>
        </is>
      </c>
      <c r="E98" t="inlineStr">
        <is>
          <t>11434449706</t>
        </is>
      </c>
      <c r="F98" t="inlineStr">
        <is>
          <t>2026-08-11 17:57:36</t>
        </is>
      </c>
      <c r="G98" t="inlineStr">
        <is>
          <t>图文</t>
        </is>
      </c>
      <c r="H98" t="inlineStr">
        <is>
          <t>智利三文鱼切块·整条三文鱼·深海鱼一人食健康饮食</t>
        </is>
      </c>
      <c r="I98" t="inlineStr">
        <is>
          <t>691ac562a524ee0001b51d7b</t>
        </is>
      </c>
      <c r="J98" t="inlineStr">
        <is>
          <t/>
        </is>
      </c>
      <c r="K98" t="n">
        <v>117.0</v>
      </c>
      <c r="L98" t="n">
        <v>1.0</v>
      </c>
      <c r="M98" t="n">
        <v>28.0</v>
      </c>
      <c r="N98" t="n">
        <v>0.3218390804597701</v>
      </c>
      <c r="O98" t="n">
        <v>23.0</v>
      </c>
      <c r="P98" t="n">
        <v>1.0</v>
      </c>
      <c r="Q98" t="inlineStr">
        <is>
          <t>0.03571428571428571</t>
        </is>
      </c>
      <c r="R98" t="inlineStr">
        <is>
          <t>0.043478260869565216</t>
        </is>
      </c>
      <c r="S98" t="n">
        <v>0.0</v>
      </c>
      <c r="T98" t="n">
        <v>0.0</v>
      </c>
      <c r="U98" t="n">
        <v>0.0</v>
      </c>
      <c r="V98" t="n">
        <v>0.0</v>
      </c>
      <c r="W98" t="n">
        <v>0.0</v>
      </c>
      <c r="X98" t="n">
        <v>0.0</v>
      </c>
      <c r="Y98" t="n">
        <v>7.0</v>
      </c>
      <c r="Z98" t="n">
        <v>4.0</v>
      </c>
      <c r="AA98" t="n">
        <v>117.0</v>
      </c>
      <c r="AB98" t="n">
        <v>0.0</v>
      </c>
      <c r="AC98" t="n">
        <v>0.0</v>
      </c>
      <c r="AD98" t="n">
        <v>87.0</v>
      </c>
      <c r="AE98" t="n">
        <v>3.0</v>
      </c>
      <c r="AF98" t="n">
        <v>0.0</v>
      </c>
      <c r="AG98" t="n">
        <v>0.0</v>
      </c>
      <c r="AH98" t="n">
        <v>2.0</v>
      </c>
      <c r="AI98" t="n">
        <v>0.0</v>
      </c>
      <c r="AJ98" t="n">
        <v>0.0</v>
      </c>
      <c r="AK98" t="n">
        <v>15.183908045977011</v>
      </c>
      <c r="AL98" t="inlineStr">
        <is>
          <t/>
        </is>
      </c>
    </row>
    <row r="99">
      <c r="A99" t="inlineStr">
        <is>
          <t>真的低估了100的购买力！承包了一周减脂餐！</t>
        </is>
      </c>
      <c r="B99" t="inlineStr">
        <is>
          <t>6a8283dc0000000033013f5b</t>
        </is>
      </c>
      <c r="C99" s="98" t="n">
        <f>HYPERLINK("https://www.xiaohongshu.com/explore/6a8283dc0000000033013f5b?xsec_token=TBA1HIXh5By36RiQNQnYzmZdw2T8DbghndeyVVEIQldkc=&amp;xsec_source=pc_trdark","https://www.xiaohongshu.com/explore/6a8283dc0000000033013f5b?xsec_token=TBA1HIXh5By36RiQNQnYzmZdw2T8DbghndeyVVEIQldkc=&amp;xsec_source=pc_trdark")</f>
        <v>0.0</v>
      </c>
      <c r="D99" t="inlineStr">
        <is>
          <t>鲜水湾</t>
        </is>
      </c>
      <c r="E99" t="inlineStr">
        <is>
          <t>49316638994</t>
        </is>
      </c>
      <c r="F99" t="inlineStr">
        <is>
          <t>2026-08-17 11:45:32</t>
        </is>
      </c>
      <c r="G99" t="inlineStr">
        <is>
          <t>图文</t>
        </is>
      </c>
      <c r="H99" t="inlineStr">
        <is>
          <t>手剥虾仁 无冰衣无添加 低脂餐一人食 上班带饭 顺丰包邮 5盒装</t>
        </is>
      </c>
      <c r="I99" t="inlineStr">
        <is>
          <t>694baba01d450d00013662f0</t>
        </is>
      </c>
      <c r="J99" t="inlineStr">
        <is>
          <t/>
        </is>
      </c>
      <c r="K99" t="n">
        <v>68.0</v>
      </c>
      <c r="L99" t="n">
        <v>1.0</v>
      </c>
      <c r="M99" t="n">
        <v>13.0</v>
      </c>
      <c r="N99" t="n">
        <v>0.1511627906976744</v>
      </c>
      <c r="O99" t="n">
        <v>11.0</v>
      </c>
      <c r="P99" t="n">
        <v>1.0</v>
      </c>
      <c r="Q99" t="inlineStr">
        <is>
          <t>0.07692307692307693</t>
        </is>
      </c>
      <c r="R99" t="inlineStr">
        <is>
          <t>0.09090909090909091</t>
        </is>
      </c>
      <c r="S99" t="n">
        <v>0.0</v>
      </c>
      <c r="T99" t="n">
        <v>0.0</v>
      </c>
      <c r="U99" t="n">
        <v>0.0</v>
      </c>
      <c r="V99" t="n">
        <v>0.0</v>
      </c>
      <c r="W99" t="n">
        <v>0.0</v>
      </c>
      <c r="X99" t="n">
        <v>0.0</v>
      </c>
      <c r="Y99" t="n">
        <v>3.0</v>
      </c>
      <c r="Z99" t="n">
        <v>0.0</v>
      </c>
      <c r="AA99" t="n">
        <v>0.0</v>
      </c>
      <c r="AB99" t="n">
        <v>0.0</v>
      </c>
      <c r="AC99" t="n">
        <v>0.0</v>
      </c>
      <c r="AD99" t="n">
        <v>86.0</v>
      </c>
      <c r="AE99" t="n">
        <v>2.0</v>
      </c>
      <c r="AF99" t="n">
        <v>0.0</v>
      </c>
      <c r="AG99" t="n">
        <v>0.0</v>
      </c>
      <c r="AH99" t="n">
        <v>2.0</v>
      </c>
      <c r="AI99" t="n">
        <v>0.0</v>
      </c>
      <c r="AJ99" t="n">
        <v>0.0</v>
      </c>
      <c r="AK99" t="n">
        <v>6.453488372093023</v>
      </c>
      <c r="AL99" t="inlineStr">
        <is>
          <t/>
        </is>
      </c>
    </row>
    <row r="100">
      <c r="A100" t="inlineStr">
        <is>
          <t>300 来块一整条，给孩子安排上吧🤣</t>
        </is>
      </c>
      <c r="B100" t="inlineStr">
        <is>
          <t>6a487d5400000000210183ac</t>
        </is>
      </c>
      <c r="C100" s="99" t="n">
        <f>HYPERLINK("https://www.xiaohongshu.com/explore/6a487d5400000000210183ac?xsec_token=TBXcQ3yr16tRF4vODUHcKAuS42LQLMuJiv1CRiyFxm92A=&amp;xsec_source=pc_trdark","https://www.xiaohongshu.com/explore/6a487d5400000000210183ac?xsec_token=TBXcQ3yr16tRF4vODUHcKAuS42LQLMuJiv1CRiyFxm92A=&amp;xsec_source=pc_trdark")</f>
        <v>0.0</v>
      </c>
      <c r="D100" t="inlineStr">
        <is>
          <t>鲜水湾</t>
        </is>
      </c>
      <c r="E100" t="inlineStr">
        <is>
          <t>49316638994</t>
        </is>
      </c>
      <c r="F100" t="inlineStr">
        <is>
          <t>2026-07-04 11:26:12</t>
        </is>
      </c>
      <c r="G100" t="inlineStr">
        <is>
          <t>图文</t>
        </is>
      </c>
      <c r="H100" t="inlineStr">
        <is>
          <t>智利三文鱼切块·整条三文鱼·深海鱼一人食健康饮食</t>
        </is>
      </c>
      <c r="I100" t="inlineStr">
        <is>
          <t>691ac562a524ee0001b51d7b</t>
        </is>
      </c>
      <c r="J100" t="inlineStr">
        <is>
          <t/>
        </is>
      </c>
      <c r="K100" t="n">
        <v>0.0</v>
      </c>
      <c r="L100" t="n">
        <v>0.0</v>
      </c>
      <c r="M100" t="n">
        <v>7.0</v>
      </c>
      <c r="N100" t="inlineStr">
        <is>
          <t>0.08139534883720931</t>
        </is>
      </c>
      <c r="O100" t="n">
        <v>6.0</v>
      </c>
      <c r="P100" t="n">
        <v>0.0</v>
      </c>
      <c r="Q100" t="n">
        <v>0.0</v>
      </c>
      <c r="R100" t="n">
        <v>0.0</v>
      </c>
      <c r="S100" t="n">
        <v>0.0</v>
      </c>
      <c r="T100" t="n">
        <v>0.0</v>
      </c>
      <c r="U100" t="n">
        <v>0.0</v>
      </c>
      <c r="V100" t="n">
        <v>0.0</v>
      </c>
      <c r="W100" t="inlineStr">
        <is>
          <t/>
        </is>
      </c>
      <c r="X100" t="n">
        <v>0.0</v>
      </c>
      <c r="Y100" t="n">
        <v>1.0</v>
      </c>
      <c r="Z100" t="n">
        <v>2.0</v>
      </c>
      <c r="AA100" t="n">
        <v>0.0</v>
      </c>
      <c r="AB100" t="n">
        <v>0.0</v>
      </c>
      <c r="AC100" t="n">
        <v>0.0</v>
      </c>
      <c r="AD100" t="n">
        <v>86.0</v>
      </c>
      <c r="AE100" t="n">
        <v>0.0</v>
      </c>
      <c r="AF100" t="n">
        <v>0.0</v>
      </c>
      <c r="AG100" t="n">
        <v>0.0</v>
      </c>
      <c r="AH100" t="n">
        <v>0.0</v>
      </c>
      <c r="AI100" t="n">
        <v>0.0</v>
      </c>
      <c r="AJ100" t="n">
        <v>0.0</v>
      </c>
      <c r="AK100" t="n">
        <v>13.209302325581396</v>
      </c>
      <c r="AL100" t="inlineStr">
        <is>
          <t/>
        </is>
      </c>
    </row>
    <row r="101">
      <c r="A101" t="inlineStr">
        <is>
          <t>不是？昨天吃虾仁今天直接掉了快两斤！</t>
        </is>
      </c>
      <c r="B101" t="inlineStr">
        <is>
          <t>69bdfd49000000001a02f24c</t>
        </is>
      </c>
      <c r="C101" s="100" t="n">
        <f>HYPERLINK("https://www.xiaohongshu.com/explore/69bdfd49000000001a02f24c?xsec_token=TBRwbx0S6Y78qN5wWC1_PyBB0ikpbUAyfh-wmaMJ6rb20=&amp;xsec_source=pc_trdark","https://www.xiaohongshu.com/explore/69bdfd49000000001a02f24c?xsec_token=TBRwbx0S6Y78qN5wWC1_PyBB0ikpbUAyfh-wmaMJ6rb20=&amp;xsec_source=pc_trdark")</f>
        <v>0.0</v>
      </c>
      <c r="D101" t="inlineStr">
        <is>
          <t>菲菲上班吃什么</t>
        </is>
      </c>
      <c r="E101" t="inlineStr">
        <is>
          <t>49936530607</t>
        </is>
      </c>
      <c r="F101" t="inlineStr">
        <is>
          <t>2026-03-21 10:07:05</t>
        </is>
      </c>
      <c r="G101" t="inlineStr">
        <is>
          <t>图文</t>
        </is>
      </c>
      <c r="H101" t="inlineStr">
        <is>
          <t>手剥虾仁 无冰衣无添加 低脂餐一人食 上班带饭 顺丰包邮 5盒装</t>
        </is>
      </c>
      <c r="I101" t="inlineStr">
        <is>
          <t>694baba01d450d00013662f0</t>
        </is>
      </c>
      <c r="J101" t="inlineStr">
        <is>
          <t/>
        </is>
      </c>
      <c r="K101" t="n">
        <v>64.0</v>
      </c>
      <c r="L101" t="n">
        <v>1.0</v>
      </c>
      <c r="M101" t="n">
        <v>1.0</v>
      </c>
      <c r="N101" t="inlineStr">
        <is>
          <t>0.011627906976744186</t>
        </is>
      </c>
      <c r="O101" t="n">
        <v>1.0</v>
      </c>
      <c r="P101" t="n">
        <v>1.0</v>
      </c>
      <c r="Q101" t="n">
        <v>1.0</v>
      </c>
      <c r="R101" t="n">
        <v>1.0</v>
      </c>
      <c r="S101" t="n">
        <v>0.0</v>
      </c>
      <c r="T101" t="n">
        <v>0.0</v>
      </c>
      <c r="U101" t="n">
        <v>0.0</v>
      </c>
      <c r="V101" t="n">
        <v>0.0</v>
      </c>
      <c r="W101" t="n">
        <v>0.0</v>
      </c>
      <c r="X101" t="n">
        <v>0.0</v>
      </c>
      <c r="Y101" t="n">
        <v>1.0</v>
      </c>
      <c r="Z101" t="n">
        <v>0.0</v>
      </c>
      <c r="AA101" t="n">
        <v>0.0</v>
      </c>
      <c r="AB101" t="n">
        <v>0.0</v>
      </c>
      <c r="AC101" t="n">
        <v>0.0</v>
      </c>
      <c r="AD101" t="n">
        <v>86.0</v>
      </c>
      <c r="AE101" t="n">
        <v>0.0</v>
      </c>
      <c r="AF101" t="n">
        <v>0.0</v>
      </c>
      <c r="AG101" t="n">
        <v>0.0</v>
      </c>
      <c r="AH101" t="n">
        <v>0.0</v>
      </c>
      <c r="AI101" t="n">
        <v>0.0</v>
      </c>
      <c r="AJ101" t="n">
        <v>0.0</v>
      </c>
      <c r="AK101" t="n">
        <v>9.662790697674419</v>
      </c>
      <c r="AL101" t="inlineStr">
        <is>
          <t/>
        </is>
      </c>
    </row>
    <row r="102">
      <c r="A102" t="inlineStr">
        <is>
          <t>好吃到昏迷的微波炉三文鱼！</t>
        </is>
      </c>
      <c r="B102" t="inlineStr">
        <is>
          <t>6a26673900000000060379f1</t>
        </is>
      </c>
      <c r="C102" s="101" t="n">
        <f>HYPERLINK("https://www.xiaohongshu.com/explore/6a26673900000000060379f1?xsec_token=TB6Q3z0Jm3jMFQ1Wl1RTAnft0Zhp8guUFKRJevrl6tB00=&amp;xsec_source=pc_trdark","https://www.xiaohongshu.com/explore/6a26673900000000060379f1?xsec_token=TB6Q3z0Jm3jMFQ1Wl1RTAnft0Zhp8guUFKRJevrl6tB00=&amp;xsec_source=pc_trdark")</f>
        <v>0.0</v>
      </c>
      <c r="D102" t="inlineStr">
        <is>
          <t>鲜水湾</t>
        </is>
      </c>
      <c r="E102" t="inlineStr">
        <is>
          <t>49316638994</t>
        </is>
      </c>
      <c r="F102" t="inlineStr">
        <is>
          <t>2026-06-08 14:54:49</t>
        </is>
      </c>
      <c r="G102" t="inlineStr">
        <is>
          <t>图文</t>
        </is>
      </c>
      <c r="H102" t="inlineStr">
        <is>
          <t>智利三文鱼切块·整条三文鱼·深海鱼一人食健康饮食</t>
        </is>
      </c>
      <c r="I102" t="inlineStr">
        <is>
          <t>691ac562a524ee0001b51d7b</t>
        </is>
      </c>
      <c r="J102" t="inlineStr">
        <is>
          <t/>
        </is>
      </c>
      <c r="K102" t="n">
        <v>117.0</v>
      </c>
      <c r="L102" t="n">
        <v>1.0</v>
      </c>
      <c r="M102" t="n">
        <v>7.0</v>
      </c>
      <c r="N102" t="inlineStr">
        <is>
          <t>0.08235294117647059</t>
        </is>
      </c>
      <c r="O102" t="n">
        <v>6.0</v>
      </c>
      <c r="P102" t="n">
        <v>1.0</v>
      </c>
      <c r="Q102" t="inlineStr">
        <is>
          <t>0.14285714285714285</t>
        </is>
      </c>
      <c r="R102" t="inlineStr">
        <is>
          <t>0.16666666666666666</t>
        </is>
      </c>
      <c r="S102" t="n">
        <v>0.0</v>
      </c>
      <c r="T102" t="n">
        <v>0.0</v>
      </c>
      <c r="U102" t="n">
        <v>0.0</v>
      </c>
      <c r="V102" t="n">
        <v>0.0</v>
      </c>
      <c r="W102" t="n">
        <v>0.0</v>
      </c>
      <c r="X102" t="n">
        <v>0.0</v>
      </c>
      <c r="Y102" t="n">
        <v>3.0</v>
      </c>
      <c r="Z102" t="n">
        <v>1.0</v>
      </c>
      <c r="AA102" t="n">
        <v>0.0</v>
      </c>
      <c r="AB102" t="n">
        <v>0.0</v>
      </c>
      <c r="AC102" t="n">
        <v>0.0</v>
      </c>
      <c r="AD102" t="n">
        <v>85.0</v>
      </c>
      <c r="AE102" t="n">
        <v>0.0</v>
      </c>
      <c r="AF102" t="n">
        <v>0.0</v>
      </c>
      <c r="AG102" t="n">
        <v>0.0</v>
      </c>
      <c r="AH102" t="n">
        <v>0.0</v>
      </c>
      <c r="AI102" t="n">
        <v>0.0</v>
      </c>
      <c r="AJ102" t="n">
        <v>0.0</v>
      </c>
      <c r="AK102" t="n">
        <v>20.152941176470588</v>
      </c>
      <c r="AL102" t="inlineStr">
        <is>
          <t/>
        </is>
      </c>
    </row>
    <row r="103">
      <c r="A103" t="inlineStr">
        <is>
          <t>其实，300 块够吃一个月健康饮食了</t>
        </is>
      </c>
      <c r="B103" t="inlineStr">
        <is>
          <t>6a4cbfef000000002100a0a6</t>
        </is>
      </c>
      <c r="C103" s="102" t="n">
        <f>HYPERLINK("https://www.xiaohongshu.com/explore/6a4cbfef000000002100a0a6?xsec_token=TBUTHXond34IOioCHeuH06ubpeDRxrGiMvJu0xenQdp-w=&amp;xsec_source=pc_trdark","https://www.xiaohongshu.com/explore/6a4cbfef000000002100a0a6?xsec_token=TBUTHXond34IOioCHeuH06ubpeDRxrGiMvJu0xenQdp-w=&amp;xsec_source=pc_trdark")</f>
        <v>0.0</v>
      </c>
      <c r="D103" t="inlineStr">
        <is>
          <t>婉婉上班吃什么</t>
        </is>
      </c>
      <c r="E103" t="inlineStr">
        <is>
          <t>11434449706</t>
        </is>
      </c>
      <c r="F103" t="inlineStr">
        <is>
          <t>2026-07-07 16:59:27</t>
        </is>
      </c>
      <c r="G103" t="inlineStr">
        <is>
          <t>图文</t>
        </is>
      </c>
      <c r="H103" t="inlineStr">
        <is>
          <t>智利三文鱼切块·整条三文鱼·深海鱼一人食健康饮食</t>
        </is>
      </c>
      <c r="I103" t="inlineStr">
        <is>
          <t>691ac562a524ee0001b51d7b</t>
        </is>
      </c>
      <c r="J103" t="inlineStr">
        <is>
          <t/>
        </is>
      </c>
      <c r="K103" t="n">
        <v>0.0</v>
      </c>
      <c r="L103" t="n">
        <v>0.0</v>
      </c>
      <c r="M103" t="n">
        <v>2.0</v>
      </c>
      <c r="N103" t="inlineStr">
        <is>
          <t>0.024390243902439025</t>
        </is>
      </c>
      <c r="O103" t="n">
        <v>2.0</v>
      </c>
      <c r="P103" t="n">
        <v>0.0</v>
      </c>
      <c r="Q103" t="n">
        <v>0.0</v>
      </c>
      <c r="R103" t="n">
        <v>0.0</v>
      </c>
      <c r="S103" t="n">
        <v>0.0</v>
      </c>
      <c r="T103" t="n">
        <v>0.0</v>
      </c>
      <c r="U103" t="n">
        <v>0.0</v>
      </c>
      <c r="V103" t="n">
        <v>0.0</v>
      </c>
      <c r="W103" t="inlineStr">
        <is>
          <t/>
        </is>
      </c>
      <c r="X103" t="n">
        <v>0.0</v>
      </c>
      <c r="Y103" t="n">
        <v>1.0</v>
      </c>
      <c r="Z103" t="n">
        <v>0.0</v>
      </c>
      <c r="AA103" t="n">
        <v>0.0</v>
      </c>
      <c r="AB103" t="n">
        <v>0.0</v>
      </c>
      <c r="AC103" t="n">
        <v>0.0</v>
      </c>
      <c r="AD103" t="n">
        <v>82.0</v>
      </c>
      <c r="AE103" t="n">
        <v>0.0</v>
      </c>
      <c r="AF103" t="n">
        <v>0.0</v>
      </c>
      <c r="AG103" t="n">
        <v>0.0</v>
      </c>
      <c r="AH103" t="n">
        <v>0.0</v>
      </c>
      <c r="AI103" t="n">
        <v>0.0</v>
      </c>
      <c r="AJ103" t="n">
        <v>0.0</v>
      </c>
      <c r="AK103" t="n">
        <v>11.073170731707316</v>
      </c>
      <c r="AL103" t="inlineStr">
        <is>
          <t/>
        </is>
      </c>
    </row>
    <row r="104">
      <c r="A104" t="inlineStr">
        <is>
          <t>带饭三个月，存了一万二</t>
        </is>
      </c>
      <c r="B104" t="inlineStr">
        <is>
          <t>69e85ce5000000001f0004ce</t>
        </is>
      </c>
      <c r="C104" s="103" t="n">
        <f>HYPERLINK("https://www.xiaohongshu.com/explore/69e85ce5000000001f0004ce?xsec_token=TBrsJGfbmdICsvnXoyd4QdRivLQtuQAlD8uQG9REU-u1s=&amp;xsec_source=pc_trdark","https://www.xiaohongshu.com/explore/69e85ce5000000001f0004ce?xsec_token=TBrsJGfbmdICsvnXoyd4QdRivLQtuQAlD8uQG9REU-u1s=&amp;xsec_source=pc_trdark")</f>
        <v>0.0</v>
      </c>
      <c r="D104" t="inlineStr">
        <is>
          <t>婉婉上班吃什么</t>
        </is>
      </c>
      <c r="E104" t="inlineStr">
        <is>
          <t>11434449706</t>
        </is>
      </c>
      <c r="F104" t="inlineStr">
        <is>
          <t>2026-04-22 13:30:13</t>
        </is>
      </c>
      <c r="G104" t="inlineStr">
        <is>
          <t>图文</t>
        </is>
      </c>
      <c r="H104" t="inlineStr">
        <is>
          <t>智利尾端中段整条三文鱼 8斤深海鱼低脂餐囤货一周备菜顺丰包邮</t>
        </is>
      </c>
      <c r="I104" t="inlineStr">
        <is>
          <t>69fab80d64eb410001ece0c0</t>
        </is>
      </c>
      <c r="J104" t="inlineStr">
        <is>
          <t/>
        </is>
      </c>
      <c r="K104" t="n">
        <v>0.0</v>
      </c>
      <c r="L104" t="n">
        <v>0.0</v>
      </c>
      <c r="M104" t="n">
        <v>2.0</v>
      </c>
      <c r="N104" t="inlineStr">
        <is>
          <t>0.024390243902439025</t>
        </is>
      </c>
      <c r="O104" t="n">
        <v>1.0</v>
      </c>
      <c r="P104" t="n">
        <v>0.0</v>
      </c>
      <c r="Q104" t="n">
        <v>0.0</v>
      </c>
      <c r="R104" t="n">
        <v>0.0</v>
      </c>
      <c r="S104" t="n">
        <v>0.0</v>
      </c>
      <c r="T104" t="n">
        <v>0.0</v>
      </c>
      <c r="U104" t="n">
        <v>0.0</v>
      </c>
      <c r="V104" t="n">
        <v>0.0</v>
      </c>
      <c r="W104" t="inlineStr">
        <is>
          <t/>
        </is>
      </c>
      <c r="X104" t="n">
        <v>0.0</v>
      </c>
      <c r="Y104" t="n">
        <v>0.0</v>
      </c>
      <c r="Z104" t="n">
        <v>3.0</v>
      </c>
      <c r="AA104" t="n">
        <v>0.0</v>
      </c>
      <c r="AB104" t="n">
        <v>0.0</v>
      </c>
      <c r="AC104" t="n">
        <v>0.0</v>
      </c>
      <c r="AD104" t="n">
        <v>82.0</v>
      </c>
      <c r="AE104" t="n">
        <v>1.0</v>
      </c>
      <c r="AF104" t="n">
        <v>0.0</v>
      </c>
      <c r="AG104" t="n">
        <v>0.0</v>
      </c>
      <c r="AH104" t="n">
        <v>0.0</v>
      </c>
      <c r="AI104" t="n">
        <v>0.0</v>
      </c>
      <c r="AJ104" t="n">
        <v>0.0</v>
      </c>
      <c r="AK104" t="n">
        <v>11.585365853658537</v>
      </c>
      <c r="AL104" t="inlineStr">
        <is>
          <t/>
        </is>
      </c>
    </row>
    <row r="105">
      <c r="A105" t="inlineStr">
        <is>
          <t>算了一笔账，才发现自己以前点外卖巨亏🥲</t>
        </is>
      </c>
      <c r="B105" t="inlineStr">
        <is>
          <t>69d71759000000002301d712</t>
        </is>
      </c>
      <c r="C105" s="104" t="n">
        <f>HYPERLINK("https://www.xiaohongshu.com/explore/69d71759000000002301d712?xsec_token=TBabSJw1DqF320Z_FWL3yrQwcWScDaZU2-_Nd8thoKFCY=&amp;xsec_source=pc_trdark","https://www.xiaohongshu.com/explore/69d71759000000002301d712?xsec_token=TBabSJw1DqF320Z_FWL3yrQwcWScDaZU2-_Nd8thoKFCY=&amp;xsec_source=pc_trdark")</f>
        <v>0.0</v>
      </c>
      <c r="D105" t="inlineStr">
        <is>
          <t>菲菲上班吃什么</t>
        </is>
      </c>
      <c r="E105" t="inlineStr">
        <is>
          <t>49936530607</t>
        </is>
      </c>
      <c r="F105" t="inlineStr">
        <is>
          <t>2026-04-09 11:04:57</t>
        </is>
      </c>
      <c r="G105" t="inlineStr">
        <is>
          <t>图文</t>
        </is>
      </c>
      <c r="H105" t="inlineStr">
        <is>
          <t>手剥虾仁 无冰衣无添加 低脂餐一人食 上班带饭 顺丰包邮 5盒装</t>
        </is>
      </c>
      <c r="I105" t="inlineStr">
        <is>
          <t>694baba01d450d00013662f0</t>
        </is>
      </c>
      <c r="J105" t="inlineStr">
        <is>
          <t/>
        </is>
      </c>
      <c r="K105" t="n">
        <v>0.0</v>
      </c>
      <c r="L105" t="n">
        <v>0.0</v>
      </c>
      <c r="M105" t="n">
        <v>4.0</v>
      </c>
      <c r="N105" t="inlineStr">
        <is>
          <t>0.04878048780487805</t>
        </is>
      </c>
      <c r="O105" t="n">
        <v>3.0</v>
      </c>
      <c r="P105" t="n">
        <v>0.0</v>
      </c>
      <c r="Q105" t="n">
        <v>0.0</v>
      </c>
      <c r="R105" t="n">
        <v>0.0</v>
      </c>
      <c r="S105" t="n">
        <v>0.0</v>
      </c>
      <c r="T105" t="n">
        <v>0.0</v>
      </c>
      <c r="U105" t="n">
        <v>0.0</v>
      </c>
      <c r="V105" t="n">
        <v>0.0</v>
      </c>
      <c r="W105" t="inlineStr">
        <is>
          <t/>
        </is>
      </c>
      <c r="X105" t="n">
        <v>0.0</v>
      </c>
      <c r="Y105" t="n">
        <v>1.0</v>
      </c>
      <c r="Z105" t="n">
        <v>2.0</v>
      </c>
      <c r="AA105" t="n">
        <v>0.0</v>
      </c>
      <c r="AB105" t="n">
        <v>0.0</v>
      </c>
      <c r="AC105" t="n">
        <v>0.0</v>
      </c>
      <c r="AD105" t="n">
        <v>82.0</v>
      </c>
      <c r="AE105" t="n">
        <v>0.0</v>
      </c>
      <c r="AF105" t="n">
        <v>1.0</v>
      </c>
      <c r="AG105" t="n">
        <v>0.0</v>
      </c>
      <c r="AH105" t="n">
        <v>0.0</v>
      </c>
      <c r="AI105" t="n">
        <v>0.0</v>
      </c>
      <c r="AJ105" t="n">
        <v>0.0</v>
      </c>
      <c r="AK105" t="n">
        <v>9.75609756097561</v>
      </c>
      <c r="AL105" t="inlineStr">
        <is>
          <t/>
        </is>
      </c>
    </row>
    <row r="106">
      <c r="A106" t="inlineStr">
        <is>
          <t>和老爸商量后，推出减脂一人食小包装🍤</t>
        </is>
      </c>
      <c r="B106" t="inlineStr">
        <is>
          <t>6a7c38410000000035017136</t>
        </is>
      </c>
      <c r="C106" s="105" t="n">
        <f>HYPERLINK("https://www.xiaohongshu.com/explore/6a7c38410000000035017136?xsec_token=TBPf99IXE_doSxKY2rrlSQupRlQUvF9h6YWHX2g8CtZ08=&amp;xsec_source=pc_trdark","https://www.xiaohongshu.com/explore/6a7c38410000000035017136?xsec_token=TBPf99IXE_doSxKY2rrlSQupRlQUvF9h6YWHX2g8CtZ08=&amp;xsec_source=pc_trdark")</f>
        <v>0.0</v>
      </c>
      <c r="D106" t="inlineStr">
        <is>
          <t>鲜水湾</t>
        </is>
      </c>
      <c r="E106" t="inlineStr">
        <is>
          <t>49316638994</t>
        </is>
      </c>
      <c r="F106" t="inlineStr">
        <is>
          <t>2026-08-12 17:09:21</t>
        </is>
      </c>
      <c r="G106" t="inlineStr">
        <is>
          <t>图文</t>
        </is>
      </c>
      <c r="H106" t="inlineStr">
        <is>
          <t>手剥虾仁 无冰衣无添加 低脂餐一人食 上班带饭 顺丰包邮 5盒装</t>
        </is>
      </c>
      <c r="I106" t="inlineStr">
        <is>
          <t>694baba01d450d00013662f0</t>
        </is>
      </c>
      <c r="J106" t="inlineStr">
        <is>
          <t/>
        </is>
      </c>
      <c r="K106" t="n">
        <v>0.0</v>
      </c>
      <c r="L106" t="n">
        <v>0.0</v>
      </c>
      <c r="M106" t="n">
        <v>9.0</v>
      </c>
      <c r="N106" t="n">
        <v>0.1125</v>
      </c>
      <c r="O106" t="n">
        <v>9.0</v>
      </c>
      <c r="P106" t="n">
        <v>0.0</v>
      </c>
      <c r="Q106" t="n">
        <v>0.0</v>
      </c>
      <c r="R106" t="n">
        <v>0.0</v>
      </c>
      <c r="S106" t="n">
        <v>0.0</v>
      </c>
      <c r="T106" t="n">
        <v>0.0</v>
      </c>
      <c r="U106" t="n">
        <v>0.0</v>
      </c>
      <c r="V106" t="n">
        <v>0.0</v>
      </c>
      <c r="W106" t="inlineStr">
        <is>
          <t/>
        </is>
      </c>
      <c r="X106" t="n">
        <v>0.0</v>
      </c>
      <c r="Y106" t="n">
        <v>2.0</v>
      </c>
      <c r="Z106" t="n">
        <v>6.0</v>
      </c>
      <c r="AA106" t="n">
        <v>0.0</v>
      </c>
      <c r="AB106" t="n">
        <v>0.0</v>
      </c>
      <c r="AC106" t="n">
        <v>0.0</v>
      </c>
      <c r="AD106" t="n">
        <v>80.0</v>
      </c>
      <c r="AE106" t="n">
        <v>1.0</v>
      </c>
      <c r="AF106" t="n">
        <v>2.0</v>
      </c>
      <c r="AG106" t="n">
        <v>0.0</v>
      </c>
      <c r="AH106" t="n">
        <v>2.0</v>
      </c>
      <c r="AI106" t="n">
        <v>0.0</v>
      </c>
      <c r="AJ106" t="n">
        <v>0.0</v>
      </c>
      <c r="AK106" t="n">
        <v>9.675</v>
      </c>
      <c r="AL106" t="inlineStr">
        <is>
          <t/>
        </is>
      </c>
    </row>
    <row r="107">
      <c r="A107" t="inlineStr">
        <is>
          <t>大意了，真低估了100块的购买力😂</t>
        </is>
      </c>
      <c r="B107" t="inlineStr">
        <is>
          <t>6a5d80600000000010028263</t>
        </is>
      </c>
      <c r="C107" s="106" t="n">
        <f>HYPERLINK("https://www.xiaohongshu.com/explore/6a5d80600000000010028263?xsec_token=TBhNPC94_6xvOzlNirloUV2NTVkGw0qn4Y5N5An4Y5ghU=&amp;xsec_source=pc_trdark","https://www.xiaohongshu.com/explore/6a5d80600000000010028263?xsec_token=TBhNPC94_6xvOzlNirloUV2NTVkGw0qn4Y5N5An4Y5ghU=&amp;xsec_source=pc_trdark")</f>
        <v>0.0</v>
      </c>
      <c r="D107" t="inlineStr">
        <is>
          <t>鲜水湾</t>
        </is>
      </c>
      <c r="E107" t="inlineStr">
        <is>
          <t>49316638994</t>
        </is>
      </c>
      <c r="F107" t="inlineStr">
        <is>
          <t>2026-07-20 09:56:48</t>
        </is>
      </c>
      <c r="G107" t="inlineStr">
        <is>
          <t>图文</t>
        </is>
      </c>
      <c r="H107" t="inlineStr">
        <is>
          <t>智利三文鱼切块·整条三文鱼·深海鱼一人食健康饮食</t>
        </is>
      </c>
      <c r="I107" t="inlineStr">
        <is>
          <t>691ac562a524ee0001b51d7b</t>
        </is>
      </c>
      <c r="J107" t="inlineStr">
        <is>
          <t/>
        </is>
      </c>
      <c r="K107" t="n">
        <v>0.0</v>
      </c>
      <c r="L107" t="n">
        <v>0.0</v>
      </c>
      <c r="M107" t="n">
        <v>20.0</v>
      </c>
      <c r="N107" t="inlineStr">
        <is>
          <t>0.25316455696202533</t>
        </is>
      </c>
      <c r="O107" t="n">
        <v>19.0</v>
      </c>
      <c r="P107" t="n">
        <v>0.0</v>
      </c>
      <c r="Q107" t="n">
        <v>0.0</v>
      </c>
      <c r="R107" t="n">
        <v>0.0</v>
      </c>
      <c r="S107" t="n">
        <v>0.0</v>
      </c>
      <c r="T107" t="n">
        <v>0.0</v>
      </c>
      <c r="U107" t="n">
        <v>0.0</v>
      </c>
      <c r="V107" t="n">
        <v>0.0</v>
      </c>
      <c r="W107" t="inlineStr">
        <is>
          <t/>
        </is>
      </c>
      <c r="X107" t="n">
        <v>0.0</v>
      </c>
      <c r="Y107" t="n">
        <v>2.0</v>
      </c>
      <c r="Z107" t="n">
        <v>17.0</v>
      </c>
      <c r="AA107" t="n">
        <v>0.0</v>
      </c>
      <c r="AB107" t="n">
        <v>0.0</v>
      </c>
      <c r="AC107" t="n">
        <v>0.0</v>
      </c>
      <c r="AD107" t="n">
        <v>79.0</v>
      </c>
      <c r="AE107" t="n">
        <v>2.0</v>
      </c>
      <c r="AF107" t="n">
        <v>3.0</v>
      </c>
      <c r="AG107" t="n">
        <v>0.0</v>
      </c>
      <c r="AH107" t="n">
        <v>0.0</v>
      </c>
      <c r="AI107" t="n">
        <v>0.0</v>
      </c>
      <c r="AJ107" t="n">
        <v>0.0</v>
      </c>
      <c r="AK107" t="n">
        <v>9.49367088607595</v>
      </c>
      <c r="AL107" t="inlineStr">
        <is>
          <t/>
        </is>
      </c>
    </row>
    <row r="108">
      <c r="A108" t="inlineStr">
        <is>
          <t>从青岛发过来的！被爸妈夸了一整天</t>
        </is>
      </c>
      <c r="B108" t="inlineStr">
        <is>
          <t>69870401000000000e00c0fc</t>
        </is>
      </c>
      <c r="C108" s="107" t="n">
        <f>HYPERLINK("https://www.xiaohongshu.com/explore/69870401000000000e00c0fc?xsec_token=TB5RfIaoHWaf_5AWlHC-0CsayumAhvzJp-HbcAYghSoic=&amp;xsec_source=pc_trdark","https://www.xiaohongshu.com/explore/69870401000000000e00c0fc?xsec_token=TB5RfIaoHWaf_5AWlHC-0CsayumAhvzJp-HbcAYghSoic=&amp;xsec_source=pc_trdark")</f>
        <v>0.0</v>
      </c>
      <c r="D108" t="inlineStr">
        <is>
          <t>鲜水湾</t>
        </is>
      </c>
      <c r="E108" t="inlineStr">
        <is>
          <t>49316638994</t>
        </is>
      </c>
      <c r="F108" t="inlineStr">
        <is>
          <t>2026-02-07 17:21:05</t>
        </is>
      </c>
      <c r="G108" t="inlineStr">
        <is>
          <t>图文</t>
        </is>
      </c>
      <c r="H108" t="inlineStr">
        <is>
          <t>大虾基围虾王牌大虾厄瓜多尔白虾盐冻虾仁海洋大虾送礼顺丰包邮</t>
        </is>
      </c>
      <c r="I108" t="inlineStr">
        <is>
          <t>690aeb7be379430001e686ac</t>
        </is>
      </c>
      <c r="J108" t="inlineStr">
        <is>
          <t/>
        </is>
      </c>
      <c r="K108" t="n">
        <v>0.0</v>
      </c>
      <c r="L108" t="n">
        <v>0.0</v>
      </c>
      <c r="M108" t="n">
        <v>10.0</v>
      </c>
      <c r="N108" t="inlineStr">
        <is>
          <t>0.12658227848101267</t>
        </is>
      </c>
      <c r="O108" t="n">
        <v>9.0</v>
      </c>
      <c r="P108" t="n">
        <v>0.0</v>
      </c>
      <c r="Q108" t="n">
        <v>0.0</v>
      </c>
      <c r="R108" t="n">
        <v>0.0</v>
      </c>
      <c r="S108" t="n">
        <v>0.0</v>
      </c>
      <c r="T108" t="n">
        <v>0.0</v>
      </c>
      <c r="U108" t="n">
        <v>0.0</v>
      </c>
      <c r="V108" t="n">
        <v>0.0</v>
      </c>
      <c r="W108" t="inlineStr">
        <is>
          <t/>
        </is>
      </c>
      <c r="X108" t="n">
        <v>0.0</v>
      </c>
      <c r="Y108" t="n">
        <v>1.0</v>
      </c>
      <c r="Z108" t="n">
        <v>5.0</v>
      </c>
      <c r="AA108" t="n">
        <v>0.0</v>
      </c>
      <c r="AB108" t="n">
        <v>0.0</v>
      </c>
      <c r="AC108" t="n">
        <v>0.0</v>
      </c>
      <c r="AD108" t="n">
        <v>79.0</v>
      </c>
      <c r="AE108" t="n">
        <v>0.0</v>
      </c>
      <c r="AF108" t="n">
        <v>0.0</v>
      </c>
      <c r="AG108" t="n">
        <v>0.0</v>
      </c>
      <c r="AH108" t="n">
        <v>0.0</v>
      </c>
      <c r="AI108" t="n">
        <v>0.0</v>
      </c>
      <c r="AJ108" t="n">
        <v>0.0</v>
      </c>
      <c r="AK108" t="n">
        <v>8.139240506329115</v>
      </c>
      <c r="AL108" t="inlineStr">
        <is>
          <t/>
        </is>
      </c>
    </row>
    <row r="109">
      <c r="A109" t="inlineStr">
        <is>
          <t>公司微波炉坏了第三天，我反而吃得更健康了</t>
        </is>
      </c>
      <c r="B109" t="inlineStr">
        <is>
          <t>69d72a0a000000001a035441</t>
        </is>
      </c>
      <c r="C109" s="108" t="n">
        <f>HYPERLINK("https://www.xiaohongshu.com/explore/69d72a0a000000001a035441?xsec_token=TBabSJw1DqF320Z_FWL3yrQ4FNW-A6uz3hRCcckrS4NpQ=&amp;xsec_source=pc_trdark","https://www.xiaohongshu.com/explore/69d72a0a000000001a035441?xsec_token=TBabSJw1DqF320Z_FWL3yrQ4FNW-A6uz3hRCcckrS4NpQ=&amp;xsec_source=pc_trdark")</f>
        <v>0.0</v>
      </c>
      <c r="D109" t="inlineStr">
        <is>
          <t>菲菲上班吃什么</t>
        </is>
      </c>
      <c r="E109" t="inlineStr">
        <is>
          <t>49936530607</t>
        </is>
      </c>
      <c r="F109" t="inlineStr">
        <is>
          <t>2026-04-09 12:24:42</t>
        </is>
      </c>
      <c r="G109" t="inlineStr">
        <is>
          <t>图文</t>
        </is>
      </c>
      <c r="H109" t="inlineStr">
        <is>
          <t>手剥虾仁 无冰衣无添加 低脂餐一人食 上班带饭 顺丰包邮 5盒装</t>
        </is>
      </c>
      <c r="I109" t="inlineStr">
        <is>
          <t>694baba01d450d00013662f0</t>
        </is>
      </c>
      <c r="J109" t="inlineStr">
        <is>
          <t/>
        </is>
      </c>
      <c r="K109" t="n">
        <v>0.0</v>
      </c>
      <c r="L109" t="n">
        <v>0.0</v>
      </c>
      <c r="M109" t="n">
        <v>2.0</v>
      </c>
      <c r="N109" t="inlineStr">
        <is>
          <t>0.025974025974025976</t>
        </is>
      </c>
      <c r="O109" t="n">
        <v>2.0</v>
      </c>
      <c r="P109" t="n">
        <v>0.0</v>
      </c>
      <c r="Q109" t="n">
        <v>0.0</v>
      </c>
      <c r="R109" t="n">
        <v>0.0</v>
      </c>
      <c r="S109" t="n">
        <v>0.0</v>
      </c>
      <c r="T109" t="n">
        <v>0.0</v>
      </c>
      <c r="U109" t="n">
        <v>0.0</v>
      </c>
      <c r="V109" t="n">
        <v>0.0</v>
      </c>
      <c r="W109" t="inlineStr">
        <is>
          <t/>
        </is>
      </c>
      <c r="X109" t="n">
        <v>0.0</v>
      </c>
      <c r="Y109" t="n">
        <v>0.0</v>
      </c>
      <c r="Z109" t="n">
        <v>1.0</v>
      </c>
      <c r="AA109" t="n">
        <v>0.0</v>
      </c>
      <c r="AB109" t="n">
        <v>0.0</v>
      </c>
      <c r="AC109" t="n">
        <v>0.0</v>
      </c>
      <c r="AD109" t="n">
        <v>77.0</v>
      </c>
      <c r="AE109" t="n">
        <v>0.0</v>
      </c>
      <c r="AF109" t="n">
        <v>0.0</v>
      </c>
      <c r="AG109" t="n">
        <v>0.0</v>
      </c>
      <c r="AH109" t="n">
        <v>0.0</v>
      </c>
      <c r="AI109" t="n">
        <v>0.0</v>
      </c>
      <c r="AJ109" t="n">
        <v>0.0</v>
      </c>
      <c r="AK109" t="n">
        <v>10.38961038961039</v>
      </c>
      <c r="AL109" t="inlineStr">
        <is>
          <t/>
        </is>
      </c>
    </row>
    <row r="110">
      <c r="A110" t="inlineStr">
        <is>
          <t>和老爸商讨后，连夜上架一人食小包装</t>
        </is>
      </c>
      <c r="B110" t="inlineStr">
        <is>
          <t>6a70753b000000002c0064e2</t>
        </is>
      </c>
      <c r="C110" s="109" t="n">
        <f>HYPERLINK("https://www.xiaohongshu.com/explore/6a70753b000000002c0064e2?xsec_token=TBIU1I5Zy_IXjnVZzC2076Q9Gq3mVp8ck2vKxpv-kH6CY=&amp;xsec_source=pc_trdark","https://www.xiaohongshu.com/explore/6a70753b000000002c0064e2?xsec_token=TBIU1I5Zy_IXjnVZzC2076Q9Gq3mVp8ck2vKxpv-kH6CY=&amp;xsec_source=pc_trdark")</f>
        <v>0.0</v>
      </c>
      <c r="D110" t="inlineStr">
        <is>
          <t>鲜水湾甄选</t>
        </is>
      </c>
      <c r="E110" t="inlineStr">
        <is>
          <t>27401929161</t>
        </is>
      </c>
      <c r="F110" t="inlineStr">
        <is>
          <t>2026-08-03 19:02:19</t>
        </is>
      </c>
      <c r="G110" t="inlineStr">
        <is>
          <t>图文</t>
        </is>
      </c>
      <c r="H110" t="inlineStr">
        <is>
          <t>手剥虾仁 无冰衣无添加 低脂餐一人食 上班带饭 顺丰包邮 5盒装</t>
        </is>
      </c>
      <c r="I110" t="inlineStr">
        <is>
          <t>694baba01d450d00013662f0</t>
        </is>
      </c>
      <c r="J110" t="inlineStr">
        <is>
          <t/>
        </is>
      </c>
      <c r="K110" t="n">
        <v>68.0</v>
      </c>
      <c r="L110" t="n">
        <v>1.0</v>
      </c>
      <c r="M110" t="n">
        <v>12.0</v>
      </c>
      <c r="N110" t="inlineStr">
        <is>
          <t>0.15789473684210525</t>
        </is>
      </c>
      <c r="O110" t="n">
        <v>12.0</v>
      </c>
      <c r="P110" t="n">
        <v>1.0</v>
      </c>
      <c r="Q110" t="inlineStr">
        <is>
          <t>0.08333333333333333</t>
        </is>
      </c>
      <c r="R110" t="inlineStr">
        <is>
          <t>0.08333333333333333</t>
        </is>
      </c>
      <c r="S110" t="n">
        <v>0.0</v>
      </c>
      <c r="T110" t="n">
        <v>0.0</v>
      </c>
      <c r="U110" t="n">
        <v>0.0</v>
      </c>
      <c r="V110" t="n">
        <v>0.0</v>
      </c>
      <c r="W110" t="n">
        <v>0.0</v>
      </c>
      <c r="X110" t="n">
        <v>0.0</v>
      </c>
      <c r="Y110" t="n">
        <v>2.0</v>
      </c>
      <c r="Z110" t="n">
        <v>2.0</v>
      </c>
      <c r="AA110" t="n">
        <v>0.0</v>
      </c>
      <c r="AB110" t="n">
        <v>0.0</v>
      </c>
      <c r="AC110" t="n">
        <v>0.0</v>
      </c>
      <c r="AD110" t="n">
        <v>76.0</v>
      </c>
      <c r="AE110" t="n">
        <v>1.0</v>
      </c>
      <c r="AF110" t="n">
        <v>2.0</v>
      </c>
      <c r="AG110" t="n">
        <v>0.0</v>
      </c>
      <c r="AH110" t="n">
        <v>0.0</v>
      </c>
      <c r="AI110" t="n">
        <v>0.0</v>
      </c>
      <c r="AJ110" t="n">
        <v>0.0</v>
      </c>
      <c r="AK110" t="n">
        <v>17.63157894736842</v>
      </c>
      <c r="AL110" t="inlineStr">
        <is>
          <t/>
        </is>
      </c>
    </row>
    <row r="111">
      <c r="A111" t="inlineStr">
        <is>
          <t>减脂期的我，一周吃100次的三文鱼</t>
        </is>
      </c>
      <c r="B111" t="inlineStr">
        <is>
          <t>6a55d62d0000000007027773</t>
        </is>
      </c>
      <c r="C111" s="110" t="n">
        <f>HYPERLINK("https://www.xiaohongshu.com/explore/6a55d62d0000000007027773?xsec_token=TBtjT0D3LpwTfPk27zCmXZxTfPsLVOT2LSxf9NYoWVyLs=&amp;xsec_source=pc_trdark","https://www.xiaohongshu.com/explore/6a55d62d0000000007027773?xsec_token=TBtjT0D3LpwTfPk27zCmXZxTfPsLVOT2LSxf9NYoWVyLs=&amp;xsec_source=pc_trdark")</f>
        <v>0.0</v>
      </c>
      <c r="D111" t="inlineStr">
        <is>
          <t>婉婉上班吃什么</t>
        </is>
      </c>
      <c r="E111" t="inlineStr">
        <is>
          <t>11434449706</t>
        </is>
      </c>
      <c r="F111" t="inlineStr">
        <is>
          <t>2026-07-14 14:24:46</t>
        </is>
      </c>
      <c r="G111" t="inlineStr">
        <is>
          <t>图文</t>
        </is>
      </c>
      <c r="H111" t="inlineStr">
        <is>
          <t>智利尾端中段整条三文鱼 8斤深海鱼低脂餐囤货一周备菜顺丰包邮</t>
        </is>
      </c>
      <c r="I111" t="inlineStr">
        <is>
          <t>69fab80d64eb410001ece0c0</t>
        </is>
      </c>
      <c r="J111" t="inlineStr">
        <is>
          <t/>
        </is>
      </c>
      <c r="K111" t="n">
        <v>63.0</v>
      </c>
      <c r="L111" t="n">
        <v>1.0</v>
      </c>
      <c r="M111" t="n">
        <v>8.0</v>
      </c>
      <c r="N111" t="inlineStr">
        <is>
          <t>0.10526315789473684</t>
        </is>
      </c>
      <c r="O111" t="n">
        <v>8.0</v>
      </c>
      <c r="P111" t="n">
        <v>1.0</v>
      </c>
      <c r="Q111" t="n">
        <v>0.125</v>
      </c>
      <c r="R111" t="n">
        <v>0.125</v>
      </c>
      <c r="S111" t="n">
        <v>0.0</v>
      </c>
      <c r="T111" t="n">
        <v>0.0</v>
      </c>
      <c r="U111" t="n">
        <v>0.0</v>
      </c>
      <c r="V111" t="n">
        <v>0.0</v>
      </c>
      <c r="W111" t="n">
        <v>0.0</v>
      </c>
      <c r="X111" t="n">
        <v>0.0</v>
      </c>
      <c r="Y111" t="n">
        <v>1.0</v>
      </c>
      <c r="Z111" t="n">
        <v>1.0</v>
      </c>
      <c r="AA111" t="n">
        <v>0.0</v>
      </c>
      <c r="AB111" t="n">
        <v>0.0</v>
      </c>
      <c r="AC111" t="n">
        <v>0.0</v>
      </c>
      <c r="AD111" t="n">
        <v>76.0</v>
      </c>
      <c r="AE111" t="n">
        <v>1.0</v>
      </c>
      <c r="AF111" t="n">
        <v>1.0</v>
      </c>
      <c r="AG111" t="n">
        <v>0.0</v>
      </c>
      <c r="AH111" t="n">
        <v>0.0</v>
      </c>
      <c r="AI111" t="n">
        <v>0.0</v>
      </c>
      <c r="AJ111" t="n">
        <v>0.0</v>
      </c>
      <c r="AK111" t="n">
        <v>12.039473684210526</v>
      </c>
      <c r="AL111" t="inlineStr">
        <is>
          <t/>
        </is>
      </c>
    </row>
    <row r="112">
      <c r="A112" t="inlineStr">
        <is>
          <t>和老爹商量后，推出一人食小包装</t>
        </is>
      </c>
      <c r="B112" t="inlineStr">
        <is>
          <t>69b91f54000000002800a745</t>
        </is>
      </c>
      <c r="C112" s="111" t="n">
        <f>HYPERLINK("https://www.xiaohongshu.com/explore/69b91f54000000002800a745?xsec_token=TBgv0wN35T_w0yZx7fmvlvfOoluzsHtwJOKCFVpiqb6to=&amp;xsec_source=pc_trdark","https://www.xiaohongshu.com/explore/69b91f54000000002800a745?xsec_token=TBgv0wN35T_w0yZx7fmvlvfOoluzsHtwJOKCFVpiqb6to=&amp;xsec_source=pc_trdark")</f>
        <v>0.0</v>
      </c>
      <c r="D112" t="inlineStr">
        <is>
          <t>鲜水湾</t>
        </is>
      </c>
      <c r="E112" t="inlineStr">
        <is>
          <t>49316638994</t>
        </is>
      </c>
      <c r="F112" t="inlineStr">
        <is>
          <t>2026-03-17 17:31:00</t>
        </is>
      </c>
      <c r="G112" t="inlineStr">
        <is>
          <t>图文</t>
        </is>
      </c>
      <c r="H112" t="inlineStr">
        <is>
          <t>手剥虾仁 无冰衣无添加 低脂餐一人食 上班带饭 顺丰包邮 5盒装</t>
        </is>
      </c>
      <c r="I112" t="inlineStr">
        <is>
          <t>694baba01d450d00013662f0</t>
        </is>
      </c>
      <c r="J112" t="inlineStr">
        <is>
          <t/>
        </is>
      </c>
      <c r="K112" t="n">
        <v>0.0</v>
      </c>
      <c r="L112" t="n">
        <v>0.0</v>
      </c>
      <c r="M112" t="n">
        <v>11.0</v>
      </c>
      <c r="N112" t="inlineStr">
        <is>
          <t>0.14666666666666667</t>
        </is>
      </c>
      <c r="O112" t="n">
        <v>10.0</v>
      </c>
      <c r="P112" t="n">
        <v>0.0</v>
      </c>
      <c r="Q112" t="n">
        <v>0.0</v>
      </c>
      <c r="R112" t="n">
        <v>0.0</v>
      </c>
      <c r="S112" t="n">
        <v>0.0</v>
      </c>
      <c r="T112" t="n">
        <v>0.0</v>
      </c>
      <c r="U112" t="n">
        <v>0.0</v>
      </c>
      <c r="V112" t="n">
        <v>0.0</v>
      </c>
      <c r="W112" t="inlineStr">
        <is>
          <t/>
        </is>
      </c>
      <c r="X112" t="n">
        <v>0.0</v>
      </c>
      <c r="Y112" t="n">
        <v>5.0</v>
      </c>
      <c r="Z112" t="n">
        <v>0.0</v>
      </c>
      <c r="AA112" t="n">
        <v>0.0</v>
      </c>
      <c r="AB112" t="n">
        <v>0.0</v>
      </c>
      <c r="AC112" t="n">
        <v>0.0</v>
      </c>
      <c r="AD112" t="n">
        <v>75.0</v>
      </c>
      <c r="AE112" t="n">
        <v>0.0</v>
      </c>
      <c r="AF112" t="n">
        <v>0.0</v>
      </c>
      <c r="AG112" t="n">
        <v>0.0</v>
      </c>
      <c r="AH112" t="n">
        <v>0.0</v>
      </c>
      <c r="AI112" t="n">
        <v>0.0</v>
      </c>
      <c r="AJ112" t="n">
        <v>0.0</v>
      </c>
      <c r="AK112" t="n">
        <v>5.1066666666666665</v>
      </c>
      <c r="AL112" t="inlineStr">
        <is>
          <t/>
        </is>
      </c>
    </row>
    <row r="113">
      <c r="A113" t="inlineStr">
        <is>
          <t>96斤 频繁吃蛋白质的代价</t>
        </is>
      </c>
      <c r="B113" t="inlineStr">
        <is>
          <t>6a72e7220000000025015754</t>
        </is>
      </c>
      <c r="C113" s="112" t="n">
        <f>HYPERLINK("https://www.xiaohongshu.com/explore/6a72e7220000000025015754?xsec_token=TBRm5Oz6TgnkTuHlzu05n-z_aZjwlKjSb7PZaPlKUXXiA=&amp;xsec_source=pc_trdark","https://www.xiaohongshu.com/explore/6a72e7220000000025015754?xsec_token=TBRm5Oz6TgnkTuHlzu05n-z_aZjwlKjSb7PZaPlKUXXiA=&amp;xsec_source=pc_trdark")</f>
        <v>0.0</v>
      </c>
      <c r="D113" t="inlineStr">
        <is>
          <t>菲菲上班吃什么</t>
        </is>
      </c>
      <c r="E113" t="inlineStr">
        <is>
          <t>49936530607</t>
        </is>
      </c>
      <c r="F113" t="inlineStr">
        <is>
          <t>2026-08-05 15:32:50</t>
        </is>
      </c>
      <c r="G113" t="inlineStr">
        <is>
          <t>图文</t>
        </is>
      </c>
      <c r="H113" t="inlineStr">
        <is>
          <t>手剥虾仁 无冰衣无添加 低脂餐一人食 上班带饭 顺丰包邮 5盒装</t>
        </is>
      </c>
      <c r="I113" t="inlineStr">
        <is>
          <t>694baba01d450d00013662f0</t>
        </is>
      </c>
      <c r="J113" t="inlineStr">
        <is>
          <t/>
        </is>
      </c>
      <c r="K113" t="n">
        <v>0.0</v>
      </c>
      <c r="L113" t="n">
        <v>0.0</v>
      </c>
      <c r="M113" t="n">
        <v>6.0</v>
      </c>
      <c r="N113" t="n">
        <v>0.0821917808219178</v>
      </c>
      <c r="O113" t="n">
        <v>6.0</v>
      </c>
      <c r="P113" t="n">
        <v>0.0</v>
      </c>
      <c r="Q113" t="n">
        <v>0.0</v>
      </c>
      <c r="R113" t="n">
        <v>0.0</v>
      </c>
      <c r="S113" t="n">
        <v>0.0</v>
      </c>
      <c r="T113" t="n">
        <v>0.0</v>
      </c>
      <c r="U113" t="n">
        <v>0.0</v>
      </c>
      <c r="V113" t="n">
        <v>0.0</v>
      </c>
      <c r="W113" t="inlineStr">
        <is>
          <t/>
        </is>
      </c>
      <c r="X113" t="n">
        <v>0.0</v>
      </c>
      <c r="Y113" t="n">
        <v>0.0</v>
      </c>
      <c r="Z113" t="n">
        <v>3.0</v>
      </c>
      <c r="AA113" t="n">
        <v>0.0</v>
      </c>
      <c r="AB113" t="n">
        <v>0.0</v>
      </c>
      <c r="AC113" t="n">
        <v>0.0</v>
      </c>
      <c r="AD113" t="n">
        <v>73.0</v>
      </c>
      <c r="AE113" t="n">
        <v>1.0</v>
      </c>
      <c r="AF113" t="n">
        <v>0.0</v>
      </c>
      <c r="AG113" t="n">
        <v>0.0</v>
      </c>
      <c r="AH113" t="n">
        <v>2.0</v>
      </c>
      <c r="AI113" t="n">
        <v>0.0</v>
      </c>
      <c r="AJ113" t="n">
        <v>0.0</v>
      </c>
      <c r="AK113" t="n">
        <v>8.287671232876713</v>
      </c>
      <c r="AL113" t="inlineStr">
        <is>
          <t/>
        </is>
      </c>
    </row>
    <row r="114">
      <c r="A114" t="inlineStr">
        <is>
          <t>终于找到煎三文鱼不腥的办法！</t>
        </is>
      </c>
      <c r="B114" t="inlineStr">
        <is>
          <t>69c3e3900000000020038c25</t>
        </is>
      </c>
      <c r="C114" s="113" t="n">
        <f>HYPERLINK("https://www.xiaohongshu.com/explore/69c3e3900000000020038c25?xsec_token=TBedSEQ7qtT06AlsylOAiUwwjQ6w7uskyR-tcWlc2ycUU=&amp;xsec_source=pc_trdark","https://www.xiaohongshu.com/explore/69c3e3900000000020038c25?xsec_token=TBedSEQ7qtT06AlsylOAiUwwjQ6w7uskyR-tcWlc2ycUU=&amp;xsec_source=pc_trdark")</f>
        <v>0.0</v>
      </c>
      <c r="D114" t="inlineStr">
        <is>
          <t>菲菲上班吃什么</t>
        </is>
      </c>
      <c r="E114" t="inlineStr">
        <is>
          <t>49936530607</t>
        </is>
      </c>
      <c r="F114" t="inlineStr">
        <is>
          <t>2026-03-25 21:30:56</t>
        </is>
      </c>
      <c r="G114" t="inlineStr">
        <is>
          <t>图文</t>
        </is>
      </c>
      <c r="H114" t="inlineStr">
        <is>
          <t>智利尾端中段整条三文鱼 8斤深海鱼低脂餐囤货一周备菜顺丰包邮</t>
        </is>
      </c>
      <c r="I114" t="inlineStr">
        <is>
          <t>69fab80d64eb410001ece0c0</t>
        </is>
      </c>
      <c r="J114" t="inlineStr">
        <is>
          <t/>
        </is>
      </c>
      <c r="K114" t="n">
        <v>0.0</v>
      </c>
      <c r="L114" t="n">
        <v>0.0</v>
      </c>
      <c r="M114" t="n">
        <v>0.0</v>
      </c>
      <c r="N114" t="n">
        <v>0.0</v>
      </c>
      <c r="O114" t="n">
        <v>0.0</v>
      </c>
      <c r="P114" t="n">
        <v>0.0</v>
      </c>
      <c r="Q114" t="inlineStr">
        <is>
          <t/>
        </is>
      </c>
      <c r="R114" t="inlineStr">
        <is>
          <t/>
        </is>
      </c>
      <c r="S114" t="n">
        <v>0.0</v>
      </c>
      <c r="T114" t="n">
        <v>0.0</v>
      </c>
      <c r="U114" t="n">
        <v>0.0</v>
      </c>
      <c r="V114" t="n">
        <v>0.0</v>
      </c>
      <c r="W114" t="inlineStr">
        <is>
          <t/>
        </is>
      </c>
      <c r="X114" t="n">
        <v>0.0</v>
      </c>
      <c r="Y114" t="n">
        <v>0.0</v>
      </c>
      <c r="Z114" t="n">
        <v>1.0</v>
      </c>
      <c r="AA114" t="n">
        <v>0.0</v>
      </c>
      <c r="AB114" t="n">
        <v>0.0</v>
      </c>
      <c r="AC114" t="n">
        <v>0.0</v>
      </c>
      <c r="AD114" t="n">
        <v>73.0</v>
      </c>
      <c r="AE114" t="n">
        <v>0.0</v>
      </c>
      <c r="AF114" t="n">
        <v>0.0</v>
      </c>
      <c r="AG114" t="n">
        <v>0.0</v>
      </c>
      <c r="AH114" t="n">
        <v>0.0</v>
      </c>
      <c r="AI114" t="n">
        <v>0.0</v>
      </c>
      <c r="AJ114" t="n">
        <v>0.0</v>
      </c>
      <c r="AK114" t="n">
        <v>9.931506849315069</v>
      </c>
      <c r="AL114" t="inlineStr">
        <is>
          <t/>
        </is>
      </c>
    </row>
    <row r="115">
      <c r="A115" t="inlineStr">
        <is>
          <t>原来吃的干净真的会瘦呀！！</t>
        </is>
      </c>
      <c r="B115" t="inlineStr">
        <is>
          <t>6a705037000000002402725c</t>
        </is>
      </c>
      <c r="C115" s="114" t="n">
        <f>HYPERLINK("https://www.xiaohongshu.com/explore/6a705037000000002402725c?xsec_token=TBIU1I5Zy_IXjnVZzC2076Q4AxSb-gCDGQM1PGqtD_hGs=&amp;xsec_source=pc_trdark","https://www.xiaohongshu.com/explore/6a705037000000002402725c?xsec_token=TBIU1I5Zy_IXjnVZzC2076Q4AxSb-gCDGQM1PGqtD_hGs=&amp;xsec_source=pc_trdark")</f>
        <v>0.0</v>
      </c>
      <c r="D115" t="inlineStr">
        <is>
          <t>鲜水湾甄选</t>
        </is>
      </c>
      <c r="E115" t="inlineStr">
        <is>
          <t>27401929161</t>
        </is>
      </c>
      <c r="F115" t="inlineStr">
        <is>
          <t>2026-08-03 16:24:23</t>
        </is>
      </c>
      <c r="G115" t="inlineStr">
        <is>
          <t>图文</t>
        </is>
      </c>
      <c r="H115" t="inlineStr">
        <is>
          <t>手剥虾仁 无冰衣无添加 低脂餐一人食 上班带饭 顺丰包邮 5盒装</t>
        </is>
      </c>
      <c r="I115" t="inlineStr">
        <is>
          <t>694baba01d450d00013662f0</t>
        </is>
      </c>
      <c r="J115" t="inlineStr">
        <is>
          <t/>
        </is>
      </c>
      <c r="K115" t="n">
        <v>0.0</v>
      </c>
      <c r="L115" t="n">
        <v>0.0</v>
      </c>
      <c r="M115" t="n">
        <v>7.0</v>
      </c>
      <c r="N115" t="inlineStr">
        <is>
          <t>0.09859154929577464</t>
        </is>
      </c>
      <c r="O115" t="n">
        <v>6.0</v>
      </c>
      <c r="P115" t="n">
        <v>0.0</v>
      </c>
      <c r="Q115" t="n">
        <v>0.0</v>
      </c>
      <c r="R115" t="n">
        <v>0.0</v>
      </c>
      <c r="S115" t="n">
        <v>0.0</v>
      </c>
      <c r="T115" t="n">
        <v>0.0</v>
      </c>
      <c r="U115" t="n">
        <v>0.0</v>
      </c>
      <c r="V115" t="n">
        <v>0.0</v>
      </c>
      <c r="W115" t="inlineStr">
        <is>
          <t/>
        </is>
      </c>
      <c r="X115" t="n">
        <v>0.0</v>
      </c>
      <c r="Y115" t="n">
        <v>0.0</v>
      </c>
      <c r="Z115" t="n">
        <v>3.0</v>
      </c>
      <c r="AA115" t="n">
        <v>0.0</v>
      </c>
      <c r="AB115" t="n">
        <v>0.0</v>
      </c>
      <c r="AC115" t="n">
        <v>0.0</v>
      </c>
      <c r="AD115" t="n">
        <v>71.0</v>
      </c>
      <c r="AE115" t="n">
        <v>0.0</v>
      </c>
      <c r="AF115" t="n">
        <v>1.0</v>
      </c>
      <c r="AG115" t="n">
        <v>0.0</v>
      </c>
      <c r="AH115" t="n">
        <v>0.0</v>
      </c>
      <c r="AI115" t="n">
        <v>0.0</v>
      </c>
      <c r="AJ115" t="n">
        <v>0.0</v>
      </c>
      <c r="AK115" t="n">
        <v>8.76056338028169</v>
      </c>
      <c r="AL115" t="inlineStr">
        <is>
          <t/>
        </is>
      </c>
    </row>
    <row r="116">
      <c r="A116" t="inlineStr">
        <is>
          <t>在网上买的三文鱼，被爸妈夸了一整天😭</t>
        </is>
      </c>
      <c r="B116" t="inlineStr">
        <is>
          <t>6a70045e000000003302c3f5</t>
        </is>
      </c>
      <c r="C116" s="115" t="n">
        <f>HYPERLINK("https://www.xiaohongshu.com/explore/6a70045e000000003302c3f5?xsec_token=TBIU1I5Zy_IXjnVZzC2076Q2_lup0Mph1glNv1qotXWB4=&amp;xsec_source=pc_trdark","https://www.xiaohongshu.com/explore/6a70045e000000003302c3f5?xsec_token=TBIU1I5Zy_IXjnVZzC2076Q2_lup0Mph1glNv1qotXWB4=&amp;xsec_source=pc_trdark")</f>
        <v>0.0</v>
      </c>
      <c r="D116" t="inlineStr">
        <is>
          <t>菲菲上班吃什么</t>
        </is>
      </c>
      <c r="E116" t="inlineStr">
        <is>
          <t>49936530607</t>
        </is>
      </c>
      <c r="F116" t="inlineStr">
        <is>
          <t>2026-08-03 11:00:46</t>
        </is>
      </c>
      <c r="G116" t="inlineStr">
        <is>
          <t>图文</t>
        </is>
      </c>
      <c r="H116" t="inlineStr">
        <is>
          <t>智利尾端中段整条三文鱼 8斤深海鱼低脂餐囤货一周备菜顺丰包邮</t>
        </is>
      </c>
      <c r="I116" t="inlineStr">
        <is>
          <t>69fab80d64eb410001ece0c0</t>
        </is>
      </c>
      <c r="J116" t="inlineStr">
        <is>
          <t/>
        </is>
      </c>
      <c r="K116" t="n">
        <v>0.0</v>
      </c>
      <c r="L116" t="n">
        <v>0.0</v>
      </c>
      <c r="M116" t="n">
        <v>3.0</v>
      </c>
      <c r="N116" t="inlineStr">
        <is>
          <t>0.04225352112676056</t>
        </is>
      </c>
      <c r="O116" t="n">
        <v>2.0</v>
      </c>
      <c r="P116" t="n">
        <v>0.0</v>
      </c>
      <c r="Q116" t="n">
        <v>0.0</v>
      </c>
      <c r="R116" t="n">
        <v>0.0</v>
      </c>
      <c r="S116" t="n">
        <v>0.0</v>
      </c>
      <c r="T116" t="n">
        <v>0.0</v>
      </c>
      <c r="U116" t="n">
        <v>0.0</v>
      </c>
      <c r="V116" t="n">
        <v>0.0</v>
      </c>
      <c r="W116" t="inlineStr">
        <is>
          <t/>
        </is>
      </c>
      <c r="X116" t="n">
        <v>0.0</v>
      </c>
      <c r="Y116" t="n">
        <v>0.0</v>
      </c>
      <c r="Z116" t="n">
        <v>2.0</v>
      </c>
      <c r="AA116" t="n">
        <v>0.0</v>
      </c>
      <c r="AB116" t="n">
        <v>0.0</v>
      </c>
      <c r="AC116" t="n">
        <v>0.0</v>
      </c>
      <c r="AD116" t="n">
        <v>71.0</v>
      </c>
      <c r="AE116" t="n">
        <v>2.0</v>
      </c>
      <c r="AF116" t="n">
        <v>0.0</v>
      </c>
      <c r="AG116" t="n">
        <v>0.0</v>
      </c>
      <c r="AH116" t="n">
        <v>2.0</v>
      </c>
      <c r="AI116" t="n">
        <v>0.0</v>
      </c>
      <c r="AJ116" t="n">
        <v>0.0</v>
      </c>
      <c r="AK116" t="n">
        <v>7.183098591549296</v>
      </c>
      <c r="AL116" t="inlineStr">
        <is>
          <t/>
        </is>
      </c>
    </row>
    <row r="117">
      <c r="A117" t="inlineStr">
        <is>
          <t>教练盯着我的饭盒看了半天，天天吃虾真奢侈</t>
        </is>
      </c>
      <c r="B117" t="inlineStr">
        <is>
          <t>6a6e9dec000000002c007b77</t>
        </is>
      </c>
      <c r="C117" s="116" t="n">
        <f>HYPERLINK("https://www.xiaohongshu.com/explore/6a6e9dec000000002c007b77?xsec_token=TBtNkliAah_1QzUOs2HAMynKijC93mdU1BMOYlctSOxJg=&amp;xsec_source=pc_trdark","https://www.xiaohongshu.com/explore/6a6e9dec000000002c007b77?xsec_token=TBtNkliAah_1QzUOs2HAMynKijC93mdU1BMOYlctSOxJg=&amp;xsec_source=pc_trdark")</f>
        <v>0.0</v>
      </c>
      <c r="D117" t="inlineStr">
        <is>
          <t>鲜水湾甄选</t>
        </is>
      </c>
      <c r="E117" t="inlineStr">
        <is>
          <t>27401929161</t>
        </is>
      </c>
      <c r="F117" t="inlineStr">
        <is>
          <t>2026-08-02 09:31:24</t>
        </is>
      </c>
      <c r="G117" t="inlineStr">
        <is>
          <t>图文</t>
        </is>
      </c>
      <c r="H117" t="inlineStr">
        <is>
          <t>手剥虾仁 无冰衣无添加 低脂餐一人食 上班带饭 顺丰包邮 5盒装</t>
        </is>
      </c>
      <c r="I117" t="inlineStr">
        <is>
          <t>694baba01d450d00013662f0</t>
        </is>
      </c>
      <c r="J117" t="inlineStr">
        <is>
          <t/>
        </is>
      </c>
      <c r="K117" t="n">
        <v>0.0</v>
      </c>
      <c r="L117" t="n">
        <v>0.0</v>
      </c>
      <c r="M117" t="n">
        <v>13.0</v>
      </c>
      <c r="N117" t="inlineStr">
        <is>
          <t>0.18309859154929578</t>
        </is>
      </c>
      <c r="O117" t="n">
        <v>10.0</v>
      </c>
      <c r="P117" t="n">
        <v>0.0</v>
      </c>
      <c r="Q117" t="n">
        <v>0.0</v>
      </c>
      <c r="R117" t="n">
        <v>0.0</v>
      </c>
      <c r="S117" t="n">
        <v>0.0</v>
      </c>
      <c r="T117" t="n">
        <v>0.0</v>
      </c>
      <c r="U117" t="n">
        <v>0.0</v>
      </c>
      <c r="V117" t="n">
        <v>0.0</v>
      </c>
      <c r="W117" t="inlineStr">
        <is>
          <t/>
        </is>
      </c>
      <c r="X117" t="n">
        <v>0.0</v>
      </c>
      <c r="Y117" t="n">
        <v>1.0</v>
      </c>
      <c r="Z117" t="n">
        <v>1.0</v>
      </c>
      <c r="AA117" t="n">
        <v>0.0</v>
      </c>
      <c r="AB117" t="n">
        <v>0.0</v>
      </c>
      <c r="AC117" t="n">
        <v>0.0</v>
      </c>
      <c r="AD117" t="n">
        <v>71.0</v>
      </c>
      <c r="AE117" t="n">
        <v>2.0</v>
      </c>
      <c r="AF117" t="n">
        <v>0.0</v>
      </c>
      <c r="AG117" t="n">
        <v>0.0</v>
      </c>
      <c r="AH117" t="n">
        <v>0.0</v>
      </c>
      <c r="AI117" t="n">
        <v>0.0</v>
      </c>
      <c r="AJ117" t="n">
        <v>0.0</v>
      </c>
      <c r="AK117" t="n">
        <v>10.492957746478874</v>
      </c>
      <c r="AL117" t="inlineStr">
        <is>
          <t/>
        </is>
      </c>
    </row>
    <row r="118">
      <c r="A118" t="inlineStr">
        <is>
          <t>卖三文鱼这么久，第一次回答怎么买更合适</t>
        </is>
      </c>
      <c r="B118" t="inlineStr">
        <is>
          <t>6a538fe20000000006020de2</t>
        </is>
      </c>
      <c r="C118" s="117" t="n">
        <f>HYPERLINK("https://www.xiaohongshu.com/explore/6a538fe20000000006020de2?xsec_token=TBFK5Se19N-rY8UMGPamuX6ZgPMvEhBasD96fQbEqNVx0=&amp;xsec_source=pc_trdark","https://www.xiaohongshu.com/explore/6a538fe20000000006020de2?xsec_token=TBFK5Se19N-rY8UMGPamuX6ZgPMvEhBasD96fQbEqNVx0=&amp;xsec_source=pc_trdark")</f>
        <v>0.0</v>
      </c>
      <c r="D118" t="inlineStr">
        <is>
          <t>鲜水湾</t>
        </is>
      </c>
      <c r="E118" t="inlineStr">
        <is>
          <t>49316638994</t>
        </is>
      </c>
      <c r="F118" t="inlineStr">
        <is>
          <t>2026-07-12 21:00:18</t>
        </is>
      </c>
      <c r="G118" t="inlineStr">
        <is>
          <t>图文</t>
        </is>
      </c>
      <c r="H118" t="inlineStr">
        <is>
          <t>智利三文鱼切块·整条三文鱼·深海鱼一人食健康饮食</t>
        </is>
      </c>
      <c r="I118" t="inlineStr">
        <is>
          <t>691ac562a524ee0001b51d7b</t>
        </is>
      </c>
      <c r="J118" t="inlineStr">
        <is>
          <t/>
        </is>
      </c>
      <c r="K118" t="n">
        <v>0.0</v>
      </c>
      <c r="L118" t="n">
        <v>0.0</v>
      </c>
      <c r="M118" t="n">
        <v>19.0</v>
      </c>
      <c r="N118" t="n">
        <v>0.2676056338028169</v>
      </c>
      <c r="O118" t="n">
        <v>18.0</v>
      </c>
      <c r="P118" t="n">
        <v>0.0</v>
      </c>
      <c r="Q118" t="n">
        <v>0.0</v>
      </c>
      <c r="R118" t="n">
        <v>0.0</v>
      </c>
      <c r="S118" t="n">
        <v>0.0</v>
      </c>
      <c r="T118" t="n">
        <v>0.0</v>
      </c>
      <c r="U118" t="n">
        <v>0.0</v>
      </c>
      <c r="V118" t="n">
        <v>0.0</v>
      </c>
      <c r="W118" t="inlineStr">
        <is>
          <t/>
        </is>
      </c>
      <c r="X118" t="n">
        <v>0.0</v>
      </c>
      <c r="Y118" t="n">
        <v>4.0</v>
      </c>
      <c r="Z118" t="n">
        <v>0.0</v>
      </c>
      <c r="AA118" t="n">
        <v>0.0</v>
      </c>
      <c r="AB118" t="n">
        <v>0.0</v>
      </c>
      <c r="AC118" t="n">
        <v>0.0</v>
      </c>
      <c r="AD118" t="n">
        <v>71.0</v>
      </c>
      <c r="AE118" t="n">
        <v>1.0</v>
      </c>
      <c r="AF118" t="n">
        <v>1.0</v>
      </c>
      <c r="AG118" t="n">
        <v>0.0</v>
      </c>
      <c r="AH118" t="n">
        <v>0.0</v>
      </c>
      <c r="AI118" t="n">
        <v>1.0</v>
      </c>
      <c r="AJ118" t="n">
        <v>0.0</v>
      </c>
      <c r="AK118" t="n">
        <v>14.971830985915492</v>
      </c>
      <c r="AL118" t="inlineStr">
        <is>
          <t/>
        </is>
      </c>
    </row>
    <row r="119">
      <c r="A119" t="inlineStr">
        <is>
          <t>减脂期靠虾仁续命，一个月瘦了5斤</t>
        </is>
      </c>
      <c r="B119" t="inlineStr">
        <is>
          <t>69d867bc0000000022027851</t>
        </is>
      </c>
      <c r="C119" s="118" t="n">
        <f>HYPERLINK("https://www.xiaohongshu.com/explore/69d867bc0000000022027851?xsec_token=TBaP4Vb_xh4r06-3Gp1C6IeBDZ8N8mdV2BdT_12Z3usYM=&amp;xsec_source=pc_trdark","https://www.xiaohongshu.com/explore/69d867bc0000000022027851?xsec_token=TBaP4Vb_xh4r06-3Gp1C6IeBDZ8N8mdV2BdT_12Z3usYM=&amp;xsec_source=pc_trdark")</f>
        <v>0.0</v>
      </c>
      <c r="D119" t="inlineStr">
        <is>
          <t>婉婉上班吃什么</t>
        </is>
      </c>
      <c r="E119" t="inlineStr">
        <is>
          <t>11434449706</t>
        </is>
      </c>
      <c r="F119" t="inlineStr">
        <is>
          <t>2026-04-10 11:00:12</t>
        </is>
      </c>
      <c r="G119" t="inlineStr">
        <is>
          <t>图文</t>
        </is>
      </c>
      <c r="H119" t="inlineStr">
        <is>
          <t>手剥虾仁 无冰衣无添加 低脂餐一人食 上班带饭 顺丰包邮 5盒装</t>
        </is>
      </c>
      <c r="I119" t="inlineStr">
        <is>
          <t>694baba01d450d00013662f0</t>
        </is>
      </c>
      <c r="J119" t="inlineStr">
        <is>
          <t/>
        </is>
      </c>
      <c r="K119" t="n">
        <v>0.0</v>
      </c>
      <c r="L119" t="n">
        <v>0.0</v>
      </c>
      <c r="M119" t="n">
        <v>5.0</v>
      </c>
      <c r="N119" t="inlineStr">
        <is>
          <t>0.07042253521126761</t>
        </is>
      </c>
      <c r="O119" t="n">
        <v>5.0</v>
      </c>
      <c r="P119" t="n">
        <v>0.0</v>
      </c>
      <c r="Q119" t="n">
        <v>0.0</v>
      </c>
      <c r="R119" t="n">
        <v>0.0</v>
      </c>
      <c r="S119" t="n">
        <v>0.0</v>
      </c>
      <c r="T119" t="n">
        <v>0.0</v>
      </c>
      <c r="U119" t="n">
        <v>0.0</v>
      </c>
      <c r="V119" t="n">
        <v>0.0</v>
      </c>
      <c r="W119" t="inlineStr">
        <is>
          <t/>
        </is>
      </c>
      <c r="X119" t="n">
        <v>0.0</v>
      </c>
      <c r="Y119" t="n">
        <v>3.0</v>
      </c>
      <c r="Z119" t="n">
        <v>3.0</v>
      </c>
      <c r="AA119" t="n">
        <v>0.0</v>
      </c>
      <c r="AB119" t="n">
        <v>0.0</v>
      </c>
      <c r="AC119" t="n">
        <v>0.0</v>
      </c>
      <c r="AD119" t="n">
        <v>71.0</v>
      </c>
      <c r="AE119" t="n">
        <v>0.0</v>
      </c>
      <c r="AF119" t="n">
        <v>0.0</v>
      </c>
      <c r="AG119" t="n">
        <v>0.0</v>
      </c>
      <c r="AH119" t="n">
        <v>0.0</v>
      </c>
      <c r="AI119" t="n">
        <v>0.0</v>
      </c>
      <c r="AJ119" t="n">
        <v>0.0</v>
      </c>
      <c r="AK119" t="n">
        <v>13.408450704225352</v>
      </c>
      <c r="AL119" t="inlineStr">
        <is>
          <t/>
        </is>
      </c>
    </row>
    <row r="120">
      <c r="A120" t="inlineStr">
        <is>
          <t>减减期最善良的东西出现了</t>
        </is>
      </c>
      <c r="B120" t="inlineStr">
        <is>
          <t>6a66068e000000001d00d760</t>
        </is>
      </c>
      <c r="C120" s="119" t="n">
        <f>HYPERLINK("https://www.xiaohongshu.com/explore/6a66068e000000001d00d760?xsec_token=TBIHthkK-vLT6HWx1MaVA_QeWm-GGro88_LapDOY-GL3M=&amp;xsec_source=pc_trdark","https://www.xiaohongshu.com/explore/6a66068e000000001d00d760?xsec_token=TBIHthkK-vLT6HWx1MaVA_QeWm-GGro88_LapDOY-GL3M=&amp;xsec_source=pc_trdark")</f>
        <v>0.0</v>
      </c>
      <c r="D120" t="inlineStr">
        <is>
          <t>鲜水湾</t>
        </is>
      </c>
      <c r="E120" t="inlineStr">
        <is>
          <t>49316638994</t>
        </is>
      </c>
      <c r="F120" t="inlineStr">
        <is>
          <t>2026-07-26 21:07:26</t>
        </is>
      </c>
      <c r="G120" t="inlineStr">
        <is>
          <t>图文</t>
        </is>
      </c>
      <c r="H120" t="inlineStr">
        <is>
          <t>智利尾端中段整条三文鱼 8斤深海鱼低脂餐囤货一周备菜顺丰包邮</t>
        </is>
      </c>
      <c r="I120" t="inlineStr">
        <is>
          <t>69fab80d64eb410001ece0c0</t>
        </is>
      </c>
      <c r="J120" t="inlineStr">
        <is>
          <t/>
        </is>
      </c>
      <c r="K120" t="n">
        <v>0.0</v>
      </c>
      <c r="L120" t="n">
        <v>0.0</v>
      </c>
      <c r="M120" t="n">
        <v>2.0</v>
      </c>
      <c r="N120" t="inlineStr">
        <is>
          <t>0.02857142857142857</t>
        </is>
      </c>
      <c r="O120" t="n">
        <v>2.0</v>
      </c>
      <c r="P120" t="n">
        <v>0.0</v>
      </c>
      <c r="Q120" t="n">
        <v>0.0</v>
      </c>
      <c r="R120" t="n">
        <v>0.0</v>
      </c>
      <c r="S120" t="n">
        <v>0.0</v>
      </c>
      <c r="T120" t="n">
        <v>0.0</v>
      </c>
      <c r="U120" t="n">
        <v>0.0</v>
      </c>
      <c r="V120" t="n">
        <v>0.0</v>
      </c>
      <c r="W120" t="inlineStr">
        <is>
          <t/>
        </is>
      </c>
      <c r="X120" t="n">
        <v>0.0</v>
      </c>
      <c r="Y120" t="n">
        <v>0.0</v>
      </c>
      <c r="Z120" t="n">
        <v>4.0</v>
      </c>
      <c r="AA120" t="n">
        <v>0.0</v>
      </c>
      <c r="AB120" t="n">
        <v>0.0</v>
      </c>
      <c r="AC120" t="n">
        <v>0.0</v>
      </c>
      <c r="AD120" t="n">
        <v>70.0</v>
      </c>
      <c r="AE120" t="n">
        <v>0.0</v>
      </c>
      <c r="AF120" t="n">
        <v>1.0</v>
      </c>
      <c r="AG120" t="n">
        <v>0.0</v>
      </c>
      <c r="AH120" t="n">
        <v>0.0</v>
      </c>
      <c r="AI120" t="n">
        <v>0.0</v>
      </c>
      <c r="AJ120" t="n">
        <v>0.0</v>
      </c>
      <c r="AK120" t="n">
        <v>10.757142857142858</v>
      </c>
      <c r="AL120" t="inlineStr">
        <is>
          <t/>
        </is>
      </c>
    </row>
    <row r="121">
      <c r="A121" t="inlineStr">
        <is>
          <t>上班带饭的人，真的不需要同情</t>
        </is>
      </c>
      <c r="B121" t="inlineStr">
        <is>
          <t>69d8c11b000000001e00d326</t>
        </is>
      </c>
      <c r="C121" s="120" t="n">
        <f>HYPERLINK("https://www.xiaohongshu.com/explore/69d8c11b000000001e00d326?xsec_token=TBaP4Vb_xh4r06-3Gp1C6IeNABNyIzQxzCEPF3aK98Lq0=&amp;xsec_source=pc_trdark","https://www.xiaohongshu.com/explore/69d8c11b000000001e00d326?xsec_token=TBaP4Vb_xh4r06-3Gp1C6IeNABNyIzQxzCEPF3aK98Lq0=&amp;xsec_source=pc_trdark")</f>
        <v>0.0</v>
      </c>
      <c r="D121" t="inlineStr">
        <is>
          <t>婉婉上班吃什么</t>
        </is>
      </c>
      <c r="E121" t="inlineStr">
        <is>
          <t>11434449706</t>
        </is>
      </c>
      <c r="F121" t="inlineStr">
        <is>
          <t>2026-04-10 17:21:31</t>
        </is>
      </c>
      <c r="G121" t="inlineStr">
        <is>
          <t>图文</t>
        </is>
      </c>
      <c r="H121" t="inlineStr">
        <is>
          <t>手剥虾仁 无冰衣无添加 低脂餐一人食 上班带饭 顺丰包邮 5盒装</t>
        </is>
      </c>
      <c r="I121" t="inlineStr">
        <is>
          <t>694baba01d450d00013662f0</t>
        </is>
      </c>
      <c r="J121" t="inlineStr">
        <is>
          <t/>
        </is>
      </c>
      <c r="K121" t="n">
        <v>0.0</v>
      </c>
      <c r="L121" t="n">
        <v>0.0</v>
      </c>
      <c r="M121" t="n">
        <v>1.0</v>
      </c>
      <c r="N121" t="inlineStr">
        <is>
          <t>0.014285714285714285</t>
        </is>
      </c>
      <c r="O121" t="n">
        <v>1.0</v>
      </c>
      <c r="P121" t="n">
        <v>0.0</v>
      </c>
      <c r="Q121" t="n">
        <v>0.0</v>
      </c>
      <c r="R121" t="n">
        <v>0.0</v>
      </c>
      <c r="S121" t="n">
        <v>0.0</v>
      </c>
      <c r="T121" t="n">
        <v>0.0</v>
      </c>
      <c r="U121" t="n">
        <v>0.0</v>
      </c>
      <c r="V121" t="n">
        <v>0.0</v>
      </c>
      <c r="W121" t="inlineStr">
        <is>
          <t/>
        </is>
      </c>
      <c r="X121" t="n">
        <v>0.0</v>
      </c>
      <c r="Y121" t="n">
        <v>0.0</v>
      </c>
      <c r="Z121" t="n">
        <v>0.0</v>
      </c>
      <c r="AA121" t="n">
        <v>0.0</v>
      </c>
      <c r="AB121" t="n">
        <v>0.0</v>
      </c>
      <c r="AC121" t="n">
        <v>0.0</v>
      </c>
      <c r="AD121" t="n">
        <v>70.0</v>
      </c>
      <c r="AE121" t="n">
        <v>1.0</v>
      </c>
      <c r="AF121" t="n">
        <v>0.0</v>
      </c>
      <c r="AG121" t="n">
        <v>0.0</v>
      </c>
      <c r="AH121" t="n">
        <v>0.0</v>
      </c>
      <c r="AI121" t="n">
        <v>0.0</v>
      </c>
      <c r="AJ121" t="n">
        <v>0.0</v>
      </c>
      <c r="AK121" t="n">
        <v>9.728571428571428</v>
      </c>
      <c r="AL121" t="inlineStr">
        <is>
          <t/>
        </is>
      </c>
    </row>
    <row r="122">
      <c r="A122" t="inlineStr">
        <is>
          <t>奉劝大家不要低估100块的购买力，够吃一个月</t>
        </is>
      </c>
      <c r="B122" t="inlineStr">
        <is>
          <t>6a4bc85e00000000070213d5</t>
        </is>
      </c>
      <c r="C122" s="121" t="n">
        <f>HYPERLINK("https://www.xiaohongshu.com/explore/6a4bc85e00000000070213d5?xsec_token=TBbJ-JHK-PBbJgek6K72FYkRGczDWMC_4Gkukc87yX1Us=&amp;xsec_source=pc_trdark","https://www.xiaohongshu.com/explore/6a4bc85e00000000070213d5?xsec_token=TBbJ-JHK-PBbJgek6K72FYkRGczDWMC_4Gkukc87yX1Us=&amp;xsec_source=pc_trdark")</f>
        <v>0.0</v>
      </c>
      <c r="D122" t="inlineStr">
        <is>
          <t>婉婉上班吃什么</t>
        </is>
      </c>
      <c r="E122" t="inlineStr">
        <is>
          <t>11434449706</t>
        </is>
      </c>
      <c r="F122" t="inlineStr">
        <is>
          <t>2026-07-06 23:23:10</t>
        </is>
      </c>
      <c r="G122" t="inlineStr">
        <is>
          <t>图文</t>
        </is>
      </c>
      <c r="H122" t="inlineStr">
        <is>
          <t>手剥虾仁 无冰衣无添加 低脂餐一人食 上班带饭 顺丰包邮 5盒装</t>
        </is>
      </c>
      <c r="I122" t="inlineStr">
        <is>
          <t>694baba01d450d00013662f0</t>
        </is>
      </c>
      <c r="J122" t="inlineStr">
        <is>
          <t/>
        </is>
      </c>
      <c r="K122" t="n">
        <v>0.0</v>
      </c>
      <c r="L122" t="n">
        <v>0.0</v>
      </c>
      <c r="M122" t="n">
        <v>7.0</v>
      </c>
      <c r="N122" t="inlineStr">
        <is>
          <t>0.10294117647058823</t>
        </is>
      </c>
      <c r="O122" t="n">
        <v>7.0</v>
      </c>
      <c r="P122" t="n">
        <v>0.0</v>
      </c>
      <c r="Q122" t="n">
        <v>0.0</v>
      </c>
      <c r="R122" t="n">
        <v>0.0</v>
      </c>
      <c r="S122" t="n">
        <v>0.0</v>
      </c>
      <c r="T122" t="n">
        <v>0.0</v>
      </c>
      <c r="U122" t="n">
        <v>0.0</v>
      </c>
      <c r="V122" t="n">
        <v>0.0</v>
      </c>
      <c r="W122" t="inlineStr">
        <is>
          <t/>
        </is>
      </c>
      <c r="X122" t="n">
        <v>0.0</v>
      </c>
      <c r="Y122" t="n">
        <v>2.0</v>
      </c>
      <c r="Z122" t="n">
        <v>3.0</v>
      </c>
      <c r="AA122" t="n">
        <v>0.0</v>
      </c>
      <c r="AB122" t="n">
        <v>0.0</v>
      </c>
      <c r="AC122" t="n">
        <v>0.0</v>
      </c>
      <c r="AD122" t="n">
        <v>68.0</v>
      </c>
      <c r="AE122" t="n">
        <v>1.0</v>
      </c>
      <c r="AF122" t="n">
        <v>0.0</v>
      </c>
      <c r="AG122" t="n">
        <v>0.0</v>
      </c>
      <c r="AH122" t="n">
        <v>0.0</v>
      </c>
      <c r="AI122" t="n">
        <v>0.0</v>
      </c>
      <c r="AJ122" t="n">
        <v>0.0</v>
      </c>
      <c r="AK122" t="n">
        <v>28.264705882352942</v>
      </c>
      <c r="AL122" t="inlineStr">
        <is>
          <t/>
        </is>
      </c>
    </row>
    <row r="123">
      <c r="A123" t="inlineStr">
        <is>
          <t>唯一的缺点就是只能熟吃！</t>
        </is>
      </c>
      <c r="B123" t="inlineStr">
        <is>
          <t>6a44b4ad0000000006023cc5</t>
        </is>
      </c>
      <c r="C123" s="122" t="n">
        <f>HYPERLINK("https://www.xiaohongshu.com/explore/6a44b4ad0000000006023cc5?xsec_token=TBsNLvvwxdidvAFeSxmUSQxXVZ-R5eQq-96OZvfeVaa24=&amp;xsec_source=pc_trdark","https://www.xiaohongshu.com/explore/6a44b4ad0000000006023cc5?xsec_token=TBsNLvvwxdidvAFeSxmUSQxXVZ-R5eQq-96OZvfeVaa24=&amp;xsec_source=pc_trdark")</f>
        <v>0.0</v>
      </c>
      <c r="D123" t="inlineStr">
        <is>
          <t>鲜水湾</t>
        </is>
      </c>
      <c r="E123" t="inlineStr">
        <is>
          <t>49316638994</t>
        </is>
      </c>
      <c r="F123" t="inlineStr">
        <is>
          <t>2026-07-01 14:33:17</t>
        </is>
      </c>
      <c r="G123" t="inlineStr">
        <is>
          <t>图文</t>
        </is>
      </c>
      <c r="H123" t="inlineStr">
        <is>
          <t>智利三文鱼切块·整条三文鱼·深海鱼一人食健康饮食</t>
        </is>
      </c>
      <c r="I123" t="inlineStr">
        <is>
          <t>691ac562a524ee0001b51d7b</t>
        </is>
      </c>
      <c r="J123" t="inlineStr">
        <is>
          <t/>
        </is>
      </c>
      <c r="K123" t="n">
        <v>0.0</v>
      </c>
      <c r="L123" t="n">
        <v>0.0</v>
      </c>
      <c r="M123" t="n">
        <v>7.0</v>
      </c>
      <c r="N123" t="inlineStr">
        <is>
          <t>0.10294117647058823</t>
        </is>
      </c>
      <c r="O123" t="n">
        <v>6.0</v>
      </c>
      <c r="P123" t="n">
        <v>0.0</v>
      </c>
      <c r="Q123" t="n">
        <v>0.0</v>
      </c>
      <c r="R123" t="n">
        <v>0.0</v>
      </c>
      <c r="S123" t="n">
        <v>0.0</v>
      </c>
      <c r="T123" t="n">
        <v>0.0</v>
      </c>
      <c r="U123" t="n">
        <v>0.0</v>
      </c>
      <c r="V123" t="n">
        <v>0.0</v>
      </c>
      <c r="W123" t="inlineStr">
        <is>
          <t/>
        </is>
      </c>
      <c r="X123" t="n">
        <v>0.0</v>
      </c>
      <c r="Y123" t="n">
        <v>2.0</v>
      </c>
      <c r="Z123" t="n">
        <v>0.0</v>
      </c>
      <c r="AA123" t="n">
        <v>0.0</v>
      </c>
      <c r="AB123" t="n">
        <v>0.0</v>
      </c>
      <c r="AC123" t="n">
        <v>0.0</v>
      </c>
      <c r="AD123" t="n">
        <v>68.0</v>
      </c>
      <c r="AE123" t="n">
        <v>1.0</v>
      </c>
      <c r="AF123" t="n">
        <v>1.0</v>
      </c>
      <c r="AG123" t="n">
        <v>0.0</v>
      </c>
      <c r="AH123" t="n">
        <v>0.0</v>
      </c>
      <c r="AI123" t="n">
        <v>0.0</v>
      </c>
      <c r="AJ123" t="n">
        <v>0.0</v>
      </c>
      <c r="AK123" t="n">
        <v>9.0</v>
      </c>
      <c r="AL123" t="inlineStr">
        <is>
          <t/>
        </is>
      </c>
    </row>
    <row r="124">
      <c r="A124" t="inlineStr">
        <is>
          <t>马上五一了！又到了给老丈人送鲅鱼的时候了</t>
        </is>
      </c>
      <c r="B124" t="inlineStr">
        <is>
          <t>69e9ec580000000023015a62</t>
        </is>
      </c>
      <c r="C124" s="123" t="n">
        <f>HYPERLINK("https://www.xiaohongshu.com/explore/69e9ec580000000023015a62?xsec_token=TBNkLc7pOHvt_5tNJTpGNllAapqAufmMKibMSKQ_0JYLE=&amp;xsec_source=pc_trdark","https://www.xiaohongshu.com/explore/69e9ec580000000023015a62?xsec_token=TBNkLc7pOHvt_5tNJTpGNllAapqAufmMKibMSKQ_0JYLE=&amp;xsec_source=pc_trdark")</f>
        <v>0.0</v>
      </c>
      <c r="D124" t="inlineStr">
        <is>
          <t>鲜水湾</t>
        </is>
      </c>
      <c r="E124" t="inlineStr">
        <is>
          <t>49316638994</t>
        </is>
      </c>
      <c r="F124" t="inlineStr">
        <is>
          <t>2026-04-23 17:54:32</t>
        </is>
      </c>
      <c r="G124" t="inlineStr">
        <is>
          <t>图文</t>
        </is>
      </c>
      <c r="H124" t="inlineStr">
        <is>
          <t>青岛大鲅鱼春鲅鱼鲅鱼新鲜冷冻马鲛鱼蓝点马鲛鱼顺丰包邮</t>
        </is>
      </c>
      <c r="I124" t="inlineStr">
        <is>
          <t>6932506ad36285000198a8a6</t>
        </is>
      </c>
      <c r="J124" t="inlineStr">
        <is>
          <t/>
        </is>
      </c>
      <c r="K124" t="n">
        <v>0.0</v>
      </c>
      <c r="L124" t="n">
        <v>0.0</v>
      </c>
      <c r="M124" t="n">
        <v>6.0</v>
      </c>
      <c r="N124" t="inlineStr">
        <is>
          <t>0.08955223880597014</t>
        </is>
      </c>
      <c r="O124" t="n">
        <v>6.0</v>
      </c>
      <c r="P124" t="n">
        <v>0.0</v>
      </c>
      <c r="Q124" t="n">
        <v>0.0</v>
      </c>
      <c r="R124" t="n">
        <v>0.0</v>
      </c>
      <c r="S124" t="n">
        <v>0.0</v>
      </c>
      <c r="T124" t="n">
        <v>0.0</v>
      </c>
      <c r="U124" t="n">
        <v>0.0</v>
      </c>
      <c r="V124" t="n">
        <v>0.0</v>
      </c>
      <c r="W124" t="inlineStr">
        <is>
          <t/>
        </is>
      </c>
      <c r="X124" t="n">
        <v>0.0</v>
      </c>
      <c r="Y124" t="n">
        <v>0.0</v>
      </c>
      <c r="Z124" t="n">
        <v>8.0</v>
      </c>
      <c r="AA124" t="n">
        <v>0.0</v>
      </c>
      <c r="AB124" t="n">
        <v>0.0</v>
      </c>
      <c r="AC124" t="n">
        <v>0.0</v>
      </c>
      <c r="AD124" t="n">
        <v>67.0</v>
      </c>
      <c r="AE124" t="n">
        <v>1.0</v>
      </c>
      <c r="AF124" t="n">
        <v>0.0</v>
      </c>
      <c r="AG124" t="n">
        <v>0.0</v>
      </c>
      <c r="AH124" t="n">
        <v>2.0</v>
      </c>
      <c r="AI124" t="n">
        <v>0.0</v>
      </c>
      <c r="AJ124" t="n">
        <v>0.0</v>
      </c>
      <c r="AK124" t="n">
        <v>10.477611940298507</v>
      </c>
      <c r="AL124" t="inlineStr">
        <is>
          <t/>
        </is>
      </c>
    </row>
    <row r="125">
      <c r="A125" t="inlineStr">
        <is>
          <t>300 多块真的承包了我半个月的晚餐😭</t>
        </is>
      </c>
      <c r="B125" t="inlineStr">
        <is>
          <t>6a423757000000000702ff78</t>
        </is>
      </c>
      <c r="C125" s="124" t="n">
        <f>HYPERLINK("https://www.xiaohongshu.com/explore/6a423757000000000702ff78?xsec_token=TBuZ9ZXJUs9vOVh3V3slJbLOrL0m7z8CE1DhHY0C5AvtU=&amp;xsec_source=pc_trdark","https://www.xiaohongshu.com/explore/6a423757000000000702ff78?xsec_token=TBuZ9ZXJUs9vOVh3V3slJbLOrL0m7z8CE1DhHY0C5AvtU=&amp;xsec_source=pc_trdark")</f>
        <v>0.0</v>
      </c>
      <c r="D125" t="inlineStr">
        <is>
          <t>鲜水湾</t>
        </is>
      </c>
      <c r="E125" t="inlineStr">
        <is>
          <t>49316638994</t>
        </is>
      </c>
      <c r="F125" t="inlineStr">
        <is>
          <t>2026-06-29 17:13:59</t>
        </is>
      </c>
      <c r="G125" t="inlineStr">
        <is>
          <t>图文</t>
        </is>
      </c>
      <c r="H125" t="inlineStr">
        <is>
          <t>智利三文鱼切块·整条三文鱼·深海鱼一人食健康饮食</t>
        </is>
      </c>
      <c r="I125" t="inlineStr">
        <is>
          <t>691ac562a524ee0001b51d7b</t>
        </is>
      </c>
      <c r="J125" t="inlineStr">
        <is>
          <t/>
        </is>
      </c>
      <c r="K125" t="n">
        <v>0.0</v>
      </c>
      <c r="L125" t="n">
        <v>0.0</v>
      </c>
      <c r="M125" t="n">
        <v>16.0</v>
      </c>
      <c r="N125" t="inlineStr">
        <is>
          <t>0.24242424242424243</t>
        </is>
      </c>
      <c r="O125" t="n">
        <v>15.0</v>
      </c>
      <c r="P125" t="n">
        <v>0.0</v>
      </c>
      <c r="Q125" t="n">
        <v>0.0</v>
      </c>
      <c r="R125" t="n">
        <v>0.0</v>
      </c>
      <c r="S125" t="n">
        <v>0.0</v>
      </c>
      <c r="T125" t="n">
        <v>0.0</v>
      </c>
      <c r="U125" t="n">
        <v>0.0</v>
      </c>
      <c r="V125" t="n">
        <v>0.0</v>
      </c>
      <c r="W125" t="inlineStr">
        <is>
          <t/>
        </is>
      </c>
      <c r="X125" t="n">
        <v>0.0</v>
      </c>
      <c r="Y125" t="n">
        <v>6.0</v>
      </c>
      <c r="Z125" t="n">
        <v>39.0</v>
      </c>
      <c r="AA125" t="n">
        <v>0.0</v>
      </c>
      <c r="AB125" t="n">
        <v>0.0</v>
      </c>
      <c r="AC125" t="n">
        <v>0.0</v>
      </c>
      <c r="AD125" t="n">
        <v>66.0</v>
      </c>
      <c r="AE125" t="n">
        <v>0.0</v>
      </c>
      <c r="AF125" t="n">
        <v>1.0</v>
      </c>
      <c r="AG125" t="n">
        <v>0.0</v>
      </c>
      <c r="AH125" t="n">
        <v>0.0</v>
      </c>
      <c r="AI125" t="n">
        <v>0.0</v>
      </c>
      <c r="AJ125" t="n">
        <v>0.0</v>
      </c>
      <c r="AK125" t="n">
        <v>18.363636363636363</v>
      </c>
      <c r="AL125" t="inlineStr">
        <is>
          <t/>
        </is>
      </c>
    </row>
    <row r="126">
      <c r="A126" t="inlineStr">
        <is>
          <t>年轻人已经对100块钱的购买力没概念了...</t>
        </is>
      </c>
      <c r="B126" t="inlineStr">
        <is>
          <t>6a07df2a0000000008003f03</t>
        </is>
      </c>
      <c r="C126" s="125" t="n">
        <f>HYPERLINK("https://www.xiaohongshu.com/explore/6a07df2a0000000008003f03?xsec_token=TBtI0JgdLxAHR0G3F9Bj6hQe2eD5pYYyj-E7_H4-jJQYY=&amp;xsec_source=pc_trdark","https://www.xiaohongshu.com/explore/6a07df2a0000000008003f03?xsec_token=TBtI0JgdLxAHR0G3F9Bj6hQe2eD5pYYyj-E7_H4-jJQYY=&amp;xsec_source=pc_trdark")</f>
        <v>0.0</v>
      </c>
      <c r="D126" t="inlineStr">
        <is>
          <t>鲜水湾</t>
        </is>
      </c>
      <c r="E126" t="inlineStr">
        <is>
          <t>49316638994</t>
        </is>
      </c>
      <c r="F126" t="inlineStr">
        <is>
          <t>2026-05-16 11:06:18</t>
        </is>
      </c>
      <c r="G126" t="inlineStr">
        <is>
          <t>图文</t>
        </is>
      </c>
      <c r="H126" t="inlineStr">
        <is>
          <t>智利尾端中段整条三文鱼 8斤深海鱼低脂餐囤货一周备菜顺丰包邮</t>
        </is>
      </c>
      <c r="I126" t="inlineStr">
        <is>
          <t>69fab80d64eb410001ece0c0</t>
        </is>
      </c>
      <c r="J126" t="inlineStr">
        <is>
          <t/>
        </is>
      </c>
      <c r="K126" t="n">
        <v>0.0</v>
      </c>
      <c r="L126" t="n">
        <v>0.0</v>
      </c>
      <c r="M126" t="n">
        <v>10.0</v>
      </c>
      <c r="N126" t="inlineStr">
        <is>
          <t>0.15384615384615385</t>
        </is>
      </c>
      <c r="O126" t="n">
        <v>10.0</v>
      </c>
      <c r="P126" t="n">
        <v>0.0</v>
      </c>
      <c r="Q126" t="n">
        <v>0.0</v>
      </c>
      <c r="R126" t="n">
        <v>0.0</v>
      </c>
      <c r="S126" t="n">
        <v>0.0</v>
      </c>
      <c r="T126" t="n">
        <v>0.0</v>
      </c>
      <c r="U126" t="n">
        <v>0.0</v>
      </c>
      <c r="V126" t="n">
        <v>0.0</v>
      </c>
      <c r="W126" t="inlineStr">
        <is>
          <t/>
        </is>
      </c>
      <c r="X126" t="n">
        <v>0.0</v>
      </c>
      <c r="Y126" t="n">
        <v>1.0</v>
      </c>
      <c r="Z126" t="n">
        <v>0.0</v>
      </c>
      <c r="AA126" t="n">
        <v>0.0</v>
      </c>
      <c r="AB126" t="n">
        <v>0.0</v>
      </c>
      <c r="AC126" t="n">
        <v>0.0</v>
      </c>
      <c r="AD126" t="n">
        <v>65.0</v>
      </c>
      <c r="AE126" t="n">
        <v>0.0</v>
      </c>
      <c r="AF126" t="n">
        <v>1.0</v>
      </c>
      <c r="AG126" t="n">
        <v>0.0</v>
      </c>
      <c r="AH126" t="n">
        <v>0.0</v>
      </c>
      <c r="AI126" t="n">
        <v>0.0</v>
      </c>
      <c r="AJ126" t="n">
        <v>0.0</v>
      </c>
      <c r="AK126" t="n">
        <v>13.846153846153847</v>
      </c>
      <c r="AL126" t="inlineStr">
        <is>
          <t/>
        </is>
      </c>
    </row>
    <row r="127">
      <c r="A127" t="inlineStr">
        <is>
          <t>周末备好一周的饭，周一到周五全靠它续命</t>
        </is>
      </c>
      <c r="B127" t="inlineStr">
        <is>
          <t>69d7b09b0000000023007b5c</t>
        </is>
      </c>
      <c r="C127" s="126" t="n">
        <f>HYPERLINK("https://www.xiaohongshu.com/explore/69d7b09b0000000023007b5c?xsec_token=TBabSJw1DqF320Z_FWL3yrQ_934GjgDr10x6i5boLS8Iw=&amp;xsec_source=pc_trdark","https://www.xiaohongshu.com/explore/69d7b09b0000000023007b5c?xsec_token=TBabSJw1DqF320Z_FWL3yrQ_934GjgDr10x6i5boLS8Iw=&amp;xsec_source=pc_trdark")</f>
        <v>0.0</v>
      </c>
      <c r="D127" t="inlineStr">
        <is>
          <t>菲菲上班吃什么</t>
        </is>
      </c>
      <c r="E127" t="inlineStr">
        <is>
          <t>49936530607</t>
        </is>
      </c>
      <c r="F127" t="inlineStr">
        <is>
          <t>2026-04-09 21:58:51</t>
        </is>
      </c>
      <c r="G127" t="inlineStr">
        <is>
          <t>图文</t>
        </is>
      </c>
      <c r="H127" t="inlineStr">
        <is>
          <t>手剥虾仁 无冰衣无添加 低脂餐一人食 上班带饭 顺丰包邮 5盒装</t>
        </is>
      </c>
      <c r="I127" t="inlineStr">
        <is>
          <t>694baba01d450d00013662f0</t>
        </is>
      </c>
      <c r="J127" t="inlineStr">
        <is>
          <t/>
        </is>
      </c>
      <c r="K127" t="n">
        <v>68.0</v>
      </c>
      <c r="L127" t="n">
        <v>1.0</v>
      </c>
      <c r="M127" t="n">
        <v>3.0</v>
      </c>
      <c r="N127" t="inlineStr">
        <is>
          <t>0.046153846153846156</t>
        </is>
      </c>
      <c r="O127" t="n">
        <v>2.0</v>
      </c>
      <c r="P127" t="n">
        <v>1.0</v>
      </c>
      <c r="Q127" t="n">
        <v>0.3333333333333333</v>
      </c>
      <c r="R127" t="n">
        <v>0.5</v>
      </c>
      <c r="S127" t="n">
        <v>0.0</v>
      </c>
      <c r="T127" t="n">
        <v>0.0</v>
      </c>
      <c r="U127" t="n">
        <v>0.0</v>
      </c>
      <c r="V127" t="n">
        <v>0.0</v>
      </c>
      <c r="W127" t="n">
        <v>0.0</v>
      </c>
      <c r="X127" t="n">
        <v>0.0</v>
      </c>
      <c r="Y127" t="n">
        <v>0.0</v>
      </c>
      <c r="Z127" t="n">
        <v>2.0</v>
      </c>
      <c r="AA127" t="n">
        <v>0.0</v>
      </c>
      <c r="AB127" t="n">
        <v>0.0</v>
      </c>
      <c r="AC127" t="n">
        <v>0.0</v>
      </c>
      <c r="AD127" t="n">
        <v>65.0</v>
      </c>
      <c r="AE127" t="n">
        <v>0.0</v>
      </c>
      <c r="AF127" t="n">
        <v>1.0</v>
      </c>
      <c r="AG127" t="n">
        <v>0.0</v>
      </c>
      <c r="AH127" t="n">
        <v>0.0</v>
      </c>
      <c r="AI127" t="n">
        <v>0.0</v>
      </c>
      <c r="AJ127" t="n">
        <v>0.0</v>
      </c>
      <c r="AK127" t="n">
        <v>9.938461538461539</v>
      </c>
      <c r="AL127" t="inlineStr">
        <is>
          <t/>
        </is>
      </c>
    </row>
    <row r="128">
      <c r="A128" t="inlineStr">
        <is>
          <t>以为没多少，结果几十块够我吃一整周了😂</t>
        </is>
      </c>
      <c r="B128" t="inlineStr">
        <is>
          <t>6a75a643000000002800ac08</t>
        </is>
      </c>
      <c r="C128" s="127" t="n">
        <f>HYPERLINK("https://www.xiaohongshu.com/explore/6a75a643000000002800ac08?xsec_token=TB7zWT8uC_Q-m_VusJubEL4H9nEeWZx_x0LK2d5riISz8=&amp;xsec_source=pc_trdark","https://www.xiaohongshu.com/explore/6a75a643000000002800ac08?xsec_token=TB7zWT8uC_Q-m_VusJubEL4H9nEeWZx_x0LK2d5riISz8=&amp;xsec_source=pc_trdark")</f>
        <v>0.0</v>
      </c>
      <c r="D128" t="inlineStr">
        <is>
          <t>婉婉上班吃什么</t>
        </is>
      </c>
      <c r="E128" t="inlineStr">
        <is>
          <t>11434449706</t>
        </is>
      </c>
      <c r="F128" t="inlineStr">
        <is>
          <t>2026-08-07 17:32:51</t>
        </is>
      </c>
      <c r="G128" t="inlineStr">
        <is>
          <t>图文</t>
        </is>
      </c>
      <c r="H128" t="inlineStr">
        <is>
          <t>手剥虾仁 无冰衣无添加 低脂餐一人食 上班带饭 顺丰包邮 5盒装</t>
        </is>
      </c>
      <c r="I128" t="inlineStr">
        <is>
          <t>694baba01d450d00013662f0</t>
        </is>
      </c>
      <c r="J128" t="inlineStr">
        <is>
          <t/>
        </is>
      </c>
      <c r="K128" t="n">
        <v>0.0</v>
      </c>
      <c r="L128" t="n">
        <v>0.0</v>
      </c>
      <c r="M128" t="n">
        <v>7.0</v>
      </c>
      <c r="N128" t="n">
        <v>0.109375</v>
      </c>
      <c r="O128" t="n">
        <v>5.0</v>
      </c>
      <c r="P128" t="n">
        <v>0.0</v>
      </c>
      <c r="Q128" t="n">
        <v>0.0</v>
      </c>
      <c r="R128" t="n">
        <v>0.0</v>
      </c>
      <c r="S128" t="n">
        <v>0.0</v>
      </c>
      <c r="T128" t="n">
        <v>0.0</v>
      </c>
      <c r="U128" t="n">
        <v>0.0</v>
      </c>
      <c r="V128" t="n">
        <v>0.0</v>
      </c>
      <c r="W128" t="inlineStr">
        <is>
          <t/>
        </is>
      </c>
      <c r="X128" t="n">
        <v>0.0</v>
      </c>
      <c r="Y128" t="n">
        <v>1.0</v>
      </c>
      <c r="Z128" t="n">
        <v>1.0</v>
      </c>
      <c r="AA128" t="n">
        <v>0.0</v>
      </c>
      <c r="AB128" t="n">
        <v>0.0</v>
      </c>
      <c r="AC128" t="n">
        <v>0.0</v>
      </c>
      <c r="AD128" t="n">
        <v>64.0</v>
      </c>
      <c r="AE128" t="n">
        <v>1.0</v>
      </c>
      <c r="AF128" t="n">
        <v>0.0</v>
      </c>
      <c r="AG128" t="n">
        <v>0.0</v>
      </c>
      <c r="AH128" t="n">
        <v>3.0</v>
      </c>
      <c r="AI128" t="n">
        <v>0.0</v>
      </c>
      <c r="AJ128" t="n">
        <v>0.0</v>
      </c>
      <c r="AK128" t="n">
        <v>9.171875</v>
      </c>
      <c r="AL128" t="inlineStr">
        <is>
          <t/>
        </is>
      </c>
    </row>
    <row r="129">
      <c r="A129" t="inlineStr">
        <is>
          <t>69块，把打工人的一人食减脂午饭安排明白了</t>
        </is>
      </c>
      <c r="B129" t="inlineStr">
        <is>
          <t>6a6f2fd9000000002201361d</t>
        </is>
      </c>
      <c r="C129" s="128" t="n">
        <f>HYPERLINK("https://www.xiaohongshu.com/explore/6a6f2fd9000000002201361d?xsec_token=TBdc4ApA1tMe1BDwaMVZUm0OZt-4_7sJB5ck0IRf9laAc=&amp;xsec_source=pc_trdark","https://www.xiaohongshu.com/explore/6a6f2fd9000000002201361d?xsec_token=TBdc4ApA1tMe1BDwaMVZUm0OZt-4_7sJB5ck0IRf9laAc=&amp;xsec_source=pc_trdark")</f>
        <v>0.0</v>
      </c>
      <c r="D129" t="inlineStr">
        <is>
          <t>鲜水湾甄选</t>
        </is>
      </c>
      <c r="E129" t="inlineStr">
        <is>
          <t>27401929161</t>
        </is>
      </c>
      <c r="F129" t="inlineStr">
        <is>
          <t>2026-08-02 19:54:01</t>
        </is>
      </c>
      <c r="G129" t="inlineStr">
        <is>
          <t>图文</t>
        </is>
      </c>
      <c r="H129" t="inlineStr">
        <is>
          <t>手剥虾仁 无冰衣无添加 低脂餐一人食 上班带饭 顺丰包邮 5盒装</t>
        </is>
      </c>
      <c r="I129" t="inlineStr">
        <is>
          <t>694baba01d450d00013662f0</t>
        </is>
      </c>
      <c r="J129" t="inlineStr">
        <is>
          <t/>
        </is>
      </c>
      <c r="K129" t="n">
        <v>0.0</v>
      </c>
      <c r="L129" t="n">
        <v>0.0</v>
      </c>
      <c r="M129" t="n">
        <v>6.0</v>
      </c>
      <c r="N129" t="n">
        <v>0.09375</v>
      </c>
      <c r="O129" t="n">
        <v>4.0</v>
      </c>
      <c r="P129" t="n">
        <v>0.0</v>
      </c>
      <c r="Q129" t="n">
        <v>0.0</v>
      </c>
      <c r="R129" t="n">
        <v>0.0</v>
      </c>
      <c r="S129" t="n">
        <v>0.0</v>
      </c>
      <c r="T129" t="n">
        <v>0.0</v>
      </c>
      <c r="U129" t="n">
        <v>0.0</v>
      </c>
      <c r="V129" t="n">
        <v>0.0</v>
      </c>
      <c r="W129" t="inlineStr">
        <is>
          <t/>
        </is>
      </c>
      <c r="X129" t="n">
        <v>0.0</v>
      </c>
      <c r="Y129" t="n">
        <v>0.0</v>
      </c>
      <c r="Z129" t="n">
        <v>1.0</v>
      </c>
      <c r="AA129" t="n">
        <v>0.0</v>
      </c>
      <c r="AB129" t="n">
        <v>0.0</v>
      </c>
      <c r="AC129" t="n">
        <v>0.0</v>
      </c>
      <c r="AD129" t="n">
        <v>64.0</v>
      </c>
      <c r="AE129" t="n">
        <v>0.0</v>
      </c>
      <c r="AF129" t="n">
        <v>0.0</v>
      </c>
      <c r="AG129" t="n">
        <v>0.0</v>
      </c>
      <c r="AH129" t="n">
        <v>1.0</v>
      </c>
      <c r="AI129" t="n">
        <v>0.0</v>
      </c>
      <c r="AJ129" t="n">
        <v>0.0</v>
      </c>
      <c r="AK129" t="n">
        <v>10.09375</v>
      </c>
      <c r="AL129" t="inlineStr">
        <is>
          <t/>
        </is>
      </c>
    </row>
    <row r="130">
      <c r="A130" t="inlineStr">
        <is>
          <t>果然是生活化减脂，吃的干净真的会快乐🍤</t>
        </is>
      </c>
      <c r="B130" t="inlineStr">
        <is>
          <t>6a6f0c6a00000000270206a2</t>
        </is>
      </c>
      <c r="C130" s="129" t="n">
        <f>HYPERLINK("https://www.xiaohongshu.com/explore/6a6f0c6a00000000270206a2?xsec_token=TBdc4ApA1tMe1BDwaMVZUm0ETgU3X5XyqSQf6xrnoohTE=&amp;xsec_source=pc_trdark","https://www.xiaohongshu.com/explore/6a6f0c6a00000000270206a2?xsec_token=TBdc4ApA1tMe1BDwaMVZUm0ETgU3X5XyqSQf6xrnoohTE=&amp;xsec_source=pc_trdark")</f>
        <v>0.0</v>
      </c>
      <c r="D130" t="inlineStr">
        <is>
          <t>鲜水湾甄选</t>
        </is>
      </c>
      <c r="E130" t="inlineStr">
        <is>
          <t>27401929161</t>
        </is>
      </c>
      <c r="F130" t="inlineStr">
        <is>
          <t>2026-08-02 17:22:50</t>
        </is>
      </c>
      <c r="G130" t="inlineStr">
        <is>
          <t>图文</t>
        </is>
      </c>
      <c r="H130" t="inlineStr">
        <is>
          <t>手剥虾仁 无冰衣无添加 低脂餐一人食 上班带饭 顺丰包邮 5盒装</t>
        </is>
      </c>
      <c r="I130" t="inlineStr">
        <is>
          <t>694baba01d450d00013662f0</t>
        </is>
      </c>
      <c r="J130" t="inlineStr">
        <is>
          <t/>
        </is>
      </c>
      <c r="K130" t="n">
        <v>0.0</v>
      </c>
      <c r="L130" t="n">
        <v>0.0</v>
      </c>
      <c r="M130" t="n">
        <v>11.0</v>
      </c>
      <c r="N130" t="n">
        <v>0.171875</v>
      </c>
      <c r="O130" t="n">
        <v>11.0</v>
      </c>
      <c r="P130" t="n">
        <v>0.0</v>
      </c>
      <c r="Q130" t="n">
        <v>0.0</v>
      </c>
      <c r="R130" t="n">
        <v>0.0</v>
      </c>
      <c r="S130" t="n">
        <v>0.0</v>
      </c>
      <c r="T130" t="n">
        <v>0.0</v>
      </c>
      <c r="U130" t="n">
        <v>0.0</v>
      </c>
      <c r="V130" t="n">
        <v>0.0</v>
      </c>
      <c r="W130" t="inlineStr">
        <is>
          <t/>
        </is>
      </c>
      <c r="X130" t="n">
        <v>0.0</v>
      </c>
      <c r="Y130" t="n">
        <v>3.0</v>
      </c>
      <c r="Z130" t="n">
        <v>1.0</v>
      </c>
      <c r="AA130" t="n">
        <v>0.0</v>
      </c>
      <c r="AB130" t="n">
        <v>0.0</v>
      </c>
      <c r="AC130" t="n">
        <v>0.0</v>
      </c>
      <c r="AD130" t="n">
        <v>64.0</v>
      </c>
      <c r="AE130" t="n">
        <v>1.0</v>
      </c>
      <c r="AF130" t="n">
        <v>0.0</v>
      </c>
      <c r="AG130" t="n">
        <v>0.0</v>
      </c>
      <c r="AH130" t="n">
        <v>0.0</v>
      </c>
      <c r="AI130" t="n">
        <v>0.0</v>
      </c>
      <c r="AJ130" t="n">
        <v>0.0</v>
      </c>
      <c r="AK130" t="n">
        <v>6.15625</v>
      </c>
      <c r="AL130" t="inlineStr">
        <is>
          <t/>
        </is>
      </c>
    </row>
    <row r="131">
      <c r="A131" t="inlineStr">
        <is>
          <t>到家一整条三文鱼，也就一个月的量😅</t>
        </is>
      </c>
      <c r="B131" t="inlineStr">
        <is>
          <t>6a4208a7000000002100b04b</t>
        </is>
      </c>
      <c r="C131" s="130" t="n">
        <f>HYPERLINK("https://www.xiaohongshu.com/explore/6a4208a7000000002100b04b?xsec_token=TBuZ9ZXJUs9vOVh3V3slJbLKoaMAWxSOTdv8-B_3Q9MWA=&amp;xsec_source=pc_trdark","https://www.xiaohongshu.com/explore/6a4208a7000000002100b04b?xsec_token=TBuZ9ZXJUs9vOVh3V3slJbLKoaMAWxSOTdv8-B_3Q9MWA=&amp;xsec_source=pc_trdark")</f>
        <v>0.0</v>
      </c>
      <c r="D131" t="inlineStr">
        <is>
          <t>婉婉上班吃什么</t>
        </is>
      </c>
      <c r="E131" t="inlineStr">
        <is>
          <t>11434449706</t>
        </is>
      </c>
      <c r="F131" t="inlineStr">
        <is>
          <t>2026-06-29 13:54:47</t>
        </is>
      </c>
      <c r="G131" t="inlineStr">
        <is>
          <t>图文</t>
        </is>
      </c>
      <c r="H131" t="inlineStr">
        <is>
          <t>智利三文鱼切块·整条三文鱼·深海鱼一人食健康饮食</t>
        </is>
      </c>
      <c r="I131" t="inlineStr">
        <is>
          <t>691ac562a524ee0001b51d7b</t>
        </is>
      </c>
      <c r="J131" t="inlineStr">
        <is>
          <t/>
        </is>
      </c>
      <c r="K131" t="n">
        <v>0.0</v>
      </c>
      <c r="L131" t="n">
        <v>0.0</v>
      </c>
      <c r="M131" t="n">
        <v>9.0</v>
      </c>
      <c r="N131" t="inlineStr">
        <is>
          <t>0.14516129032258066</t>
        </is>
      </c>
      <c r="O131" t="n">
        <v>8.0</v>
      </c>
      <c r="P131" t="n">
        <v>0.0</v>
      </c>
      <c r="Q131" t="n">
        <v>0.0</v>
      </c>
      <c r="R131" t="n">
        <v>0.0</v>
      </c>
      <c r="S131" t="n">
        <v>0.0</v>
      </c>
      <c r="T131" t="n">
        <v>0.0</v>
      </c>
      <c r="U131" t="n">
        <v>0.0</v>
      </c>
      <c r="V131" t="n">
        <v>0.0</v>
      </c>
      <c r="W131" t="inlineStr">
        <is>
          <t/>
        </is>
      </c>
      <c r="X131" t="n">
        <v>0.0</v>
      </c>
      <c r="Y131" t="n">
        <v>0.0</v>
      </c>
      <c r="Z131" t="n">
        <v>1.0</v>
      </c>
      <c r="AA131" t="n">
        <v>0.0</v>
      </c>
      <c r="AB131" t="n">
        <v>0.0</v>
      </c>
      <c r="AC131" t="n">
        <v>0.0</v>
      </c>
      <c r="AD131" t="n">
        <v>62.0</v>
      </c>
      <c r="AE131" t="n">
        <v>0.0</v>
      </c>
      <c r="AF131" t="n">
        <v>1.0</v>
      </c>
      <c r="AG131" t="n">
        <v>0.0</v>
      </c>
      <c r="AH131" t="n">
        <v>0.0</v>
      </c>
      <c r="AI131" t="n">
        <v>0.0</v>
      </c>
      <c r="AJ131" t="n">
        <v>0.0</v>
      </c>
      <c r="AK131" t="n">
        <v>12.725806451612904</v>
      </c>
      <c r="AL131" t="inlineStr">
        <is>
          <t/>
        </is>
      </c>
    </row>
    <row r="132">
      <c r="A132" t="inlineStr">
        <is>
          <t>减脂买了一整条，家附近的超市也看不上了…</t>
        </is>
      </c>
      <c r="B132" t="inlineStr">
        <is>
          <t>6a48d989000000000800179a</t>
        </is>
      </c>
      <c r="C132" s="131" t="n">
        <f>HYPERLINK("https://www.xiaohongshu.com/explore/6a48d989000000000800179a?xsec_token=TBXcQ3yr16tRF4vODUHcKAuS-yzrc9JA5LhfgTWyj_tJY=&amp;xsec_source=pc_trdark","https://www.xiaohongshu.com/explore/6a48d989000000000800179a?xsec_token=TBXcQ3yr16tRF4vODUHcKAuS-yzrc9JA5LhfgTWyj_tJY=&amp;xsec_source=pc_trdark")</f>
        <v>0.0</v>
      </c>
      <c r="D132" t="inlineStr">
        <is>
          <t>婉婉上班吃什么</t>
        </is>
      </c>
      <c r="E132" t="inlineStr">
        <is>
          <t>11434449706</t>
        </is>
      </c>
      <c r="F132" t="inlineStr">
        <is>
          <t>2026-07-04 17:59:37</t>
        </is>
      </c>
      <c r="G132" t="inlineStr">
        <is>
          <t>图文</t>
        </is>
      </c>
      <c r="H132" t="inlineStr">
        <is>
          <t>智利三文鱼切块·整条三文鱼·深海鱼一人食健康饮食</t>
        </is>
      </c>
      <c r="I132" t="inlineStr">
        <is>
          <t>691ac562a524ee0001b51d7b</t>
        </is>
      </c>
      <c r="J132" t="inlineStr">
        <is>
          <t/>
        </is>
      </c>
      <c r="K132" t="n">
        <v>0.0</v>
      </c>
      <c r="L132" t="n">
        <v>0.0</v>
      </c>
      <c r="M132" t="n">
        <v>7.0</v>
      </c>
      <c r="N132" t="inlineStr">
        <is>
          <t>0.11475409836065574</t>
        </is>
      </c>
      <c r="O132" t="n">
        <v>7.0</v>
      </c>
      <c r="P132" t="n">
        <v>0.0</v>
      </c>
      <c r="Q132" t="n">
        <v>0.0</v>
      </c>
      <c r="R132" t="n">
        <v>0.0</v>
      </c>
      <c r="S132" t="n">
        <v>0.0</v>
      </c>
      <c r="T132" t="n">
        <v>0.0</v>
      </c>
      <c r="U132" t="n">
        <v>0.0</v>
      </c>
      <c r="V132" t="n">
        <v>0.0</v>
      </c>
      <c r="W132" t="inlineStr">
        <is>
          <t/>
        </is>
      </c>
      <c r="X132" t="n">
        <v>0.0</v>
      </c>
      <c r="Y132" t="n">
        <v>1.0</v>
      </c>
      <c r="Z132" t="n">
        <v>5.0</v>
      </c>
      <c r="AA132" t="n">
        <v>0.0</v>
      </c>
      <c r="AB132" t="n">
        <v>0.0</v>
      </c>
      <c r="AC132" t="n">
        <v>0.0</v>
      </c>
      <c r="AD132" t="n">
        <v>61.0</v>
      </c>
      <c r="AE132" t="n">
        <v>0.0</v>
      </c>
      <c r="AF132" t="n">
        <v>0.0</v>
      </c>
      <c r="AG132" t="n">
        <v>0.0</v>
      </c>
      <c r="AH132" t="n">
        <v>0.0</v>
      </c>
      <c r="AI132" t="n">
        <v>0.0</v>
      </c>
      <c r="AJ132" t="n">
        <v>0.0</v>
      </c>
      <c r="AK132" t="n">
        <v>10.295081967213115</v>
      </c>
      <c r="AL132" t="inlineStr">
        <is>
          <t/>
        </is>
      </c>
    </row>
    <row r="133">
      <c r="A133" t="inlineStr">
        <is>
          <t>同事问我：你天天带三文鱼，月薪多少啊</t>
        </is>
      </c>
      <c r="B133" t="inlineStr">
        <is>
          <t>69feab870000000023016d53</t>
        </is>
      </c>
      <c r="C133" s="132" t="n">
        <f>HYPERLINK("https://www.xiaohongshu.com/explore/69feab870000000023016d53?xsec_token=TBW_z8KxT9AgMNTeavZZG2U44ZQsCErLxBJc9R_OPNo-8=&amp;xsec_source=pc_trdark","https://www.xiaohongshu.com/explore/69feab870000000023016d53?xsec_token=TBW_z8KxT9AgMNTeavZZG2U44ZQsCErLxBJc9R_OPNo-8=&amp;xsec_source=pc_trdark")</f>
        <v>0.0</v>
      </c>
      <c r="D133" t="inlineStr">
        <is>
          <t>婉婉上班吃什么</t>
        </is>
      </c>
      <c r="E133" t="inlineStr">
        <is>
          <t>11434449706</t>
        </is>
      </c>
      <c r="F133" t="inlineStr">
        <is>
          <t>2026-05-09 11:35:35</t>
        </is>
      </c>
      <c r="G133" t="inlineStr">
        <is>
          <t>图文</t>
        </is>
      </c>
      <c r="H133" t="inlineStr">
        <is>
          <t>智利尾端中段整条三文鱼 8斤深海鱼低脂餐囤货一周备菜顺丰包邮</t>
        </is>
      </c>
      <c r="I133" t="inlineStr">
        <is>
          <t>69fab80d64eb410001ece0c0</t>
        </is>
      </c>
      <c r="J133" t="inlineStr">
        <is>
          <t/>
        </is>
      </c>
      <c r="K133" t="n">
        <v>0.0</v>
      </c>
      <c r="L133" t="n">
        <v>0.0</v>
      </c>
      <c r="M133" t="n">
        <v>1.0</v>
      </c>
      <c r="N133" t="inlineStr">
        <is>
          <t>0.01639344262295082</t>
        </is>
      </c>
      <c r="O133" t="n">
        <v>1.0</v>
      </c>
      <c r="P133" t="n">
        <v>0.0</v>
      </c>
      <c r="Q133" t="n">
        <v>0.0</v>
      </c>
      <c r="R133" t="n">
        <v>0.0</v>
      </c>
      <c r="S133" t="n">
        <v>0.0</v>
      </c>
      <c r="T133" t="n">
        <v>0.0</v>
      </c>
      <c r="U133" t="n">
        <v>0.0</v>
      </c>
      <c r="V133" t="n">
        <v>0.0</v>
      </c>
      <c r="W133" t="inlineStr">
        <is>
          <t/>
        </is>
      </c>
      <c r="X133" t="n">
        <v>0.0</v>
      </c>
      <c r="Y133" t="n">
        <v>0.0</v>
      </c>
      <c r="Z133" t="n">
        <v>0.0</v>
      </c>
      <c r="AA133" t="n">
        <v>0.0</v>
      </c>
      <c r="AB133" t="n">
        <v>0.0</v>
      </c>
      <c r="AC133" t="n">
        <v>0.0</v>
      </c>
      <c r="AD133" t="n">
        <v>61.0</v>
      </c>
      <c r="AE133" t="n">
        <v>0.0</v>
      </c>
      <c r="AF133" t="n">
        <v>1.0</v>
      </c>
      <c r="AG133" t="n">
        <v>0.0</v>
      </c>
      <c r="AH133" t="n">
        <v>0.0</v>
      </c>
      <c r="AI133" t="n">
        <v>0.0</v>
      </c>
      <c r="AJ133" t="n">
        <v>0.0</v>
      </c>
      <c r="AK133" t="n">
        <v>11.39344262295082</v>
      </c>
      <c r="AL133" t="inlineStr">
        <is>
          <t/>
        </is>
      </c>
    </row>
    <row r="134">
      <c r="A134" t="inlineStr">
        <is>
          <t>应粉丝要求，推出了减脂虾仁小包装！</t>
        </is>
      </c>
      <c r="B134" t="inlineStr">
        <is>
          <t>6a71a762000000002c006a40</t>
        </is>
      </c>
      <c r="C134" s="133" t="n">
        <f>HYPERLINK("https://www.xiaohongshu.com/explore/6a71a762000000002c006a40?xsec_token=TBGdlgq0FqunFmaLrhl7merhcSAPyXGlUFggr0DIdcr6Q=&amp;xsec_source=pc_trdark","https://www.xiaohongshu.com/explore/6a71a762000000002c006a40?xsec_token=TBGdlgq0FqunFmaLrhl7merhcSAPyXGlUFggr0DIdcr6Q=&amp;xsec_source=pc_trdark")</f>
        <v>0.0</v>
      </c>
      <c r="D134" t="inlineStr">
        <is>
          <t>鲜水湾甄选</t>
        </is>
      </c>
      <c r="E134" t="inlineStr">
        <is>
          <t>27401929161</t>
        </is>
      </c>
      <c r="F134" t="inlineStr">
        <is>
          <t>2026-08-04 16:48:34</t>
        </is>
      </c>
      <c r="G134" t="inlineStr">
        <is>
          <t>图文</t>
        </is>
      </c>
      <c r="H134" t="inlineStr">
        <is>
          <t>手剥虾仁 无冰衣无添加 低脂餐一人食 上班带饭 顺丰包邮 5盒装</t>
        </is>
      </c>
      <c r="I134" t="inlineStr">
        <is>
          <t>694baba01d450d00013662f0</t>
        </is>
      </c>
      <c r="J134" t="inlineStr">
        <is>
          <t/>
        </is>
      </c>
      <c r="K134" t="n">
        <v>0.0</v>
      </c>
      <c r="L134" t="n">
        <v>0.0</v>
      </c>
      <c r="M134" t="n">
        <v>4.0</v>
      </c>
      <c r="N134" t="inlineStr">
        <is>
          <t>0.06666666666666667</t>
        </is>
      </c>
      <c r="O134" t="n">
        <v>4.0</v>
      </c>
      <c r="P134" t="n">
        <v>0.0</v>
      </c>
      <c r="Q134" t="n">
        <v>0.0</v>
      </c>
      <c r="R134" t="n">
        <v>0.0</v>
      </c>
      <c r="S134" t="n">
        <v>0.0</v>
      </c>
      <c r="T134" t="n">
        <v>0.0</v>
      </c>
      <c r="U134" t="n">
        <v>0.0</v>
      </c>
      <c r="V134" t="n">
        <v>0.0</v>
      </c>
      <c r="W134" t="inlineStr">
        <is>
          <t/>
        </is>
      </c>
      <c r="X134" t="n">
        <v>0.0</v>
      </c>
      <c r="Y134" t="n">
        <v>1.0</v>
      </c>
      <c r="Z134" t="n">
        <v>2.0</v>
      </c>
      <c r="AA134" t="n">
        <v>0.0</v>
      </c>
      <c r="AB134" t="n">
        <v>0.0</v>
      </c>
      <c r="AC134" t="n">
        <v>0.0</v>
      </c>
      <c r="AD134" t="n">
        <v>60.0</v>
      </c>
      <c r="AE134" t="n">
        <v>0.0</v>
      </c>
      <c r="AF134" t="n">
        <v>0.0</v>
      </c>
      <c r="AG134" t="n">
        <v>0.0</v>
      </c>
      <c r="AH134" t="n">
        <v>0.0</v>
      </c>
      <c r="AI134" t="n">
        <v>0.0</v>
      </c>
      <c r="AJ134" t="n">
        <v>0.0</v>
      </c>
      <c r="AK134" t="n">
        <v>10.45</v>
      </c>
      <c r="AL134" t="inlineStr">
        <is>
          <t/>
        </is>
      </c>
    </row>
    <row r="135">
      <c r="A135" t="inlineStr">
        <is>
          <t>真的低估了300来块的购买力</t>
        </is>
      </c>
      <c r="B135" t="inlineStr">
        <is>
          <t>6a65fbb80000000013025073</t>
        </is>
      </c>
      <c r="C135" s="134" t="n">
        <f>HYPERLINK("https://www.xiaohongshu.com/explore/6a65fbb80000000013025073?xsec_token=TB58XJIgbz5sDQhjTMNqitzKjcpnwgnegxVGkDdgDW2XM=&amp;xsec_source=pc_trdark","https://www.xiaohongshu.com/explore/6a65fbb80000000013025073?xsec_token=TB58XJIgbz5sDQhjTMNqitzKjcpnwgnegxVGkDdgDW2XM=&amp;xsec_source=pc_trdark")</f>
        <v>0.0</v>
      </c>
      <c r="D135" t="inlineStr">
        <is>
          <t>鲜水湾</t>
        </is>
      </c>
      <c r="E135" t="inlineStr">
        <is>
          <t>49316638994</t>
        </is>
      </c>
      <c r="F135" t="inlineStr">
        <is>
          <t>2026-07-26 20:21:12</t>
        </is>
      </c>
      <c r="G135" t="inlineStr">
        <is>
          <t>图文</t>
        </is>
      </c>
      <c r="H135" t="inlineStr">
        <is>
          <t>智利尾端中段整条三文鱼 8斤深海鱼低脂餐囤货一周备菜顺丰包邮</t>
        </is>
      </c>
      <c r="I135" t="inlineStr">
        <is>
          <t>69fab80d64eb410001ece0c0</t>
        </is>
      </c>
      <c r="J135" t="inlineStr">
        <is>
          <t/>
        </is>
      </c>
      <c r="K135" t="n">
        <v>0.0</v>
      </c>
      <c r="L135" t="n">
        <v>0.0</v>
      </c>
      <c r="M135" t="n">
        <v>9.0</v>
      </c>
      <c r="N135" t="n">
        <v>0.15</v>
      </c>
      <c r="O135" t="n">
        <v>9.0</v>
      </c>
      <c r="P135" t="n">
        <v>0.0</v>
      </c>
      <c r="Q135" t="n">
        <v>0.0</v>
      </c>
      <c r="R135" t="n">
        <v>0.0</v>
      </c>
      <c r="S135" t="n">
        <v>0.0</v>
      </c>
      <c r="T135" t="n">
        <v>0.0</v>
      </c>
      <c r="U135" t="n">
        <v>0.0</v>
      </c>
      <c r="V135" t="n">
        <v>0.0</v>
      </c>
      <c r="W135" t="inlineStr">
        <is>
          <t/>
        </is>
      </c>
      <c r="X135" t="n">
        <v>0.0</v>
      </c>
      <c r="Y135" t="n">
        <v>4.0</v>
      </c>
      <c r="Z135" t="n">
        <v>14.0</v>
      </c>
      <c r="AA135" t="n">
        <v>0.0</v>
      </c>
      <c r="AB135" t="n">
        <v>0.0</v>
      </c>
      <c r="AC135" t="n">
        <v>0.0</v>
      </c>
      <c r="AD135" t="n">
        <v>60.0</v>
      </c>
      <c r="AE135" t="n">
        <v>0.0</v>
      </c>
      <c r="AF135" t="n">
        <v>0.0</v>
      </c>
      <c r="AG135" t="n">
        <v>0.0</v>
      </c>
      <c r="AH135" t="n">
        <v>0.0</v>
      </c>
      <c r="AI135" t="n">
        <v>0.0</v>
      </c>
      <c r="AJ135" t="n">
        <v>0.0</v>
      </c>
      <c r="AK135" t="n">
        <v>15.666666666666666</v>
      </c>
      <c r="AL135" t="inlineStr">
        <is>
          <t/>
        </is>
      </c>
    </row>
    <row r="136">
      <c r="A136" t="inlineStr">
        <is>
          <t>抱歉Sam，找到适合一人食的虾仁了</t>
        </is>
      </c>
      <c r="B136" t="inlineStr">
        <is>
          <t>6a2292a00000000007011284</t>
        </is>
      </c>
      <c r="C136" s="135" t="n">
        <f>HYPERLINK("https://www.xiaohongshu.com/explore/6a2292a00000000007011284?xsec_token=TBC-_2V2Jf8UHvhGX5sq95h5gNOme1pTjka8YHO7ajS0I=&amp;xsec_source=pc_trdark","https://www.xiaohongshu.com/explore/6a2292a00000000007011284?xsec_token=TBC-_2V2Jf8UHvhGX5sq95h5gNOme1pTjka8YHO7ajS0I=&amp;xsec_source=pc_trdark")</f>
        <v>0.0</v>
      </c>
      <c r="D136" t="inlineStr">
        <is>
          <t>婉婉上班吃什么</t>
        </is>
      </c>
      <c r="E136" t="inlineStr">
        <is>
          <t>11434449706</t>
        </is>
      </c>
      <c r="F136" t="inlineStr">
        <is>
          <t>2026-06-05 17:10:56</t>
        </is>
      </c>
      <c r="G136" t="inlineStr">
        <is>
          <t>图文</t>
        </is>
      </c>
      <c r="H136" t="inlineStr">
        <is>
          <t>手剥虾仁 无冰衣无添加 低脂餐一人食 上班带饭 顺丰包邮 5盒装</t>
        </is>
      </c>
      <c r="I136" t="inlineStr">
        <is>
          <t>694baba01d450d00013662f0</t>
        </is>
      </c>
      <c r="J136" t="inlineStr">
        <is>
          <t/>
        </is>
      </c>
      <c r="K136" t="n">
        <v>0.0</v>
      </c>
      <c r="L136" t="n">
        <v>0.0</v>
      </c>
      <c r="M136" t="n">
        <v>5.0</v>
      </c>
      <c r="N136" t="inlineStr">
        <is>
          <t>0.08333333333333333</t>
        </is>
      </c>
      <c r="O136" t="n">
        <v>5.0</v>
      </c>
      <c r="P136" t="n">
        <v>0.0</v>
      </c>
      <c r="Q136" t="n">
        <v>0.0</v>
      </c>
      <c r="R136" t="n">
        <v>0.0</v>
      </c>
      <c r="S136" t="n">
        <v>0.0</v>
      </c>
      <c r="T136" t="n">
        <v>0.0</v>
      </c>
      <c r="U136" t="n">
        <v>0.0</v>
      </c>
      <c r="V136" t="n">
        <v>0.0</v>
      </c>
      <c r="W136" t="inlineStr">
        <is>
          <t/>
        </is>
      </c>
      <c r="X136" t="n">
        <v>0.0</v>
      </c>
      <c r="Y136" t="n">
        <v>2.0</v>
      </c>
      <c r="Z136" t="n">
        <v>4.0</v>
      </c>
      <c r="AA136" t="n">
        <v>0.0</v>
      </c>
      <c r="AB136" t="n">
        <v>0.0</v>
      </c>
      <c r="AC136" t="n">
        <v>0.0</v>
      </c>
      <c r="AD136" t="n">
        <v>60.0</v>
      </c>
      <c r="AE136" t="n">
        <v>1.0</v>
      </c>
      <c r="AF136" t="n">
        <v>0.0</v>
      </c>
      <c r="AG136" t="n">
        <v>0.0</v>
      </c>
      <c r="AH136" t="n">
        <v>0.0</v>
      </c>
      <c r="AI136" t="n">
        <v>0.0</v>
      </c>
      <c r="AJ136" t="n">
        <v>0.0</v>
      </c>
      <c r="AK136" t="n">
        <v>8.6</v>
      </c>
      <c r="AL136" t="inlineStr">
        <is>
          <t/>
        </is>
      </c>
    </row>
    <row r="137">
      <c r="A137" t="inlineStr">
        <is>
          <t>宝宝吃的大虾都是哪里买的啊😭</t>
        </is>
      </c>
      <c r="B137" t="inlineStr">
        <is>
          <t>6a83c134000000002800692b</t>
        </is>
      </c>
      <c r="C137" s="136" t="n">
        <f>HYPERLINK("https://www.xiaohongshu.com/explore/6a83c134000000002800692b?xsec_token=TB4Ah0D2KqO0kkIBz273OgxaZ26chFNG1L2z_RRV-kw2c=&amp;xsec_source=pc_trdark","https://www.xiaohongshu.com/explore/6a83c134000000002800692b?xsec_token=TB4Ah0D2KqO0kkIBz273OgxaZ26chFNG1L2z_RRV-kw2c=&amp;xsec_source=pc_trdark")</f>
        <v>0.0</v>
      </c>
      <c r="D137" t="inlineStr">
        <is>
          <t>鲜水湾</t>
        </is>
      </c>
      <c r="E137" t="inlineStr">
        <is>
          <t>49316638994</t>
        </is>
      </c>
      <c r="F137" t="inlineStr">
        <is>
          <t>2026-08-18 10:19:32</t>
        </is>
      </c>
      <c r="G137" t="inlineStr">
        <is>
          <t>图文</t>
        </is>
      </c>
      <c r="H137" t="inlineStr">
        <is>
          <t>盐田虾无抗有机盐田虾孕妈妈宝宝辅食顺丰包邮无打药无污染健康虾</t>
        </is>
      </c>
      <c r="I137" t="inlineStr">
        <is>
          <t>693244a046e530000140adb2</t>
        </is>
      </c>
      <c r="J137" t="inlineStr">
        <is>
          <t/>
        </is>
      </c>
      <c r="K137" t="n">
        <v>98.0</v>
      </c>
      <c r="L137" t="n">
        <v>1.0</v>
      </c>
      <c r="M137" t="n">
        <v>12.0</v>
      </c>
      <c r="N137" t="n">
        <v>0.2033898305084746</v>
      </c>
      <c r="O137" t="n">
        <v>10.0</v>
      </c>
      <c r="P137" t="n">
        <v>1.0</v>
      </c>
      <c r="Q137" t="inlineStr">
        <is>
          <t>0.08333333333333333</t>
        </is>
      </c>
      <c r="R137" t="n">
        <v>0.1</v>
      </c>
      <c r="S137" t="n">
        <v>0.0</v>
      </c>
      <c r="T137" t="n">
        <v>0.0</v>
      </c>
      <c r="U137" t="n">
        <v>0.0</v>
      </c>
      <c r="V137" t="n">
        <v>0.0</v>
      </c>
      <c r="W137" t="n">
        <v>0.0</v>
      </c>
      <c r="X137" t="n">
        <v>0.0</v>
      </c>
      <c r="Y137" t="n">
        <v>3.0</v>
      </c>
      <c r="Z137" t="n">
        <v>19.0</v>
      </c>
      <c r="AA137" t="n">
        <v>157.8</v>
      </c>
      <c r="AB137" t="n">
        <v>0.0</v>
      </c>
      <c r="AC137" t="n">
        <v>0.0</v>
      </c>
      <c r="AD137" t="n">
        <v>59.0</v>
      </c>
      <c r="AE137" t="n">
        <v>0.0</v>
      </c>
      <c r="AF137" t="n">
        <v>0.0</v>
      </c>
      <c r="AG137" t="n">
        <v>0.0</v>
      </c>
      <c r="AH137" t="n">
        <v>3.0</v>
      </c>
      <c r="AI137" t="n">
        <v>1.0</v>
      </c>
      <c r="AJ137" t="n">
        <v>0.0</v>
      </c>
      <c r="AK137" t="n">
        <v>8.0</v>
      </c>
      <c r="AL137" t="inlineStr">
        <is>
          <t/>
        </is>
      </c>
    </row>
    <row r="138">
      <c r="A138" t="inlineStr">
        <is>
          <t>手剥虾仁69管一周？一人食减脂餐</t>
        </is>
      </c>
      <c r="B138" t="inlineStr">
        <is>
          <t>6a709fe70000000032023212</t>
        </is>
      </c>
      <c r="C138" s="137" t="n">
        <f>HYPERLINK("https://www.xiaohongshu.com/explore/6a709fe70000000032023212?xsec_token=TBIU1I5Zy_IXjnVZzC2076Q_-bg19kZB4qq8vTG7xAZhw=&amp;xsec_source=pc_trdark","https://www.xiaohongshu.com/explore/6a709fe70000000032023212?xsec_token=TBIU1I5Zy_IXjnVZzC2076Q_-bg19kZB4qq8vTG7xAZhw=&amp;xsec_source=pc_trdark")</f>
        <v>0.0</v>
      </c>
      <c r="D138" t="inlineStr">
        <is>
          <t>鲜水湾甄选</t>
        </is>
      </c>
      <c r="E138" t="inlineStr">
        <is>
          <t>27401929161</t>
        </is>
      </c>
      <c r="F138" t="inlineStr">
        <is>
          <t>2026-08-03 22:04:23</t>
        </is>
      </c>
      <c r="G138" t="inlineStr">
        <is>
          <t>图文</t>
        </is>
      </c>
      <c r="H138" t="inlineStr">
        <is>
          <t>手剥虾仁 无冰衣无添加 低脂餐一人食 上班带饭 顺丰包邮 5盒装</t>
        </is>
      </c>
      <c r="I138" t="inlineStr">
        <is>
          <t>694baba01d450d00013662f0</t>
        </is>
      </c>
      <c r="J138" t="inlineStr">
        <is>
          <t/>
        </is>
      </c>
      <c r="K138" t="n">
        <v>0.0</v>
      </c>
      <c r="L138" t="n">
        <v>0.0</v>
      </c>
      <c r="M138" t="n">
        <v>14.0</v>
      </c>
      <c r="N138" t="inlineStr">
        <is>
          <t>0.23728813559322035</t>
        </is>
      </c>
      <c r="O138" t="n">
        <v>12.0</v>
      </c>
      <c r="P138" t="n">
        <v>0.0</v>
      </c>
      <c r="Q138" t="n">
        <v>0.0</v>
      </c>
      <c r="R138" t="n">
        <v>0.0</v>
      </c>
      <c r="S138" t="n">
        <v>0.0</v>
      </c>
      <c r="T138" t="n">
        <v>0.0</v>
      </c>
      <c r="U138" t="n">
        <v>0.0</v>
      </c>
      <c r="V138" t="n">
        <v>0.0</v>
      </c>
      <c r="W138" t="inlineStr">
        <is>
          <t/>
        </is>
      </c>
      <c r="X138" t="n">
        <v>0.0</v>
      </c>
      <c r="Y138" t="n">
        <v>4.0</v>
      </c>
      <c r="Z138" t="n">
        <v>1.0</v>
      </c>
      <c r="AA138" t="n">
        <v>0.0</v>
      </c>
      <c r="AB138" t="n">
        <v>0.0</v>
      </c>
      <c r="AC138" t="n">
        <v>0.0</v>
      </c>
      <c r="AD138" t="n">
        <v>59.0</v>
      </c>
      <c r="AE138" t="n">
        <v>0.0</v>
      </c>
      <c r="AF138" t="n">
        <v>0.0</v>
      </c>
      <c r="AG138" t="n">
        <v>0.0</v>
      </c>
      <c r="AH138" t="n">
        <v>0.0</v>
      </c>
      <c r="AI138" t="n">
        <v>0.0</v>
      </c>
      <c r="AJ138" t="n">
        <v>0.0</v>
      </c>
      <c r="AK138" t="n">
        <v>10.305084745762711</v>
      </c>
      <c r="AL138" t="inlineStr">
        <is>
          <t/>
        </is>
      </c>
    </row>
    <row r="139">
      <c r="A139" t="inlineStr">
        <is>
          <t>不会做饭也能做三文鱼蒸蛋</t>
        </is>
      </c>
      <c r="B139" t="inlineStr">
        <is>
          <t>6a1537250000000006021ba5</t>
        </is>
      </c>
      <c r="C139" s="138" t="n">
        <f>HYPERLINK("https://www.xiaohongshu.com/explore/6a1537250000000006021ba5?xsec_token=TB-9iWPr9Mx2NrjMC4lGPdgEKSmIrP4-VYyai2IKezyJA=&amp;xsec_source=pc_trdark","https://www.xiaohongshu.com/explore/6a1537250000000006021ba5?xsec_token=TB-9iWPr9Mx2NrjMC4lGPdgEKSmIrP4-VYyai2IKezyJA=&amp;xsec_source=pc_trdark")</f>
        <v>0.0</v>
      </c>
      <c r="D139" t="inlineStr">
        <is>
          <t>鲜水湾</t>
        </is>
      </c>
      <c r="E139" t="inlineStr">
        <is>
          <t>49316638994</t>
        </is>
      </c>
      <c r="F139" t="inlineStr">
        <is>
          <t>2026-05-26 14:01:09</t>
        </is>
      </c>
      <c r="G139" t="inlineStr">
        <is>
          <t>图文</t>
        </is>
      </c>
      <c r="H139" t="inlineStr">
        <is>
          <t>智利尾端中段整条三文鱼 8斤深海鱼低脂餐囤货一周备菜顺丰包邮</t>
        </is>
      </c>
      <c r="I139" t="inlineStr">
        <is>
          <t>69fab80d64eb410001ece0c0</t>
        </is>
      </c>
      <c r="J139" t="inlineStr">
        <is>
          <t/>
        </is>
      </c>
      <c r="K139" t="n">
        <v>0.0</v>
      </c>
      <c r="L139" t="n">
        <v>0.0</v>
      </c>
      <c r="M139" t="n">
        <v>2.0</v>
      </c>
      <c r="N139" t="inlineStr">
        <is>
          <t>0.03389830508474576</t>
        </is>
      </c>
      <c r="O139" t="n">
        <v>1.0</v>
      </c>
      <c r="P139" t="n">
        <v>0.0</v>
      </c>
      <c r="Q139" t="n">
        <v>0.0</v>
      </c>
      <c r="R139" t="n">
        <v>0.0</v>
      </c>
      <c r="S139" t="n">
        <v>0.0</v>
      </c>
      <c r="T139" t="n">
        <v>0.0</v>
      </c>
      <c r="U139" t="n">
        <v>0.0</v>
      </c>
      <c r="V139" t="n">
        <v>0.0</v>
      </c>
      <c r="W139" t="inlineStr">
        <is>
          <t/>
        </is>
      </c>
      <c r="X139" t="n">
        <v>0.0</v>
      </c>
      <c r="Y139" t="n">
        <v>1.0</v>
      </c>
      <c r="Z139" t="n">
        <v>0.0</v>
      </c>
      <c r="AA139" t="n">
        <v>0.0</v>
      </c>
      <c r="AB139" t="n">
        <v>0.0</v>
      </c>
      <c r="AC139" t="n">
        <v>0.0</v>
      </c>
      <c r="AD139" t="n">
        <v>59.0</v>
      </c>
      <c r="AE139" t="n">
        <v>0.0</v>
      </c>
      <c r="AF139" t="n">
        <v>0.0</v>
      </c>
      <c r="AG139" t="n">
        <v>0.0</v>
      </c>
      <c r="AH139" t="n">
        <v>0.0</v>
      </c>
      <c r="AI139" t="n">
        <v>0.0</v>
      </c>
      <c r="AJ139" t="n">
        <v>0.0</v>
      </c>
      <c r="AK139" t="n">
        <v>17.305084745762713</v>
      </c>
      <c r="AL139" t="inlineStr">
        <is>
          <t/>
        </is>
      </c>
    </row>
    <row r="140">
      <c r="A140" t="inlineStr">
        <is>
          <t>真的低估了300块的购买力！</t>
        </is>
      </c>
      <c r="B140" t="inlineStr">
        <is>
          <t>6a7ed7a00000000028030341</t>
        </is>
      </c>
      <c r="C140" s="139" t="n">
        <f>HYPERLINK("https://www.xiaohongshu.com/explore/6a7ed7a00000000028030341?xsec_token=TBBnEEkj2VNmS0LsHYWGGzg6rnYLIU2Rrfy9bvSNq0t08=&amp;xsec_source=pc_trdark","https://www.xiaohongshu.com/explore/6a7ed7a00000000028030341?xsec_token=TBBnEEkj2VNmS0LsHYWGGzg6rnYLIU2Rrfy9bvSNq0t08=&amp;xsec_source=pc_trdark")</f>
        <v>0.0</v>
      </c>
      <c r="D140" t="inlineStr">
        <is>
          <t>鲜水湾</t>
        </is>
      </c>
      <c r="E140" t="inlineStr">
        <is>
          <t>49316638994</t>
        </is>
      </c>
      <c r="F140" t="inlineStr">
        <is>
          <t>2026-08-14 16:53:52</t>
        </is>
      </c>
      <c r="G140" t="inlineStr">
        <is>
          <t>图文</t>
        </is>
      </c>
      <c r="H140" t="inlineStr">
        <is>
          <t>智利尾端中段整条三文鱼 8斤深海鱼低脂餐囤货一周备菜顺丰包邮</t>
        </is>
      </c>
      <c r="I140" t="inlineStr">
        <is>
          <t>69fab80d64eb410001ece0c0</t>
        </is>
      </c>
      <c r="J140" t="inlineStr">
        <is>
          <t/>
        </is>
      </c>
      <c r="K140" t="n">
        <v>0.0</v>
      </c>
      <c r="L140" t="n">
        <v>0.0</v>
      </c>
      <c r="M140" t="n">
        <v>6.0</v>
      </c>
      <c r="N140" t="inlineStr">
        <is>
          <t>0.10344827586206896</t>
        </is>
      </c>
      <c r="O140" t="n">
        <v>5.0</v>
      </c>
      <c r="P140" t="n">
        <v>0.0</v>
      </c>
      <c r="Q140" t="n">
        <v>0.0</v>
      </c>
      <c r="R140" t="n">
        <v>0.0</v>
      </c>
      <c r="S140" t="n">
        <v>0.0</v>
      </c>
      <c r="T140" t="n">
        <v>0.0</v>
      </c>
      <c r="U140" t="n">
        <v>0.0</v>
      </c>
      <c r="V140" t="n">
        <v>0.0</v>
      </c>
      <c r="W140" t="inlineStr">
        <is>
          <t/>
        </is>
      </c>
      <c r="X140" t="n">
        <v>0.0</v>
      </c>
      <c r="Y140" t="n">
        <v>0.0</v>
      </c>
      <c r="Z140" t="n">
        <v>5.0</v>
      </c>
      <c r="AA140" t="n">
        <v>0.0</v>
      </c>
      <c r="AB140" t="n">
        <v>0.0</v>
      </c>
      <c r="AC140" t="n">
        <v>0.0</v>
      </c>
      <c r="AD140" t="n">
        <v>58.0</v>
      </c>
      <c r="AE140" t="n">
        <v>1.0</v>
      </c>
      <c r="AF140" t="n">
        <v>1.0</v>
      </c>
      <c r="AG140" t="n">
        <v>0.0</v>
      </c>
      <c r="AH140" t="n">
        <v>2.0</v>
      </c>
      <c r="AI140" t="n">
        <v>1.0</v>
      </c>
      <c r="AJ140" t="n">
        <v>0.0</v>
      </c>
      <c r="AK140" t="n">
        <v>15.879310344827585</v>
      </c>
      <c r="AL140" t="inlineStr">
        <is>
          <t/>
        </is>
      </c>
    </row>
    <row r="141">
      <c r="A141" t="inlineStr">
        <is>
          <t>公司微波炉坏了第三天，我反而吃得更开心</t>
        </is>
      </c>
      <c r="B141" t="inlineStr">
        <is>
          <t>6a2a56970000000020039999</t>
        </is>
      </c>
      <c r="C141" s="140" t="n">
        <f>HYPERLINK("https://www.xiaohongshu.com/explore/6a2a56970000000020039999?xsec_token=TBzEbZzDIbsNf83YP0tUSA_DcLsKb0neZgLnpTMsNoe5Q=&amp;xsec_source=pc_trdark","https://www.xiaohongshu.com/explore/6a2a56970000000020039999?xsec_token=TBzEbZzDIbsNf83YP0tUSA_DcLsKb0neZgLnpTMsNoe5Q=&amp;xsec_source=pc_trdark")</f>
        <v>0.0</v>
      </c>
      <c r="D141" t="inlineStr">
        <is>
          <t>菲菲上班吃什么</t>
        </is>
      </c>
      <c r="E141" t="inlineStr">
        <is>
          <t>49936530607</t>
        </is>
      </c>
      <c r="F141" t="inlineStr">
        <is>
          <t>2026-06-11 14:32:55</t>
        </is>
      </c>
      <c r="G141" t="inlineStr">
        <is>
          <t>图文</t>
        </is>
      </c>
      <c r="H141" t="inlineStr">
        <is>
          <t>手剥虾仁 无冰衣无添加 低脂餐一人食 上班带饭 顺丰包邮 5盒装</t>
        </is>
      </c>
      <c r="I141" t="inlineStr">
        <is>
          <t>694baba01d450d00013662f0</t>
        </is>
      </c>
      <c r="J141" t="inlineStr">
        <is>
          <t/>
        </is>
      </c>
      <c r="K141" t="n">
        <v>0.0</v>
      </c>
      <c r="L141" t="n">
        <v>0.0</v>
      </c>
      <c r="M141" t="n">
        <v>1.0</v>
      </c>
      <c r="N141" t="inlineStr">
        <is>
          <t>0.017241379310344827</t>
        </is>
      </c>
      <c r="O141" t="n">
        <v>1.0</v>
      </c>
      <c r="P141" t="n">
        <v>0.0</v>
      </c>
      <c r="Q141" t="n">
        <v>0.0</v>
      </c>
      <c r="R141" t="n">
        <v>0.0</v>
      </c>
      <c r="S141" t="n">
        <v>0.0</v>
      </c>
      <c r="T141" t="n">
        <v>0.0</v>
      </c>
      <c r="U141" t="n">
        <v>0.0</v>
      </c>
      <c r="V141" t="n">
        <v>0.0</v>
      </c>
      <c r="W141" t="inlineStr">
        <is>
          <t/>
        </is>
      </c>
      <c r="X141" t="n">
        <v>0.0</v>
      </c>
      <c r="Y141" t="n">
        <v>0.0</v>
      </c>
      <c r="Z141" t="n">
        <v>0.0</v>
      </c>
      <c r="AA141" t="n">
        <v>0.0</v>
      </c>
      <c r="AB141" t="n">
        <v>0.0</v>
      </c>
      <c r="AC141" t="n">
        <v>0.0</v>
      </c>
      <c r="AD141" t="n">
        <v>58.0</v>
      </c>
      <c r="AE141" t="n">
        <v>0.0</v>
      </c>
      <c r="AF141" t="n">
        <v>1.0</v>
      </c>
      <c r="AG141" t="n">
        <v>0.0</v>
      </c>
      <c r="AH141" t="n">
        <v>0.0</v>
      </c>
      <c r="AI141" t="n">
        <v>0.0</v>
      </c>
      <c r="AJ141" t="n">
        <v>0.0</v>
      </c>
      <c r="AK141" t="n">
        <v>8.551724137931034</v>
      </c>
      <c r="AL141" t="inlineStr">
        <is>
          <t/>
        </is>
      </c>
    </row>
    <row r="142">
      <c r="A142" t="inlineStr">
        <is>
          <t>唯一缺点：需要自己动手做</t>
        </is>
      </c>
      <c r="B142" t="inlineStr">
        <is>
          <t>6a4f0c3200000000070211aa</t>
        </is>
      </c>
      <c r="C142" s="141" t="n">
        <f>HYPERLINK("https://www.xiaohongshu.com/explore/6a4f0c3200000000070211aa?xsec_token=TBFAmOxEStEk-753Ha7GZ-q2Ck3pbifxx9347kT76yp7c=&amp;xsec_source=pc_trdark","https://www.xiaohongshu.com/explore/6a4f0c3200000000070211aa?xsec_token=TBFAmOxEStEk-753Ha7GZ-q2Ck3pbifxx9347kT76yp7c=&amp;xsec_source=pc_trdark")</f>
        <v>0.0</v>
      </c>
      <c r="D142" t="inlineStr">
        <is>
          <t>鲜水湾</t>
        </is>
      </c>
      <c r="E142" t="inlineStr">
        <is>
          <t>49316638994</t>
        </is>
      </c>
      <c r="F142" t="inlineStr">
        <is>
          <t>2026-07-09 10:49:22</t>
        </is>
      </c>
      <c r="G142" t="inlineStr">
        <is>
          <t>图文</t>
        </is>
      </c>
      <c r="H142" t="inlineStr">
        <is>
          <t>智利三文鱼切块·整条三文鱼·深海鱼一人食健康饮食</t>
        </is>
      </c>
      <c r="I142" t="inlineStr">
        <is>
          <t>691ac562a524ee0001b51d7b</t>
        </is>
      </c>
      <c r="J142" t="inlineStr">
        <is>
          <t/>
        </is>
      </c>
      <c r="K142" t="n">
        <v>0.0</v>
      </c>
      <c r="L142" t="n">
        <v>0.0</v>
      </c>
      <c r="M142" t="n">
        <v>4.0</v>
      </c>
      <c r="N142" t="inlineStr">
        <is>
          <t>0.07017543859649122</t>
        </is>
      </c>
      <c r="O142" t="n">
        <v>4.0</v>
      </c>
      <c r="P142" t="n">
        <v>0.0</v>
      </c>
      <c r="Q142" t="n">
        <v>0.0</v>
      </c>
      <c r="R142" t="n">
        <v>0.0</v>
      </c>
      <c r="S142" t="n">
        <v>0.0</v>
      </c>
      <c r="T142" t="n">
        <v>0.0</v>
      </c>
      <c r="U142" t="n">
        <v>0.0</v>
      </c>
      <c r="V142" t="n">
        <v>0.0</v>
      </c>
      <c r="W142" t="inlineStr">
        <is>
          <t/>
        </is>
      </c>
      <c r="X142" t="n">
        <v>0.0</v>
      </c>
      <c r="Y142" t="n">
        <v>0.0</v>
      </c>
      <c r="Z142" t="n">
        <v>1.0</v>
      </c>
      <c r="AA142" t="n">
        <v>0.0</v>
      </c>
      <c r="AB142" t="n">
        <v>0.0</v>
      </c>
      <c r="AC142" t="n">
        <v>0.0</v>
      </c>
      <c r="AD142" t="n">
        <v>57.0</v>
      </c>
      <c r="AE142" t="n">
        <v>0.0</v>
      </c>
      <c r="AF142" t="n">
        <v>0.0</v>
      </c>
      <c r="AG142" t="n">
        <v>0.0</v>
      </c>
      <c r="AH142" t="n">
        <v>0.0</v>
      </c>
      <c r="AI142" t="n">
        <v>0.0</v>
      </c>
      <c r="AJ142" t="n">
        <v>0.0</v>
      </c>
      <c r="AK142" t="n">
        <v>8.736842105263158</v>
      </c>
      <c r="AL142" t="inlineStr">
        <is>
          <t/>
        </is>
      </c>
    </row>
    <row r="143">
      <c r="A143" t="inlineStr">
        <is>
          <t>没人觉得减肥很省钱吗......</t>
        </is>
      </c>
      <c r="B143" t="inlineStr">
        <is>
          <t>69fc87cf000000001f0041fc</t>
        </is>
      </c>
      <c r="C143" s="142" t="n">
        <f>HYPERLINK("https://www.xiaohongshu.com/explore/69fc87cf000000001f0041fc?xsec_token=TB1OifDdqM9yEX6kPeVGJETkEJiN4vTNFz0XRDE0f7dhk=&amp;xsec_source=pc_trdark","https://www.xiaohongshu.com/explore/69fc87cf000000001f0041fc?xsec_token=TB1OifDdqM9yEX6kPeVGJETkEJiN4vTNFz0XRDE0f7dhk=&amp;xsec_source=pc_trdark")</f>
        <v>0.0</v>
      </c>
      <c r="D143" t="inlineStr">
        <is>
          <t>婉婉上班吃什么</t>
        </is>
      </c>
      <c r="E143" t="inlineStr">
        <is>
          <t>11434449706</t>
        </is>
      </c>
      <c r="F143" t="inlineStr">
        <is>
          <t>2026-05-07 20:38:39</t>
        </is>
      </c>
      <c r="G143" t="inlineStr">
        <is>
          <t>图文</t>
        </is>
      </c>
      <c r="H143" t="inlineStr">
        <is>
          <t>大虾基围虾王牌大虾厄瓜多尔白虾盐冻虾仁海洋大虾送礼顺丰包邮</t>
        </is>
      </c>
      <c r="I143" t="inlineStr">
        <is>
          <t>690aeb7be379430001e686ac</t>
        </is>
      </c>
      <c r="J143" t="inlineStr">
        <is>
          <t/>
        </is>
      </c>
      <c r="K143" t="n">
        <v>0.0</v>
      </c>
      <c r="L143" t="n">
        <v>0.0</v>
      </c>
      <c r="M143" t="n">
        <v>1.0</v>
      </c>
      <c r="N143" t="inlineStr">
        <is>
          <t>0.017543859649122806</t>
        </is>
      </c>
      <c r="O143" t="n">
        <v>1.0</v>
      </c>
      <c r="P143" t="n">
        <v>0.0</v>
      </c>
      <c r="Q143" t="n">
        <v>0.0</v>
      </c>
      <c r="R143" t="n">
        <v>0.0</v>
      </c>
      <c r="S143" t="n">
        <v>0.0</v>
      </c>
      <c r="T143" t="n">
        <v>0.0</v>
      </c>
      <c r="U143" t="n">
        <v>0.0</v>
      </c>
      <c r="V143" t="n">
        <v>0.0</v>
      </c>
      <c r="W143" t="inlineStr">
        <is>
          <t/>
        </is>
      </c>
      <c r="X143" t="n">
        <v>0.0</v>
      </c>
      <c r="Y143" t="n">
        <v>0.0</v>
      </c>
      <c r="Z143" t="n">
        <v>2.0</v>
      </c>
      <c r="AA143" t="n">
        <v>0.0</v>
      </c>
      <c r="AB143" t="n">
        <v>0.0</v>
      </c>
      <c r="AC143" t="n">
        <v>0.0</v>
      </c>
      <c r="AD143" t="n">
        <v>57.0</v>
      </c>
      <c r="AE143" t="n">
        <v>0.0</v>
      </c>
      <c r="AF143" t="n">
        <v>0.0</v>
      </c>
      <c r="AG143" t="n">
        <v>0.0</v>
      </c>
      <c r="AH143" t="n">
        <v>0.0</v>
      </c>
      <c r="AI143" t="n">
        <v>0.0</v>
      </c>
      <c r="AJ143" t="n">
        <v>0.0</v>
      </c>
      <c r="AK143" t="n">
        <v>6.614035087719298</v>
      </c>
      <c r="AL143" t="inlineStr">
        <is>
          <t/>
        </is>
      </c>
    </row>
    <row r="144">
      <c r="A144" t="inlineStr">
        <is>
          <t>宝第一次吃虾仁，我紧张到手抖</t>
        </is>
      </c>
      <c r="B144" t="inlineStr">
        <is>
          <t>69d8b6b0000000001b0236ee</t>
        </is>
      </c>
      <c r="C144" s="143" t="n">
        <f>HYPERLINK("https://www.xiaohongshu.com/explore/69d8b6b0000000001b0236ee?xsec_token=TBaP4Vb_xh4r06-3Gp1C6IeAjT3gl7YDJpDPdCptIo6rE=&amp;xsec_source=pc_trdark","https://www.xiaohongshu.com/explore/69d8b6b0000000001b0236ee?xsec_token=TBaP4Vb_xh4r06-3Gp1C6IeAjT3gl7YDJpDPdCptIo6rE=&amp;xsec_source=pc_trdark")</f>
        <v>0.0</v>
      </c>
      <c r="D144" t="inlineStr">
        <is>
          <t>婉婉上班吃什么</t>
        </is>
      </c>
      <c r="E144" t="inlineStr">
        <is>
          <t>11434449706</t>
        </is>
      </c>
      <c r="F144" t="inlineStr">
        <is>
          <t>2026-04-10 16:37:05</t>
        </is>
      </c>
      <c r="G144" t="inlineStr">
        <is>
          <t>图文</t>
        </is>
      </c>
      <c r="H144" t="inlineStr">
        <is>
          <t>手剥虾仁 无冰衣无添加 低脂餐一人食 上班带饭 顺丰包邮 5盒装</t>
        </is>
      </c>
      <c r="I144" t="inlineStr">
        <is>
          <t>694baba01d450d00013662f0</t>
        </is>
      </c>
      <c r="J144" t="inlineStr">
        <is>
          <t/>
        </is>
      </c>
      <c r="K144" t="n">
        <v>0.0</v>
      </c>
      <c r="L144" t="n">
        <v>0.0</v>
      </c>
      <c r="M144" t="n">
        <v>0.0</v>
      </c>
      <c r="N144" t="n">
        <v>0.0</v>
      </c>
      <c r="O144" t="n">
        <v>0.0</v>
      </c>
      <c r="P144" t="n">
        <v>0.0</v>
      </c>
      <c r="Q144" t="inlineStr">
        <is>
          <t/>
        </is>
      </c>
      <c r="R144" t="inlineStr">
        <is>
          <t/>
        </is>
      </c>
      <c r="S144" t="n">
        <v>0.0</v>
      </c>
      <c r="T144" t="n">
        <v>0.0</v>
      </c>
      <c r="U144" t="n">
        <v>0.0</v>
      </c>
      <c r="V144" t="n">
        <v>0.0</v>
      </c>
      <c r="W144" t="inlineStr">
        <is>
          <t/>
        </is>
      </c>
      <c r="X144" t="n">
        <v>0.0</v>
      </c>
      <c r="Y144" t="n">
        <v>0.0</v>
      </c>
      <c r="Z144" t="n">
        <v>0.0</v>
      </c>
      <c r="AA144" t="n">
        <v>0.0</v>
      </c>
      <c r="AB144" t="n">
        <v>0.0</v>
      </c>
      <c r="AC144" t="n">
        <v>0.0</v>
      </c>
      <c r="AD144" t="n">
        <v>57.0</v>
      </c>
      <c r="AE144" t="n">
        <v>1.0</v>
      </c>
      <c r="AF144" t="n">
        <v>0.0</v>
      </c>
      <c r="AG144" t="n">
        <v>0.0</v>
      </c>
      <c r="AH144" t="n">
        <v>0.0</v>
      </c>
      <c r="AI144" t="n">
        <v>0.0</v>
      </c>
      <c r="AJ144" t="n">
        <v>0.0</v>
      </c>
      <c r="AK144" t="n">
        <v>9.614035087719298</v>
      </c>
      <c r="AL144" t="inlineStr">
        <is>
          <t/>
        </is>
      </c>
    </row>
    <row r="145">
      <c r="A145" t="inlineStr">
        <is>
          <t>我妈问：咱家虾仁 100 出头 10 包会有人买吗</t>
        </is>
      </c>
      <c r="B145" t="inlineStr">
        <is>
          <t>6a7301e0000000002202e292</t>
        </is>
      </c>
      <c r="C145" s="144" t="n">
        <f>HYPERLINK("https://www.xiaohongshu.com/explore/6a7301e0000000002202e292?xsec_token=TBSsKfBXXtDdhqA8Z1ziNPgIPB5dDZMhEZ2bJN1pvsShw=&amp;xsec_source=pc_trdark","https://www.xiaohongshu.com/explore/6a7301e0000000002202e292?xsec_token=TBSsKfBXXtDdhqA8Z1ziNPgIPB5dDZMhEZ2bJN1pvsShw=&amp;xsec_source=pc_trdark")</f>
        <v>0.0</v>
      </c>
      <c r="D145" t="inlineStr">
        <is>
          <t>鲜水湾</t>
        </is>
      </c>
      <c r="E145" t="inlineStr">
        <is>
          <t>49316638994</t>
        </is>
      </c>
      <c r="F145" t="inlineStr">
        <is>
          <t>2026-08-05 17:26:56</t>
        </is>
      </c>
      <c r="G145" t="inlineStr">
        <is>
          <t>图文</t>
        </is>
      </c>
      <c r="H145" t="inlineStr">
        <is>
          <t>手剥虾仁 无冰衣无添加 低脂餐一人食 上班带饭 顺丰包邮 5盒装</t>
        </is>
      </c>
      <c r="I145" t="inlineStr">
        <is>
          <t>694baba01d450d00013662f0</t>
        </is>
      </c>
      <c r="J145" t="inlineStr">
        <is>
          <t/>
        </is>
      </c>
      <c r="K145" t="n">
        <v>0.0</v>
      </c>
      <c r="L145" t="n">
        <v>0.0</v>
      </c>
      <c r="M145" t="n">
        <v>13.0</v>
      </c>
      <c r="N145" t="inlineStr">
        <is>
          <t>0.23214285714285715</t>
        </is>
      </c>
      <c r="O145" t="n">
        <v>11.0</v>
      </c>
      <c r="P145" t="n">
        <v>0.0</v>
      </c>
      <c r="Q145" t="n">
        <v>0.0</v>
      </c>
      <c r="R145" t="n">
        <v>0.0</v>
      </c>
      <c r="S145" t="n">
        <v>0.0</v>
      </c>
      <c r="T145" t="n">
        <v>0.0</v>
      </c>
      <c r="U145" t="n">
        <v>0.0</v>
      </c>
      <c r="V145" t="n">
        <v>0.0</v>
      </c>
      <c r="W145" t="inlineStr">
        <is>
          <t/>
        </is>
      </c>
      <c r="X145" t="n">
        <v>0.0</v>
      </c>
      <c r="Y145" t="n">
        <v>5.0</v>
      </c>
      <c r="Z145" t="n">
        <v>0.0</v>
      </c>
      <c r="AA145" t="n">
        <v>0.0</v>
      </c>
      <c r="AB145" t="n">
        <v>0.0</v>
      </c>
      <c r="AC145" t="n">
        <v>0.0</v>
      </c>
      <c r="AD145" t="n">
        <v>56.0</v>
      </c>
      <c r="AE145" t="n">
        <v>1.0</v>
      </c>
      <c r="AF145" t="n">
        <v>0.0</v>
      </c>
      <c r="AG145" t="n">
        <v>0.0</v>
      </c>
      <c r="AH145" t="n">
        <v>2.0</v>
      </c>
      <c r="AI145" t="n">
        <v>1.0</v>
      </c>
      <c r="AJ145" t="n">
        <v>0.0</v>
      </c>
      <c r="AK145" t="n">
        <v>14.125</v>
      </c>
      <c r="AL145" t="inlineStr">
        <is>
          <t/>
        </is>
      </c>
    </row>
    <row r="146">
      <c r="A146" t="inlineStr">
        <is>
          <t>误以为吃虾很贵，结果100块吃了半个月😂</t>
        </is>
      </c>
      <c r="B146" t="inlineStr">
        <is>
          <t>6a6621ca0000000014007b1b</t>
        </is>
      </c>
      <c r="C146" s="145" t="n">
        <f>HYPERLINK("https://www.xiaohongshu.com/explore/6a6621ca0000000014007b1b?xsec_token=TBIHthkK-vLT6HWx1MaVA_QeZ95PhN6UHn9aOefuk6uIw=&amp;xsec_source=pc_trdark","https://www.xiaohongshu.com/explore/6a6621ca0000000014007b1b?xsec_token=TBIHthkK-vLT6HWx1MaVA_QeZ95PhN6UHn9aOefuk6uIw=&amp;xsec_source=pc_trdark")</f>
        <v>0.0</v>
      </c>
      <c r="D146" t="inlineStr">
        <is>
          <t>婉婉上班吃什么</t>
        </is>
      </c>
      <c r="E146" t="inlineStr">
        <is>
          <t>11434449706</t>
        </is>
      </c>
      <c r="F146" t="inlineStr">
        <is>
          <t>2026-07-26 23:03:38</t>
        </is>
      </c>
      <c r="G146" t="inlineStr">
        <is>
          <t>图文</t>
        </is>
      </c>
      <c r="H146" t="inlineStr">
        <is>
          <t>手剥虾仁 无冰衣无添加 低脂餐一人食 上班带饭 顺丰包邮 5盒装</t>
        </is>
      </c>
      <c r="I146" t="inlineStr">
        <is>
          <t>694baba01d450d00013662f0</t>
        </is>
      </c>
      <c r="J146" t="inlineStr">
        <is>
          <t/>
        </is>
      </c>
      <c r="K146" t="n">
        <v>127.0</v>
      </c>
      <c r="L146" t="n">
        <v>1.0</v>
      </c>
      <c r="M146" t="n">
        <v>8.0</v>
      </c>
      <c r="N146" t="inlineStr">
        <is>
          <t>0.14285714285714285</t>
        </is>
      </c>
      <c r="O146" t="n">
        <v>8.0</v>
      </c>
      <c r="P146" t="n">
        <v>1.0</v>
      </c>
      <c r="Q146" t="n">
        <v>0.125</v>
      </c>
      <c r="R146" t="n">
        <v>0.125</v>
      </c>
      <c r="S146" t="n">
        <v>0.0</v>
      </c>
      <c r="T146" t="n">
        <v>0.0</v>
      </c>
      <c r="U146" t="n">
        <v>0.0</v>
      </c>
      <c r="V146" t="n">
        <v>0.0</v>
      </c>
      <c r="W146" t="n">
        <v>0.0</v>
      </c>
      <c r="X146" t="n">
        <v>0.0</v>
      </c>
      <c r="Y146" t="n">
        <v>1.0</v>
      </c>
      <c r="Z146" t="n">
        <v>1.0</v>
      </c>
      <c r="AA146" t="n">
        <v>0.0</v>
      </c>
      <c r="AB146" t="n">
        <v>0.0</v>
      </c>
      <c r="AC146" t="n">
        <v>0.0</v>
      </c>
      <c r="AD146" t="n">
        <v>56.0</v>
      </c>
      <c r="AE146" t="n">
        <v>0.0</v>
      </c>
      <c r="AF146" t="n">
        <v>0.0</v>
      </c>
      <c r="AG146" t="n">
        <v>0.0</v>
      </c>
      <c r="AH146" t="n">
        <v>0.0</v>
      </c>
      <c r="AI146" t="n">
        <v>0.0</v>
      </c>
      <c r="AJ146" t="n">
        <v>0.0</v>
      </c>
      <c r="AK146" t="n">
        <v>12.892857142857142</v>
      </c>
      <c r="AL146" t="inlineStr">
        <is>
          <t/>
        </is>
      </c>
    </row>
    <row r="147">
      <c r="A147" t="inlineStr">
        <is>
          <t>解救宝妈！！5分钟早餐被独立小包虾仁救了！！</t>
        </is>
      </c>
      <c r="B147" t="inlineStr">
        <is>
          <t>6a475e7f0000000006020d3d</t>
        </is>
      </c>
      <c r="C147" s="146" t="n">
        <f>HYPERLINK("https://www.xiaohongshu.com/explore/6a475e7f0000000006020d3d?xsec_token=TBfioABv3EUaNcb0n3V9sKZgwpdn66LPYoBUr0zryNPQQ=&amp;xsec_source=pc_trdark","https://www.xiaohongshu.com/explore/6a475e7f0000000006020d3d?xsec_token=TBfioABv3EUaNcb0n3V9sKZgwpdn66LPYoBUr0zryNPQQ=&amp;xsec_source=pc_trdark")</f>
        <v>0.0</v>
      </c>
      <c r="D147" t="inlineStr">
        <is>
          <t>菲菲上班吃什么</t>
        </is>
      </c>
      <c r="E147" t="inlineStr">
        <is>
          <t>49936530607</t>
        </is>
      </c>
      <c r="F147" t="inlineStr">
        <is>
          <t>2026-07-03 15:02:23</t>
        </is>
      </c>
      <c r="G147" t="inlineStr">
        <is>
          <t>图文</t>
        </is>
      </c>
      <c r="H147" t="inlineStr">
        <is>
          <t>手剥虾仁 无冰衣无添加 低脂餐一人食 上班带饭 顺丰包邮 5盒装</t>
        </is>
      </c>
      <c r="I147" t="inlineStr">
        <is>
          <t>694baba01d450d00013662f0</t>
        </is>
      </c>
      <c r="J147" t="inlineStr">
        <is>
          <t/>
        </is>
      </c>
      <c r="K147" t="n">
        <v>390.0</v>
      </c>
      <c r="L147" t="n">
        <v>4.0</v>
      </c>
      <c r="M147" t="n">
        <v>12.0</v>
      </c>
      <c r="N147" t="inlineStr">
        <is>
          <t>0.21428571428571427</t>
        </is>
      </c>
      <c r="O147" t="n">
        <v>10.0</v>
      </c>
      <c r="P147" t="n">
        <v>4.0</v>
      </c>
      <c r="Q147" t="n">
        <v>0.3333333333333333</v>
      </c>
      <c r="R147" t="n">
        <v>0.4</v>
      </c>
      <c r="S147" t="n">
        <v>0.0</v>
      </c>
      <c r="T147" t="n">
        <v>0.0</v>
      </c>
      <c r="U147" t="n">
        <v>0.0</v>
      </c>
      <c r="V147" t="n">
        <v>0.0</v>
      </c>
      <c r="W147" t="n">
        <v>0.0</v>
      </c>
      <c r="X147" t="n">
        <v>0.0</v>
      </c>
      <c r="Y147" t="n">
        <v>5.0</v>
      </c>
      <c r="Z147" t="n">
        <v>7.0</v>
      </c>
      <c r="AA147" t="n">
        <v>0.0</v>
      </c>
      <c r="AB147" t="n">
        <v>0.0</v>
      </c>
      <c r="AC147" t="n">
        <v>0.0</v>
      </c>
      <c r="AD147" t="n">
        <v>56.0</v>
      </c>
      <c r="AE147" t="n">
        <v>1.0</v>
      </c>
      <c r="AF147" t="n">
        <v>0.0</v>
      </c>
      <c r="AG147" t="n">
        <v>0.0</v>
      </c>
      <c r="AH147" t="n">
        <v>0.0</v>
      </c>
      <c r="AI147" t="n">
        <v>0.0</v>
      </c>
      <c r="AJ147" t="n">
        <v>0.0</v>
      </c>
      <c r="AK147" t="n">
        <v>14.214285714285714</v>
      </c>
      <c r="AL147" t="inlineStr">
        <is>
          <t/>
        </is>
      </c>
    </row>
    <row r="148">
      <c r="A148" t="inlineStr">
        <is>
          <t>懒人专属白灼大虾，省去剥壳的快乐</t>
        </is>
      </c>
      <c r="B148" t="inlineStr">
        <is>
          <t>6a661bf7000000001d020f57</t>
        </is>
      </c>
      <c r="C148" s="147" t="n">
        <f>HYPERLINK("https://www.xiaohongshu.com/explore/6a661bf7000000001d020f57?xsec_token=TBIHthkK-vLT6HWx1MaVA_QeP0YLTaaHmmLy8MPyzFXNU=&amp;xsec_source=pc_trdark","https://www.xiaohongshu.com/explore/6a661bf7000000001d020f57?xsec_token=TBIHthkK-vLT6HWx1MaVA_QeP0YLTaaHmmLy8MPyzFXNU=&amp;xsec_source=pc_trdark")</f>
        <v>0.0</v>
      </c>
      <c r="D148" t="inlineStr">
        <is>
          <t>婉婉上班吃什么</t>
        </is>
      </c>
      <c r="E148" t="inlineStr">
        <is>
          <t>11434449706</t>
        </is>
      </c>
      <c r="F148" t="inlineStr">
        <is>
          <t>2026-07-26 22:38:47</t>
        </is>
      </c>
      <c r="G148" t="inlineStr">
        <is>
          <t>图文</t>
        </is>
      </c>
      <c r="H148" t="inlineStr">
        <is>
          <t>手剥虾仁 无冰衣无添加 低脂餐一人食 上班带饭 顺丰包邮 5盒装</t>
        </is>
      </c>
      <c r="I148" t="inlineStr">
        <is>
          <t>694baba01d450d00013662f0</t>
        </is>
      </c>
      <c r="J148" t="inlineStr">
        <is>
          <t/>
        </is>
      </c>
      <c r="K148" t="n">
        <v>0.0</v>
      </c>
      <c r="L148" t="n">
        <v>0.0</v>
      </c>
      <c r="M148" t="n">
        <v>1.0</v>
      </c>
      <c r="N148" t="inlineStr">
        <is>
          <t>0.01818181818181818</t>
        </is>
      </c>
      <c r="O148" t="n">
        <v>1.0</v>
      </c>
      <c r="P148" t="n">
        <v>0.0</v>
      </c>
      <c r="Q148" t="n">
        <v>0.0</v>
      </c>
      <c r="R148" t="n">
        <v>0.0</v>
      </c>
      <c r="S148" t="n">
        <v>0.0</v>
      </c>
      <c r="T148" t="n">
        <v>0.0</v>
      </c>
      <c r="U148" t="n">
        <v>0.0</v>
      </c>
      <c r="V148" t="n">
        <v>0.0</v>
      </c>
      <c r="W148" t="inlineStr">
        <is>
          <t/>
        </is>
      </c>
      <c r="X148" t="n">
        <v>0.0</v>
      </c>
      <c r="Y148" t="n">
        <v>1.0</v>
      </c>
      <c r="Z148" t="n">
        <v>0.0</v>
      </c>
      <c r="AA148" t="n">
        <v>0.0</v>
      </c>
      <c r="AB148" t="n">
        <v>0.0</v>
      </c>
      <c r="AC148" t="n">
        <v>0.0</v>
      </c>
      <c r="AD148" t="n">
        <v>55.0</v>
      </c>
      <c r="AE148" t="n">
        <v>0.0</v>
      </c>
      <c r="AF148" t="n">
        <v>0.0</v>
      </c>
      <c r="AG148" t="n">
        <v>0.0</v>
      </c>
      <c r="AH148" t="n">
        <v>0.0</v>
      </c>
      <c r="AI148" t="n">
        <v>0.0</v>
      </c>
      <c r="AJ148" t="n">
        <v>0.0</v>
      </c>
      <c r="AK148" t="n">
        <v>7.072727272727272</v>
      </c>
      <c r="AL148" t="inlineStr">
        <is>
          <t/>
        </is>
      </c>
    </row>
    <row r="149">
      <c r="A149" t="inlineStr">
        <is>
          <t>同事把虾仁拿出来的那一刻我小脑萎缩了</t>
        </is>
      </c>
      <c r="B149" t="inlineStr">
        <is>
          <t>6a6da03e000000002c0075d8</t>
        </is>
      </c>
      <c r="C149" s="148" t="n">
        <f>HYPERLINK("https://www.xiaohongshu.com/explore/6a6da03e000000002c0075d8?xsec_token=TBzB8vrykIekVwjns_5rHPFI_BREno-RfuMjerNC2rndE=&amp;xsec_source=pc_trdark","https://www.xiaohongshu.com/explore/6a6da03e000000002c0075d8?xsec_token=TBzB8vrykIekVwjns_5rHPFI_BREno-RfuMjerNC2rndE=&amp;xsec_source=pc_trdark")</f>
        <v>0.0</v>
      </c>
      <c r="D149" t="inlineStr">
        <is>
          <t>鲜水湾甄选</t>
        </is>
      </c>
      <c r="E149" t="inlineStr">
        <is>
          <t>27401929161</t>
        </is>
      </c>
      <c r="F149" t="inlineStr">
        <is>
          <t>2026-08-01 15:29:02</t>
        </is>
      </c>
      <c r="G149" t="inlineStr">
        <is>
          <t>图文</t>
        </is>
      </c>
      <c r="H149" t="inlineStr">
        <is>
          <t>手剥虾仁 无冰衣无添加 低脂餐一人食 上班带饭 顺丰包邮 5盒装</t>
        </is>
      </c>
      <c r="I149" t="inlineStr">
        <is>
          <t>694baba01d450d00013662f0</t>
        </is>
      </c>
      <c r="J149" t="inlineStr">
        <is>
          <t/>
        </is>
      </c>
      <c r="K149" t="n">
        <v>0.0</v>
      </c>
      <c r="L149" t="n">
        <v>0.0</v>
      </c>
      <c r="M149" t="n">
        <v>7.0</v>
      </c>
      <c r="N149" t="inlineStr">
        <is>
          <t>0.12962962962962962</t>
        </is>
      </c>
      <c r="O149" t="n">
        <v>7.0</v>
      </c>
      <c r="P149" t="n">
        <v>0.0</v>
      </c>
      <c r="Q149" t="n">
        <v>0.0</v>
      </c>
      <c r="R149" t="n">
        <v>0.0</v>
      </c>
      <c r="S149" t="n">
        <v>0.0</v>
      </c>
      <c r="T149" t="n">
        <v>0.0</v>
      </c>
      <c r="U149" t="n">
        <v>0.0</v>
      </c>
      <c r="V149" t="n">
        <v>0.0</v>
      </c>
      <c r="W149" t="inlineStr">
        <is>
          <t/>
        </is>
      </c>
      <c r="X149" t="n">
        <v>0.0</v>
      </c>
      <c r="Y149" t="n">
        <v>1.0</v>
      </c>
      <c r="Z149" t="n">
        <v>1.0</v>
      </c>
      <c r="AA149" t="n">
        <v>0.0</v>
      </c>
      <c r="AB149" t="n">
        <v>0.0</v>
      </c>
      <c r="AC149" t="n">
        <v>0.0</v>
      </c>
      <c r="AD149" t="n">
        <v>54.0</v>
      </c>
      <c r="AE149" t="n">
        <v>2.0</v>
      </c>
      <c r="AF149" t="n">
        <v>0.0</v>
      </c>
      <c r="AG149" t="n">
        <v>0.0</v>
      </c>
      <c r="AH149" t="n">
        <v>0.0</v>
      </c>
      <c r="AI149" t="n">
        <v>0.0</v>
      </c>
      <c r="AJ149" t="n">
        <v>0.0</v>
      </c>
      <c r="AK149" t="n">
        <v>8.777777777777779</v>
      </c>
      <c r="AL149" t="inlineStr">
        <is>
          <t/>
        </is>
      </c>
    </row>
    <row r="150">
      <c r="A150" t="inlineStr">
        <is>
          <t>懒人必备！二十分钟搞定空气炸锅三文鱼！</t>
        </is>
      </c>
      <c r="B150" t="inlineStr">
        <is>
          <t>6a48ace000000000210194d4</t>
        </is>
      </c>
      <c r="C150" s="149" t="n">
        <f>HYPERLINK("https://www.xiaohongshu.com/explore/6a48ace000000000210194d4?xsec_token=TBXcQ3yr16tRF4vODUHcKAufXrzaHspghy2XQV2cKEJOQ=&amp;xsec_source=pc_trdark","https://www.xiaohongshu.com/explore/6a48ace000000000210194d4?xsec_token=TBXcQ3yr16tRF4vODUHcKAufXrzaHspghy2XQV2cKEJOQ=&amp;xsec_source=pc_trdark")</f>
        <v>0.0</v>
      </c>
      <c r="D150" t="inlineStr">
        <is>
          <t>鲜水湾</t>
        </is>
      </c>
      <c r="E150" t="inlineStr">
        <is>
          <t>49316638994</t>
        </is>
      </c>
      <c r="F150" t="inlineStr">
        <is>
          <t>2026-07-04 14:49:04</t>
        </is>
      </c>
      <c r="G150" t="inlineStr">
        <is>
          <t>图文</t>
        </is>
      </c>
      <c r="H150" t="inlineStr">
        <is>
          <t>智利三文鱼切块·整条三文鱼·深海鱼一人食健康饮食</t>
        </is>
      </c>
      <c r="I150" t="inlineStr">
        <is>
          <t>691ac562a524ee0001b51d7b</t>
        </is>
      </c>
      <c r="J150" t="inlineStr">
        <is>
          <t/>
        </is>
      </c>
      <c r="K150" t="n">
        <v>0.0</v>
      </c>
      <c r="L150" t="n">
        <v>0.0</v>
      </c>
      <c r="M150" t="n">
        <v>1.0</v>
      </c>
      <c r="N150" t="inlineStr">
        <is>
          <t>0.018518518518518517</t>
        </is>
      </c>
      <c r="O150" t="n">
        <v>1.0</v>
      </c>
      <c r="P150" t="n">
        <v>0.0</v>
      </c>
      <c r="Q150" t="n">
        <v>0.0</v>
      </c>
      <c r="R150" t="n">
        <v>0.0</v>
      </c>
      <c r="S150" t="n">
        <v>0.0</v>
      </c>
      <c r="T150" t="n">
        <v>0.0</v>
      </c>
      <c r="U150" t="n">
        <v>0.0</v>
      </c>
      <c r="V150" t="n">
        <v>0.0</v>
      </c>
      <c r="W150" t="inlineStr">
        <is>
          <t/>
        </is>
      </c>
      <c r="X150" t="n">
        <v>0.0</v>
      </c>
      <c r="Y150" t="n">
        <v>0.0</v>
      </c>
      <c r="Z150" t="n">
        <v>0.0</v>
      </c>
      <c r="AA150" t="n">
        <v>0.0</v>
      </c>
      <c r="AB150" t="n">
        <v>0.0</v>
      </c>
      <c r="AC150" t="n">
        <v>0.0</v>
      </c>
      <c r="AD150" t="n">
        <v>54.0</v>
      </c>
      <c r="AE150" t="n">
        <v>1.0</v>
      </c>
      <c r="AF150" t="n">
        <v>0.0</v>
      </c>
      <c r="AG150" t="n">
        <v>0.0</v>
      </c>
      <c r="AH150" t="n">
        <v>0.0</v>
      </c>
      <c r="AI150" t="n">
        <v>0.0</v>
      </c>
      <c r="AJ150" t="n">
        <v>0.0</v>
      </c>
      <c r="AK150" t="n">
        <v>16.25925925925926</v>
      </c>
      <c r="AL150" t="inlineStr">
        <is>
          <t/>
        </is>
      </c>
    </row>
    <row r="151">
      <c r="A151" t="inlineStr">
        <is>
          <t>老板看我每天带饭，以为家庭困难</t>
        </is>
      </c>
      <c r="B151" t="inlineStr">
        <is>
          <t>6a6d87690000000033009b54</t>
        </is>
      </c>
      <c r="C151" s="150" t="n">
        <f>HYPERLINK("https://www.xiaohongshu.com/explore/6a6d87690000000033009b54?xsec_token=TBzB8vrykIekVwjns_5rHPFNHDBrc-5rCcqJI2vTWcOOk=&amp;xsec_source=pc_trdark","https://www.xiaohongshu.com/explore/6a6d87690000000033009b54?xsec_token=TBzB8vrykIekVwjns_5rHPFNHDBrc-5rCcqJI2vTWcOOk=&amp;xsec_source=pc_trdark")</f>
        <v>0.0</v>
      </c>
      <c r="D151" t="inlineStr">
        <is>
          <t>鲜水湾</t>
        </is>
      </c>
      <c r="E151" t="inlineStr">
        <is>
          <t>49316638994</t>
        </is>
      </c>
      <c r="F151" t="inlineStr">
        <is>
          <t>2026-08-01 13:43:05</t>
        </is>
      </c>
      <c r="G151" t="inlineStr">
        <is>
          <t>图文</t>
        </is>
      </c>
      <c r="H151" t="inlineStr">
        <is>
          <t>大虾基围虾王牌大虾厄瓜多尔白虾盐冻虾仁海洋大虾送礼顺丰包邮</t>
        </is>
      </c>
      <c r="I151" t="inlineStr">
        <is>
          <t>690aeb7be379430001e686ac</t>
        </is>
      </c>
      <c r="J151" t="inlineStr">
        <is>
          <t/>
        </is>
      </c>
      <c r="K151" t="n">
        <v>0.0</v>
      </c>
      <c r="L151" t="n">
        <v>0.0</v>
      </c>
      <c r="M151" t="n">
        <v>3.0</v>
      </c>
      <c r="N151" t="inlineStr">
        <is>
          <t>0.057692307692307696</t>
        </is>
      </c>
      <c r="O151" t="n">
        <v>3.0</v>
      </c>
      <c r="P151" t="n">
        <v>0.0</v>
      </c>
      <c r="Q151" t="n">
        <v>0.0</v>
      </c>
      <c r="R151" t="n">
        <v>0.0</v>
      </c>
      <c r="S151" t="n">
        <v>0.0</v>
      </c>
      <c r="T151" t="n">
        <v>0.0</v>
      </c>
      <c r="U151" t="n">
        <v>0.0</v>
      </c>
      <c r="V151" t="n">
        <v>0.0</v>
      </c>
      <c r="W151" t="inlineStr">
        <is>
          <t/>
        </is>
      </c>
      <c r="X151" t="n">
        <v>0.0</v>
      </c>
      <c r="Y151" t="n">
        <v>0.0</v>
      </c>
      <c r="Z151" t="n">
        <v>3.0</v>
      </c>
      <c r="AA151" t="n">
        <v>0.0</v>
      </c>
      <c r="AB151" t="n">
        <v>0.0</v>
      </c>
      <c r="AC151" t="n">
        <v>0.0</v>
      </c>
      <c r="AD151" t="n">
        <v>52.0</v>
      </c>
      <c r="AE151" t="n">
        <v>0.0</v>
      </c>
      <c r="AF151" t="n">
        <v>0.0</v>
      </c>
      <c r="AG151" t="n">
        <v>0.0</v>
      </c>
      <c r="AH151" t="n">
        <v>2.0</v>
      </c>
      <c r="AI151" t="n">
        <v>0.0</v>
      </c>
      <c r="AJ151" t="n">
        <v>0.0</v>
      </c>
      <c r="AK151" t="n">
        <v>9.461538461538462</v>
      </c>
      <c r="AL151" t="inlineStr">
        <is>
          <t/>
        </is>
      </c>
    </row>
    <row r="152">
      <c r="A152" t="inlineStr">
        <is>
          <t>怎么没人和我说呀！五一要送大鲅鱼</t>
        </is>
      </c>
      <c r="B152" t="inlineStr">
        <is>
          <t>69e31a39000000001a037efd</t>
        </is>
      </c>
      <c r="C152" s="151" t="n">
        <f>HYPERLINK("https://www.xiaohongshu.com/explore/69e31a39000000001a037efd?xsec_token=TBdjj7K6Nlm9yT2LpYB6PpNmkKNlbtI457AB4c0BKoBV8=&amp;xsec_source=pc_trdark","https://www.xiaohongshu.com/explore/69e31a39000000001a037efd?xsec_token=TBdjj7K6Nlm9yT2LpYB6PpNmkKNlbtI457AB4c0BKoBV8=&amp;xsec_source=pc_trdark")</f>
        <v>0.0</v>
      </c>
      <c r="D152" t="inlineStr">
        <is>
          <t>鲜水湾</t>
        </is>
      </c>
      <c r="E152" t="inlineStr">
        <is>
          <t>49316638994</t>
        </is>
      </c>
      <c r="F152" t="inlineStr">
        <is>
          <t>2026-04-18 13:44:25</t>
        </is>
      </c>
      <c r="G152" t="inlineStr">
        <is>
          <t>图文</t>
        </is>
      </c>
      <c r="H152" t="inlineStr">
        <is>
          <t>青岛大鲅鱼春鲅鱼鲅鱼新鲜冷冻马鲛鱼蓝点马鲛鱼顺丰包邮</t>
        </is>
      </c>
      <c r="I152" t="inlineStr">
        <is>
          <t>6932506ad36285000198a8a6</t>
        </is>
      </c>
      <c r="J152" t="inlineStr">
        <is>
          <t/>
        </is>
      </c>
      <c r="K152" t="n">
        <v>0.0</v>
      </c>
      <c r="L152" t="n">
        <v>0.0</v>
      </c>
      <c r="M152" t="n">
        <v>4.0</v>
      </c>
      <c r="N152" t="n">
        <v>0.0784313725490196</v>
      </c>
      <c r="O152" t="n">
        <v>3.0</v>
      </c>
      <c r="P152" t="n">
        <v>0.0</v>
      </c>
      <c r="Q152" t="n">
        <v>0.0</v>
      </c>
      <c r="R152" t="n">
        <v>0.0</v>
      </c>
      <c r="S152" t="n">
        <v>0.0</v>
      </c>
      <c r="T152" t="n">
        <v>0.0</v>
      </c>
      <c r="U152" t="n">
        <v>0.0</v>
      </c>
      <c r="V152" t="n">
        <v>0.0</v>
      </c>
      <c r="W152" t="inlineStr">
        <is>
          <t/>
        </is>
      </c>
      <c r="X152" t="n">
        <v>0.0</v>
      </c>
      <c r="Y152" t="n">
        <v>0.0</v>
      </c>
      <c r="Z152" t="n">
        <v>4.0</v>
      </c>
      <c r="AA152" t="n">
        <v>0.0</v>
      </c>
      <c r="AB152" t="n">
        <v>0.0</v>
      </c>
      <c r="AC152" t="n">
        <v>0.0</v>
      </c>
      <c r="AD152" t="n">
        <v>51.0</v>
      </c>
      <c r="AE152" t="n">
        <v>0.0</v>
      </c>
      <c r="AF152" t="n">
        <v>0.0</v>
      </c>
      <c r="AG152" t="n">
        <v>0.0</v>
      </c>
      <c r="AH152" t="n">
        <v>2.0</v>
      </c>
      <c r="AI152" t="n">
        <v>0.0</v>
      </c>
      <c r="AJ152" t="n">
        <v>0.0</v>
      </c>
      <c r="AK152" t="n">
        <v>10.352941176470589</v>
      </c>
      <c r="AL152" t="inlineStr">
        <is>
          <t/>
        </is>
      </c>
    </row>
    <row r="153">
      <c r="A153" t="inlineStr">
        <is>
          <t>区区 300 块够我吃一个月了</t>
        </is>
      </c>
      <c r="B153" t="inlineStr">
        <is>
          <t>69e097ea0000000022028566</t>
        </is>
      </c>
      <c r="C153" s="152" t="n">
        <f>HYPERLINK("https://www.xiaohongshu.com/explore/69e097ea0000000022028566?xsec_token=TB4w-SzmaCvFu1U8FhRGBUu4kz3I-6YzL8d8OqVzEuiyQ=&amp;xsec_source=pc_trdark","https://www.xiaohongshu.com/explore/69e097ea0000000022028566?xsec_token=TB4w-SzmaCvFu1U8FhRGBUu4kz3I-6YzL8d8OqVzEuiyQ=&amp;xsec_source=pc_trdark")</f>
        <v>0.0</v>
      </c>
      <c r="D153" t="inlineStr">
        <is>
          <t>婉婉上班吃什么</t>
        </is>
      </c>
      <c r="E153" t="inlineStr">
        <is>
          <t>11434449706</t>
        </is>
      </c>
      <c r="F153" t="inlineStr">
        <is>
          <t>2026-04-16 16:03:54</t>
        </is>
      </c>
      <c r="G153" t="inlineStr">
        <is>
          <t>图文</t>
        </is>
      </c>
      <c r="H153" t="inlineStr">
        <is>
          <t>智利尾端中段整条三文鱼 8斤深海鱼低脂餐囤货一周备菜顺丰包邮</t>
        </is>
      </c>
      <c r="I153" t="inlineStr">
        <is>
          <t>69fab80d64eb410001ece0c0</t>
        </is>
      </c>
      <c r="J153" t="inlineStr">
        <is>
          <t/>
        </is>
      </c>
      <c r="K153" t="n">
        <v>0.0</v>
      </c>
      <c r="L153" t="n">
        <v>0.0</v>
      </c>
      <c r="M153" t="n">
        <v>5.0</v>
      </c>
      <c r="N153" t="inlineStr">
        <is>
          <t>0.09803921568627451</t>
        </is>
      </c>
      <c r="O153" t="n">
        <v>4.0</v>
      </c>
      <c r="P153" t="n">
        <v>0.0</v>
      </c>
      <c r="Q153" t="n">
        <v>0.0</v>
      </c>
      <c r="R153" t="n">
        <v>0.0</v>
      </c>
      <c r="S153" t="n">
        <v>0.0</v>
      </c>
      <c r="T153" t="n">
        <v>0.0</v>
      </c>
      <c r="U153" t="n">
        <v>0.0</v>
      </c>
      <c r="V153" t="n">
        <v>0.0</v>
      </c>
      <c r="W153" t="inlineStr">
        <is>
          <t/>
        </is>
      </c>
      <c r="X153" t="n">
        <v>0.0</v>
      </c>
      <c r="Y153" t="n">
        <v>2.0</v>
      </c>
      <c r="Z153" t="n">
        <v>0.0</v>
      </c>
      <c r="AA153" t="n">
        <v>0.0</v>
      </c>
      <c r="AB153" t="n">
        <v>0.0</v>
      </c>
      <c r="AC153" t="n">
        <v>0.0</v>
      </c>
      <c r="AD153" t="n">
        <v>51.0</v>
      </c>
      <c r="AE153" t="n">
        <v>0.0</v>
      </c>
      <c r="AF153" t="n">
        <v>0.0</v>
      </c>
      <c r="AG153" t="n">
        <v>0.0</v>
      </c>
      <c r="AH153" t="n">
        <v>0.0</v>
      </c>
      <c r="AI153" t="n">
        <v>0.0</v>
      </c>
      <c r="AJ153" t="n">
        <v>0.0</v>
      </c>
      <c r="AK153" t="n">
        <v>14.509803921568627</v>
      </c>
      <c r="AL153" t="inlineStr">
        <is>
          <t/>
        </is>
      </c>
    </row>
    <row r="154">
      <c r="A154" t="inlineStr">
        <is>
          <t>爸妈误以为很贵的整条三文鱼。。。</t>
        </is>
      </c>
      <c r="B154" t="inlineStr">
        <is>
          <t>6a72af73000000002800ae08</t>
        </is>
      </c>
      <c r="C154" s="153" t="n">
        <f>HYPERLINK("https://www.xiaohongshu.com/explore/6a72af73000000002800ae08?xsec_token=TBRm5Oz6TgnkTuHlzu05n-z6Crj7hWbHbLkooCDIOX488=&amp;xsec_source=pc_trdark","https://www.xiaohongshu.com/explore/6a72af73000000002800ae08?xsec_token=TBRm5Oz6TgnkTuHlzu05n-z6Crj7hWbHbLkooCDIOX488=&amp;xsec_source=pc_trdark")</f>
        <v>0.0</v>
      </c>
      <c r="D154" t="inlineStr">
        <is>
          <t>婉婉上班吃什么</t>
        </is>
      </c>
      <c r="E154" t="inlineStr">
        <is>
          <t>11434449706</t>
        </is>
      </c>
      <c r="F154" t="inlineStr">
        <is>
          <t>2026-08-05 11:35:15</t>
        </is>
      </c>
      <c r="G154" t="inlineStr">
        <is>
          <t>图文</t>
        </is>
      </c>
      <c r="H154" t="inlineStr">
        <is>
          <t>智利尾端中段整条三文鱼 8斤深海鱼低脂餐囤货一周备菜顺丰包邮</t>
        </is>
      </c>
      <c r="I154" t="inlineStr">
        <is>
          <t>69fab80d64eb410001ece0c0</t>
        </is>
      </c>
      <c r="J154" t="inlineStr">
        <is>
          <t/>
        </is>
      </c>
      <c r="K154" t="n">
        <v>0.0</v>
      </c>
      <c r="L154" t="n">
        <v>0.0</v>
      </c>
      <c r="M154" t="n">
        <v>11.0</v>
      </c>
      <c r="N154" t="n">
        <v>0.22</v>
      </c>
      <c r="O154" t="n">
        <v>8.0</v>
      </c>
      <c r="P154" t="n">
        <v>0.0</v>
      </c>
      <c r="Q154" t="n">
        <v>0.0</v>
      </c>
      <c r="R154" t="n">
        <v>0.0</v>
      </c>
      <c r="S154" t="n">
        <v>0.0</v>
      </c>
      <c r="T154" t="n">
        <v>0.0</v>
      </c>
      <c r="U154" t="n">
        <v>0.0</v>
      </c>
      <c r="V154" t="n">
        <v>0.0</v>
      </c>
      <c r="W154" t="inlineStr">
        <is>
          <t/>
        </is>
      </c>
      <c r="X154" t="n">
        <v>0.0</v>
      </c>
      <c r="Y154" t="n">
        <v>3.0</v>
      </c>
      <c r="Z154" t="n">
        <v>0.0</v>
      </c>
      <c r="AA154" t="n">
        <v>0.0</v>
      </c>
      <c r="AB154" t="n">
        <v>0.0</v>
      </c>
      <c r="AC154" t="n">
        <v>0.0</v>
      </c>
      <c r="AD154" t="n">
        <v>50.0</v>
      </c>
      <c r="AE154" t="n">
        <v>1.0</v>
      </c>
      <c r="AF154" t="n">
        <v>0.0</v>
      </c>
      <c r="AG154" t="n">
        <v>0.0</v>
      </c>
      <c r="AH154" t="n">
        <v>1.0</v>
      </c>
      <c r="AI154" t="n">
        <v>0.0</v>
      </c>
      <c r="AJ154" t="n">
        <v>0.0</v>
      </c>
      <c r="AK154" t="n">
        <v>23.74</v>
      </c>
      <c r="AL154" t="inlineStr">
        <is>
          <t/>
        </is>
      </c>
    </row>
    <row r="155">
      <c r="A155" t="inlineStr">
        <is>
          <t>和老爸商量后，推出专为独居姐妹做的小包装</t>
        </is>
      </c>
      <c r="B155" t="inlineStr">
        <is>
          <t>69fdea87000000002003b62d</t>
        </is>
      </c>
      <c r="C155" s="154" t="n">
        <f>HYPERLINK("https://www.xiaohongshu.com/explore/69fdea87000000002003b62d?xsec_token=TBsN-gaZoqyroonAOnMxE14BfsmQ1ajvDuHQpQd2AIvv4=&amp;xsec_source=pc_trdark","https://www.xiaohongshu.com/explore/69fdea87000000002003b62d?xsec_token=TBsN-gaZoqyroonAOnMxE14BfsmQ1ajvDuHQpQd2AIvv4=&amp;xsec_source=pc_trdark")</f>
        <v>0.0</v>
      </c>
      <c r="D155" t="inlineStr">
        <is>
          <t>菲菲上班吃什么</t>
        </is>
      </c>
      <c r="E155" t="inlineStr">
        <is>
          <t>49936530607</t>
        </is>
      </c>
      <c r="F155" t="inlineStr">
        <is>
          <t>2026-05-08 22:41:00</t>
        </is>
      </c>
      <c r="G155" t="inlineStr">
        <is>
          <t>图文</t>
        </is>
      </c>
      <c r="H155" t="inlineStr">
        <is>
          <t>手剥虾仁 无冰衣无添加 低脂餐一人食 上班带饭 顺丰包邮 5盒装</t>
        </is>
      </c>
      <c r="I155" t="inlineStr">
        <is>
          <t>694baba01d450d00013662f0</t>
        </is>
      </c>
      <c r="J155" t="inlineStr">
        <is>
          <t/>
        </is>
      </c>
      <c r="K155" t="n">
        <v>0.0</v>
      </c>
      <c r="L155" t="n">
        <v>0.0</v>
      </c>
      <c r="M155" t="n">
        <v>4.0</v>
      </c>
      <c r="N155" t="n">
        <v>0.08</v>
      </c>
      <c r="O155" t="n">
        <v>4.0</v>
      </c>
      <c r="P155" t="n">
        <v>0.0</v>
      </c>
      <c r="Q155" t="n">
        <v>0.0</v>
      </c>
      <c r="R155" t="n">
        <v>0.0</v>
      </c>
      <c r="S155" t="n">
        <v>0.0</v>
      </c>
      <c r="T155" t="n">
        <v>0.0</v>
      </c>
      <c r="U155" t="n">
        <v>0.0</v>
      </c>
      <c r="V155" t="n">
        <v>0.0</v>
      </c>
      <c r="W155" t="inlineStr">
        <is>
          <t/>
        </is>
      </c>
      <c r="X155" t="n">
        <v>0.0</v>
      </c>
      <c r="Y155" t="n">
        <v>0.0</v>
      </c>
      <c r="Z155" t="n">
        <v>0.0</v>
      </c>
      <c r="AA155" t="n">
        <v>0.0</v>
      </c>
      <c r="AB155" t="n">
        <v>0.0</v>
      </c>
      <c r="AC155" t="n">
        <v>0.0</v>
      </c>
      <c r="AD155" t="n">
        <v>50.0</v>
      </c>
      <c r="AE155" t="n">
        <v>1.0</v>
      </c>
      <c r="AF155" t="n">
        <v>0.0</v>
      </c>
      <c r="AG155" t="n">
        <v>0.0</v>
      </c>
      <c r="AH155" t="n">
        <v>0.0</v>
      </c>
      <c r="AI155" t="n">
        <v>0.0</v>
      </c>
      <c r="AJ155" t="n">
        <v>0.0</v>
      </c>
      <c r="AK155" t="n">
        <v>4.76</v>
      </c>
      <c r="AL155" t="inlineStr">
        <is>
          <t/>
        </is>
      </c>
    </row>
    <row r="156">
      <c r="A156" t="inlineStr">
        <is>
          <t>谁懂！60块独立小包装虾仁，承包我一周减脂餐</t>
        </is>
      </c>
      <c r="B156" t="inlineStr">
        <is>
          <t>6a5a2ba6000000000a038e67</t>
        </is>
      </c>
      <c r="C156" s="155" t="n">
        <f>HYPERLINK("https://www.xiaohongshu.com/explore/6a5a2ba6000000000a038e67?xsec_token=TB4snoxz_tGrT0swQwZBXFqninijSRSo9HpRLpahpycX8=&amp;xsec_source=pc_trdark","https://www.xiaohongshu.com/explore/6a5a2ba6000000000a038e67?xsec_token=TB4snoxz_tGrT0swQwZBXFqninijSRSo9HpRLpahpycX8=&amp;xsec_source=pc_trdark")</f>
        <v>0.0</v>
      </c>
      <c r="D156" t="inlineStr">
        <is>
          <t>菲菲上班吃什么</t>
        </is>
      </c>
      <c r="E156" t="inlineStr">
        <is>
          <t>49936530607</t>
        </is>
      </c>
      <c r="F156" t="inlineStr">
        <is>
          <t>2026-07-17 21:18:30</t>
        </is>
      </c>
      <c r="G156" t="inlineStr">
        <is>
          <t>图文</t>
        </is>
      </c>
      <c r="H156" t="inlineStr">
        <is>
          <t>手剥虾仁 无冰衣无添加 低脂餐一人食 上班带饭 顺丰包邮 5盒装</t>
        </is>
      </c>
      <c r="I156" t="inlineStr">
        <is>
          <t>694baba01d450d00013662f0</t>
        </is>
      </c>
      <c r="J156" t="inlineStr">
        <is>
          <t/>
        </is>
      </c>
      <c r="K156" t="n">
        <v>0.0</v>
      </c>
      <c r="L156" t="n">
        <v>0.0</v>
      </c>
      <c r="M156" t="n">
        <v>1.0</v>
      </c>
      <c r="N156" t="inlineStr">
        <is>
          <t>0.020833333333333332</t>
        </is>
      </c>
      <c r="O156" t="n">
        <v>1.0</v>
      </c>
      <c r="P156" t="n">
        <v>0.0</v>
      </c>
      <c r="Q156" t="n">
        <v>0.0</v>
      </c>
      <c r="R156" t="n">
        <v>0.0</v>
      </c>
      <c r="S156" t="n">
        <v>0.0</v>
      </c>
      <c r="T156" t="n">
        <v>0.0</v>
      </c>
      <c r="U156" t="n">
        <v>0.0</v>
      </c>
      <c r="V156" t="n">
        <v>0.0</v>
      </c>
      <c r="W156" t="inlineStr">
        <is>
          <t/>
        </is>
      </c>
      <c r="X156" t="n">
        <v>0.0</v>
      </c>
      <c r="Y156" t="n">
        <v>0.0</v>
      </c>
      <c r="Z156" t="n">
        <v>2.0</v>
      </c>
      <c r="AA156" t="n">
        <v>0.0</v>
      </c>
      <c r="AB156" t="n">
        <v>0.0</v>
      </c>
      <c r="AC156" t="n">
        <v>0.0</v>
      </c>
      <c r="AD156" t="n">
        <v>48.0</v>
      </c>
      <c r="AE156" t="n">
        <v>0.0</v>
      </c>
      <c r="AF156" t="n">
        <v>0.0</v>
      </c>
      <c r="AG156" t="n">
        <v>0.0</v>
      </c>
      <c r="AH156" t="n">
        <v>0.0</v>
      </c>
      <c r="AI156" t="n">
        <v>0.0</v>
      </c>
      <c r="AJ156" t="n">
        <v>0.0</v>
      </c>
      <c r="AK156" t="n">
        <v>6.395833333333333</v>
      </c>
      <c r="AL156" t="inlineStr">
        <is>
          <t/>
        </is>
      </c>
    </row>
    <row r="157">
      <c r="A157" t="inlineStr">
        <is>
          <t>我也不想吃啊，可它69够我吃一周了😂</t>
        </is>
      </c>
      <c r="B157" t="inlineStr">
        <is>
          <t>6a2ac7e3000000002100a717</t>
        </is>
      </c>
      <c r="C157" s="156" t="n">
        <f>HYPERLINK("https://www.xiaohongshu.com/explore/6a2ac7e3000000002100a717?xsec_token=TBzEbZzDIbsNf83YP0tUSA_EF7KBVvGezVR6v-2uiTaLA=&amp;xsec_source=pc_trdark","https://www.xiaohongshu.com/explore/6a2ac7e3000000002100a717?xsec_token=TBzEbZzDIbsNf83YP0tUSA_EF7KBVvGezVR6v-2uiTaLA=&amp;xsec_source=pc_trdark")</f>
        <v>0.0</v>
      </c>
      <c r="D157" t="inlineStr">
        <is>
          <t>婉婉上班吃什么</t>
        </is>
      </c>
      <c r="E157" t="inlineStr">
        <is>
          <t>11434449706</t>
        </is>
      </c>
      <c r="F157" t="inlineStr">
        <is>
          <t>2026-06-11 22:36:19</t>
        </is>
      </c>
      <c r="G157" t="inlineStr">
        <is>
          <t>图文</t>
        </is>
      </c>
      <c r="H157" t="inlineStr">
        <is>
          <t>手剥虾仁 无冰衣无添加 低脂餐一人食 上班带饭 顺丰包邮 5盒装</t>
        </is>
      </c>
      <c r="I157" t="inlineStr">
        <is>
          <t>694baba01d450d00013662f0</t>
        </is>
      </c>
      <c r="J157" t="inlineStr">
        <is>
          <t/>
        </is>
      </c>
      <c r="K157" t="n">
        <v>68.0</v>
      </c>
      <c r="L157" t="n">
        <v>1.0</v>
      </c>
      <c r="M157" t="n">
        <v>14.0</v>
      </c>
      <c r="N157" t="n">
        <v>0.2916666666666667</v>
      </c>
      <c r="O157" t="n">
        <v>13.0</v>
      </c>
      <c r="P157" t="n">
        <v>1.0</v>
      </c>
      <c r="Q157" t="inlineStr">
        <is>
          <t>0.07142857142857142</t>
        </is>
      </c>
      <c r="R157" t="inlineStr">
        <is>
          <t>0.07692307692307693</t>
        </is>
      </c>
      <c r="S157" t="n">
        <v>68.0</v>
      </c>
      <c r="T157" t="n">
        <v>1.0</v>
      </c>
      <c r="U157" t="n">
        <v>1.0</v>
      </c>
      <c r="V157" t="n">
        <v>68.0</v>
      </c>
      <c r="W157" t="n">
        <v>1.0</v>
      </c>
      <c r="X157" t="n">
        <v>1.0</v>
      </c>
      <c r="Y157" t="n">
        <v>2.0</v>
      </c>
      <c r="Z157" t="n">
        <v>1.0</v>
      </c>
      <c r="AA157" t="n">
        <v>0.0</v>
      </c>
      <c r="AB157" t="n">
        <v>0.0</v>
      </c>
      <c r="AC157" t="n">
        <v>0.0</v>
      </c>
      <c r="AD157" t="n">
        <v>48.0</v>
      </c>
      <c r="AE157" t="n">
        <v>0.0</v>
      </c>
      <c r="AF157" t="n">
        <v>0.0</v>
      </c>
      <c r="AG157" t="n">
        <v>0.0</v>
      </c>
      <c r="AH157" t="n">
        <v>0.0</v>
      </c>
      <c r="AI157" t="n">
        <v>0.0</v>
      </c>
      <c r="AJ157" t="n">
        <v>0.0</v>
      </c>
      <c r="AK157" t="n">
        <v>14.25</v>
      </c>
      <c r="AL157" t="inlineStr">
        <is>
          <t/>
        </is>
      </c>
    </row>
    <row r="158">
      <c r="A158" t="inlineStr">
        <is>
          <t>69块解决了我一周的轻食餐…</t>
        </is>
      </c>
      <c r="B158" t="inlineStr">
        <is>
          <t>69e5ddcf000000002301c16a</t>
        </is>
      </c>
      <c r="C158" s="157" t="n">
        <f>HYPERLINK("https://www.xiaohongshu.com/explore/69e5ddcf000000002301c16a?xsec_token=TBRM_4pSbJalcnymykJyoKXaQkwv0yFHoz8cx14sLHxr0=&amp;xsec_source=pc_trdark","https://www.xiaohongshu.com/explore/69e5ddcf000000002301c16a?xsec_token=TBRM_4pSbJalcnymykJyoKXaQkwv0yFHoz8cx14sLHxr0=&amp;xsec_source=pc_trdark")</f>
        <v>0.0</v>
      </c>
      <c r="D158" t="inlineStr">
        <is>
          <t>婉婉上班吃什么</t>
        </is>
      </c>
      <c r="E158" t="inlineStr">
        <is>
          <t>11434449706</t>
        </is>
      </c>
      <c r="F158" t="inlineStr">
        <is>
          <t>2026-04-20 16:03:27</t>
        </is>
      </c>
      <c r="G158" t="inlineStr">
        <is>
          <t>图文</t>
        </is>
      </c>
      <c r="H158" t="inlineStr">
        <is>
          <t>手剥虾仁 无冰衣无添加 低脂餐一人食 上班带饭 顺丰包邮 5盒装</t>
        </is>
      </c>
      <c r="I158" t="inlineStr">
        <is>
          <t>694baba01d450d00013662f0</t>
        </is>
      </c>
      <c r="J158" t="inlineStr">
        <is>
          <t/>
        </is>
      </c>
      <c r="K158" t="n">
        <v>0.0</v>
      </c>
      <c r="L158" t="n">
        <v>0.0</v>
      </c>
      <c r="M158" t="n">
        <v>3.0</v>
      </c>
      <c r="N158" t="n">
        <v>0.0625</v>
      </c>
      <c r="O158" t="n">
        <v>3.0</v>
      </c>
      <c r="P158" t="n">
        <v>0.0</v>
      </c>
      <c r="Q158" t="n">
        <v>0.0</v>
      </c>
      <c r="R158" t="n">
        <v>0.0</v>
      </c>
      <c r="S158" t="n">
        <v>0.0</v>
      </c>
      <c r="T158" t="n">
        <v>0.0</v>
      </c>
      <c r="U158" t="n">
        <v>0.0</v>
      </c>
      <c r="V158" t="n">
        <v>0.0</v>
      </c>
      <c r="W158" t="inlineStr">
        <is>
          <t/>
        </is>
      </c>
      <c r="X158" t="n">
        <v>0.0</v>
      </c>
      <c r="Y158" t="n">
        <v>0.0</v>
      </c>
      <c r="Z158" t="n">
        <v>0.0</v>
      </c>
      <c r="AA158" t="n">
        <v>0.0</v>
      </c>
      <c r="AB158" t="n">
        <v>0.0</v>
      </c>
      <c r="AC158" t="n">
        <v>0.0</v>
      </c>
      <c r="AD158" t="n">
        <v>48.0</v>
      </c>
      <c r="AE158" t="n">
        <v>1.0</v>
      </c>
      <c r="AF158" t="n">
        <v>0.0</v>
      </c>
      <c r="AG158" t="n">
        <v>0.0</v>
      </c>
      <c r="AH158" t="n">
        <v>0.0</v>
      </c>
      <c r="AI158" t="n">
        <v>0.0</v>
      </c>
      <c r="AJ158" t="n">
        <v>0.0</v>
      </c>
      <c r="AK158" t="n">
        <v>10.0</v>
      </c>
      <c r="AL158" t="inlineStr">
        <is>
          <t/>
        </is>
      </c>
    </row>
    <row r="159">
      <c r="A159" t="inlineStr">
        <is>
          <t>给害怕处理活虾的人一个买虾思路</t>
        </is>
      </c>
      <c r="B159" t="inlineStr">
        <is>
          <t>69a913b0000000000e03e0f7</t>
        </is>
      </c>
      <c r="C159" s="158" t="n">
        <f>HYPERLINK("https://www.xiaohongshu.com/explore/69a913b0000000000e03e0f7?xsec_token=TBX1UPru9xmrqAy_hfS76TmvvYG8UJv3ZxAh7d5lXB09I=&amp;xsec_source=pc_trdark","https://www.xiaohongshu.com/explore/69a913b0000000000e03e0f7?xsec_token=TBX1UPru9xmrqAy_hfS76TmvvYG8UJv3ZxAh7d5lXB09I=&amp;xsec_source=pc_trdark")</f>
        <v>0.0</v>
      </c>
      <c r="D159" t="inlineStr">
        <is>
          <t>鲜水湾</t>
        </is>
      </c>
      <c r="E159" t="inlineStr">
        <is>
          <t>49316638994</t>
        </is>
      </c>
      <c r="F159" t="inlineStr">
        <is>
          <t>2026-03-05 13:25:04</t>
        </is>
      </c>
      <c r="G159" t="inlineStr">
        <is>
          <t>图文</t>
        </is>
      </c>
      <c r="H159" t="inlineStr">
        <is>
          <t>大虾基围虾王牌大虾厄瓜多尔白虾盐冻虾仁海洋大虾送礼顺丰包邮</t>
        </is>
      </c>
      <c r="I159" t="inlineStr">
        <is>
          <t>690aeb7be379430001e686ac</t>
        </is>
      </c>
      <c r="J159" t="inlineStr">
        <is>
          <t/>
        </is>
      </c>
      <c r="K159" t="n">
        <v>0.0</v>
      </c>
      <c r="L159" t="n">
        <v>0.0</v>
      </c>
      <c r="M159" t="n">
        <v>3.0</v>
      </c>
      <c r="N159" t="n">
        <v>0.0625</v>
      </c>
      <c r="O159" t="n">
        <v>3.0</v>
      </c>
      <c r="P159" t="n">
        <v>0.0</v>
      </c>
      <c r="Q159" t="n">
        <v>0.0</v>
      </c>
      <c r="R159" t="n">
        <v>0.0</v>
      </c>
      <c r="S159" t="n">
        <v>0.0</v>
      </c>
      <c r="T159" t="n">
        <v>0.0</v>
      </c>
      <c r="U159" t="n">
        <v>0.0</v>
      </c>
      <c r="V159" t="n">
        <v>0.0</v>
      </c>
      <c r="W159" t="inlineStr">
        <is>
          <t/>
        </is>
      </c>
      <c r="X159" t="n">
        <v>0.0</v>
      </c>
      <c r="Y159" t="n">
        <v>0.0</v>
      </c>
      <c r="Z159" t="n">
        <v>0.0</v>
      </c>
      <c r="AA159" t="n">
        <v>0.0</v>
      </c>
      <c r="AB159" t="n">
        <v>0.0</v>
      </c>
      <c r="AC159" t="n">
        <v>0.0</v>
      </c>
      <c r="AD159" t="n">
        <v>48.0</v>
      </c>
      <c r="AE159" t="n">
        <v>2.0</v>
      </c>
      <c r="AF159" t="n">
        <v>1.0</v>
      </c>
      <c r="AG159" t="n">
        <v>0.0</v>
      </c>
      <c r="AH159" t="n">
        <v>0.0</v>
      </c>
      <c r="AI159" t="n">
        <v>0.0</v>
      </c>
      <c r="AJ159" t="n">
        <v>0.0</v>
      </c>
      <c r="AK159" t="n">
        <v>8.895833333333334</v>
      </c>
      <c r="AL159" t="inlineStr">
        <is>
          <t/>
        </is>
      </c>
    </row>
    <row r="160">
      <c r="A160" t="inlineStr">
        <is>
          <t>感谢 xhs 让我们家盐田虾告别中间商！</t>
        </is>
      </c>
      <c r="B160" t="inlineStr">
        <is>
          <t>6a83b9cf0000000028003fbc</t>
        </is>
      </c>
      <c r="C160" s="159" t="n">
        <f>HYPERLINK("https://www.xiaohongshu.com/explore/6a83b9cf0000000028003fbc?xsec_token=TB4Ah0D2KqO0kkIBz273OgxdudqhJnlI_ur6USH_tt6X0=&amp;xsec_source=pc_trdark","https://www.xiaohongshu.com/explore/6a83b9cf0000000028003fbc?xsec_token=TB4Ah0D2KqO0kkIBz273OgxdudqhJnlI_ur6USH_tt6X0=&amp;xsec_source=pc_trdark")</f>
        <v>0.0</v>
      </c>
      <c r="D160" t="inlineStr">
        <is>
          <t>鲜水湾</t>
        </is>
      </c>
      <c r="E160" t="inlineStr">
        <is>
          <t>49316638994</t>
        </is>
      </c>
      <c r="F160" t="inlineStr">
        <is>
          <t>2026-08-18 09:47:59</t>
        </is>
      </c>
      <c r="G160" t="inlineStr">
        <is>
          <t>图文</t>
        </is>
      </c>
      <c r="H160" t="inlineStr">
        <is>
          <t>盐田虾无抗有机盐田虾孕妈妈宝宝辅食顺丰包邮无打药无污染健康虾</t>
        </is>
      </c>
      <c r="I160" t="inlineStr">
        <is>
          <t>693244a046e530000140adb2</t>
        </is>
      </c>
      <c r="J160" t="inlineStr">
        <is>
          <t/>
        </is>
      </c>
      <c r="K160" t="n">
        <v>96.0</v>
      </c>
      <c r="L160" t="n">
        <v>1.0</v>
      </c>
      <c r="M160" t="n">
        <v>21.0</v>
      </c>
      <c r="N160" t="inlineStr">
        <is>
          <t>0.44680851063829785</t>
        </is>
      </c>
      <c r="O160" t="n">
        <v>15.0</v>
      </c>
      <c r="P160" t="n">
        <v>1.0</v>
      </c>
      <c r="Q160" t="inlineStr">
        <is>
          <t>0.047619047619047616</t>
        </is>
      </c>
      <c r="R160" t="inlineStr">
        <is>
          <t>0.06666666666666667</t>
        </is>
      </c>
      <c r="S160" t="n">
        <v>0.0</v>
      </c>
      <c r="T160" t="n">
        <v>0.0</v>
      </c>
      <c r="U160" t="n">
        <v>0.0</v>
      </c>
      <c r="V160" t="n">
        <v>0.0</v>
      </c>
      <c r="W160" t="n">
        <v>0.0</v>
      </c>
      <c r="X160" t="n">
        <v>0.0</v>
      </c>
      <c r="Y160" t="n">
        <v>2.0</v>
      </c>
      <c r="Z160" t="n">
        <v>14.0</v>
      </c>
      <c r="AA160" t="n">
        <v>0.0</v>
      </c>
      <c r="AB160" t="n">
        <v>0.0</v>
      </c>
      <c r="AC160" t="n">
        <v>0.0</v>
      </c>
      <c r="AD160" t="n">
        <v>47.0</v>
      </c>
      <c r="AE160" t="n">
        <v>1.0</v>
      </c>
      <c r="AF160" t="n">
        <v>0.0</v>
      </c>
      <c r="AG160" t="n">
        <v>0.0</v>
      </c>
      <c r="AH160" t="n">
        <v>2.0</v>
      </c>
      <c r="AI160" t="n">
        <v>1.0</v>
      </c>
      <c r="AJ160" t="n">
        <v>0.0</v>
      </c>
      <c r="AK160" t="n">
        <v>23.851063829787233</v>
      </c>
      <c r="AL160" t="inlineStr">
        <is>
          <t/>
        </is>
      </c>
    </row>
    <row r="161">
      <c r="A161" t="inlineStr">
        <is>
          <t>太适合上班带饭了，一次一袋</t>
        </is>
      </c>
      <c r="B161" t="inlineStr">
        <is>
          <t>69e9b784000000001a02cb8f</t>
        </is>
      </c>
      <c r="C161" s="160" t="n">
        <f>HYPERLINK("https://www.xiaohongshu.com/explore/69e9b784000000001a02cb8f?xsec_token=TBNkLc7pOHvt_5tNJTpGNllMUvbOUnyVTgHtp38tDBcjw=&amp;xsec_source=pc_trdark","https://www.xiaohongshu.com/explore/69e9b784000000001a02cb8f?xsec_token=TBNkLc7pOHvt_5tNJTpGNllMUvbOUnyVTgHtp38tDBcjw=&amp;xsec_source=pc_trdark")</f>
        <v>0.0</v>
      </c>
      <c r="D161" t="inlineStr">
        <is>
          <t>婉婉上班吃什么</t>
        </is>
      </c>
      <c r="E161" t="inlineStr">
        <is>
          <t>11434449706</t>
        </is>
      </c>
      <c r="F161" t="inlineStr">
        <is>
          <t>2026-04-23 14:09:08</t>
        </is>
      </c>
      <c r="G161" t="inlineStr">
        <is>
          <t>图文</t>
        </is>
      </c>
      <c r="H161" t="inlineStr">
        <is>
          <t>智利尾端中段整条三文鱼 8斤深海鱼低脂餐囤货一周备菜顺丰包邮</t>
        </is>
      </c>
      <c r="I161" t="inlineStr">
        <is>
          <t>69fab80d64eb410001ece0c0</t>
        </is>
      </c>
      <c r="J161" t="inlineStr">
        <is>
          <t/>
        </is>
      </c>
      <c r="K161" t="n">
        <v>0.0</v>
      </c>
      <c r="L161" t="n">
        <v>0.0</v>
      </c>
      <c r="M161" t="n">
        <v>0.0</v>
      </c>
      <c r="N161" t="n">
        <v>0.0</v>
      </c>
      <c r="O161" t="n">
        <v>0.0</v>
      </c>
      <c r="P161" t="n">
        <v>0.0</v>
      </c>
      <c r="Q161" t="inlineStr">
        <is>
          <t/>
        </is>
      </c>
      <c r="R161" t="inlineStr">
        <is>
          <t/>
        </is>
      </c>
      <c r="S161" t="n">
        <v>0.0</v>
      </c>
      <c r="T161" t="n">
        <v>0.0</v>
      </c>
      <c r="U161" t="n">
        <v>0.0</v>
      </c>
      <c r="V161" t="n">
        <v>0.0</v>
      </c>
      <c r="W161" t="inlineStr">
        <is>
          <t/>
        </is>
      </c>
      <c r="X161" t="n">
        <v>0.0</v>
      </c>
      <c r="Y161" t="n">
        <v>0.0</v>
      </c>
      <c r="Z161" t="n">
        <v>0.0</v>
      </c>
      <c r="AA161" t="n">
        <v>0.0</v>
      </c>
      <c r="AB161" t="n">
        <v>0.0</v>
      </c>
      <c r="AC161" t="n">
        <v>0.0</v>
      </c>
      <c r="AD161" t="n">
        <v>47.0</v>
      </c>
      <c r="AE161" t="n">
        <v>0.0</v>
      </c>
      <c r="AF161" t="n">
        <v>0.0</v>
      </c>
      <c r="AG161" t="n">
        <v>0.0</v>
      </c>
      <c r="AH161" t="n">
        <v>0.0</v>
      </c>
      <c r="AI161" t="n">
        <v>0.0</v>
      </c>
      <c r="AJ161" t="n">
        <v>0.0</v>
      </c>
      <c r="AK161" t="n">
        <v>7.446808510638298</v>
      </c>
      <c r="AL161" t="inlineStr">
        <is>
          <t/>
        </is>
      </c>
    </row>
    <row r="162">
      <c r="A162" t="inlineStr">
        <is>
          <t>上班带饭一人食之光！！这三文鱼太香了🥰</t>
        </is>
      </c>
      <c r="B162" t="inlineStr">
        <is>
          <t>6a4b11f20000000006031c7e</t>
        </is>
      </c>
      <c r="C162" s="161" t="n">
        <f>HYPERLINK("https://www.xiaohongshu.com/explore/6a4b11f20000000006031c7e?xsec_token=TBbJ-JHK-PBbJgek6K72FYkWMFNV5VEtHU4r6VqWZgi5U=&amp;xsec_source=pc_trdark","https://www.xiaohongshu.com/explore/6a4b11f20000000006031c7e?xsec_token=TBbJ-JHK-PBbJgek6K72FYkWMFNV5VEtHU4r6VqWZgi5U=&amp;xsec_source=pc_trdark")</f>
        <v>0.0</v>
      </c>
      <c r="D162" t="inlineStr">
        <is>
          <t>婉婉上班吃什么</t>
        </is>
      </c>
      <c r="E162" t="inlineStr">
        <is>
          <t>11434449706</t>
        </is>
      </c>
      <c r="F162" t="inlineStr">
        <is>
          <t>2026-07-06 10:24:50</t>
        </is>
      </c>
      <c r="G162" t="inlineStr">
        <is>
          <t>图文</t>
        </is>
      </c>
      <c r="H162" t="inlineStr">
        <is>
          <t>智利三文鱼切块·整条三文鱼·深海鱼一人食健康饮食</t>
        </is>
      </c>
      <c r="I162" t="inlineStr">
        <is>
          <t>691ac562a524ee0001b51d7b</t>
        </is>
      </c>
      <c r="J162" t="inlineStr">
        <is>
          <t/>
        </is>
      </c>
      <c r="K162" t="n">
        <v>0.0</v>
      </c>
      <c r="L162" t="n">
        <v>0.0</v>
      </c>
      <c r="M162" t="n">
        <v>6.0</v>
      </c>
      <c r="N162" t="inlineStr">
        <is>
          <t>0.13043478260869565</t>
        </is>
      </c>
      <c r="O162" t="n">
        <v>5.0</v>
      </c>
      <c r="P162" t="n">
        <v>0.0</v>
      </c>
      <c r="Q162" t="n">
        <v>0.0</v>
      </c>
      <c r="R162" t="n">
        <v>0.0</v>
      </c>
      <c r="S162" t="n">
        <v>0.0</v>
      </c>
      <c r="T162" t="n">
        <v>0.0</v>
      </c>
      <c r="U162" t="n">
        <v>0.0</v>
      </c>
      <c r="V162" t="n">
        <v>0.0</v>
      </c>
      <c r="W162" t="inlineStr">
        <is>
          <t/>
        </is>
      </c>
      <c r="X162" t="n">
        <v>0.0</v>
      </c>
      <c r="Y162" t="n">
        <v>2.0</v>
      </c>
      <c r="Z162" t="n">
        <v>2.0</v>
      </c>
      <c r="AA162" t="n">
        <v>0.0</v>
      </c>
      <c r="AB162" t="n">
        <v>0.0</v>
      </c>
      <c r="AC162" t="n">
        <v>0.0</v>
      </c>
      <c r="AD162" t="n">
        <v>46.0</v>
      </c>
      <c r="AE162" t="n">
        <v>0.0</v>
      </c>
      <c r="AF162" t="n">
        <v>0.0</v>
      </c>
      <c r="AG162" t="n">
        <v>0.0</v>
      </c>
      <c r="AH162" t="n">
        <v>0.0</v>
      </c>
      <c r="AI162" t="n">
        <v>0.0</v>
      </c>
      <c r="AJ162" t="n">
        <v>0.0</v>
      </c>
      <c r="AK162" t="n">
        <v>11.26086956521739</v>
      </c>
      <c r="AL162" t="inlineStr">
        <is>
          <t/>
        </is>
      </c>
    </row>
    <row r="163">
      <c r="A163" t="inlineStr">
        <is>
          <t>听了大家的建议，咱们虾仁出了小包装版</t>
        </is>
      </c>
      <c r="B163" t="inlineStr">
        <is>
          <t>6a3cf6e900000000210191d5</t>
        </is>
      </c>
      <c r="C163" s="162" t="n">
        <f>HYPERLINK("https://www.xiaohongshu.com/explore/6a3cf6e900000000210191d5?xsec_token=TBQt52IBW7vEIUvgGBbMhHr3Z5gCR7MyIkGkbCgQpP5wk=&amp;xsec_source=pc_trdark","https://www.xiaohongshu.com/explore/6a3cf6e900000000210191d5?xsec_token=TBQt52IBW7vEIUvgGBbMhHr3Z5gCR7MyIkGkbCgQpP5wk=&amp;xsec_source=pc_trdark")</f>
        <v>0.0</v>
      </c>
      <c r="D163" t="inlineStr">
        <is>
          <t>鲜水湾</t>
        </is>
      </c>
      <c r="E163" t="inlineStr">
        <is>
          <t>49316638994</t>
        </is>
      </c>
      <c r="F163" t="inlineStr">
        <is>
          <t>2026-06-25 17:37:45</t>
        </is>
      </c>
      <c r="G163" t="inlineStr">
        <is>
          <t>图文</t>
        </is>
      </c>
      <c r="H163" t="inlineStr">
        <is>
          <t>手剥虾仁 无冰衣无添加 低脂餐一人食 上班带饭 顺丰包邮 5盒装</t>
        </is>
      </c>
      <c r="I163" t="inlineStr">
        <is>
          <t>694baba01d450d00013662f0</t>
        </is>
      </c>
      <c r="J163" t="inlineStr">
        <is>
          <t/>
        </is>
      </c>
      <c r="K163" t="n">
        <v>0.0</v>
      </c>
      <c r="L163" t="n">
        <v>0.0</v>
      </c>
      <c r="M163" t="n">
        <v>17.0</v>
      </c>
      <c r="N163" t="n">
        <v>0.3695652173913043</v>
      </c>
      <c r="O163" t="n">
        <v>15.0</v>
      </c>
      <c r="P163" t="n">
        <v>0.0</v>
      </c>
      <c r="Q163" t="n">
        <v>0.0</v>
      </c>
      <c r="R163" t="n">
        <v>0.0</v>
      </c>
      <c r="S163" t="n">
        <v>0.0</v>
      </c>
      <c r="T163" t="n">
        <v>0.0</v>
      </c>
      <c r="U163" t="n">
        <v>0.0</v>
      </c>
      <c r="V163" t="n">
        <v>0.0</v>
      </c>
      <c r="W163" t="inlineStr">
        <is>
          <t/>
        </is>
      </c>
      <c r="X163" t="n">
        <v>0.0</v>
      </c>
      <c r="Y163" t="n">
        <v>1.0</v>
      </c>
      <c r="Z163" t="n">
        <v>0.0</v>
      </c>
      <c r="AA163" t="n">
        <v>0.0</v>
      </c>
      <c r="AB163" t="n">
        <v>0.0</v>
      </c>
      <c r="AC163" t="n">
        <v>0.0</v>
      </c>
      <c r="AD163" t="n">
        <v>46.0</v>
      </c>
      <c r="AE163" t="n">
        <v>0.0</v>
      </c>
      <c r="AF163" t="n">
        <v>1.0</v>
      </c>
      <c r="AG163" t="n">
        <v>0.0</v>
      </c>
      <c r="AH163" t="n">
        <v>0.0</v>
      </c>
      <c r="AI163" t="n">
        <v>0.0</v>
      </c>
      <c r="AJ163" t="n">
        <v>0.0</v>
      </c>
      <c r="AK163" t="n">
        <v>26.0</v>
      </c>
      <c r="AL163" t="inlineStr">
        <is>
          <t/>
        </is>
      </c>
    </row>
    <row r="164">
      <c r="A164" t="inlineStr">
        <is>
          <t>某姆的品质pxx的价格！</t>
        </is>
      </c>
      <c r="B164" t="inlineStr">
        <is>
          <t>6a02f7380000000006030f12</t>
        </is>
      </c>
      <c r="C164" s="163" t="n">
        <f>HYPERLINK("https://www.xiaohongshu.com/explore/6a02f7380000000006030f12?xsec_token=TBPwq-ce0mzGyOoBGbWlmZ4A9EhC6SIUdA_s6c-OoFnWM=&amp;xsec_source=pc_trdark","https://www.xiaohongshu.com/explore/6a02f7380000000006030f12?xsec_token=TBPwq-ce0mzGyOoBGbWlmZ4A9EhC6SIUdA_s6c-OoFnWM=&amp;xsec_source=pc_trdark")</f>
        <v>0.0</v>
      </c>
      <c r="D164" t="inlineStr">
        <is>
          <t>鲜水湾</t>
        </is>
      </c>
      <c r="E164" t="inlineStr">
        <is>
          <t>49316638994</t>
        </is>
      </c>
      <c r="F164" t="inlineStr">
        <is>
          <t>2026-05-12 17:47:36</t>
        </is>
      </c>
      <c r="G164" t="inlineStr">
        <is>
          <t>图文</t>
        </is>
      </c>
      <c r="H164" t="inlineStr">
        <is>
          <t>智利尾端中段整条三文鱼 8斤深海鱼低脂餐囤货一周备菜顺丰包邮</t>
        </is>
      </c>
      <c r="I164" t="inlineStr">
        <is>
          <t>69fab80d64eb410001ece0c0</t>
        </is>
      </c>
      <c r="J164" t="inlineStr">
        <is>
          <t/>
        </is>
      </c>
      <c r="K164" t="n">
        <v>0.0</v>
      </c>
      <c r="L164" t="n">
        <v>0.0</v>
      </c>
      <c r="M164" t="n">
        <v>3.0</v>
      </c>
      <c r="N164" t="inlineStr">
        <is>
          <t>0.06521739130434782</t>
        </is>
      </c>
      <c r="O164" t="n">
        <v>3.0</v>
      </c>
      <c r="P164" t="n">
        <v>0.0</v>
      </c>
      <c r="Q164" t="n">
        <v>0.0</v>
      </c>
      <c r="R164" t="n">
        <v>0.0</v>
      </c>
      <c r="S164" t="n">
        <v>0.0</v>
      </c>
      <c r="T164" t="n">
        <v>0.0</v>
      </c>
      <c r="U164" t="n">
        <v>0.0</v>
      </c>
      <c r="V164" t="n">
        <v>0.0</v>
      </c>
      <c r="W164" t="inlineStr">
        <is>
          <t/>
        </is>
      </c>
      <c r="X164" t="n">
        <v>0.0</v>
      </c>
      <c r="Y164" t="n">
        <v>0.0</v>
      </c>
      <c r="Z164" t="n">
        <v>0.0</v>
      </c>
      <c r="AA164" t="n">
        <v>0.0</v>
      </c>
      <c r="AB164" t="n">
        <v>0.0</v>
      </c>
      <c r="AC164" t="n">
        <v>0.0</v>
      </c>
      <c r="AD164" t="n">
        <v>46.0</v>
      </c>
      <c r="AE164" t="n">
        <v>0.0</v>
      </c>
      <c r="AF164" t="n">
        <v>0.0</v>
      </c>
      <c r="AG164" t="n">
        <v>0.0</v>
      </c>
      <c r="AH164" t="n">
        <v>0.0</v>
      </c>
      <c r="AI164" t="n">
        <v>0.0</v>
      </c>
      <c r="AJ164" t="n">
        <v>0.0</v>
      </c>
      <c r="AK164" t="n">
        <v>8.956521739130435</v>
      </c>
      <c r="AL164" t="inlineStr">
        <is>
          <t/>
        </is>
      </c>
    </row>
    <row r="165">
      <c r="A165" t="inlineStr">
        <is>
          <t>以为 300 多没多少，结果装了满满一冰箱</t>
        </is>
      </c>
      <c r="B165" t="inlineStr">
        <is>
          <t>6a6327ae0000000013024e06</t>
        </is>
      </c>
      <c r="C165" s="164" t="n">
        <f>HYPERLINK("https://www.xiaohongshu.com/explore/6a6327ae0000000013024e06?xsec_token=TBnj7c48jXKUA16YxAU7jzslOn1lEp58E3-NTY1GkjscA=&amp;xsec_source=pc_trdark","https://www.xiaohongshu.com/explore/6a6327ae0000000013024e06?xsec_token=TBnj7c48jXKUA16YxAU7jzslOn1lEp58E3-NTY1GkjscA=&amp;xsec_source=pc_trdark")</f>
        <v>0.0</v>
      </c>
      <c r="D165" t="inlineStr">
        <is>
          <t>鲜水湾</t>
        </is>
      </c>
      <c r="E165" t="inlineStr">
        <is>
          <t>49316638994</t>
        </is>
      </c>
      <c r="F165" t="inlineStr">
        <is>
          <t>2026-07-24 16:51:58</t>
        </is>
      </c>
      <c r="G165" t="inlineStr">
        <is>
          <t>图文</t>
        </is>
      </c>
      <c r="H165" t="inlineStr">
        <is>
          <t>智利三文鱼切块·整条三文鱼·深海鱼一人食健康饮食</t>
        </is>
      </c>
      <c r="I165" t="inlineStr">
        <is>
          <t>691ac562a524ee0001b51d7b</t>
        </is>
      </c>
      <c r="J165" t="inlineStr">
        <is>
          <t/>
        </is>
      </c>
      <c r="K165" t="n">
        <v>0.0</v>
      </c>
      <c r="L165" t="n">
        <v>0.0</v>
      </c>
      <c r="M165" t="n">
        <v>10.0</v>
      </c>
      <c r="N165" t="n">
        <v>0.2222222222222222</v>
      </c>
      <c r="O165" t="n">
        <v>8.0</v>
      </c>
      <c r="P165" t="n">
        <v>0.0</v>
      </c>
      <c r="Q165" t="n">
        <v>0.0</v>
      </c>
      <c r="R165" t="n">
        <v>0.0</v>
      </c>
      <c r="S165" t="n">
        <v>0.0</v>
      </c>
      <c r="T165" t="n">
        <v>0.0</v>
      </c>
      <c r="U165" t="n">
        <v>0.0</v>
      </c>
      <c r="V165" t="n">
        <v>0.0</v>
      </c>
      <c r="W165" t="inlineStr">
        <is>
          <t/>
        </is>
      </c>
      <c r="X165" t="n">
        <v>0.0</v>
      </c>
      <c r="Y165" t="n">
        <v>2.0</v>
      </c>
      <c r="Z165" t="n">
        <v>5.0</v>
      </c>
      <c r="AA165" t="n">
        <v>0.0</v>
      </c>
      <c r="AB165" t="n">
        <v>0.0</v>
      </c>
      <c r="AC165" t="n">
        <v>0.0</v>
      </c>
      <c r="AD165" t="n">
        <v>45.0</v>
      </c>
      <c r="AE165" t="n">
        <v>0.0</v>
      </c>
      <c r="AF165" t="n">
        <v>2.0</v>
      </c>
      <c r="AG165" t="n">
        <v>0.0</v>
      </c>
      <c r="AH165" t="n">
        <v>0.0</v>
      </c>
      <c r="AI165" t="n">
        <v>0.0</v>
      </c>
      <c r="AJ165" t="n">
        <v>0.0</v>
      </c>
      <c r="AK165" t="n">
        <v>18.57777777777778</v>
      </c>
      <c r="AL165" t="inlineStr">
        <is>
          <t/>
        </is>
      </c>
    </row>
    <row r="166">
      <c r="A166" t="inlineStr">
        <is>
          <t>太适合上班带饭了，一餐一包</t>
        </is>
      </c>
      <c r="B166" t="inlineStr">
        <is>
          <t>6a06cee900000000080323e7</t>
        </is>
      </c>
      <c r="C166" s="165" t="n">
        <f>HYPERLINK("https://www.xiaohongshu.com/explore/6a06cee900000000080323e7?xsec_token=TBpankNZlH0V8NqkFXZqkegZP1WTAtixZqUhMGsOUwthU=&amp;xsec_source=pc_trdark","https://www.xiaohongshu.com/explore/6a06cee900000000080323e7?xsec_token=TBpankNZlH0V8NqkFXZqkegZP1WTAtixZqUhMGsOUwthU=&amp;xsec_source=pc_trdark")</f>
        <v>0.0</v>
      </c>
      <c r="D166" t="inlineStr">
        <is>
          <t>婉婉上班吃什么</t>
        </is>
      </c>
      <c r="E166" t="inlineStr">
        <is>
          <t>11434449706</t>
        </is>
      </c>
      <c r="F166" t="inlineStr">
        <is>
          <t>2026-05-15 15:44:41</t>
        </is>
      </c>
      <c r="G166" t="inlineStr">
        <is>
          <t>图文</t>
        </is>
      </c>
      <c r="H166" t="inlineStr">
        <is>
          <t>手剥虾仁 无冰衣无添加 低脂餐一人食 上班带饭 顺丰包邮 5盒装</t>
        </is>
      </c>
      <c r="I166" t="inlineStr">
        <is>
          <t>694baba01d450d00013662f0</t>
        </is>
      </c>
      <c r="J166" t="inlineStr">
        <is>
          <t/>
        </is>
      </c>
      <c r="K166" t="n">
        <v>0.0</v>
      </c>
      <c r="L166" t="n">
        <v>0.0</v>
      </c>
      <c r="M166" t="n">
        <v>3.0</v>
      </c>
      <c r="N166" t="inlineStr">
        <is>
          <t>0.06666666666666667</t>
        </is>
      </c>
      <c r="O166" t="n">
        <v>3.0</v>
      </c>
      <c r="P166" t="n">
        <v>0.0</v>
      </c>
      <c r="Q166" t="n">
        <v>0.0</v>
      </c>
      <c r="R166" t="n">
        <v>0.0</v>
      </c>
      <c r="S166" t="n">
        <v>0.0</v>
      </c>
      <c r="T166" t="n">
        <v>0.0</v>
      </c>
      <c r="U166" t="n">
        <v>0.0</v>
      </c>
      <c r="V166" t="n">
        <v>0.0</v>
      </c>
      <c r="W166" t="inlineStr">
        <is>
          <t/>
        </is>
      </c>
      <c r="X166" t="n">
        <v>0.0</v>
      </c>
      <c r="Y166" t="n">
        <v>1.0</v>
      </c>
      <c r="Z166" t="n">
        <v>2.0</v>
      </c>
      <c r="AA166" t="n">
        <v>0.0</v>
      </c>
      <c r="AB166" t="n">
        <v>0.0</v>
      </c>
      <c r="AC166" t="n">
        <v>0.0</v>
      </c>
      <c r="AD166" t="n">
        <v>45.0</v>
      </c>
      <c r="AE166" t="n">
        <v>0.0</v>
      </c>
      <c r="AF166" t="n">
        <v>0.0</v>
      </c>
      <c r="AG166" t="n">
        <v>0.0</v>
      </c>
      <c r="AH166" t="n">
        <v>0.0</v>
      </c>
      <c r="AI166" t="n">
        <v>0.0</v>
      </c>
      <c r="AJ166" t="n">
        <v>0.0</v>
      </c>
      <c r="AK166" t="n">
        <v>8.511111111111111</v>
      </c>
      <c r="AL166" t="inlineStr">
        <is>
          <t/>
        </is>
      </c>
    </row>
    <row r="167">
      <c r="A167" t="inlineStr">
        <is>
          <t>同事以为我每天吃轻食店，其实一周才花69……</t>
        </is>
      </c>
      <c r="B167" t="inlineStr">
        <is>
          <t>69d45fd0000000001f003f75</t>
        </is>
      </c>
      <c r="C167" s="166" t="n">
        <f>HYPERLINK("https://www.xiaohongshu.com/explore/69d45fd0000000001f003f75?xsec_token=TBCfzrc-PQxdd2ruCVqHUjYia33EoocmvV4fRHx7XCYzg=&amp;xsec_source=pc_trdark","https://www.xiaohongshu.com/explore/69d45fd0000000001f003f75?xsec_token=TBCfzrc-PQxdd2ruCVqHUjYia33EoocmvV4fRHx7XCYzg=&amp;xsec_source=pc_trdark")</f>
        <v>0.0</v>
      </c>
      <c r="D167" t="inlineStr">
        <is>
          <t>菲菲上班吃什么</t>
        </is>
      </c>
      <c r="E167" t="inlineStr">
        <is>
          <t>49936530607</t>
        </is>
      </c>
      <c r="F167" t="inlineStr">
        <is>
          <t>2026-04-07 09:37:20</t>
        </is>
      </c>
      <c r="G167" t="inlineStr">
        <is>
          <t>图文</t>
        </is>
      </c>
      <c r="H167" t="inlineStr">
        <is>
          <t>手剥虾仁 无冰衣无添加 低脂餐一人食 上班带饭 顺丰包邮 5盒装</t>
        </is>
      </c>
      <c r="I167" t="inlineStr">
        <is>
          <t>694baba01d450d00013662f0</t>
        </is>
      </c>
      <c r="J167" t="inlineStr">
        <is>
          <t/>
        </is>
      </c>
      <c r="K167" t="n">
        <v>127.0</v>
      </c>
      <c r="L167" t="n">
        <v>1.0</v>
      </c>
      <c r="M167" t="n">
        <v>4.0</v>
      </c>
      <c r="N167" t="inlineStr">
        <is>
          <t>0.08888888888888889</t>
        </is>
      </c>
      <c r="O167" t="n">
        <v>4.0</v>
      </c>
      <c r="P167" t="n">
        <v>1.0</v>
      </c>
      <c r="Q167" t="n">
        <v>0.25</v>
      </c>
      <c r="R167" t="n">
        <v>0.25</v>
      </c>
      <c r="S167" t="n">
        <v>0.0</v>
      </c>
      <c r="T167" t="n">
        <v>0.0</v>
      </c>
      <c r="U167" t="n">
        <v>0.0</v>
      </c>
      <c r="V167" t="n">
        <v>0.0</v>
      </c>
      <c r="W167" t="n">
        <v>0.0</v>
      </c>
      <c r="X167" t="n">
        <v>0.0</v>
      </c>
      <c r="Y167" t="n">
        <v>2.0</v>
      </c>
      <c r="Z167" t="n">
        <v>0.0</v>
      </c>
      <c r="AA167" t="n">
        <v>0.0</v>
      </c>
      <c r="AB167" t="n">
        <v>0.0</v>
      </c>
      <c r="AC167" t="n">
        <v>0.0</v>
      </c>
      <c r="AD167" t="n">
        <v>45.0</v>
      </c>
      <c r="AE167" t="n">
        <v>0.0</v>
      </c>
      <c r="AF167" t="n">
        <v>0.0</v>
      </c>
      <c r="AG167" t="n">
        <v>0.0</v>
      </c>
      <c r="AH167" t="n">
        <v>0.0</v>
      </c>
      <c r="AI167" t="n">
        <v>0.0</v>
      </c>
      <c r="AJ167" t="n">
        <v>0.0</v>
      </c>
      <c r="AK167" t="n">
        <v>13.777777777777779</v>
      </c>
      <c r="AL167" t="inlineStr">
        <is>
          <t/>
        </is>
      </c>
    </row>
    <row r="168">
      <c r="A168" t="inlineStr">
        <is>
          <t>健身女会一直吃下去的蛋白质</t>
        </is>
      </c>
      <c r="B168" t="inlineStr">
        <is>
          <t>6a802f83000000003300a8f5</t>
        </is>
      </c>
      <c r="C168" s="167" t="n">
        <f>HYPERLINK("https://www.xiaohongshu.com/explore/6a802f83000000003300a8f5?xsec_token=TBacHlhVHXxXoJj4MFdBzAdbdAxOfCb9ZDNSroDerWoRo=&amp;xsec_source=pc_trdark","https://www.xiaohongshu.com/explore/6a802f83000000003300a8f5?xsec_token=TBacHlhVHXxXoJj4MFdBzAdbdAxOfCb9ZDNSroDerWoRo=&amp;xsec_source=pc_trdark")</f>
        <v>0.0</v>
      </c>
      <c r="D168" t="inlineStr">
        <is>
          <t>婉婉上班吃什么</t>
        </is>
      </c>
      <c r="E168" t="inlineStr">
        <is>
          <t>11434449706</t>
        </is>
      </c>
      <c r="F168" t="inlineStr">
        <is>
          <t>2026-08-15 17:21:07</t>
        </is>
      </c>
      <c r="G168" t="inlineStr">
        <is>
          <t>图文</t>
        </is>
      </c>
      <c r="H168" t="inlineStr">
        <is>
          <t>智利三文鱼切块·整条三文鱼·深海鱼一人食健康饮食</t>
        </is>
      </c>
      <c r="I168" t="inlineStr">
        <is>
          <t>691ac562a524ee0001b51d7b</t>
        </is>
      </c>
      <c r="J168" t="inlineStr">
        <is>
          <t/>
        </is>
      </c>
      <c r="K168" t="n">
        <v>0.0</v>
      </c>
      <c r="L168" t="n">
        <v>0.0</v>
      </c>
      <c r="M168" t="n">
        <v>9.0</v>
      </c>
      <c r="N168" t="inlineStr">
        <is>
          <t>0.20454545454545456</t>
        </is>
      </c>
      <c r="O168" t="n">
        <v>9.0</v>
      </c>
      <c r="P168" t="n">
        <v>0.0</v>
      </c>
      <c r="Q168" t="n">
        <v>0.0</v>
      </c>
      <c r="R168" t="n">
        <v>0.0</v>
      </c>
      <c r="S168" t="n">
        <v>0.0</v>
      </c>
      <c r="T168" t="n">
        <v>0.0</v>
      </c>
      <c r="U168" t="n">
        <v>0.0</v>
      </c>
      <c r="V168" t="n">
        <v>0.0</v>
      </c>
      <c r="W168" t="inlineStr">
        <is>
          <t/>
        </is>
      </c>
      <c r="X168" t="n">
        <v>0.0</v>
      </c>
      <c r="Y168" t="n">
        <v>5.0</v>
      </c>
      <c r="Z168" t="n">
        <v>2.0</v>
      </c>
      <c r="AA168" t="n">
        <v>0.0</v>
      </c>
      <c r="AB168" t="n">
        <v>0.0</v>
      </c>
      <c r="AC168" t="n">
        <v>0.0</v>
      </c>
      <c r="AD168" t="n">
        <v>44.0</v>
      </c>
      <c r="AE168" t="n">
        <v>0.0</v>
      </c>
      <c r="AF168" t="n">
        <v>0.0</v>
      </c>
      <c r="AG168" t="n">
        <v>0.0</v>
      </c>
      <c r="AH168" t="n">
        <v>2.0</v>
      </c>
      <c r="AI168" t="n">
        <v>0.0</v>
      </c>
      <c r="AJ168" t="n">
        <v>0.0</v>
      </c>
      <c r="AK168" t="n">
        <v>20.818181818181817</v>
      </c>
      <c r="AL168" t="inlineStr">
        <is>
          <t/>
        </is>
      </c>
    </row>
    <row r="169">
      <c r="A169" t="inlineStr">
        <is>
          <t>我妈误以为很贵的三文鱼😅</t>
        </is>
      </c>
      <c r="B169" t="inlineStr">
        <is>
          <t>6a714ef7000000003302cf65</t>
        </is>
      </c>
      <c r="C169" s="168" t="n">
        <f>HYPERLINK("https://www.xiaohongshu.com/explore/6a714ef7000000003302cf65?xsec_token=TBGdlgq0FqunFmaLrhl7mersVLCbYKwjZZbSs62hBvPe0=&amp;xsec_source=pc_trdark","https://www.xiaohongshu.com/explore/6a714ef7000000003302cf65?xsec_token=TBGdlgq0FqunFmaLrhl7mersVLCbYKwjZZbSs62hBvPe0=&amp;xsec_source=pc_trdark")</f>
        <v>0.0</v>
      </c>
      <c r="D169" t="inlineStr">
        <is>
          <t>菲菲上班吃什么</t>
        </is>
      </c>
      <c r="E169" t="inlineStr">
        <is>
          <t>49936530607</t>
        </is>
      </c>
      <c r="F169" t="inlineStr">
        <is>
          <t>2026-08-04 10:31:19</t>
        </is>
      </c>
      <c r="G169" t="inlineStr">
        <is>
          <t>图文</t>
        </is>
      </c>
      <c r="H169" t="inlineStr">
        <is>
          <t>智利尾端中段整条三文鱼 8斤深海鱼低脂餐囤货一周备菜顺丰包邮</t>
        </is>
      </c>
      <c r="I169" t="inlineStr">
        <is>
          <t>69fab80d64eb410001ece0c0</t>
        </is>
      </c>
      <c r="J169" t="inlineStr">
        <is>
          <t/>
        </is>
      </c>
      <c r="K169" t="n">
        <v>0.0</v>
      </c>
      <c r="L169" t="n">
        <v>0.0</v>
      </c>
      <c r="M169" t="n">
        <v>5.0</v>
      </c>
      <c r="N169" t="inlineStr">
        <is>
          <t>0.11363636363636363</t>
        </is>
      </c>
      <c r="O169" t="n">
        <v>4.0</v>
      </c>
      <c r="P169" t="n">
        <v>0.0</v>
      </c>
      <c r="Q169" t="n">
        <v>0.0</v>
      </c>
      <c r="R169" t="n">
        <v>0.0</v>
      </c>
      <c r="S169" t="n">
        <v>0.0</v>
      </c>
      <c r="T169" t="n">
        <v>0.0</v>
      </c>
      <c r="U169" t="n">
        <v>0.0</v>
      </c>
      <c r="V169" t="n">
        <v>0.0</v>
      </c>
      <c r="W169" t="inlineStr">
        <is>
          <t/>
        </is>
      </c>
      <c r="X169" t="n">
        <v>0.0</v>
      </c>
      <c r="Y169" t="n">
        <v>0.0</v>
      </c>
      <c r="Z169" t="n">
        <v>1.0</v>
      </c>
      <c r="AA169" t="n">
        <v>0.0</v>
      </c>
      <c r="AB169" t="n">
        <v>0.0</v>
      </c>
      <c r="AC169" t="n">
        <v>0.0</v>
      </c>
      <c r="AD169" t="n">
        <v>44.0</v>
      </c>
      <c r="AE169" t="n">
        <v>1.0</v>
      </c>
      <c r="AF169" t="n">
        <v>0.0</v>
      </c>
      <c r="AG169" t="n">
        <v>0.0</v>
      </c>
      <c r="AH169" t="n">
        <v>2.0</v>
      </c>
      <c r="AI169" t="n">
        <v>0.0</v>
      </c>
      <c r="AJ169" t="n">
        <v>0.0</v>
      </c>
      <c r="AK169" t="n">
        <v>15.977272727272727</v>
      </c>
      <c r="AL169" t="inlineStr">
        <is>
          <t/>
        </is>
      </c>
    </row>
    <row r="170">
      <c r="A170" t="inlineStr">
        <is>
          <t>和老爸商讨后，连夜上架一人食小包装</t>
        </is>
      </c>
      <c r="B170" t="inlineStr">
        <is>
          <t>6a6ed4b000000000330185fe</t>
        </is>
      </c>
      <c r="C170" s="169" t="n">
        <f>HYPERLINK("https://www.xiaohongshu.com/explore/6a6ed4b000000000330185fe?xsec_token=TBtNkliAah_1QzUOs2HAMynEKNasCjb1B6Nb6qTdGJocQ=&amp;xsec_source=pc_trdark","https://www.xiaohongshu.com/explore/6a6ed4b000000000330185fe?xsec_token=TBtNkliAah_1QzUOs2HAMynEKNasCjb1B6Nb6qTdGJocQ=&amp;xsec_source=pc_trdark")</f>
        <v>0.0</v>
      </c>
      <c r="D170" t="inlineStr">
        <is>
          <t>鲜水湾甄选</t>
        </is>
      </c>
      <c r="E170" t="inlineStr">
        <is>
          <t>27401929161</t>
        </is>
      </c>
      <c r="F170" t="inlineStr">
        <is>
          <t>2026-08-02 13:25:04</t>
        </is>
      </c>
      <c r="G170" t="inlineStr">
        <is>
          <t>图文</t>
        </is>
      </c>
      <c r="H170" t="inlineStr">
        <is>
          <t>手剥虾仁 无冰衣无添加 低脂餐一人食 上班带饭 顺丰包邮 5盒装</t>
        </is>
      </c>
      <c r="I170" t="inlineStr">
        <is>
          <t>694baba01d450d00013662f0</t>
        </is>
      </c>
      <c r="J170" t="inlineStr">
        <is>
          <t/>
        </is>
      </c>
      <c r="K170" t="n">
        <v>0.0</v>
      </c>
      <c r="L170" t="n">
        <v>0.0</v>
      </c>
      <c r="M170" t="n">
        <v>10.0</v>
      </c>
      <c r="N170" t="inlineStr">
        <is>
          <t>0.23255813953488372</t>
        </is>
      </c>
      <c r="O170" t="n">
        <v>8.0</v>
      </c>
      <c r="P170" t="n">
        <v>0.0</v>
      </c>
      <c r="Q170" t="n">
        <v>0.0</v>
      </c>
      <c r="R170" t="n">
        <v>0.0</v>
      </c>
      <c r="S170" t="n">
        <v>0.0</v>
      </c>
      <c r="T170" t="n">
        <v>0.0</v>
      </c>
      <c r="U170" t="n">
        <v>0.0</v>
      </c>
      <c r="V170" t="n">
        <v>0.0</v>
      </c>
      <c r="W170" t="inlineStr">
        <is>
          <t/>
        </is>
      </c>
      <c r="X170" t="n">
        <v>0.0</v>
      </c>
      <c r="Y170" t="n">
        <v>1.0</v>
      </c>
      <c r="Z170" t="n">
        <v>1.0</v>
      </c>
      <c r="AA170" t="n">
        <v>0.0</v>
      </c>
      <c r="AB170" t="n">
        <v>0.0</v>
      </c>
      <c r="AC170" t="n">
        <v>0.0</v>
      </c>
      <c r="AD170" t="n">
        <v>43.0</v>
      </c>
      <c r="AE170" t="n">
        <v>0.0</v>
      </c>
      <c r="AF170" t="n">
        <v>0.0</v>
      </c>
      <c r="AG170" t="n">
        <v>0.0</v>
      </c>
      <c r="AH170" t="n">
        <v>1.0</v>
      </c>
      <c r="AI170" t="n">
        <v>0.0</v>
      </c>
      <c r="AJ170" t="n">
        <v>0.0</v>
      </c>
      <c r="AK170" t="n">
        <v>11.186046511627907</v>
      </c>
      <c r="AL170" t="inlineStr">
        <is>
          <t/>
        </is>
      </c>
    </row>
    <row r="171">
      <c r="A171" t="inlineStr">
        <is>
          <t>某姆对不起，还是300一整条的更适合我</t>
        </is>
      </c>
      <c r="B171" t="inlineStr">
        <is>
          <t>69e71a8300000000220263eb</t>
        </is>
      </c>
      <c r="C171" s="170" t="n">
        <f>HYPERLINK("https://www.xiaohongshu.com/explore/69e71a8300000000220263eb?xsec_token=TBxJD1S06w8M0Ib6UdHEwWiMdpS9jiO_q8hdjUqffmgC0=&amp;xsec_source=pc_trdark","https://www.xiaohongshu.com/explore/69e71a8300000000220263eb?xsec_token=TBxJD1S06w8M0Ib6UdHEwWiMdpS9jiO_q8hdjUqffmgC0=&amp;xsec_source=pc_trdark")</f>
        <v>0.0</v>
      </c>
      <c r="D171" t="inlineStr">
        <is>
          <t>菲菲上班吃什么</t>
        </is>
      </c>
      <c r="E171" t="inlineStr">
        <is>
          <t>49936530607</t>
        </is>
      </c>
      <c r="F171" t="inlineStr">
        <is>
          <t>2026-04-21 14:34:43</t>
        </is>
      </c>
      <c r="G171" t="inlineStr">
        <is>
          <t>图文</t>
        </is>
      </c>
      <c r="H171" t="inlineStr">
        <is>
          <t>智利尾端中段整条三文鱼 8斤深海鱼低脂餐囤货一周备菜顺丰包邮</t>
        </is>
      </c>
      <c r="I171" t="inlineStr">
        <is>
          <t>69fab80d64eb410001ece0c0</t>
        </is>
      </c>
      <c r="J171" t="inlineStr">
        <is>
          <t/>
        </is>
      </c>
      <c r="K171" t="n">
        <v>0.0</v>
      </c>
      <c r="L171" t="n">
        <v>0.0</v>
      </c>
      <c r="M171" t="n">
        <v>5.0</v>
      </c>
      <c r="N171" t="inlineStr">
        <is>
          <t>0.11904761904761904</t>
        </is>
      </c>
      <c r="O171" t="n">
        <v>5.0</v>
      </c>
      <c r="P171" t="n">
        <v>0.0</v>
      </c>
      <c r="Q171" t="n">
        <v>0.0</v>
      </c>
      <c r="R171" t="n">
        <v>0.0</v>
      </c>
      <c r="S171" t="n">
        <v>0.0</v>
      </c>
      <c r="T171" t="n">
        <v>0.0</v>
      </c>
      <c r="U171" t="n">
        <v>0.0</v>
      </c>
      <c r="V171" t="n">
        <v>0.0</v>
      </c>
      <c r="W171" t="inlineStr">
        <is>
          <t/>
        </is>
      </c>
      <c r="X171" t="n">
        <v>0.0</v>
      </c>
      <c r="Y171" t="n">
        <v>0.0</v>
      </c>
      <c r="Z171" t="n">
        <v>0.0</v>
      </c>
      <c r="AA171" t="n">
        <v>0.0</v>
      </c>
      <c r="AB171" t="n">
        <v>0.0</v>
      </c>
      <c r="AC171" t="n">
        <v>0.0</v>
      </c>
      <c r="AD171" t="n">
        <v>42.0</v>
      </c>
      <c r="AE171" t="n">
        <v>0.0</v>
      </c>
      <c r="AF171" t="n">
        <v>0.0</v>
      </c>
      <c r="AG171" t="n">
        <v>0.0</v>
      </c>
      <c r="AH171" t="n">
        <v>0.0</v>
      </c>
      <c r="AI171" t="n">
        <v>0.0</v>
      </c>
      <c r="AJ171" t="n">
        <v>0.0</v>
      </c>
      <c r="AK171" t="n">
        <v>14.119047619047619</v>
      </c>
      <c r="AL171" t="inlineStr">
        <is>
          <t/>
        </is>
      </c>
    </row>
    <row r="172">
      <c r="A172" t="inlineStr">
        <is>
          <t>爱吃飞鱼籽寿司的宝宝，有口福了</t>
        </is>
      </c>
      <c r="B172" t="inlineStr">
        <is>
          <t>6a7aca47000000002500821b</t>
        </is>
      </c>
      <c r="C172" s="171" t="n">
        <f>HYPERLINK("https://www.xiaohongshu.com/explore/6a7aca47000000002500821b?xsec_token=TB0t4OYz0zvMWJMb3SXpV4Sezk4nayY0izpXacdQk3Ox0=&amp;xsec_source=pc_trdark","https://www.xiaohongshu.com/explore/6a7aca47000000002500821b?xsec_token=TB0t4OYz0zvMWJMb3SXpV4Sezk4nayY0izpXacdQk3Ox0=&amp;xsec_source=pc_trdark")</f>
        <v>0.0</v>
      </c>
      <c r="D172" t="inlineStr">
        <is>
          <t>菲菲上班吃什么</t>
        </is>
      </c>
      <c r="E172" t="inlineStr">
        <is>
          <t>49936530607</t>
        </is>
      </c>
      <c r="F172" t="inlineStr">
        <is>
          <t>2026-08-11 15:07:51</t>
        </is>
      </c>
      <c r="G172" t="inlineStr">
        <is>
          <t>视频</t>
        </is>
      </c>
      <c r="H172" t="inlineStr">
        <is>
          <t>鱼籽酱飞鱼籽寿司日料同款刺身食材顺丰包邮</t>
        </is>
      </c>
      <c r="I172" t="inlineStr">
        <is>
          <t>69ccb5371053a50001c84215</t>
        </is>
      </c>
      <c r="J172" t="n">
        <v>18.0</v>
      </c>
      <c r="K172" t="n">
        <v>0.0</v>
      </c>
      <c r="L172" t="n">
        <v>0.0</v>
      </c>
      <c r="M172" t="n">
        <v>2.0</v>
      </c>
      <c r="N172" t="inlineStr">
        <is>
          <t>0.04878048780487805</t>
        </is>
      </c>
      <c r="O172" t="n">
        <v>1.0</v>
      </c>
      <c r="P172" t="n">
        <v>0.0</v>
      </c>
      <c r="Q172" t="n">
        <v>0.0</v>
      </c>
      <c r="R172" t="n">
        <v>0.0</v>
      </c>
      <c r="S172" t="n">
        <v>0.0</v>
      </c>
      <c r="T172" t="n">
        <v>0.0</v>
      </c>
      <c r="U172" t="n">
        <v>0.0</v>
      </c>
      <c r="V172" t="n">
        <v>0.0</v>
      </c>
      <c r="W172" t="inlineStr">
        <is>
          <t/>
        </is>
      </c>
      <c r="X172" t="n">
        <v>0.0</v>
      </c>
      <c r="Y172" t="n">
        <v>0.0</v>
      </c>
      <c r="Z172" t="n">
        <v>1.0</v>
      </c>
      <c r="AA172" t="n">
        <v>0.0</v>
      </c>
      <c r="AB172" t="n">
        <v>0.0</v>
      </c>
      <c r="AC172" t="n">
        <v>0.0</v>
      </c>
      <c r="AD172" t="n">
        <v>41.0</v>
      </c>
      <c r="AE172" t="n">
        <v>1.0</v>
      </c>
      <c r="AF172" t="n">
        <v>0.0</v>
      </c>
      <c r="AG172" t="n">
        <v>0.0</v>
      </c>
      <c r="AH172" t="n">
        <v>0.0</v>
      </c>
      <c r="AI172" t="n">
        <v>0.0</v>
      </c>
      <c r="AJ172" t="n">
        <v>0.0</v>
      </c>
      <c r="AK172" t="n">
        <v>5.634146341463414</v>
      </c>
      <c r="AL172" t="inlineStr">
        <is>
          <t>0.14634146341463414</t>
        </is>
      </c>
    </row>
    <row r="173">
      <c r="A173" t="inlineStr">
        <is>
          <t>听粉丝的话，推出了一人食独立小包装🤩</t>
        </is>
      </c>
      <c r="B173" t="inlineStr">
        <is>
          <t>6a373fbe000000001003ea7d</t>
        </is>
      </c>
      <c r="C173" s="172" t="n">
        <f>HYPERLINK("https://www.xiaohongshu.com/explore/6a373fbe000000001003ea7d?xsec_token=TBlJFBwGekCcU74xocKG_L-OMd1O5YOrM46QydwPeEcrA=&amp;xsec_source=pc_trdark","https://www.xiaohongshu.com/explore/6a373fbe000000001003ea7d?xsec_token=TBlJFBwGekCcU74xocKG_L-OMd1O5YOrM46QydwPeEcrA=&amp;xsec_source=pc_trdark")</f>
        <v>0.0</v>
      </c>
      <c r="D173" t="inlineStr">
        <is>
          <t>鲜水湾甄选</t>
        </is>
      </c>
      <c r="E173" t="inlineStr">
        <is>
          <t>27401929161</t>
        </is>
      </c>
      <c r="F173" t="inlineStr">
        <is>
          <t>2026-06-21 09:34:54</t>
        </is>
      </c>
      <c r="G173" t="inlineStr">
        <is>
          <t>图文</t>
        </is>
      </c>
      <c r="H173" t="inlineStr">
        <is>
          <t>手剥虾仁 无冰衣无添加 低脂餐一人食 上班带饭 顺丰包邮 5盒装</t>
        </is>
      </c>
      <c r="I173" t="inlineStr">
        <is>
          <t>694baba01d450d00013662f0</t>
        </is>
      </c>
      <c r="J173" t="inlineStr">
        <is>
          <t/>
        </is>
      </c>
      <c r="K173" t="n">
        <v>191.0</v>
      </c>
      <c r="L173" t="n">
        <v>2.0</v>
      </c>
      <c r="M173" t="n">
        <v>4.0</v>
      </c>
      <c r="N173" t="n">
        <v>0.0975609756097561</v>
      </c>
      <c r="O173" t="n">
        <v>4.0</v>
      </c>
      <c r="P173" t="n">
        <v>2.0</v>
      </c>
      <c r="Q173" t="n">
        <v>0.5</v>
      </c>
      <c r="R173" t="n">
        <v>0.5</v>
      </c>
      <c r="S173" t="n">
        <v>0.0</v>
      </c>
      <c r="T173" t="n">
        <v>0.0</v>
      </c>
      <c r="U173" t="n">
        <v>0.0</v>
      </c>
      <c r="V173" t="n">
        <v>0.0</v>
      </c>
      <c r="W173" t="n">
        <v>0.0</v>
      </c>
      <c r="X173" t="n">
        <v>0.0</v>
      </c>
      <c r="Y173" t="n">
        <v>0.0</v>
      </c>
      <c r="Z173" t="n">
        <v>0.0</v>
      </c>
      <c r="AA173" t="n">
        <v>0.0</v>
      </c>
      <c r="AB173" t="n">
        <v>0.0</v>
      </c>
      <c r="AC173" t="n">
        <v>0.0</v>
      </c>
      <c r="AD173" t="n">
        <v>41.0</v>
      </c>
      <c r="AE173" t="n">
        <v>0.0</v>
      </c>
      <c r="AF173" t="n">
        <v>0.0</v>
      </c>
      <c r="AG173" t="n">
        <v>0.0</v>
      </c>
      <c r="AH173" t="n">
        <v>0.0</v>
      </c>
      <c r="AI173" t="n">
        <v>0.0</v>
      </c>
      <c r="AJ173" t="n">
        <v>0.0</v>
      </c>
      <c r="AK173" t="n">
        <v>10.24390243902439</v>
      </c>
      <c r="AL173" t="inlineStr">
        <is>
          <t/>
        </is>
      </c>
    </row>
    <row r="174">
      <c r="A174" t="inlineStr">
        <is>
          <t>三文鱼去皮后有黑色肉，不是坏了，别误会</t>
        </is>
      </c>
      <c r="B174" t="inlineStr">
        <is>
          <t>6a028e180000000008030c86</t>
        </is>
      </c>
      <c r="C174" s="173" t="n">
        <f>HYPERLINK("https://www.xiaohongshu.com/explore/6a028e180000000008030c86?xsec_token=TBPwq-ce0mzGyOoBGbWlmZ4KEfiScwSpZEcYHbM5isnYo=&amp;xsec_source=pc_trdark","https://www.xiaohongshu.com/explore/6a028e180000000008030c86?xsec_token=TBPwq-ce0mzGyOoBGbWlmZ4KEfiScwSpZEcYHbM5isnYo=&amp;xsec_source=pc_trdark")</f>
        <v>0.0</v>
      </c>
      <c r="D174" t="inlineStr">
        <is>
          <t>鲜水湾</t>
        </is>
      </c>
      <c r="E174" t="inlineStr">
        <is>
          <t>49316638994</t>
        </is>
      </c>
      <c r="F174" t="inlineStr">
        <is>
          <t>2026-05-12 10:19:04</t>
        </is>
      </c>
      <c r="G174" t="inlineStr">
        <is>
          <t>图文</t>
        </is>
      </c>
      <c r="H174" t="inlineStr">
        <is>
          <t>智利三文鱼切块·整条三文鱼·深海鱼一人食健康饮食</t>
        </is>
      </c>
      <c r="I174" t="inlineStr">
        <is>
          <t>691ac562a524ee0001b51d7b</t>
        </is>
      </c>
      <c r="J174" t="inlineStr">
        <is>
          <t/>
        </is>
      </c>
      <c r="K174" t="n">
        <v>0.0</v>
      </c>
      <c r="L174" t="n">
        <v>0.0</v>
      </c>
      <c r="M174" t="n">
        <v>1.0</v>
      </c>
      <c r="N174" t="inlineStr">
        <is>
          <t>0.024390243902439025</t>
        </is>
      </c>
      <c r="O174" t="n">
        <v>1.0</v>
      </c>
      <c r="P174" t="n">
        <v>0.0</v>
      </c>
      <c r="Q174" t="n">
        <v>0.0</v>
      </c>
      <c r="R174" t="n">
        <v>0.0</v>
      </c>
      <c r="S174" t="n">
        <v>0.0</v>
      </c>
      <c r="T174" t="n">
        <v>0.0</v>
      </c>
      <c r="U174" t="n">
        <v>0.0</v>
      </c>
      <c r="V174" t="n">
        <v>0.0</v>
      </c>
      <c r="W174" t="inlineStr">
        <is>
          <t/>
        </is>
      </c>
      <c r="X174" t="n">
        <v>0.0</v>
      </c>
      <c r="Y174" t="n">
        <v>0.0</v>
      </c>
      <c r="Z174" t="n">
        <v>1.0</v>
      </c>
      <c r="AA174" t="n">
        <v>0.0</v>
      </c>
      <c r="AB174" t="n">
        <v>0.0</v>
      </c>
      <c r="AC174" t="n">
        <v>0.0</v>
      </c>
      <c r="AD174" t="n">
        <v>41.0</v>
      </c>
      <c r="AE174" t="n">
        <v>0.0</v>
      </c>
      <c r="AF174" t="n">
        <v>0.0</v>
      </c>
      <c r="AG174" t="n">
        <v>0.0</v>
      </c>
      <c r="AH174" t="n">
        <v>0.0</v>
      </c>
      <c r="AI174" t="n">
        <v>0.0</v>
      </c>
      <c r="AJ174" t="n">
        <v>0.0</v>
      </c>
      <c r="AK174" t="n">
        <v>9.073170731707316</v>
      </c>
      <c r="AL174" t="inlineStr">
        <is>
          <t/>
        </is>
      </c>
    </row>
    <row r="175">
      <c r="A175" t="inlineStr">
        <is>
          <t>说一个撑死人但热量很低的东西</t>
        </is>
      </c>
      <c r="B175" t="inlineStr">
        <is>
          <t>69d21db6000000001f0028c0</t>
        </is>
      </c>
      <c r="C175" s="174" t="n">
        <f>HYPERLINK("https://www.xiaohongshu.com/explore/69d21db6000000001f0028c0?xsec_token=TBNrOxL8mRPP3W5KJU-iYJr5QJPbVonBFz7e3ktEJNAn4=&amp;xsec_source=pc_trdark","https://www.xiaohongshu.com/explore/69d21db6000000001f0028c0?xsec_token=TBNrOxL8mRPP3W5KJU-iYJr5QJPbVonBFz7e3ktEJNAn4=&amp;xsec_source=pc_trdark")</f>
        <v>0.0</v>
      </c>
      <c r="D175" t="inlineStr">
        <is>
          <t>菲菲上班吃什么</t>
        </is>
      </c>
      <c r="E175" t="inlineStr">
        <is>
          <t>49936530607</t>
        </is>
      </c>
      <c r="F175" t="inlineStr">
        <is>
          <t>2026-04-05 16:30:46</t>
        </is>
      </c>
      <c r="G175" t="inlineStr">
        <is>
          <t>图文</t>
        </is>
      </c>
      <c r="H175" t="inlineStr">
        <is>
          <t>手剥虾仁 无冰衣无添加 低脂餐一人食 上班带饭 顺丰包邮 5盒装</t>
        </is>
      </c>
      <c r="I175" t="inlineStr">
        <is>
          <t>694baba01d450d00013662f0</t>
        </is>
      </c>
      <c r="J175" t="inlineStr">
        <is>
          <t/>
        </is>
      </c>
      <c r="K175" t="n">
        <v>0.0</v>
      </c>
      <c r="L175" t="n">
        <v>0.0</v>
      </c>
      <c r="M175" t="n">
        <v>1.0</v>
      </c>
      <c r="N175" t="inlineStr">
        <is>
          <t>0.024390243902439025</t>
        </is>
      </c>
      <c r="O175" t="n">
        <v>1.0</v>
      </c>
      <c r="P175" t="n">
        <v>0.0</v>
      </c>
      <c r="Q175" t="n">
        <v>0.0</v>
      </c>
      <c r="R175" t="n">
        <v>0.0</v>
      </c>
      <c r="S175" t="n">
        <v>0.0</v>
      </c>
      <c r="T175" t="n">
        <v>0.0</v>
      </c>
      <c r="U175" t="n">
        <v>0.0</v>
      </c>
      <c r="V175" t="n">
        <v>0.0</v>
      </c>
      <c r="W175" t="inlineStr">
        <is>
          <t/>
        </is>
      </c>
      <c r="X175" t="n">
        <v>0.0</v>
      </c>
      <c r="Y175" t="n">
        <v>1.0</v>
      </c>
      <c r="Z175" t="n">
        <v>0.0</v>
      </c>
      <c r="AA175" t="n">
        <v>0.0</v>
      </c>
      <c r="AB175" t="n">
        <v>0.0</v>
      </c>
      <c r="AC175" t="n">
        <v>0.0</v>
      </c>
      <c r="AD175" t="n">
        <v>41.0</v>
      </c>
      <c r="AE175" t="n">
        <v>0.0</v>
      </c>
      <c r="AF175" t="n">
        <v>0.0</v>
      </c>
      <c r="AG175" t="n">
        <v>0.0</v>
      </c>
      <c r="AH175" t="n">
        <v>0.0</v>
      </c>
      <c r="AI175" t="n">
        <v>0.0</v>
      </c>
      <c r="AJ175" t="n">
        <v>0.0</v>
      </c>
      <c r="AK175" t="n">
        <v>6.2682926829268295</v>
      </c>
      <c r="AL175" t="inlineStr">
        <is>
          <t/>
        </is>
      </c>
    </row>
    <row r="176">
      <c r="A176" t="inlineStr">
        <is>
          <t>办公室午饭被问最多的，居然是一餐一包虾仁</t>
        </is>
      </c>
      <c r="B176" t="inlineStr">
        <is>
          <t>6a6d80cb0000000021023077</t>
        </is>
      </c>
      <c r="C176" s="175" t="n">
        <f>HYPERLINK("https://www.xiaohongshu.com/explore/6a6d80cb0000000021023077?xsec_token=TBzB8vrykIekVwjns_5rHPFGpskQD-djEX6d37r8zn7vU=&amp;xsec_source=pc_trdark","https://www.xiaohongshu.com/explore/6a6d80cb0000000021023077?xsec_token=TBzB8vrykIekVwjns_5rHPFGpskQD-djEX6d37r8zn7vU=&amp;xsec_source=pc_trdark")</f>
        <v>0.0</v>
      </c>
      <c r="D176" t="inlineStr">
        <is>
          <t>鲜水湾甄选</t>
        </is>
      </c>
      <c r="E176" t="inlineStr">
        <is>
          <t>27401929161</t>
        </is>
      </c>
      <c r="F176" t="inlineStr">
        <is>
          <t>2026-08-01 13:14:51</t>
        </is>
      </c>
      <c r="G176" t="inlineStr">
        <is>
          <t>图文</t>
        </is>
      </c>
      <c r="H176" t="inlineStr">
        <is>
          <t>手剥虾仁 无冰衣无添加 低脂餐一人食 上班带饭 顺丰包邮 5盒装</t>
        </is>
      </c>
      <c r="I176" t="inlineStr">
        <is>
          <t>694baba01d450d00013662f0</t>
        </is>
      </c>
      <c r="J176" t="inlineStr">
        <is>
          <t/>
        </is>
      </c>
      <c r="K176" t="n">
        <v>0.0</v>
      </c>
      <c r="L176" t="n">
        <v>0.0</v>
      </c>
      <c r="M176" t="n">
        <v>2.0</v>
      </c>
      <c r="N176" t="n">
        <v>0.05</v>
      </c>
      <c r="O176" t="n">
        <v>2.0</v>
      </c>
      <c r="P176" t="n">
        <v>0.0</v>
      </c>
      <c r="Q176" t="n">
        <v>0.0</v>
      </c>
      <c r="R176" t="n">
        <v>0.0</v>
      </c>
      <c r="S176" t="n">
        <v>0.0</v>
      </c>
      <c r="T176" t="n">
        <v>0.0</v>
      </c>
      <c r="U176" t="n">
        <v>0.0</v>
      </c>
      <c r="V176" t="n">
        <v>0.0</v>
      </c>
      <c r="W176" t="inlineStr">
        <is>
          <t/>
        </is>
      </c>
      <c r="X176" t="n">
        <v>0.0</v>
      </c>
      <c r="Y176" t="n">
        <v>0.0</v>
      </c>
      <c r="Z176" t="n">
        <v>0.0</v>
      </c>
      <c r="AA176" t="n">
        <v>0.0</v>
      </c>
      <c r="AB176" t="n">
        <v>0.0</v>
      </c>
      <c r="AC176" t="n">
        <v>0.0</v>
      </c>
      <c r="AD176" t="n">
        <v>40.0</v>
      </c>
      <c r="AE176" t="n">
        <v>1.0</v>
      </c>
      <c r="AF176" t="n">
        <v>0.0</v>
      </c>
      <c r="AG176" t="n">
        <v>0.0</v>
      </c>
      <c r="AH176" t="n">
        <v>0.0</v>
      </c>
      <c r="AI176" t="n">
        <v>0.0</v>
      </c>
      <c r="AJ176" t="n">
        <v>0.0</v>
      </c>
      <c r="AK176" t="n">
        <v>11.65</v>
      </c>
      <c r="AL176" t="inlineStr">
        <is>
          <t/>
        </is>
      </c>
    </row>
    <row r="177">
      <c r="A177" t="inlineStr">
        <is>
          <t>孕妈妈放心炫的虾！鲜到跳脚还补钙</t>
        </is>
      </c>
      <c r="B177" t="inlineStr">
        <is>
          <t>694aad5f000000001f0085bc</t>
        </is>
      </c>
      <c r="C177" s="176" t="n">
        <f>HYPERLINK("https://www.xiaohongshu.com/explore/694aad5f000000001f0085bc?xsec_token=TBdeZ0Rm1wYmDrNYnjdb_05teoGDji6c5OUtoJGvaOS34=&amp;xsec_source=pc_trdark","https://www.xiaohongshu.com/explore/694aad5f000000001f0085bc?xsec_token=TBdeZ0Rm1wYmDrNYnjdb_05teoGDji6c5OUtoJGvaOS34=&amp;xsec_source=pc_trdark")</f>
        <v>0.0</v>
      </c>
      <c r="D177" t="inlineStr">
        <is>
          <t>鲜水湾</t>
        </is>
      </c>
      <c r="E177" t="inlineStr">
        <is>
          <t>49316638994</t>
        </is>
      </c>
      <c r="F177" t="inlineStr">
        <is>
          <t>2025-12-23 22:55:27</t>
        </is>
      </c>
      <c r="G177" t="inlineStr">
        <is>
          <t>图文</t>
        </is>
      </c>
      <c r="H177" t="inlineStr">
        <is>
          <t>大虾基围虾王牌大虾厄瓜多尔白虾盐冻虾仁海洋大虾送礼顺丰包邮</t>
        </is>
      </c>
      <c r="I177" t="inlineStr">
        <is>
          <t>690aeb7be379430001e686ac</t>
        </is>
      </c>
      <c r="J177" t="inlineStr">
        <is>
          <t/>
        </is>
      </c>
      <c r="K177" t="n">
        <v>0.0</v>
      </c>
      <c r="L177" t="n">
        <v>0.0</v>
      </c>
      <c r="M177" t="n">
        <v>1.0</v>
      </c>
      <c r="N177" t="n">
        <v>0.025</v>
      </c>
      <c r="O177" t="n">
        <v>1.0</v>
      </c>
      <c r="P177" t="n">
        <v>0.0</v>
      </c>
      <c r="Q177" t="n">
        <v>0.0</v>
      </c>
      <c r="R177" t="n">
        <v>0.0</v>
      </c>
      <c r="S177" t="n">
        <v>0.0</v>
      </c>
      <c r="T177" t="n">
        <v>0.0</v>
      </c>
      <c r="U177" t="n">
        <v>0.0</v>
      </c>
      <c r="V177" t="n">
        <v>0.0</v>
      </c>
      <c r="W177" t="inlineStr">
        <is>
          <t/>
        </is>
      </c>
      <c r="X177" t="n">
        <v>0.0</v>
      </c>
      <c r="Y177" t="n">
        <v>0.0</v>
      </c>
      <c r="Z177" t="n">
        <v>0.0</v>
      </c>
      <c r="AA177" t="n">
        <v>0.0</v>
      </c>
      <c r="AB177" t="n">
        <v>0.0</v>
      </c>
      <c r="AC177" t="n">
        <v>0.0</v>
      </c>
      <c r="AD177" t="n">
        <v>40.0</v>
      </c>
      <c r="AE177" t="n">
        <v>0.0</v>
      </c>
      <c r="AF177" t="n">
        <v>0.0</v>
      </c>
      <c r="AG177" t="n">
        <v>0.0</v>
      </c>
      <c r="AH177" t="n">
        <v>0.0</v>
      </c>
      <c r="AI177" t="n">
        <v>0.0</v>
      </c>
      <c r="AJ177" t="n">
        <v>0.0</v>
      </c>
      <c r="AK177" t="n">
        <v>5.425</v>
      </c>
      <c r="AL177" t="inlineStr">
        <is>
          <t/>
        </is>
      </c>
    </row>
    <row r="178">
      <c r="A178" t="inlineStr">
        <is>
          <t>凭一己之力，带动全公司吃虾仁！</t>
        </is>
      </c>
      <c r="B178" t="inlineStr">
        <is>
          <t>6a68160c000000001303cabd</t>
        </is>
      </c>
      <c r="C178" s="177" t="n">
        <f>HYPERLINK("https://www.xiaohongshu.com/explore/6a68160c000000001303cabd?xsec_token=TBuVqV6OAJJIOGGQlO2UOOSLHpLAEQdL6c26Vd4yXIhCE=&amp;xsec_source=pc_trdark","https://www.xiaohongshu.com/explore/6a68160c000000001303cabd?xsec_token=TBuVqV6OAJJIOGGQlO2UOOSLHpLAEQdL6c26Vd4yXIhCE=&amp;xsec_source=pc_trdark")</f>
        <v>0.0</v>
      </c>
      <c r="D178" t="inlineStr">
        <is>
          <t>婉婉上班吃什么</t>
        </is>
      </c>
      <c r="E178" t="inlineStr">
        <is>
          <t>11434449706</t>
        </is>
      </c>
      <c r="F178" t="inlineStr">
        <is>
          <t>2026-07-28 10:38:04</t>
        </is>
      </c>
      <c r="G178" t="inlineStr">
        <is>
          <t>图文</t>
        </is>
      </c>
      <c r="H178" t="inlineStr">
        <is>
          <t>手剥虾仁 无冰衣无添加 低脂餐一人食 上班带饭 顺丰包邮 5盒装</t>
        </is>
      </c>
      <c r="I178" t="inlineStr">
        <is>
          <t>694baba01d450d00013662f0</t>
        </is>
      </c>
      <c r="J178" t="inlineStr">
        <is>
          <t/>
        </is>
      </c>
      <c r="K178" t="n">
        <v>0.0</v>
      </c>
      <c r="L178" t="n">
        <v>0.0</v>
      </c>
      <c r="M178" t="n">
        <v>5.0</v>
      </c>
      <c r="N178" t="n">
        <v>0.1282051282051282</v>
      </c>
      <c r="O178" t="n">
        <v>5.0</v>
      </c>
      <c r="P178" t="n">
        <v>0.0</v>
      </c>
      <c r="Q178" t="n">
        <v>0.0</v>
      </c>
      <c r="R178" t="n">
        <v>0.0</v>
      </c>
      <c r="S178" t="n">
        <v>0.0</v>
      </c>
      <c r="T178" t="n">
        <v>0.0</v>
      </c>
      <c r="U178" t="n">
        <v>0.0</v>
      </c>
      <c r="V178" t="n">
        <v>0.0</v>
      </c>
      <c r="W178" t="inlineStr">
        <is>
          <t/>
        </is>
      </c>
      <c r="X178" t="n">
        <v>0.0</v>
      </c>
      <c r="Y178" t="n">
        <v>1.0</v>
      </c>
      <c r="Z178" t="n">
        <v>1.0</v>
      </c>
      <c r="AA178" t="n">
        <v>0.0</v>
      </c>
      <c r="AB178" t="n">
        <v>0.0</v>
      </c>
      <c r="AC178" t="n">
        <v>0.0</v>
      </c>
      <c r="AD178" t="n">
        <v>39.0</v>
      </c>
      <c r="AE178" t="n">
        <v>0.0</v>
      </c>
      <c r="AF178" t="n">
        <v>0.0</v>
      </c>
      <c r="AG178" t="n">
        <v>0.0</v>
      </c>
      <c r="AH178" t="n">
        <v>0.0</v>
      </c>
      <c r="AI178" t="n">
        <v>0.0</v>
      </c>
      <c r="AJ178" t="n">
        <v>0.0</v>
      </c>
      <c r="AK178" t="n">
        <v>17.41025641025641</v>
      </c>
      <c r="AL178" t="inlineStr">
        <is>
          <t/>
        </is>
      </c>
    </row>
    <row r="179">
      <c r="A179" t="inlineStr">
        <is>
          <t>区区 69 解决了我一周的上班带饭</t>
        </is>
      </c>
      <c r="B179" t="inlineStr">
        <is>
          <t>6a432b800000000021018509</t>
        </is>
      </c>
      <c r="C179" s="178" t="n">
        <f>HYPERLINK("https://www.xiaohongshu.com/explore/6a432b800000000021018509?xsec_token=TBHlcLEn6fokKWIeUTfT7NlfD4SrDn3tVuYY1ItEEoENs=&amp;xsec_source=pc_trdark","https://www.xiaohongshu.com/explore/6a432b800000000021018509?xsec_token=TBHlcLEn6fokKWIeUTfT7NlfD4SrDn3tVuYY1ItEEoENs=&amp;xsec_source=pc_trdark")</f>
        <v>0.0</v>
      </c>
      <c r="D179" t="inlineStr">
        <is>
          <t>婉婉上班吃什么</t>
        </is>
      </c>
      <c r="E179" t="inlineStr">
        <is>
          <t>11434449706</t>
        </is>
      </c>
      <c r="F179" t="inlineStr">
        <is>
          <t>2026-06-30 10:35:44</t>
        </is>
      </c>
      <c r="G179" t="inlineStr">
        <is>
          <t>图文</t>
        </is>
      </c>
      <c r="H179" t="inlineStr">
        <is>
          <t>手剥虾仁 无冰衣无添加 低脂餐一人食 上班带饭 顺丰包邮 5盒装</t>
        </is>
      </c>
      <c r="I179" t="inlineStr">
        <is>
          <t>694baba01d450d00013662f0</t>
        </is>
      </c>
      <c r="J179" t="inlineStr">
        <is>
          <t/>
        </is>
      </c>
      <c r="K179" t="n">
        <v>127.0</v>
      </c>
      <c r="L179" t="n">
        <v>1.0</v>
      </c>
      <c r="M179" t="n">
        <v>4.0</v>
      </c>
      <c r="N179" t="inlineStr">
        <is>
          <t>0.10256410256410256</t>
        </is>
      </c>
      <c r="O179" t="n">
        <v>4.0</v>
      </c>
      <c r="P179" t="n">
        <v>1.0</v>
      </c>
      <c r="Q179" t="n">
        <v>0.25</v>
      </c>
      <c r="R179" t="n">
        <v>0.25</v>
      </c>
      <c r="S179" t="n">
        <v>0.0</v>
      </c>
      <c r="T179" t="n">
        <v>0.0</v>
      </c>
      <c r="U179" t="n">
        <v>0.0</v>
      </c>
      <c r="V179" t="n">
        <v>0.0</v>
      </c>
      <c r="W179" t="n">
        <v>0.0</v>
      </c>
      <c r="X179" t="n">
        <v>0.0</v>
      </c>
      <c r="Y179" t="n">
        <v>1.0</v>
      </c>
      <c r="Z179" t="n">
        <v>0.0</v>
      </c>
      <c r="AA179" t="n">
        <v>0.0</v>
      </c>
      <c r="AB179" t="n">
        <v>0.0</v>
      </c>
      <c r="AC179" t="n">
        <v>0.0</v>
      </c>
      <c r="AD179" t="n">
        <v>39.0</v>
      </c>
      <c r="AE179" t="n">
        <v>0.0</v>
      </c>
      <c r="AF179" t="n">
        <v>0.0</v>
      </c>
      <c r="AG179" t="n">
        <v>0.0</v>
      </c>
      <c r="AH179" t="n">
        <v>0.0</v>
      </c>
      <c r="AI179" t="n">
        <v>0.0</v>
      </c>
      <c r="AJ179" t="n">
        <v>0.0</v>
      </c>
      <c r="AK179" t="n">
        <v>12.128205128205128</v>
      </c>
      <c r="AL179" t="inlineStr">
        <is>
          <t/>
        </is>
      </c>
    </row>
    <row r="180">
      <c r="A180" t="inlineStr">
        <is>
          <t>以为 300💰没多少，结果够我吃一个月减脂餐</t>
        </is>
      </c>
      <c r="B180" t="inlineStr">
        <is>
          <t>6a854897000000002202c0c7</t>
        </is>
      </c>
      <c r="C180" s="179" t="n">
        <f>HYPERLINK("https://www.xiaohongshu.com/explore/6a854897000000002202c0c7?xsec_token=TBJmHaeRkPfq1uW8CCMC_cW38X2zOitQmH9-dVCuclu7M=&amp;xsec_source=pc_trdark","https://www.xiaohongshu.com/explore/6a854897000000002202c0c7?xsec_token=TBJmHaeRkPfq1uW8CCMC_cW38X2zOitQmH9-dVCuclu7M=&amp;xsec_source=pc_trdark")</f>
        <v>0.0</v>
      </c>
      <c r="D180" t="inlineStr">
        <is>
          <t>婉婉上班吃什么</t>
        </is>
      </c>
      <c r="E180" t="inlineStr">
        <is>
          <t>11434449706</t>
        </is>
      </c>
      <c r="F180" t="inlineStr">
        <is>
          <t>2026-08-19 14:09:27</t>
        </is>
      </c>
      <c r="G180" t="inlineStr">
        <is>
          <t>图文</t>
        </is>
      </c>
      <c r="H180" t="inlineStr">
        <is>
          <t>智利尾端中段整条三文鱼 8斤深海鱼低脂餐囤货一周备菜顺丰包邮</t>
        </is>
      </c>
      <c r="I180" t="inlineStr">
        <is>
          <t>69fab80d64eb410001ece0c0</t>
        </is>
      </c>
      <c r="J180" t="inlineStr">
        <is>
          <t/>
        </is>
      </c>
      <c r="K180" t="n">
        <v>0.0</v>
      </c>
      <c r="L180" t="n">
        <v>0.0</v>
      </c>
      <c r="M180" t="n">
        <v>7.0</v>
      </c>
      <c r="N180" t="inlineStr">
        <is>
          <t>0.18421052631578946</t>
        </is>
      </c>
      <c r="O180" t="n">
        <v>4.0</v>
      </c>
      <c r="P180" t="n">
        <v>0.0</v>
      </c>
      <c r="Q180" t="n">
        <v>0.0</v>
      </c>
      <c r="R180" t="n">
        <v>0.0</v>
      </c>
      <c r="S180" t="n">
        <v>0.0</v>
      </c>
      <c r="T180" t="n">
        <v>0.0</v>
      </c>
      <c r="U180" t="n">
        <v>0.0</v>
      </c>
      <c r="V180" t="n">
        <v>0.0</v>
      </c>
      <c r="W180" t="inlineStr">
        <is>
          <t/>
        </is>
      </c>
      <c r="X180" t="n">
        <v>0.0</v>
      </c>
      <c r="Y180" t="n">
        <v>1.0</v>
      </c>
      <c r="Z180" t="n">
        <v>0.0</v>
      </c>
      <c r="AA180" t="n">
        <v>0.0</v>
      </c>
      <c r="AB180" t="n">
        <v>0.0</v>
      </c>
      <c r="AC180" t="n">
        <v>0.0</v>
      </c>
      <c r="AD180" t="n">
        <v>38.0</v>
      </c>
      <c r="AE180" t="n">
        <v>2.0</v>
      </c>
      <c r="AF180" t="n">
        <v>0.0</v>
      </c>
      <c r="AG180" t="n">
        <v>0.0</v>
      </c>
      <c r="AH180" t="n">
        <v>2.0</v>
      </c>
      <c r="AI180" t="n">
        <v>1.0</v>
      </c>
      <c r="AJ180" t="n">
        <v>0.0</v>
      </c>
      <c r="AK180" t="n">
        <v>11.605263157894736</v>
      </c>
      <c r="AL180" t="inlineStr">
        <is>
          <t/>
        </is>
      </c>
    </row>
    <row r="181">
      <c r="A181" t="inlineStr">
        <is>
          <t>着实有点低估了300多的购买力了</t>
        </is>
      </c>
      <c r="B181" t="inlineStr">
        <is>
          <t>6a82b23f0000000033034ab5</t>
        </is>
      </c>
      <c r="C181" s="180" t="n">
        <f>HYPERLINK("https://www.xiaohongshu.com/explore/6a82b23f0000000033034ab5?xsec_token=TBA1HIXh5By36RiQNQnYzmZW8fT9D32p0kSh8GMq4tLZY=&amp;xsec_source=pc_trdark","https://www.xiaohongshu.com/explore/6a82b23f0000000033034ab5?xsec_token=TBA1HIXh5By36RiQNQnYzmZW8fT9D32p0kSh8GMq4tLZY=&amp;xsec_source=pc_trdark")</f>
        <v>0.0</v>
      </c>
      <c r="D181" t="inlineStr">
        <is>
          <t>鲜水湾</t>
        </is>
      </c>
      <c r="E181" t="inlineStr">
        <is>
          <t>49316638994</t>
        </is>
      </c>
      <c r="F181" t="inlineStr">
        <is>
          <t>2026-08-17 15:03:27</t>
        </is>
      </c>
      <c r="G181" t="inlineStr">
        <is>
          <t>图文</t>
        </is>
      </c>
      <c r="H181" t="inlineStr">
        <is>
          <t>智利尾端中段整条三文鱼 8斤深海鱼低脂餐囤货一周备菜顺丰包邮</t>
        </is>
      </c>
      <c r="I181" t="inlineStr">
        <is>
          <t>69fab80d64eb410001ece0c0</t>
        </is>
      </c>
      <c r="J181" t="inlineStr">
        <is>
          <t/>
        </is>
      </c>
      <c r="K181" t="n">
        <v>0.0</v>
      </c>
      <c r="L181" t="n">
        <v>0.0</v>
      </c>
      <c r="M181" t="n">
        <v>4.0</v>
      </c>
      <c r="N181" t="inlineStr">
        <is>
          <t>0.10526315789473684</t>
        </is>
      </c>
      <c r="O181" t="n">
        <v>4.0</v>
      </c>
      <c r="P181" t="n">
        <v>0.0</v>
      </c>
      <c r="Q181" t="n">
        <v>0.0</v>
      </c>
      <c r="R181" t="n">
        <v>0.0</v>
      </c>
      <c r="S181" t="n">
        <v>0.0</v>
      </c>
      <c r="T181" t="n">
        <v>0.0</v>
      </c>
      <c r="U181" t="n">
        <v>0.0</v>
      </c>
      <c r="V181" t="n">
        <v>0.0</v>
      </c>
      <c r="W181" t="inlineStr">
        <is>
          <t/>
        </is>
      </c>
      <c r="X181" t="n">
        <v>0.0</v>
      </c>
      <c r="Y181" t="n">
        <v>0.0</v>
      </c>
      <c r="Z181" t="n">
        <v>2.0</v>
      </c>
      <c r="AA181" t="n">
        <v>0.0</v>
      </c>
      <c r="AB181" t="n">
        <v>0.0</v>
      </c>
      <c r="AC181" t="n">
        <v>0.0</v>
      </c>
      <c r="AD181" t="n">
        <v>38.0</v>
      </c>
      <c r="AE181" t="n">
        <v>2.0</v>
      </c>
      <c r="AF181" t="n">
        <v>0.0</v>
      </c>
      <c r="AG181" t="n">
        <v>0.0</v>
      </c>
      <c r="AH181" t="n">
        <v>2.0</v>
      </c>
      <c r="AI181" t="n">
        <v>0.0</v>
      </c>
      <c r="AJ181" t="n">
        <v>0.0</v>
      </c>
      <c r="AK181" t="n">
        <v>14.421052631578947</v>
      </c>
      <c r="AL181" t="inlineStr">
        <is>
          <t/>
        </is>
      </c>
    </row>
    <row r="182">
      <c r="A182" t="inlineStr">
        <is>
          <t>请全国孕麻麻放心囤，没打一点药</t>
        </is>
      </c>
      <c r="B182" t="inlineStr">
        <is>
          <t>6a79a1da000000002402532e</t>
        </is>
      </c>
      <c r="C182" s="181" t="n">
        <f>HYPERLINK("https://www.xiaohongshu.com/explore/6a79a1da000000002402532e?xsec_token=TBsnAROY2EYN-xIVUvJJxKjX-PgjlK4yhq0BsS30YLimw=&amp;xsec_source=pc_trdark","https://www.xiaohongshu.com/explore/6a79a1da000000002402532e?xsec_token=TBsnAROY2EYN-xIVUvJJxKjX-PgjlK4yhq0BsS30YLimw=&amp;xsec_source=pc_trdark")</f>
        <v>0.0</v>
      </c>
      <c r="D182" t="inlineStr">
        <is>
          <t>鲜水湾甄选</t>
        </is>
      </c>
      <c r="E182" t="inlineStr">
        <is>
          <t>27401929161</t>
        </is>
      </c>
      <c r="F182" t="inlineStr">
        <is>
          <t>2026-08-10 18:03:06</t>
        </is>
      </c>
      <c r="G182" t="inlineStr">
        <is>
          <t>图文</t>
        </is>
      </c>
      <c r="H182" t="inlineStr">
        <is>
          <t>手剥虾仁 无冰衣无添加 低脂餐一人食 上班带饭 顺丰包邮 5盒装</t>
        </is>
      </c>
      <c r="I182" t="inlineStr">
        <is>
          <t>694baba01d450d00013662f0</t>
        </is>
      </c>
      <c r="J182" t="inlineStr">
        <is>
          <t/>
        </is>
      </c>
      <c r="K182" t="n">
        <v>0.0</v>
      </c>
      <c r="L182" t="n">
        <v>0.0</v>
      </c>
      <c r="M182" t="n">
        <v>7.0</v>
      </c>
      <c r="N182" t="inlineStr">
        <is>
          <t>0.18421052631578946</t>
        </is>
      </c>
      <c r="O182" t="n">
        <v>4.0</v>
      </c>
      <c r="P182" t="n">
        <v>0.0</v>
      </c>
      <c r="Q182" t="n">
        <v>0.0</v>
      </c>
      <c r="R182" t="n">
        <v>0.0</v>
      </c>
      <c r="S182" t="n">
        <v>0.0</v>
      </c>
      <c r="T182" t="n">
        <v>0.0</v>
      </c>
      <c r="U182" t="n">
        <v>0.0</v>
      </c>
      <c r="V182" t="n">
        <v>0.0</v>
      </c>
      <c r="W182" t="inlineStr">
        <is>
          <t/>
        </is>
      </c>
      <c r="X182" t="n">
        <v>0.0</v>
      </c>
      <c r="Y182" t="n">
        <v>2.0</v>
      </c>
      <c r="Z182" t="n">
        <v>2.0</v>
      </c>
      <c r="AA182" t="n">
        <v>0.0</v>
      </c>
      <c r="AB182" t="n">
        <v>0.0</v>
      </c>
      <c r="AC182" t="n">
        <v>0.0</v>
      </c>
      <c r="AD182" t="n">
        <v>38.0</v>
      </c>
      <c r="AE182" t="n">
        <v>1.0</v>
      </c>
      <c r="AF182" t="n">
        <v>0.0</v>
      </c>
      <c r="AG182" t="n">
        <v>0.0</v>
      </c>
      <c r="AH182" t="n">
        <v>1.0</v>
      </c>
      <c r="AI182" t="n">
        <v>0.0</v>
      </c>
      <c r="AJ182" t="n">
        <v>0.0</v>
      </c>
      <c r="AK182" t="n">
        <v>10.236842105263158</v>
      </c>
      <c r="AL182" t="inlineStr">
        <is>
          <t/>
        </is>
      </c>
    </row>
    <row r="183">
      <c r="A183" t="inlineStr">
        <is>
          <t>减脂期夯爆的两件套❗️早八人的5分钟带饭</t>
        </is>
      </c>
      <c r="B183" t="inlineStr">
        <is>
          <t>6a7007730000000026035407</t>
        </is>
      </c>
      <c r="C183" s="182" t="n">
        <f>HYPERLINK("https://www.xiaohongshu.com/explore/6a7007730000000026035407?xsec_token=TBIU1I5Zy_IXjnVZzC2076Q1M7D-DYOLkiCNZMUJ-Nwg0=&amp;xsec_source=pc_trdark","https://www.xiaohongshu.com/explore/6a7007730000000026035407?xsec_token=TBIU1I5Zy_IXjnVZzC2076Q1M7D-DYOLkiCNZMUJ-Nwg0=&amp;xsec_source=pc_trdark")</f>
        <v>0.0</v>
      </c>
      <c r="D183" t="inlineStr">
        <is>
          <t>鲜水湾甄选</t>
        </is>
      </c>
      <c r="E183" t="inlineStr">
        <is>
          <t>27401929161</t>
        </is>
      </c>
      <c r="F183" t="inlineStr">
        <is>
          <t>2026-08-03 11:13:55</t>
        </is>
      </c>
      <c r="G183" t="inlineStr">
        <is>
          <t>图文</t>
        </is>
      </c>
      <c r="H183" t="inlineStr">
        <is>
          <t>手剥虾仁 无冰衣无添加 低脂餐一人食 上班带饭 顺丰包邮 5盒装</t>
        </is>
      </c>
      <c r="I183" t="inlineStr">
        <is>
          <t>694baba01d450d00013662f0</t>
        </is>
      </c>
      <c r="J183" t="inlineStr">
        <is>
          <t/>
        </is>
      </c>
      <c r="K183" t="n">
        <v>0.0</v>
      </c>
      <c r="L183" t="n">
        <v>0.0</v>
      </c>
      <c r="M183" t="n">
        <v>2.0</v>
      </c>
      <c r="N183" t="inlineStr">
        <is>
          <t>0.05263157894736842</t>
        </is>
      </c>
      <c r="O183" t="n">
        <v>2.0</v>
      </c>
      <c r="P183" t="n">
        <v>0.0</v>
      </c>
      <c r="Q183" t="n">
        <v>0.0</v>
      </c>
      <c r="R183" t="n">
        <v>0.0</v>
      </c>
      <c r="S183" t="n">
        <v>0.0</v>
      </c>
      <c r="T183" t="n">
        <v>0.0</v>
      </c>
      <c r="U183" t="n">
        <v>0.0</v>
      </c>
      <c r="V183" t="n">
        <v>0.0</v>
      </c>
      <c r="W183" t="inlineStr">
        <is>
          <t/>
        </is>
      </c>
      <c r="X183" t="n">
        <v>0.0</v>
      </c>
      <c r="Y183" t="n">
        <v>0.0</v>
      </c>
      <c r="Z183" t="n">
        <v>0.0</v>
      </c>
      <c r="AA183" t="n">
        <v>0.0</v>
      </c>
      <c r="AB183" t="n">
        <v>0.0</v>
      </c>
      <c r="AC183" t="n">
        <v>0.0</v>
      </c>
      <c r="AD183" t="n">
        <v>38.0</v>
      </c>
      <c r="AE183" t="n">
        <v>0.0</v>
      </c>
      <c r="AF183" t="n">
        <v>0.0</v>
      </c>
      <c r="AG183" t="n">
        <v>0.0</v>
      </c>
      <c r="AH183" t="n">
        <v>0.0</v>
      </c>
      <c r="AI183" t="n">
        <v>0.0</v>
      </c>
      <c r="AJ183" t="n">
        <v>0.0</v>
      </c>
      <c r="AK183" t="n">
        <v>7.526315789473684</v>
      </c>
      <c r="AL183" t="inlineStr">
        <is>
          <t/>
        </is>
      </c>
    </row>
    <row r="184">
      <c r="A184" t="inlineStr">
        <is>
          <t>我妈误以为很贵的整条三文鱼✨</t>
        </is>
      </c>
      <c r="B184" t="inlineStr">
        <is>
          <t>6a799b270000000028030161</t>
        </is>
      </c>
      <c r="C184" s="183" t="n">
        <f>HYPERLINK("https://www.xiaohongshu.com/explore/6a799b270000000028030161?xsec_token=TBsnAROY2EYN-xIVUvJJxKjaPiTPfqNaltgpFTBiQByug=&amp;xsec_source=pc_trdark","https://www.xiaohongshu.com/explore/6a799b270000000028030161?xsec_token=TBsnAROY2EYN-xIVUvJJxKjaPiTPfqNaltgpFTBiQByug=&amp;xsec_source=pc_trdark")</f>
        <v>0.0</v>
      </c>
      <c r="D184" t="inlineStr">
        <is>
          <t>鲜水湾</t>
        </is>
      </c>
      <c r="E184" t="inlineStr">
        <is>
          <t>49316638994</t>
        </is>
      </c>
      <c r="F184" t="inlineStr">
        <is>
          <t>2026-08-10 17:34:31</t>
        </is>
      </c>
      <c r="G184" t="inlineStr">
        <is>
          <t>图文</t>
        </is>
      </c>
      <c r="H184" t="inlineStr">
        <is>
          <t>智利尾端中段整条三文鱼 8斤深海鱼低脂餐囤货一周备菜顺丰包邮</t>
        </is>
      </c>
      <c r="I184" t="inlineStr">
        <is>
          <t>69fab80d64eb410001ece0c0</t>
        </is>
      </c>
      <c r="J184" t="inlineStr">
        <is>
          <t/>
        </is>
      </c>
      <c r="K184" t="n">
        <v>0.0</v>
      </c>
      <c r="L184" t="n">
        <v>0.0</v>
      </c>
      <c r="M184" t="n">
        <v>8.0</v>
      </c>
      <c r="N184" t="inlineStr">
        <is>
          <t>0.21621621621621623</t>
        </is>
      </c>
      <c r="O184" t="n">
        <v>8.0</v>
      </c>
      <c r="P184" t="n">
        <v>0.0</v>
      </c>
      <c r="Q184" t="n">
        <v>0.0</v>
      </c>
      <c r="R184" t="n">
        <v>0.0</v>
      </c>
      <c r="S184" t="n">
        <v>0.0</v>
      </c>
      <c r="T184" t="n">
        <v>0.0</v>
      </c>
      <c r="U184" t="n">
        <v>0.0</v>
      </c>
      <c r="V184" t="n">
        <v>0.0</v>
      </c>
      <c r="W184" t="inlineStr">
        <is>
          <t/>
        </is>
      </c>
      <c r="X184" t="n">
        <v>0.0</v>
      </c>
      <c r="Y184" t="n">
        <v>1.0</v>
      </c>
      <c r="Z184" t="n">
        <v>0.0</v>
      </c>
      <c r="AA184" t="n">
        <v>0.0</v>
      </c>
      <c r="AB184" t="n">
        <v>0.0</v>
      </c>
      <c r="AC184" t="n">
        <v>0.0</v>
      </c>
      <c r="AD184" t="n">
        <v>37.0</v>
      </c>
      <c r="AE184" t="n">
        <v>1.0</v>
      </c>
      <c r="AF184" t="n">
        <v>0.0</v>
      </c>
      <c r="AG184" t="n">
        <v>0.0</v>
      </c>
      <c r="AH184" t="n">
        <v>1.0</v>
      </c>
      <c r="AI184" t="n">
        <v>0.0</v>
      </c>
      <c r="AJ184" t="n">
        <v>0.0</v>
      </c>
      <c r="AK184" t="n">
        <v>11.486486486486486</v>
      </c>
      <c r="AL184" t="inlineStr">
        <is>
          <t/>
        </is>
      </c>
    </row>
    <row r="185">
      <c r="A185" t="inlineStr">
        <is>
          <t>和粉丝商讨后，决定上架控体一人食小包装✨</t>
        </is>
      </c>
      <c r="B185" t="inlineStr">
        <is>
          <t>6a799519000000003300d332</t>
        </is>
      </c>
      <c r="C185" s="184" t="n">
        <f>HYPERLINK("https://www.xiaohongshu.com/explore/6a799519000000003300d332?xsec_token=TBsnAROY2EYN-xIVUvJJxKjWqdesozcQcq5Ed84ivCoPs=&amp;xsec_source=pc_trdark","https://www.xiaohongshu.com/explore/6a799519000000003300d332?xsec_token=TBsnAROY2EYN-xIVUvJJxKjWqdesozcQcq5Ed84ivCoPs=&amp;xsec_source=pc_trdark")</f>
        <v>0.0</v>
      </c>
      <c r="D185" t="inlineStr">
        <is>
          <t>鲜水湾</t>
        </is>
      </c>
      <c r="E185" t="inlineStr">
        <is>
          <t>49316638994</t>
        </is>
      </c>
      <c r="F185" t="inlineStr">
        <is>
          <t>2026-08-10 17:08:41</t>
        </is>
      </c>
      <c r="G185" t="inlineStr">
        <is>
          <t>图文</t>
        </is>
      </c>
      <c r="H185" t="inlineStr">
        <is>
          <t>手剥虾仁 无冰衣无添加 低脂餐一人食 上班带饭 顺丰包邮 5盒装</t>
        </is>
      </c>
      <c r="I185" t="inlineStr">
        <is>
          <t>694baba01d450d00013662f0</t>
        </is>
      </c>
      <c r="J185" t="inlineStr">
        <is>
          <t/>
        </is>
      </c>
      <c r="K185" t="n">
        <v>0.0</v>
      </c>
      <c r="L185" t="n">
        <v>0.0</v>
      </c>
      <c r="M185" t="n">
        <v>7.0</v>
      </c>
      <c r="N185" t="n">
        <v>0.1891891891891892</v>
      </c>
      <c r="O185" t="n">
        <v>5.0</v>
      </c>
      <c r="P185" t="n">
        <v>0.0</v>
      </c>
      <c r="Q185" t="n">
        <v>0.0</v>
      </c>
      <c r="R185" t="n">
        <v>0.0</v>
      </c>
      <c r="S185" t="n">
        <v>0.0</v>
      </c>
      <c r="T185" t="n">
        <v>0.0</v>
      </c>
      <c r="U185" t="n">
        <v>0.0</v>
      </c>
      <c r="V185" t="n">
        <v>0.0</v>
      </c>
      <c r="W185" t="inlineStr">
        <is>
          <t/>
        </is>
      </c>
      <c r="X185" t="n">
        <v>0.0</v>
      </c>
      <c r="Y185" t="n">
        <v>0.0</v>
      </c>
      <c r="Z185" t="n">
        <v>1.0</v>
      </c>
      <c r="AA185" t="n">
        <v>0.0</v>
      </c>
      <c r="AB185" t="n">
        <v>0.0</v>
      </c>
      <c r="AC185" t="n">
        <v>0.0</v>
      </c>
      <c r="AD185" t="n">
        <v>37.0</v>
      </c>
      <c r="AE185" t="n">
        <v>2.0</v>
      </c>
      <c r="AF185" t="n">
        <v>0.0</v>
      </c>
      <c r="AG185" t="n">
        <v>0.0</v>
      </c>
      <c r="AH185" t="n">
        <v>2.0</v>
      </c>
      <c r="AI185" t="n">
        <v>0.0</v>
      </c>
      <c r="AJ185" t="n">
        <v>0.0</v>
      </c>
      <c r="AK185" t="n">
        <v>18.7027027027027</v>
      </c>
      <c r="AL185" t="inlineStr">
        <is>
          <t/>
        </is>
      </c>
    </row>
    <row r="186">
      <c r="A186" t="inlineStr">
        <is>
          <t>以为300多没多少 ，结果够吃2个月了</t>
        </is>
      </c>
      <c r="B186" t="inlineStr">
        <is>
          <t>6a3cfc710000000008000693</t>
        </is>
      </c>
      <c r="C186" s="185" t="n">
        <f>HYPERLINK("https://www.xiaohongshu.com/explore/6a3cfc710000000008000693?xsec_token=TBQt52IBW7vEIUvgGBbMhHr-8dh4RiEJkQ9dWUY720wDk=&amp;xsec_source=pc_trdark","https://www.xiaohongshu.com/explore/6a3cfc710000000008000693?xsec_token=TBQt52IBW7vEIUvgGBbMhHr-8dh4RiEJkQ9dWUY720wDk=&amp;xsec_source=pc_trdark")</f>
        <v>0.0</v>
      </c>
      <c r="D186" t="inlineStr">
        <is>
          <t>婉婉上班吃什么</t>
        </is>
      </c>
      <c r="E186" t="inlineStr">
        <is>
          <t>11434449706</t>
        </is>
      </c>
      <c r="F186" t="inlineStr">
        <is>
          <t>2026-06-25 18:01:21</t>
        </is>
      </c>
      <c r="G186" t="inlineStr">
        <is>
          <t>图文</t>
        </is>
      </c>
      <c r="H186" t="inlineStr">
        <is>
          <t>智利尾端中段整条三文鱼 8斤深海鱼低脂餐囤货一周备菜顺丰包邮</t>
        </is>
      </c>
      <c r="I186" t="inlineStr">
        <is>
          <t>69fab80d64eb410001ece0c0</t>
        </is>
      </c>
      <c r="J186" t="inlineStr">
        <is>
          <t/>
        </is>
      </c>
      <c r="K186" t="n">
        <v>0.0</v>
      </c>
      <c r="L186" t="n">
        <v>0.0</v>
      </c>
      <c r="M186" t="n">
        <v>3.0</v>
      </c>
      <c r="N186" t="inlineStr">
        <is>
          <t>0.08108108108108109</t>
        </is>
      </c>
      <c r="O186" t="n">
        <v>3.0</v>
      </c>
      <c r="P186" t="n">
        <v>0.0</v>
      </c>
      <c r="Q186" t="n">
        <v>0.0</v>
      </c>
      <c r="R186" t="n">
        <v>0.0</v>
      </c>
      <c r="S186" t="n">
        <v>0.0</v>
      </c>
      <c r="T186" t="n">
        <v>0.0</v>
      </c>
      <c r="U186" t="n">
        <v>0.0</v>
      </c>
      <c r="V186" t="n">
        <v>0.0</v>
      </c>
      <c r="W186" t="inlineStr">
        <is>
          <t/>
        </is>
      </c>
      <c r="X186" t="n">
        <v>0.0</v>
      </c>
      <c r="Y186" t="n">
        <v>1.0</v>
      </c>
      <c r="Z186" t="n">
        <v>1.0</v>
      </c>
      <c r="AA186" t="n">
        <v>0.0</v>
      </c>
      <c r="AB186" t="n">
        <v>0.0</v>
      </c>
      <c r="AC186" t="n">
        <v>0.0</v>
      </c>
      <c r="AD186" t="n">
        <v>37.0</v>
      </c>
      <c r="AE186" t="n">
        <v>0.0</v>
      </c>
      <c r="AF186" t="n">
        <v>1.0</v>
      </c>
      <c r="AG186" t="n">
        <v>0.0</v>
      </c>
      <c r="AH186" t="n">
        <v>0.0</v>
      </c>
      <c r="AI186" t="n">
        <v>0.0</v>
      </c>
      <c r="AJ186" t="n">
        <v>0.0</v>
      </c>
      <c r="AK186" t="n">
        <v>12.756756756756756</v>
      </c>
      <c r="AL186" t="inlineStr">
        <is>
          <t/>
        </is>
      </c>
    </row>
    <row r="187">
      <c r="A187" t="inlineStr">
        <is>
          <t>太喜欢这个整条三文鱼了，比某马实惠多了</t>
        </is>
      </c>
      <c r="B187" t="inlineStr">
        <is>
          <t>6a143bec0000000007027ac8</t>
        </is>
      </c>
      <c r="C187" s="186" t="n">
        <f>HYPERLINK("https://www.xiaohongshu.com/explore/6a143bec0000000007027ac8?xsec_token=TBdfojEJvP070MP2_Av4MrTGwhKv_V5bYBsrj4TFjRRYU=&amp;xsec_source=pc_trdark","https://www.xiaohongshu.com/explore/6a143bec0000000007027ac8?xsec_token=TBdfojEJvP070MP2_Av4MrTGwhKv_V5bYBsrj4TFjRRYU=&amp;xsec_source=pc_trdark")</f>
        <v>0.0</v>
      </c>
      <c r="D187" t="inlineStr">
        <is>
          <t>婉婉上班吃什么</t>
        </is>
      </c>
      <c r="E187" t="inlineStr">
        <is>
          <t>11434449706</t>
        </is>
      </c>
      <c r="F187" t="inlineStr">
        <is>
          <t>2026-05-25 20:09:16</t>
        </is>
      </c>
      <c r="G187" t="inlineStr">
        <is>
          <t>图文</t>
        </is>
      </c>
      <c r="H187" t="inlineStr">
        <is>
          <t>智利尾端中段整条三文鱼 8斤深海鱼低脂餐囤货一周备菜顺丰包邮</t>
        </is>
      </c>
      <c r="I187" t="inlineStr">
        <is>
          <t>69fab80d64eb410001ece0c0</t>
        </is>
      </c>
      <c r="J187" t="inlineStr">
        <is>
          <t/>
        </is>
      </c>
      <c r="K187" t="n">
        <v>0.0</v>
      </c>
      <c r="L187" t="n">
        <v>0.0</v>
      </c>
      <c r="M187" t="n">
        <v>3.0</v>
      </c>
      <c r="N187" t="inlineStr">
        <is>
          <t>0.08108108108108109</t>
        </is>
      </c>
      <c r="O187" t="n">
        <v>3.0</v>
      </c>
      <c r="P187" t="n">
        <v>0.0</v>
      </c>
      <c r="Q187" t="n">
        <v>0.0</v>
      </c>
      <c r="R187" t="n">
        <v>0.0</v>
      </c>
      <c r="S187" t="n">
        <v>0.0</v>
      </c>
      <c r="T187" t="n">
        <v>0.0</v>
      </c>
      <c r="U187" t="n">
        <v>0.0</v>
      </c>
      <c r="V187" t="n">
        <v>0.0</v>
      </c>
      <c r="W187" t="inlineStr">
        <is>
          <t/>
        </is>
      </c>
      <c r="X187" t="n">
        <v>0.0</v>
      </c>
      <c r="Y187" t="n">
        <v>0.0</v>
      </c>
      <c r="Z187" t="n">
        <v>0.0</v>
      </c>
      <c r="AA187" t="n">
        <v>0.0</v>
      </c>
      <c r="AB187" t="n">
        <v>0.0</v>
      </c>
      <c r="AC187" t="n">
        <v>0.0</v>
      </c>
      <c r="AD187" t="n">
        <v>37.0</v>
      </c>
      <c r="AE187" t="n">
        <v>0.0</v>
      </c>
      <c r="AF187" t="n">
        <v>0.0</v>
      </c>
      <c r="AG187" t="n">
        <v>0.0</v>
      </c>
      <c r="AH187" t="n">
        <v>0.0</v>
      </c>
      <c r="AI187" t="n">
        <v>0.0</v>
      </c>
      <c r="AJ187" t="n">
        <v>0.0</v>
      </c>
      <c r="AK187" t="n">
        <v>18.324324324324323</v>
      </c>
      <c r="AL187" t="inlineStr">
        <is>
          <t/>
        </is>
      </c>
    </row>
    <row r="188">
      <c r="A188" t="inlineStr">
        <is>
          <t>某姆对不起 还是300来块一条的更适合我</t>
        </is>
      </c>
      <c r="B188" t="inlineStr">
        <is>
          <t>6a02f9d200000000080025b3</t>
        </is>
      </c>
      <c r="C188" s="187" t="n">
        <f>HYPERLINK("https://www.xiaohongshu.com/explore/6a02f9d200000000080025b3?xsec_token=TBPwq-ce0mzGyOoBGbWlmZ4OX1J3PmvPoLWUeC7itUyAo=&amp;xsec_source=pc_trdark","https://www.xiaohongshu.com/explore/6a02f9d200000000080025b3?xsec_token=TBPwq-ce0mzGyOoBGbWlmZ4OX1J3PmvPoLWUeC7itUyAo=&amp;xsec_source=pc_trdark")</f>
        <v>0.0</v>
      </c>
      <c r="D188" t="inlineStr">
        <is>
          <t>婉婉上班吃什么</t>
        </is>
      </c>
      <c r="E188" t="inlineStr">
        <is>
          <t>11434449706</t>
        </is>
      </c>
      <c r="F188" t="inlineStr">
        <is>
          <t>2026-05-12 17:58:42</t>
        </is>
      </c>
      <c r="G188" t="inlineStr">
        <is>
          <t>图文</t>
        </is>
      </c>
      <c r="H188" t="inlineStr">
        <is>
          <t>智利尾端中段整条三文鱼 8斤深海鱼低脂餐囤货一周备菜顺丰包邮</t>
        </is>
      </c>
      <c r="I188" t="inlineStr">
        <is>
          <t>69fab80d64eb410001ece0c0</t>
        </is>
      </c>
      <c r="J188" t="inlineStr">
        <is>
          <t/>
        </is>
      </c>
      <c r="K188" t="n">
        <v>0.0</v>
      </c>
      <c r="L188" t="n">
        <v>0.0</v>
      </c>
      <c r="M188" t="n">
        <v>1.0</v>
      </c>
      <c r="N188" t="inlineStr">
        <is>
          <t>0.02702702702702703</t>
        </is>
      </c>
      <c r="O188" t="n">
        <v>1.0</v>
      </c>
      <c r="P188" t="n">
        <v>0.0</v>
      </c>
      <c r="Q188" t="n">
        <v>0.0</v>
      </c>
      <c r="R188" t="n">
        <v>0.0</v>
      </c>
      <c r="S188" t="n">
        <v>0.0</v>
      </c>
      <c r="T188" t="n">
        <v>0.0</v>
      </c>
      <c r="U188" t="n">
        <v>0.0</v>
      </c>
      <c r="V188" t="n">
        <v>0.0</v>
      </c>
      <c r="W188" t="inlineStr">
        <is>
          <t/>
        </is>
      </c>
      <c r="X188" t="n">
        <v>0.0</v>
      </c>
      <c r="Y188" t="n">
        <v>0.0</v>
      </c>
      <c r="Z188" t="n">
        <v>1.0</v>
      </c>
      <c r="AA188" t="n">
        <v>0.0</v>
      </c>
      <c r="AB188" t="n">
        <v>0.0</v>
      </c>
      <c r="AC188" t="n">
        <v>0.0</v>
      </c>
      <c r="AD188" t="n">
        <v>37.0</v>
      </c>
      <c r="AE188" t="n">
        <v>0.0</v>
      </c>
      <c r="AF188" t="n">
        <v>0.0</v>
      </c>
      <c r="AG188" t="n">
        <v>0.0</v>
      </c>
      <c r="AH188" t="n">
        <v>0.0</v>
      </c>
      <c r="AI188" t="n">
        <v>0.0</v>
      </c>
      <c r="AJ188" t="n">
        <v>0.0</v>
      </c>
      <c r="AK188" t="n">
        <v>7.216216216216216</v>
      </c>
      <c r="AL188" t="inlineStr">
        <is>
          <t/>
        </is>
      </c>
    </row>
    <row r="189">
      <c r="A189" t="inlineStr">
        <is>
          <t>不想开火，用空气炸锅做三文鱼太简单了！</t>
        </is>
      </c>
      <c r="B189" t="inlineStr">
        <is>
          <t>69e8331f000000002301c487</t>
        </is>
      </c>
      <c r="C189" s="188" t="n">
        <f>HYPERLINK("https://www.xiaohongshu.com/explore/69e8331f000000002301c487?xsec_token=TBrsJGfbmdICsvnXoyd4QdRh-MM5JxmNXlU4nGZDPU4DM=&amp;xsec_source=pc_trdark","https://www.xiaohongshu.com/explore/69e8331f000000002301c487?xsec_token=TBrsJGfbmdICsvnXoyd4QdRh-MM5JxmNXlU4nGZDPU4DM=&amp;xsec_source=pc_trdark")</f>
        <v>0.0</v>
      </c>
      <c r="D189" t="inlineStr">
        <is>
          <t>鲜水湾</t>
        </is>
      </c>
      <c r="E189" t="inlineStr">
        <is>
          <t>49316638994</t>
        </is>
      </c>
      <c r="F189" t="inlineStr">
        <is>
          <t>2026-04-22 10:31:59</t>
        </is>
      </c>
      <c r="G189" t="inlineStr">
        <is>
          <t>图文</t>
        </is>
      </c>
      <c r="H189" t="inlineStr">
        <is>
          <t>智利三文鱼切块·整条三文鱼·深海鱼一人食健康饮食</t>
        </is>
      </c>
      <c r="I189" t="inlineStr">
        <is>
          <t>691ac562a524ee0001b51d7b</t>
        </is>
      </c>
      <c r="J189" t="inlineStr">
        <is>
          <t/>
        </is>
      </c>
      <c r="K189" t="n">
        <v>0.0</v>
      </c>
      <c r="L189" t="n">
        <v>0.0</v>
      </c>
      <c r="M189" t="n">
        <v>1.0</v>
      </c>
      <c r="N189" t="inlineStr">
        <is>
          <t>0.02702702702702703</t>
        </is>
      </c>
      <c r="O189" t="n">
        <v>1.0</v>
      </c>
      <c r="P189" t="n">
        <v>0.0</v>
      </c>
      <c r="Q189" t="n">
        <v>0.0</v>
      </c>
      <c r="R189" t="n">
        <v>0.0</v>
      </c>
      <c r="S189" t="n">
        <v>0.0</v>
      </c>
      <c r="T189" t="n">
        <v>0.0</v>
      </c>
      <c r="U189" t="n">
        <v>0.0</v>
      </c>
      <c r="V189" t="n">
        <v>0.0</v>
      </c>
      <c r="W189" t="inlineStr">
        <is>
          <t/>
        </is>
      </c>
      <c r="X189" t="n">
        <v>0.0</v>
      </c>
      <c r="Y189" t="n">
        <v>1.0</v>
      </c>
      <c r="Z189" t="n">
        <v>8.0</v>
      </c>
      <c r="AA189" t="n">
        <v>0.0</v>
      </c>
      <c r="AB189" t="n">
        <v>0.0</v>
      </c>
      <c r="AC189" t="n">
        <v>0.0</v>
      </c>
      <c r="AD189" t="n">
        <v>37.0</v>
      </c>
      <c r="AE189" t="n">
        <v>0.0</v>
      </c>
      <c r="AF189" t="n">
        <v>0.0</v>
      </c>
      <c r="AG189" t="n">
        <v>0.0</v>
      </c>
      <c r="AH189" t="n">
        <v>0.0</v>
      </c>
      <c r="AI189" t="n">
        <v>0.0</v>
      </c>
      <c r="AJ189" t="n">
        <v>0.0</v>
      </c>
      <c r="AK189" t="n">
        <v>11.594594594594595</v>
      </c>
      <c r="AL189" t="inlineStr">
        <is>
          <t/>
        </is>
      </c>
    </row>
    <row r="190">
      <c r="A190" t="inlineStr">
        <is>
          <t>感谢315，让我家无添加虾仁又爆单了</t>
        </is>
      </c>
      <c r="B190" t="inlineStr">
        <is>
          <t>69c2acd60000000028008317</t>
        </is>
      </c>
      <c r="C190" s="189" t="n">
        <f>HYPERLINK("https://www.xiaohongshu.com/explore/69c2acd60000000028008317?xsec_token=TBUqBR5MVQnv6JPS0VJV95uEh8wjX_2HboQbstpdRx0DA=&amp;xsec_source=pc_trdark","https://www.xiaohongshu.com/explore/69c2acd60000000028008317?xsec_token=TBUqBR5MVQnv6JPS0VJV95uEh8wjX_2HboQbstpdRx0DA=&amp;xsec_source=pc_trdark")</f>
        <v>0.0</v>
      </c>
      <c r="D190" t="inlineStr">
        <is>
          <t>鲜水湾</t>
        </is>
      </c>
      <c r="E190" t="inlineStr">
        <is>
          <t>49316638994</t>
        </is>
      </c>
      <c r="F190" t="inlineStr">
        <is>
          <t>2026-03-24 23:25:10</t>
        </is>
      </c>
      <c r="G190" t="inlineStr">
        <is>
          <t>图文</t>
        </is>
      </c>
      <c r="H190" t="inlineStr">
        <is>
          <t>手剥虾仁 无冰衣无添加 低脂餐一人食 上班带饭 顺丰包邮 5盒装</t>
        </is>
      </c>
      <c r="I190" t="inlineStr">
        <is>
          <t>694baba01d450d00013662f0</t>
        </is>
      </c>
      <c r="J190" t="inlineStr">
        <is>
          <t/>
        </is>
      </c>
      <c r="K190" t="n">
        <v>68.0</v>
      </c>
      <c r="L190" t="n">
        <v>1.0</v>
      </c>
      <c r="M190" t="n">
        <v>19.0</v>
      </c>
      <c r="N190" t="n">
        <v>0.5135135135135135</v>
      </c>
      <c r="O190" t="n">
        <v>17.0</v>
      </c>
      <c r="P190" t="n">
        <v>1.0</v>
      </c>
      <c r="Q190" t="inlineStr">
        <is>
          <t>0.05263157894736842</t>
        </is>
      </c>
      <c r="R190" t="inlineStr">
        <is>
          <t>0.058823529411764705</t>
        </is>
      </c>
      <c r="S190" t="n">
        <v>0.0</v>
      </c>
      <c r="T190" t="n">
        <v>0.0</v>
      </c>
      <c r="U190" t="n">
        <v>0.0</v>
      </c>
      <c r="V190" t="n">
        <v>0.0</v>
      </c>
      <c r="W190" t="n">
        <v>0.0</v>
      </c>
      <c r="X190" t="n">
        <v>0.0</v>
      </c>
      <c r="Y190" t="n">
        <v>5.0</v>
      </c>
      <c r="Z190" t="n">
        <v>2.0</v>
      </c>
      <c r="AA190" t="n">
        <v>0.0</v>
      </c>
      <c r="AB190" t="n">
        <v>0.0</v>
      </c>
      <c r="AC190" t="n">
        <v>0.0</v>
      </c>
      <c r="AD190" t="n">
        <v>37.0</v>
      </c>
      <c r="AE190" t="n">
        <v>1.0</v>
      </c>
      <c r="AF190" t="n">
        <v>0.0</v>
      </c>
      <c r="AG190" t="n">
        <v>0.0</v>
      </c>
      <c r="AH190" t="n">
        <v>0.0</v>
      </c>
      <c r="AI190" t="n">
        <v>0.0</v>
      </c>
      <c r="AJ190" t="n">
        <v>0.0</v>
      </c>
      <c r="AK190" t="n">
        <v>16.43243243243243</v>
      </c>
      <c r="AL190" t="inlineStr">
        <is>
          <t/>
        </is>
      </c>
    </row>
    <row r="191">
      <c r="A191" t="inlineStr">
        <is>
          <t>三文鱼扒1000g 限时折扣，快冲吧</t>
        </is>
      </c>
      <c r="B191" t="inlineStr">
        <is>
          <t>69ec8342000000001a0374a0</t>
        </is>
      </c>
      <c r="C191" s="190" t="n">
        <f>HYPERLINK("https://www.xiaohongshu.com/explore/69ec8342000000001a0374a0?xsec_token=TBnoSF_--XRDuLtfF77lVqP1G34IRXder4FvRq8JJR3cA=&amp;xsec_source=pc_trdark","https://www.xiaohongshu.com/explore/69ec8342000000001a0374a0?xsec_token=TBnoSF_--XRDuLtfF77lVqP1G34IRXder4FvRq8JJR3cA=&amp;xsec_source=pc_trdark")</f>
        <v>0.0</v>
      </c>
      <c r="D191" t="inlineStr">
        <is>
          <t>鲜水湾</t>
        </is>
      </c>
      <c r="E191" t="inlineStr">
        <is>
          <t>49316638994</t>
        </is>
      </c>
      <c r="F191" t="inlineStr">
        <is>
          <t>2026-04-25 17:02:58</t>
        </is>
      </c>
      <c r="G191" t="inlineStr">
        <is>
          <t>图文</t>
        </is>
      </c>
      <c r="H191" t="inlineStr">
        <is>
          <t>智利尾端中段整条三文鱼 8斤深海鱼低脂餐囤货一周备菜顺丰包邮</t>
        </is>
      </c>
      <c r="I191" t="inlineStr">
        <is>
          <t>69fab80d64eb410001ece0c0</t>
        </is>
      </c>
      <c r="J191" t="inlineStr">
        <is>
          <t/>
        </is>
      </c>
      <c r="K191" t="n">
        <v>0.0</v>
      </c>
      <c r="L191" t="n">
        <v>0.0</v>
      </c>
      <c r="M191" t="n">
        <v>11.0</v>
      </c>
      <c r="N191" t="n">
        <v>0.3055555555555556</v>
      </c>
      <c r="O191" t="n">
        <v>11.0</v>
      </c>
      <c r="P191" t="n">
        <v>0.0</v>
      </c>
      <c r="Q191" t="n">
        <v>0.0</v>
      </c>
      <c r="R191" t="n">
        <v>0.0</v>
      </c>
      <c r="S191" t="n">
        <v>0.0</v>
      </c>
      <c r="T191" t="n">
        <v>0.0</v>
      </c>
      <c r="U191" t="n">
        <v>0.0</v>
      </c>
      <c r="V191" t="n">
        <v>0.0</v>
      </c>
      <c r="W191" t="inlineStr">
        <is>
          <t/>
        </is>
      </c>
      <c r="X191" t="n">
        <v>0.0</v>
      </c>
      <c r="Y191" t="n">
        <v>0.0</v>
      </c>
      <c r="Z191" t="n">
        <v>1.0</v>
      </c>
      <c r="AA191" t="n">
        <v>0.0</v>
      </c>
      <c r="AB191" t="n">
        <v>0.0</v>
      </c>
      <c r="AC191" t="n">
        <v>0.0</v>
      </c>
      <c r="AD191" t="n">
        <v>36.0</v>
      </c>
      <c r="AE191" t="n">
        <v>0.0</v>
      </c>
      <c r="AF191" t="n">
        <v>0.0</v>
      </c>
      <c r="AG191" t="n">
        <v>0.0</v>
      </c>
      <c r="AH191" t="n">
        <v>0.0</v>
      </c>
      <c r="AI191" t="n">
        <v>0.0</v>
      </c>
      <c r="AJ191" t="n">
        <v>0.0</v>
      </c>
      <c r="AK191" t="n">
        <v>8.166666666666666</v>
      </c>
      <c r="AL191" t="inlineStr">
        <is>
          <t/>
        </is>
      </c>
    </row>
    <row r="192">
      <c r="A192" t="inlineStr">
        <is>
          <t>跟爸妈商量后，推出一个月的量减脂餐</t>
        </is>
      </c>
      <c r="B192" t="inlineStr">
        <is>
          <t>69e88722000000001b022d7a</t>
        </is>
      </c>
      <c r="C192" s="191" t="n">
        <f>HYPERLINK("https://www.xiaohongshu.com/explore/69e88722000000001b022d7a?xsec_token=TBrsJGfbmdICsvnXoyd4QdRr-i9sAhrHb5WPojmpIT1Eg=&amp;xsec_source=pc_trdark","https://www.xiaohongshu.com/explore/69e88722000000001b022d7a?xsec_token=TBrsJGfbmdICsvnXoyd4QdRr-i9sAhrHb5WPojmpIT1Eg=&amp;xsec_source=pc_trdark")</f>
        <v>0.0</v>
      </c>
      <c r="D192" t="inlineStr">
        <is>
          <t>鲜水湾</t>
        </is>
      </c>
      <c r="E192" t="inlineStr">
        <is>
          <t>49316638994</t>
        </is>
      </c>
      <c r="F192" t="inlineStr">
        <is>
          <t>2026-04-22 16:30:26</t>
        </is>
      </c>
      <c r="G192" t="inlineStr">
        <is>
          <t>图文</t>
        </is>
      </c>
      <c r="H192" t="inlineStr">
        <is>
          <t>智利三文鱼切块·整条三文鱼·深海鱼一人食健康饮食</t>
        </is>
      </c>
      <c r="I192" t="inlineStr">
        <is>
          <t>691ac562a524ee0001b51d7b</t>
        </is>
      </c>
      <c r="J192" t="inlineStr">
        <is>
          <t/>
        </is>
      </c>
      <c r="K192" t="n">
        <v>0.0</v>
      </c>
      <c r="L192" t="n">
        <v>0.0</v>
      </c>
      <c r="M192" t="n">
        <v>2.0</v>
      </c>
      <c r="N192" t="inlineStr">
        <is>
          <t>0.05555555555555555</t>
        </is>
      </c>
      <c r="O192" t="n">
        <v>2.0</v>
      </c>
      <c r="P192" t="n">
        <v>0.0</v>
      </c>
      <c r="Q192" t="n">
        <v>0.0</v>
      </c>
      <c r="R192" t="n">
        <v>0.0</v>
      </c>
      <c r="S192" t="n">
        <v>0.0</v>
      </c>
      <c r="T192" t="n">
        <v>0.0</v>
      </c>
      <c r="U192" t="n">
        <v>0.0</v>
      </c>
      <c r="V192" t="n">
        <v>0.0</v>
      </c>
      <c r="W192" t="inlineStr">
        <is>
          <t/>
        </is>
      </c>
      <c r="X192" t="n">
        <v>0.0</v>
      </c>
      <c r="Y192" t="n">
        <v>1.0</v>
      </c>
      <c r="Z192" t="n">
        <v>0.0</v>
      </c>
      <c r="AA192" t="n">
        <v>0.0</v>
      </c>
      <c r="AB192" t="n">
        <v>0.0</v>
      </c>
      <c r="AC192" t="n">
        <v>0.0</v>
      </c>
      <c r="AD192" t="n">
        <v>36.0</v>
      </c>
      <c r="AE192" t="n">
        <v>0.0</v>
      </c>
      <c r="AF192" t="n">
        <v>0.0</v>
      </c>
      <c r="AG192" t="n">
        <v>0.0</v>
      </c>
      <c r="AH192" t="n">
        <v>0.0</v>
      </c>
      <c r="AI192" t="n">
        <v>0.0</v>
      </c>
      <c r="AJ192" t="n">
        <v>0.0</v>
      </c>
      <c r="AK192" t="n">
        <v>18.333333333333332</v>
      </c>
      <c r="AL192" t="inlineStr">
        <is>
          <t/>
        </is>
      </c>
    </row>
    <row r="193">
      <c r="A193" t="inlineStr">
        <is>
          <t>#请不要低估了 69 块的购买力，够吃一个周了</t>
        </is>
      </c>
      <c r="B193" t="inlineStr">
        <is>
          <t>6a8556d5000000002c000b8f</t>
        </is>
      </c>
      <c r="C193" s="192" t="n">
        <f>HYPERLINK("https://www.xiaohongshu.com/explore/6a8556d5000000002c000b8f?xsec_token=TBJmHaeRkPfq1uW8CCMC_cW9uF4Zfok9cj8NmtkklFxfw=&amp;xsec_source=pc_trdark","https://www.xiaohongshu.com/explore/6a8556d5000000002c000b8f?xsec_token=TBJmHaeRkPfq1uW8CCMC_cW9uF4Zfok9cj8NmtkklFxfw=&amp;xsec_source=pc_trdark")</f>
        <v>0.0</v>
      </c>
      <c r="D193" t="inlineStr">
        <is>
          <t>鲜水湾甄选</t>
        </is>
      </c>
      <c r="E193" t="inlineStr">
        <is>
          <t>27401929161</t>
        </is>
      </c>
      <c r="F193" t="inlineStr">
        <is>
          <t>2026-08-19 15:10:13</t>
        </is>
      </c>
      <c r="G193" t="inlineStr">
        <is>
          <t>图文</t>
        </is>
      </c>
      <c r="H193" t="inlineStr">
        <is>
          <t>手剥虾仁 无冰衣无添加 低脂餐一人食 上班带饭 顺丰包邮 5盒装</t>
        </is>
      </c>
      <c r="I193" t="inlineStr">
        <is>
          <t>694baba01d450d00013662f0</t>
        </is>
      </c>
      <c r="J193" t="inlineStr">
        <is>
          <t/>
        </is>
      </c>
      <c r="K193" t="n">
        <v>0.0</v>
      </c>
      <c r="L193" t="n">
        <v>0.0</v>
      </c>
      <c r="M193" t="n">
        <v>10.0</v>
      </c>
      <c r="N193" t="n">
        <v>0.2857142857142857</v>
      </c>
      <c r="O193" t="n">
        <v>8.0</v>
      </c>
      <c r="P193" t="n">
        <v>0.0</v>
      </c>
      <c r="Q193" t="n">
        <v>0.0</v>
      </c>
      <c r="R193" t="n">
        <v>0.0</v>
      </c>
      <c r="S193" t="n">
        <v>0.0</v>
      </c>
      <c r="T193" t="n">
        <v>0.0</v>
      </c>
      <c r="U193" t="n">
        <v>0.0</v>
      </c>
      <c r="V193" t="n">
        <v>0.0</v>
      </c>
      <c r="W193" t="inlineStr">
        <is>
          <t/>
        </is>
      </c>
      <c r="X193" t="n">
        <v>0.0</v>
      </c>
      <c r="Y193" t="n">
        <v>0.0</v>
      </c>
      <c r="Z193" t="n">
        <v>4.0</v>
      </c>
      <c r="AA193" t="n">
        <v>0.0</v>
      </c>
      <c r="AB193" t="n">
        <v>0.0</v>
      </c>
      <c r="AC193" t="n">
        <v>0.0</v>
      </c>
      <c r="AD193" t="n">
        <v>35.0</v>
      </c>
      <c r="AE193" t="n">
        <v>2.0</v>
      </c>
      <c r="AF193" t="n">
        <v>0.0</v>
      </c>
      <c r="AG193" t="n">
        <v>0.0</v>
      </c>
      <c r="AH193" t="n">
        <v>1.0</v>
      </c>
      <c r="AI193" t="n">
        <v>0.0</v>
      </c>
      <c r="AJ193" t="n">
        <v>0.0</v>
      </c>
      <c r="AK193" t="n">
        <v>10.742857142857142</v>
      </c>
      <c r="AL193" t="inlineStr">
        <is>
          <t/>
        </is>
      </c>
    </row>
    <row r="194">
      <c r="A194" t="inlineStr">
        <is>
          <t>300来块一整条真不贵！够吃一个月了</t>
        </is>
      </c>
      <c r="B194" t="inlineStr">
        <is>
          <t>6a6d9e0e000000002800bbef</t>
        </is>
      </c>
      <c r="C194" s="193" t="n">
        <f>HYPERLINK("https://www.xiaohongshu.com/explore/6a6d9e0e000000002800bbef?xsec_token=TBzB8vrykIekVwjns_5rHPFCAMIGI-F7SLoIkfXix89Rc=&amp;xsec_source=pc_trdark","https://www.xiaohongshu.com/explore/6a6d9e0e000000002800bbef?xsec_token=TBzB8vrykIekVwjns_5rHPFCAMIGI-F7SLoIkfXix89Rc=&amp;xsec_source=pc_trdark")</f>
        <v>0.0</v>
      </c>
      <c r="D194" t="inlineStr">
        <is>
          <t>鲜水湾</t>
        </is>
      </c>
      <c r="E194" t="inlineStr">
        <is>
          <t>49316638994</t>
        </is>
      </c>
      <c r="F194" t="inlineStr">
        <is>
          <t>2026-08-01 15:19:42</t>
        </is>
      </c>
      <c r="G194" t="inlineStr">
        <is>
          <t>图文</t>
        </is>
      </c>
      <c r="H194" t="inlineStr">
        <is>
          <t>智利三文鱼切块·整条三文鱼·深海鱼一人食健康饮食</t>
        </is>
      </c>
      <c r="I194" t="inlineStr">
        <is>
          <t>691ac562a524ee0001b51d7b</t>
        </is>
      </c>
      <c r="J194" t="inlineStr">
        <is>
          <t/>
        </is>
      </c>
      <c r="K194" t="n">
        <v>0.0</v>
      </c>
      <c r="L194" t="n">
        <v>0.0</v>
      </c>
      <c r="M194" t="n">
        <v>7.0</v>
      </c>
      <c r="N194" t="n">
        <v>0.2</v>
      </c>
      <c r="O194" t="n">
        <v>7.0</v>
      </c>
      <c r="P194" t="n">
        <v>0.0</v>
      </c>
      <c r="Q194" t="n">
        <v>0.0</v>
      </c>
      <c r="R194" t="n">
        <v>0.0</v>
      </c>
      <c r="S194" t="n">
        <v>0.0</v>
      </c>
      <c r="T194" t="n">
        <v>0.0</v>
      </c>
      <c r="U194" t="n">
        <v>0.0</v>
      </c>
      <c r="V194" t="n">
        <v>0.0</v>
      </c>
      <c r="W194" t="inlineStr">
        <is>
          <t/>
        </is>
      </c>
      <c r="X194" t="n">
        <v>0.0</v>
      </c>
      <c r="Y194" t="n">
        <v>1.0</v>
      </c>
      <c r="Z194" t="n">
        <v>0.0</v>
      </c>
      <c r="AA194" t="n">
        <v>0.0</v>
      </c>
      <c r="AB194" t="n">
        <v>0.0</v>
      </c>
      <c r="AC194" t="n">
        <v>0.0</v>
      </c>
      <c r="AD194" t="n">
        <v>35.0</v>
      </c>
      <c r="AE194" t="n">
        <v>1.0</v>
      </c>
      <c r="AF194" t="n">
        <v>0.0</v>
      </c>
      <c r="AG194" t="n">
        <v>0.0</v>
      </c>
      <c r="AH194" t="n">
        <v>2.0</v>
      </c>
      <c r="AI194" t="n">
        <v>0.0</v>
      </c>
      <c r="AJ194" t="n">
        <v>0.0</v>
      </c>
      <c r="AK194" t="n">
        <v>16.885714285714286</v>
      </c>
      <c r="AL194" t="inlineStr">
        <is>
          <t/>
        </is>
      </c>
    </row>
    <row r="195">
      <c r="A195" t="inlineStr">
        <is>
          <t>减脂期发现了一个低卡但巨顶饱的东西</t>
        </is>
      </c>
      <c r="B195" t="inlineStr">
        <is>
          <t>6a0ab074000000000803f6c9</t>
        </is>
      </c>
      <c r="C195" s="194" t="n">
        <f>HYPERLINK("https://www.xiaohongshu.com/explore/6a0ab074000000000803f6c9?xsec_token=TBoSBcPF-YdRwRwQio-1GXR6uEmxGdVM4sq1CzJS5bA2Y=&amp;xsec_source=pc_trdark","https://www.xiaohongshu.com/explore/6a0ab074000000000803f6c9?xsec_token=TBoSBcPF-YdRwRwQio-1GXR6uEmxGdVM4sq1CzJS5bA2Y=&amp;xsec_source=pc_trdark")</f>
        <v>0.0</v>
      </c>
      <c r="D195" t="inlineStr">
        <is>
          <t>婉婉上班吃什么</t>
        </is>
      </c>
      <c r="E195" t="inlineStr">
        <is>
          <t>11434449706</t>
        </is>
      </c>
      <c r="F195" t="inlineStr">
        <is>
          <t>2026-05-18 14:23:48</t>
        </is>
      </c>
      <c r="G195" t="inlineStr">
        <is>
          <t>图文</t>
        </is>
      </c>
      <c r="H195" t="inlineStr">
        <is>
          <t>手剥虾仁 无冰衣无添加 低脂餐一人食 上班带饭 顺丰包邮 5盒装</t>
        </is>
      </c>
      <c r="I195" t="inlineStr">
        <is>
          <t>694baba01d450d00013662f0</t>
        </is>
      </c>
      <c r="J195" t="inlineStr">
        <is>
          <t/>
        </is>
      </c>
      <c r="K195" t="n">
        <v>0.0</v>
      </c>
      <c r="L195" t="n">
        <v>0.0</v>
      </c>
      <c r="M195" t="n">
        <v>3.0</v>
      </c>
      <c r="N195" t="inlineStr">
        <is>
          <t>0.08571428571428572</t>
        </is>
      </c>
      <c r="O195" t="n">
        <v>2.0</v>
      </c>
      <c r="P195" t="n">
        <v>0.0</v>
      </c>
      <c r="Q195" t="n">
        <v>0.0</v>
      </c>
      <c r="R195" t="n">
        <v>0.0</v>
      </c>
      <c r="S195" t="n">
        <v>0.0</v>
      </c>
      <c r="T195" t="n">
        <v>0.0</v>
      </c>
      <c r="U195" t="n">
        <v>0.0</v>
      </c>
      <c r="V195" t="n">
        <v>0.0</v>
      </c>
      <c r="W195" t="inlineStr">
        <is>
          <t/>
        </is>
      </c>
      <c r="X195" t="n">
        <v>0.0</v>
      </c>
      <c r="Y195" t="n">
        <v>1.0</v>
      </c>
      <c r="Z195" t="n">
        <v>0.0</v>
      </c>
      <c r="AA195" t="n">
        <v>0.0</v>
      </c>
      <c r="AB195" t="n">
        <v>0.0</v>
      </c>
      <c r="AC195" t="n">
        <v>0.0</v>
      </c>
      <c r="AD195" t="n">
        <v>35.0</v>
      </c>
      <c r="AE195" t="n">
        <v>0.0</v>
      </c>
      <c r="AF195" t="n">
        <v>0.0</v>
      </c>
      <c r="AG195" t="n">
        <v>0.0</v>
      </c>
      <c r="AH195" t="n">
        <v>0.0</v>
      </c>
      <c r="AI195" t="n">
        <v>0.0</v>
      </c>
      <c r="AJ195" t="n">
        <v>0.0</v>
      </c>
      <c r="AK195" t="n">
        <v>7.257142857142857</v>
      </c>
      <c r="AL195" t="inlineStr">
        <is>
          <t/>
        </is>
      </c>
    </row>
    <row r="196">
      <c r="A196" t="inlineStr">
        <is>
          <t>对不起了 sam ！还是这种整条的更有性价比</t>
        </is>
      </c>
      <c r="B196" t="inlineStr">
        <is>
          <t>69ff071c0000000023014578</t>
        </is>
      </c>
      <c r="C196" s="195" t="n">
        <f>HYPERLINK("https://www.xiaohongshu.com/explore/69ff071c0000000023014578?xsec_token=TBHwg5rtdG9HGVQAn7m8NAqYxv068peb61jR1yarYtJyk=&amp;xsec_source=pc_trdark","https://www.xiaohongshu.com/explore/69ff071c0000000023014578?xsec_token=TBHwg5rtdG9HGVQAn7m8NAqYxv068peb61jR1yarYtJyk=&amp;xsec_source=pc_trdark")</f>
        <v>0.0</v>
      </c>
      <c r="D196" t="inlineStr">
        <is>
          <t>婉婉上班吃什么</t>
        </is>
      </c>
      <c r="E196" t="inlineStr">
        <is>
          <t>11434449706</t>
        </is>
      </c>
      <c r="F196" t="inlineStr">
        <is>
          <t>2026-05-09 18:06:20</t>
        </is>
      </c>
      <c r="G196" t="inlineStr">
        <is>
          <t>图文</t>
        </is>
      </c>
      <c r="H196" t="inlineStr">
        <is>
          <t>智利尾端中段整条三文鱼 8斤深海鱼低脂餐囤货一周备菜顺丰包邮</t>
        </is>
      </c>
      <c r="I196" t="inlineStr">
        <is>
          <t>69fab80d64eb410001ece0c0</t>
        </is>
      </c>
      <c r="J196" t="inlineStr">
        <is>
          <t/>
        </is>
      </c>
      <c r="K196" t="n">
        <v>0.0</v>
      </c>
      <c r="L196" t="n">
        <v>0.0</v>
      </c>
      <c r="M196" t="n">
        <v>3.0</v>
      </c>
      <c r="N196" t="inlineStr">
        <is>
          <t>0.08571428571428572</t>
        </is>
      </c>
      <c r="O196" t="n">
        <v>3.0</v>
      </c>
      <c r="P196" t="n">
        <v>0.0</v>
      </c>
      <c r="Q196" t="n">
        <v>0.0</v>
      </c>
      <c r="R196" t="n">
        <v>0.0</v>
      </c>
      <c r="S196" t="n">
        <v>0.0</v>
      </c>
      <c r="T196" t="n">
        <v>0.0</v>
      </c>
      <c r="U196" t="n">
        <v>0.0</v>
      </c>
      <c r="V196" t="n">
        <v>0.0</v>
      </c>
      <c r="W196" t="inlineStr">
        <is>
          <t/>
        </is>
      </c>
      <c r="X196" t="n">
        <v>0.0</v>
      </c>
      <c r="Y196" t="n">
        <v>0.0</v>
      </c>
      <c r="Z196" t="n">
        <v>0.0</v>
      </c>
      <c r="AA196" t="n">
        <v>0.0</v>
      </c>
      <c r="AB196" t="n">
        <v>0.0</v>
      </c>
      <c r="AC196" t="n">
        <v>0.0</v>
      </c>
      <c r="AD196" t="n">
        <v>35.0</v>
      </c>
      <c r="AE196" t="n">
        <v>0.0</v>
      </c>
      <c r="AF196" t="n">
        <v>0.0</v>
      </c>
      <c r="AG196" t="n">
        <v>0.0</v>
      </c>
      <c r="AH196" t="n">
        <v>0.0</v>
      </c>
      <c r="AI196" t="n">
        <v>0.0</v>
      </c>
      <c r="AJ196" t="n">
        <v>0.0</v>
      </c>
      <c r="AK196" t="n">
        <v>10.542857142857143</v>
      </c>
      <c r="AL196" t="inlineStr">
        <is>
          <t/>
        </is>
      </c>
    </row>
    <row r="197">
      <c r="A197" t="inlineStr">
        <is>
          <t>区区 300 块，囤够我一个月的控体餐</t>
        </is>
      </c>
      <c r="B197" t="inlineStr">
        <is>
          <t>6a73f9360000000028009679</t>
        </is>
      </c>
      <c r="C197" s="196" t="n">
        <f>HYPERLINK("https://www.xiaohongshu.com/explore/6a73f9360000000028009679?xsec_token=TBSsKfBXXtDdhqA8Z1ziNPgLPEhwZGJX0lxcbx7twBR7g=&amp;xsec_source=pc_trdark","https://www.xiaohongshu.com/explore/6a73f9360000000028009679?xsec_token=TBSsKfBXXtDdhqA8Z1ziNPgLPEhwZGJX0lxcbx7twBR7g=&amp;xsec_source=pc_trdark")</f>
        <v>0.0</v>
      </c>
      <c r="D197" t="inlineStr">
        <is>
          <t>婉婉上班吃什么</t>
        </is>
      </c>
      <c r="E197" t="inlineStr">
        <is>
          <t>11434449706</t>
        </is>
      </c>
      <c r="F197" t="inlineStr">
        <is>
          <t>2026-08-06 11:02:14</t>
        </is>
      </c>
      <c r="G197" t="inlineStr">
        <is>
          <t>图文</t>
        </is>
      </c>
      <c r="H197" t="inlineStr">
        <is>
          <t>智利三文鱼切块·整条三文鱼·深海鱼一人食健康饮食</t>
        </is>
      </c>
      <c r="I197" t="inlineStr">
        <is>
          <t>691ac562a524ee0001b51d7b</t>
        </is>
      </c>
      <c r="J197" t="inlineStr">
        <is>
          <t/>
        </is>
      </c>
      <c r="K197" t="n">
        <v>0.0</v>
      </c>
      <c r="L197" t="n">
        <v>0.0</v>
      </c>
      <c r="M197" t="n">
        <v>5.0</v>
      </c>
      <c r="N197" t="inlineStr">
        <is>
          <t>0.14705882352941177</t>
        </is>
      </c>
      <c r="O197" t="n">
        <v>4.0</v>
      </c>
      <c r="P197" t="n">
        <v>0.0</v>
      </c>
      <c r="Q197" t="n">
        <v>0.0</v>
      </c>
      <c r="R197" t="n">
        <v>0.0</v>
      </c>
      <c r="S197" t="n">
        <v>0.0</v>
      </c>
      <c r="T197" t="n">
        <v>0.0</v>
      </c>
      <c r="U197" t="n">
        <v>0.0</v>
      </c>
      <c r="V197" t="n">
        <v>0.0</v>
      </c>
      <c r="W197" t="inlineStr">
        <is>
          <t/>
        </is>
      </c>
      <c r="X197" t="n">
        <v>0.0</v>
      </c>
      <c r="Y197" t="n">
        <v>1.0</v>
      </c>
      <c r="Z197" t="n">
        <v>0.0</v>
      </c>
      <c r="AA197" t="n">
        <v>0.0</v>
      </c>
      <c r="AB197" t="n">
        <v>0.0</v>
      </c>
      <c r="AC197" t="n">
        <v>0.0</v>
      </c>
      <c r="AD197" t="n">
        <v>34.0</v>
      </c>
      <c r="AE197" t="n">
        <v>2.0</v>
      </c>
      <c r="AF197" t="n">
        <v>0.0</v>
      </c>
      <c r="AG197" t="n">
        <v>0.0</v>
      </c>
      <c r="AH197" t="n">
        <v>2.0</v>
      </c>
      <c r="AI197" t="n">
        <v>0.0</v>
      </c>
      <c r="AJ197" t="n">
        <v>0.0</v>
      </c>
      <c r="AK197" t="n">
        <v>16.558823529411764</v>
      </c>
      <c r="AL197" t="inlineStr">
        <is>
          <t/>
        </is>
      </c>
    </row>
    <row r="198">
      <c r="A198" t="inlineStr">
        <is>
          <t>夏日控体真不贵！月薪3k照样实现虾仁自由🤩</t>
        </is>
      </c>
      <c r="B198" t="inlineStr">
        <is>
          <t>6a6d54d000000000290307eb</t>
        </is>
      </c>
      <c r="C198" s="197" t="n">
        <f>HYPERLINK("https://www.xiaohongshu.com/explore/6a6d54d000000000290307eb?xsec_token=TBzB8vrykIekVwjns_5rHPFD-G4n-Ropv4Xpfio54OINQ=&amp;xsec_source=pc_trdark","https://www.xiaohongshu.com/explore/6a6d54d000000000290307eb?xsec_token=TBzB8vrykIekVwjns_5rHPFD-G4n-Ropv4Xpfio54OINQ=&amp;xsec_source=pc_trdark")</f>
        <v>0.0</v>
      </c>
      <c r="D198" t="inlineStr">
        <is>
          <t>鲜水湾甄选</t>
        </is>
      </c>
      <c r="E198" t="inlineStr">
        <is>
          <t>27401929161</t>
        </is>
      </c>
      <c r="F198" t="inlineStr">
        <is>
          <t>2026-08-01 10:07:12</t>
        </is>
      </c>
      <c r="G198" t="inlineStr">
        <is>
          <t>图文</t>
        </is>
      </c>
      <c r="H198" t="inlineStr">
        <is>
          <t>手剥虾仁 无冰衣无添加 低脂餐一人食 上班带饭 顺丰包邮 5盒装</t>
        </is>
      </c>
      <c r="I198" t="inlineStr">
        <is>
          <t>694baba01d450d00013662f0</t>
        </is>
      </c>
      <c r="J198" t="inlineStr">
        <is>
          <t/>
        </is>
      </c>
      <c r="K198" t="n">
        <v>0.0</v>
      </c>
      <c r="L198" t="n">
        <v>0.0</v>
      </c>
      <c r="M198" t="n">
        <v>6.0</v>
      </c>
      <c r="N198" t="inlineStr">
        <is>
          <t>0.18181818181818182</t>
        </is>
      </c>
      <c r="O198" t="n">
        <v>5.0</v>
      </c>
      <c r="P198" t="n">
        <v>0.0</v>
      </c>
      <c r="Q198" t="n">
        <v>0.0</v>
      </c>
      <c r="R198" t="n">
        <v>0.0</v>
      </c>
      <c r="S198" t="n">
        <v>0.0</v>
      </c>
      <c r="T198" t="n">
        <v>0.0</v>
      </c>
      <c r="U198" t="n">
        <v>0.0</v>
      </c>
      <c r="V198" t="n">
        <v>0.0</v>
      </c>
      <c r="W198" t="inlineStr">
        <is>
          <t/>
        </is>
      </c>
      <c r="X198" t="n">
        <v>0.0</v>
      </c>
      <c r="Y198" t="n">
        <v>0.0</v>
      </c>
      <c r="Z198" t="n">
        <v>0.0</v>
      </c>
      <c r="AA198" t="n">
        <v>0.0</v>
      </c>
      <c r="AB198" t="n">
        <v>0.0</v>
      </c>
      <c r="AC198" t="n">
        <v>0.0</v>
      </c>
      <c r="AD198" t="n">
        <v>33.0</v>
      </c>
      <c r="AE198" t="n">
        <v>1.0</v>
      </c>
      <c r="AF198" t="n">
        <v>0.0</v>
      </c>
      <c r="AG198" t="n">
        <v>0.0</v>
      </c>
      <c r="AH198" t="n">
        <v>1.0</v>
      </c>
      <c r="AI198" t="n">
        <v>0.0</v>
      </c>
      <c r="AJ198" t="n">
        <v>0.0</v>
      </c>
      <c r="AK198" t="n">
        <v>8.848484848484848</v>
      </c>
      <c r="AL198" t="inlineStr">
        <is>
          <t/>
        </is>
      </c>
    </row>
    <row r="199">
      <c r="A199" t="inlineStr">
        <is>
          <t>xhs你倒是宣传啊，整条三文鱼300块还发顺丰</t>
        </is>
      </c>
      <c r="B199" t="inlineStr">
        <is>
          <t>6a0b2579000000000803ecaf</t>
        </is>
      </c>
      <c r="C199" s="198" t="n">
        <f>HYPERLINK("https://www.xiaohongshu.com/explore/6a0b2579000000000803ecaf?xsec_token=TBao-nYLz1dhLmbZCubFHC7kKDvYGTH-7q8xYQQDx3uBU=&amp;xsec_source=pc_trdark","https://www.xiaohongshu.com/explore/6a0b2579000000000803ecaf?xsec_token=TBao-nYLz1dhLmbZCubFHC7kKDvYGTH-7q8xYQQDx3uBU=&amp;xsec_source=pc_trdark")</f>
        <v>0.0</v>
      </c>
      <c r="D199" t="inlineStr">
        <is>
          <t>鲜水湾</t>
        </is>
      </c>
      <c r="E199" t="inlineStr">
        <is>
          <t>49316638994</t>
        </is>
      </c>
      <c r="F199" t="inlineStr">
        <is>
          <t>2026-05-18 22:43:05</t>
        </is>
      </c>
      <c r="G199" t="inlineStr">
        <is>
          <t>图文</t>
        </is>
      </c>
      <c r="H199" t="inlineStr">
        <is>
          <t>智利尾端中段整条三文鱼 8斤深海鱼低脂餐囤货一周备菜顺丰包邮</t>
        </is>
      </c>
      <c r="I199" t="inlineStr">
        <is>
          <t>69fab80d64eb410001ece0c0</t>
        </is>
      </c>
      <c r="J199" t="inlineStr">
        <is>
          <t/>
        </is>
      </c>
      <c r="K199" t="n">
        <v>0.0</v>
      </c>
      <c r="L199" t="n">
        <v>0.0</v>
      </c>
      <c r="M199" t="n">
        <v>4.0</v>
      </c>
      <c r="N199" t="inlineStr">
        <is>
          <t>0.12121212121212122</t>
        </is>
      </c>
      <c r="O199" t="n">
        <v>4.0</v>
      </c>
      <c r="P199" t="n">
        <v>0.0</v>
      </c>
      <c r="Q199" t="n">
        <v>0.0</v>
      </c>
      <c r="R199" t="n">
        <v>0.0</v>
      </c>
      <c r="S199" t="n">
        <v>0.0</v>
      </c>
      <c r="T199" t="n">
        <v>0.0</v>
      </c>
      <c r="U199" t="n">
        <v>0.0</v>
      </c>
      <c r="V199" t="n">
        <v>0.0</v>
      </c>
      <c r="W199" t="inlineStr">
        <is>
          <t/>
        </is>
      </c>
      <c r="X199" t="n">
        <v>0.0</v>
      </c>
      <c r="Y199" t="n">
        <v>0.0</v>
      </c>
      <c r="Z199" t="n">
        <v>0.0</v>
      </c>
      <c r="AA199" t="n">
        <v>0.0</v>
      </c>
      <c r="AB199" t="n">
        <v>0.0</v>
      </c>
      <c r="AC199" t="n">
        <v>0.0</v>
      </c>
      <c r="AD199" t="n">
        <v>33.0</v>
      </c>
      <c r="AE199" t="n">
        <v>0.0</v>
      </c>
      <c r="AF199" t="n">
        <v>0.0</v>
      </c>
      <c r="AG199" t="n">
        <v>0.0</v>
      </c>
      <c r="AH199" t="n">
        <v>0.0</v>
      </c>
      <c r="AI199" t="n">
        <v>0.0</v>
      </c>
      <c r="AJ199" t="n">
        <v>0.0</v>
      </c>
      <c r="AK199" t="n">
        <v>18.545454545454547</v>
      </c>
      <c r="AL199" t="inlineStr">
        <is>
          <t/>
        </is>
      </c>
    </row>
    <row r="200">
      <c r="A200" t="inlineStr">
        <is>
          <t>冷冻虾仁到底腥不腥？打开包装告诉你真相</t>
        </is>
      </c>
      <c r="B200" t="inlineStr">
        <is>
          <t>69d4fd5f0000000022025c8e</t>
        </is>
      </c>
      <c r="C200" s="199" t="n">
        <f>HYPERLINK("https://www.xiaohongshu.com/explore/69d4fd5f0000000022025c8e?xsec_token=TBCfzrc-PQxdd2ruCVqHUjYs2daB0q6qdiUGApZry6L0k=&amp;xsec_source=pc_trdark","https://www.xiaohongshu.com/explore/69d4fd5f0000000022025c8e?xsec_token=TBCfzrc-PQxdd2ruCVqHUjYs2daB0q6qdiUGApZry6L0k=&amp;xsec_source=pc_trdark")</f>
        <v>0.0</v>
      </c>
      <c r="D200" t="inlineStr">
        <is>
          <t>鲜水湾</t>
        </is>
      </c>
      <c r="E200" t="inlineStr">
        <is>
          <t>49316638994</t>
        </is>
      </c>
      <c r="F200" t="inlineStr">
        <is>
          <t>2026-04-07 20:49:35</t>
        </is>
      </c>
      <c r="G200" t="inlineStr">
        <is>
          <t>图文</t>
        </is>
      </c>
      <c r="H200" t="inlineStr">
        <is>
          <t>手剥虾仁 无冰衣无添加 低脂餐一人食 上班带饭 顺丰包邮 5盒装</t>
        </is>
      </c>
      <c r="I200" t="inlineStr">
        <is>
          <t>694baba01d450d00013662f0</t>
        </is>
      </c>
      <c r="J200" t="inlineStr">
        <is>
          <t/>
        </is>
      </c>
      <c r="K200" t="n">
        <v>0.0</v>
      </c>
      <c r="L200" t="n">
        <v>0.0</v>
      </c>
      <c r="M200" t="n">
        <v>1.0</v>
      </c>
      <c r="N200" t="inlineStr">
        <is>
          <t>0.030303030303030304</t>
        </is>
      </c>
      <c r="O200" t="n">
        <v>1.0</v>
      </c>
      <c r="P200" t="n">
        <v>0.0</v>
      </c>
      <c r="Q200" t="n">
        <v>0.0</v>
      </c>
      <c r="R200" t="n">
        <v>0.0</v>
      </c>
      <c r="S200" t="n">
        <v>0.0</v>
      </c>
      <c r="T200" t="n">
        <v>0.0</v>
      </c>
      <c r="U200" t="n">
        <v>0.0</v>
      </c>
      <c r="V200" t="n">
        <v>0.0</v>
      </c>
      <c r="W200" t="inlineStr">
        <is>
          <t/>
        </is>
      </c>
      <c r="X200" t="n">
        <v>0.0</v>
      </c>
      <c r="Y200" t="n">
        <v>1.0</v>
      </c>
      <c r="Z200" t="n">
        <v>0.0</v>
      </c>
      <c r="AA200" t="n">
        <v>0.0</v>
      </c>
      <c r="AB200" t="n">
        <v>0.0</v>
      </c>
      <c r="AC200" t="n">
        <v>0.0</v>
      </c>
      <c r="AD200" t="n">
        <v>33.0</v>
      </c>
      <c r="AE200" t="n">
        <v>0.0</v>
      </c>
      <c r="AF200" t="n">
        <v>0.0</v>
      </c>
      <c r="AG200" t="n">
        <v>0.0</v>
      </c>
      <c r="AH200" t="n">
        <v>0.0</v>
      </c>
      <c r="AI200" t="n">
        <v>0.0</v>
      </c>
      <c r="AJ200" t="n">
        <v>0.0</v>
      </c>
      <c r="AK200" t="n">
        <v>13.757575757575758</v>
      </c>
      <c r="AL200" t="inlineStr">
        <is>
          <t/>
        </is>
      </c>
    </row>
    <row r="201">
      <c r="A201" t="inlineStr">
        <is>
          <t>在小红书上买到了整条三文鱼…</t>
        </is>
      </c>
      <c r="B201" t="inlineStr">
        <is>
          <t>692e4f1e000000001f007cb8</t>
        </is>
      </c>
      <c r="C201" s="200" t="n">
        <f>HYPERLINK("https://www.xiaohongshu.com/explore/692e4f1e000000001f007cb8?xsec_token=TBhc9WPqfa5dhWfRrPj8DX7W_9aA0Zas4QAmEKpy4qlOU=&amp;xsec_source=pc_trdark","https://www.xiaohongshu.com/explore/692e4f1e000000001f007cb8?xsec_token=TBhc9WPqfa5dhWfRrPj8DX7W_9aA0Zas4QAmEKpy4qlOU=&amp;xsec_source=pc_trdark")</f>
        <v>0.0</v>
      </c>
      <c r="D201" t="inlineStr">
        <is>
          <t>鲜水湾</t>
        </is>
      </c>
      <c r="E201" t="inlineStr">
        <is>
          <t>49316638994</t>
        </is>
      </c>
      <c r="F201" t="inlineStr">
        <is>
          <t>2025-12-02 10:29:50</t>
        </is>
      </c>
      <c r="G201" t="inlineStr">
        <is>
          <t>图文</t>
        </is>
      </c>
      <c r="H201" t="inlineStr">
        <is>
          <t>智利三文鱼切块·整条三文鱼·深海鱼一人食健康饮食</t>
        </is>
      </c>
      <c r="I201" t="inlineStr">
        <is>
          <t>691ac562a524ee0001b51d7b</t>
        </is>
      </c>
      <c r="J201" t="inlineStr">
        <is>
          <t/>
        </is>
      </c>
      <c r="K201" t="n">
        <v>0.0</v>
      </c>
      <c r="L201" t="n">
        <v>0.0</v>
      </c>
      <c r="M201" t="n">
        <v>5.0</v>
      </c>
      <c r="N201" t="inlineStr">
        <is>
          <t>0.15151515151515152</t>
        </is>
      </c>
      <c r="O201" t="n">
        <v>5.0</v>
      </c>
      <c r="P201" t="n">
        <v>0.0</v>
      </c>
      <c r="Q201" t="n">
        <v>0.0</v>
      </c>
      <c r="R201" t="n">
        <v>0.0</v>
      </c>
      <c r="S201" t="n">
        <v>0.0</v>
      </c>
      <c r="T201" t="n">
        <v>0.0</v>
      </c>
      <c r="U201" t="n">
        <v>0.0</v>
      </c>
      <c r="V201" t="n">
        <v>0.0</v>
      </c>
      <c r="W201" t="inlineStr">
        <is>
          <t/>
        </is>
      </c>
      <c r="X201" t="n">
        <v>0.0</v>
      </c>
      <c r="Y201" t="n">
        <v>1.0</v>
      </c>
      <c r="Z201" t="n">
        <v>0.0</v>
      </c>
      <c r="AA201" t="n">
        <v>0.0</v>
      </c>
      <c r="AB201" t="n">
        <v>0.0</v>
      </c>
      <c r="AC201" t="n">
        <v>0.0</v>
      </c>
      <c r="AD201" t="n">
        <v>33.0</v>
      </c>
      <c r="AE201" t="n">
        <v>0.0</v>
      </c>
      <c r="AF201" t="n">
        <v>0.0</v>
      </c>
      <c r="AG201" t="n">
        <v>0.0</v>
      </c>
      <c r="AH201" t="n">
        <v>0.0</v>
      </c>
      <c r="AI201" t="n">
        <v>0.0</v>
      </c>
      <c r="AJ201" t="n">
        <v>0.0</v>
      </c>
      <c r="AK201" t="n">
        <v>8.303030303030303</v>
      </c>
      <c r="AL201" t="inlineStr">
        <is>
          <t/>
        </is>
      </c>
    </row>
    <row r="202">
      <c r="A202" t="inlineStr">
        <is>
          <t>网购 zui 好吃的虾仁（本人自封✅</t>
        </is>
      </c>
      <c r="B202" t="inlineStr">
        <is>
          <t>6a6c43aa000000002202c083</t>
        </is>
      </c>
      <c r="C202" s="201" t="n">
        <f>HYPERLINK("https://www.xiaohongshu.com/explore/6a6c43aa000000002202c083?xsec_token=TBpbsD5cK9v8WYsSJHgrIHr0TUZiHCSoMx0nkF6fuCdQM=&amp;xsec_source=pc_trdark","https://www.xiaohongshu.com/explore/6a6c43aa000000002202c083?xsec_token=TBpbsD5cK9v8WYsSJHgrIHr0TUZiHCSoMx0nkF6fuCdQM=&amp;xsec_source=pc_trdark")</f>
        <v>0.0</v>
      </c>
      <c r="D202" t="inlineStr">
        <is>
          <t>菲菲上班吃什么</t>
        </is>
      </c>
      <c r="E202" t="inlineStr">
        <is>
          <t>49936530607</t>
        </is>
      </c>
      <c r="F202" t="inlineStr">
        <is>
          <t>2026-07-31 14:41:46</t>
        </is>
      </c>
      <c r="G202" t="inlineStr">
        <is>
          <t>图文</t>
        </is>
      </c>
      <c r="H202" t="inlineStr">
        <is>
          <t>手剥虾仁 无冰衣无添加 低脂餐一人食 上班带饭 顺丰包邮 5盒装</t>
        </is>
      </c>
      <c r="I202" t="inlineStr">
        <is>
          <t>694baba01d450d00013662f0</t>
        </is>
      </c>
      <c r="J202" t="inlineStr">
        <is>
          <t/>
        </is>
      </c>
      <c r="K202" t="n">
        <v>0.0</v>
      </c>
      <c r="L202" t="n">
        <v>0.0</v>
      </c>
      <c r="M202" t="n">
        <v>4.0</v>
      </c>
      <c r="N202" t="n">
        <v>0.125</v>
      </c>
      <c r="O202" t="n">
        <v>4.0</v>
      </c>
      <c r="P202" t="n">
        <v>0.0</v>
      </c>
      <c r="Q202" t="n">
        <v>0.0</v>
      </c>
      <c r="R202" t="n">
        <v>0.0</v>
      </c>
      <c r="S202" t="n">
        <v>0.0</v>
      </c>
      <c r="T202" t="n">
        <v>0.0</v>
      </c>
      <c r="U202" t="n">
        <v>0.0</v>
      </c>
      <c r="V202" t="n">
        <v>0.0</v>
      </c>
      <c r="W202" t="inlineStr">
        <is>
          <t/>
        </is>
      </c>
      <c r="X202" t="n">
        <v>0.0</v>
      </c>
      <c r="Y202" t="n">
        <v>1.0</v>
      </c>
      <c r="Z202" t="n">
        <v>5.0</v>
      </c>
      <c r="AA202" t="n">
        <v>0.0</v>
      </c>
      <c r="AB202" t="n">
        <v>0.0</v>
      </c>
      <c r="AC202" t="n">
        <v>0.0</v>
      </c>
      <c r="AD202" t="n">
        <v>32.0</v>
      </c>
      <c r="AE202" t="n">
        <v>0.0</v>
      </c>
      <c r="AF202" t="n">
        <v>0.0</v>
      </c>
      <c r="AG202" t="n">
        <v>0.0</v>
      </c>
      <c r="AH202" t="n">
        <v>0.0</v>
      </c>
      <c r="AI202" t="n">
        <v>0.0</v>
      </c>
      <c r="AJ202" t="n">
        <v>0.0</v>
      </c>
      <c r="AK202" t="n">
        <v>95.75</v>
      </c>
      <c r="AL202" t="inlineStr">
        <is>
          <t/>
        </is>
      </c>
    </row>
    <row r="203">
      <c r="A203" t="inlineStr">
        <is>
          <t>今天上班午饭又是虾仁炒蛋，比外卖低太多</t>
        </is>
      </c>
      <c r="B203" t="inlineStr">
        <is>
          <t>6a018dc50000000006035e55</t>
        </is>
      </c>
      <c r="C203" s="202" t="n">
        <f>HYPERLINK("https://www.xiaohongshu.com/explore/6a018dc50000000006035e55?xsec_token=TBbTMdCTPOAzll1S0w5oGNgq4UljA0jHQwkXpt-A9VztA=&amp;xsec_source=pc_trdark","https://www.xiaohongshu.com/explore/6a018dc50000000006035e55?xsec_token=TBbTMdCTPOAzll1S0w5oGNgq4UljA0jHQwkXpt-A9VztA=&amp;xsec_source=pc_trdark")</f>
        <v>0.0</v>
      </c>
      <c r="D203" t="inlineStr">
        <is>
          <t>婉婉上班吃什么</t>
        </is>
      </c>
      <c r="E203" t="inlineStr">
        <is>
          <t>11434449706</t>
        </is>
      </c>
      <c r="F203" t="inlineStr">
        <is>
          <t>2026-05-11 16:05:25</t>
        </is>
      </c>
      <c r="G203" t="inlineStr">
        <is>
          <t>图文</t>
        </is>
      </c>
      <c r="H203" t="inlineStr">
        <is>
          <t>手剥虾仁 无冰衣无添加 低脂餐一人食 上班带饭 顺丰包邮 5盒装</t>
        </is>
      </c>
      <c r="I203" t="inlineStr">
        <is>
          <t>694baba01d450d00013662f0</t>
        </is>
      </c>
      <c r="J203" t="inlineStr">
        <is>
          <t/>
        </is>
      </c>
      <c r="K203" t="n">
        <v>0.0</v>
      </c>
      <c r="L203" t="n">
        <v>0.0</v>
      </c>
      <c r="M203" t="n">
        <v>1.0</v>
      </c>
      <c r="N203" t="n">
        <v>0.03125</v>
      </c>
      <c r="O203" t="n">
        <v>1.0</v>
      </c>
      <c r="P203" t="n">
        <v>0.0</v>
      </c>
      <c r="Q203" t="n">
        <v>0.0</v>
      </c>
      <c r="R203" t="n">
        <v>0.0</v>
      </c>
      <c r="S203" t="n">
        <v>0.0</v>
      </c>
      <c r="T203" t="n">
        <v>0.0</v>
      </c>
      <c r="U203" t="n">
        <v>0.0</v>
      </c>
      <c r="V203" t="n">
        <v>0.0</v>
      </c>
      <c r="W203" t="inlineStr">
        <is>
          <t/>
        </is>
      </c>
      <c r="X203" t="n">
        <v>0.0</v>
      </c>
      <c r="Y203" t="n">
        <v>1.0</v>
      </c>
      <c r="Z203" t="n">
        <v>0.0</v>
      </c>
      <c r="AA203" t="n">
        <v>0.0</v>
      </c>
      <c r="AB203" t="n">
        <v>0.0</v>
      </c>
      <c r="AC203" t="n">
        <v>0.0</v>
      </c>
      <c r="AD203" t="n">
        <v>32.0</v>
      </c>
      <c r="AE203" t="n">
        <v>0.0</v>
      </c>
      <c r="AF203" t="n">
        <v>0.0</v>
      </c>
      <c r="AG203" t="n">
        <v>0.0</v>
      </c>
      <c r="AH203" t="n">
        <v>0.0</v>
      </c>
      <c r="AI203" t="n">
        <v>0.0</v>
      </c>
      <c r="AJ203" t="n">
        <v>0.0</v>
      </c>
      <c r="AK203" t="n">
        <v>6.90625</v>
      </c>
      <c r="AL203" t="inlineStr">
        <is>
          <t/>
        </is>
      </c>
    </row>
    <row r="204">
      <c r="A204" t="inlineStr">
        <is>
          <t>菜市场真的在驱赶年轻人</t>
        </is>
      </c>
      <c r="B204" t="inlineStr">
        <is>
          <t>69db1489000000001f0030bc</t>
        </is>
      </c>
      <c r="C204" s="203" t="n">
        <f>HYPERLINK("https://www.xiaohongshu.com/explore/69db1489000000001f0030bc?xsec_token=TBv7n0Oy0CPbFvgz473v78kTozvKNYIEaD9jAXgognD5U=&amp;xsec_source=pc_trdark","https://www.xiaohongshu.com/explore/69db1489000000001f0030bc?xsec_token=TBv7n0Oy0CPbFvgz473v78kTozvKNYIEaD9jAXgognD5U=&amp;xsec_source=pc_trdark")</f>
        <v>0.0</v>
      </c>
      <c r="D204" t="inlineStr">
        <is>
          <t>婉婉上班吃什么</t>
        </is>
      </c>
      <c r="E204" t="inlineStr">
        <is>
          <t>11434449706</t>
        </is>
      </c>
      <c r="F204" t="inlineStr">
        <is>
          <t>2026-04-12 11:42:01</t>
        </is>
      </c>
      <c r="G204" t="inlineStr">
        <is>
          <t>图文</t>
        </is>
      </c>
      <c r="H204" t="inlineStr">
        <is>
          <t>手剥虾仁 无冰衣无添加 低脂餐一人食 上班带饭 顺丰包邮 5盒装</t>
        </is>
      </c>
      <c r="I204" t="inlineStr">
        <is>
          <t>694baba01d450d00013662f0</t>
        </is>
      </c>
      <c r="J204" t="inlineStr">
        <is>
          <t/>
        </is>
      </c>
      <c r="K204" t="n">
        <v>0.0</v>
      </c>
      <c r="L204" t="n">
        <v>0.0</v>
      </c>
      <c r="M204" t="n">
        <v>0.0</v>
      </c>
      <c r="N204" t="n">
        <v>0.0</v>
      </c>
      <c r="O204" t="n">
        <v>0.0</v>
      </c>
      <c r="P204" t="n">
        <v>0.0</v>
      </c>
      <c r="Q204" t="inlineStr">
        <is>
          <t/>
        </is>
      </c>
      <c r="R204" t="inlineStr">
        <is>
          <t/>
        </is>
      </c>
      <c r="S204" t="n">
        <v>0.0</v>
      </c>
      <c r="T204" t="n">
        <v>0.0</v>
      </c>
      <c r="U204" t="n">
        <v>0.0</v>
      </c>
      <c r="V204" t="n">
        <v>0.0</v>
      </c>
      <c r="W204" t="inlineStr">
        <is>
          <t/>
        </is>
      </c>
      <c r="X204" t="n">
        <v>0.0</v>
      </c>
      <c r="Y204" t="n">
        <v>0.0</v>
      </c>
      <c r="Z204" t="n">
        <v>0.0</v>
      </c>
      <c r="AA204" t="n">
        <v>0.0</v>
      </c>
      <c r="AB204" t="n">
        <v>0.0</v>
      </c>
      <c r="AC204" t="n">
        <v>0.0</v>
      </c>
      <c r="AD204" t="n">
        <v>32.0</v>
      </c>
      <c r="AE204" t="n">
        <v>0.0</v>
      </c>
      <c r="AF204" t="n">
        <v>0.0</v>
      </c>
      <c r="AG204" t="n">
        <v>0.0</v>
      </c>
      <c r="AH204" t="n">
        <v>0.0</v>
      </c>
      <c r="AI204" t="n">
        <v>0.0</v>
      </c>
      <c r="AJ204" t="n">
        <v>0.0</v>
      </c>
      <c r="AK204" t="n">
        <v>14.71875</v>
      </c>
      <c r="AL204" t="inlineStr">
        <is>
          <t/>
        </is>
      </c>
    </row>
    <row r="205">
      <c r="A205" t="inlineStr">
        <is>
          <t>区区70来块，承包了我一个月减脂的快乐</t>
        </is>
      </c>
      <c r="B205" t="inlineStr">
        <is>
          <t>6a6c92190000000029032c88</t>
        </is>
      </c>
      <c r="C205" s="204" t="n">
        <f>HYPERLINK("https://www.xiaohongshu.com/explore/6a6c92190000000029032c88?xsec_token=TBpbsD5cK9v8WYsSJHgrIHr1ZqXvPwoLQKYdXVTyAVg-M=&amp;xsec_source=pc_trdark","https://www.xiaohongshu.com/explore/6a6c92190000000029032c88?xsec_token=TBpbsD5cK9v8WYsSJHgrIHr1ZqXvPwoLQKYdXVTyAVg-M=&amp;xsec_source=pc_trdark")</f>
        <v>0.0</v>
      </c>
      <c r="D205" t="inlineStr">
        <is>
          <t>鲜水湾甄选</t>
        </is>
      </c>
      <c r="E205" t="inlineStr">
        <is>
          <t>27401929161</t>
        </is>
      </c>
      <c r="F205" t="inlineStr">
        <is>
          <t>2026-07-31 20:16:25</t>
        </is>
      </c>
      <c r="G205" t="inlineStr">
        <is>
          <t>图文</t>
        </is>
      </c>
      <c r="H205" t="inlineStr">
        <is>
          <t>手剥虾仁 无冰衣无添加 低脂餐一人食 上班带饭 顺丰包邮 5盒装</t>
        </is>
      </c>
      <c r="I205" t="inlineStr">
        <is>
          <t>694baba01d450d00013662f0</t>
        </is>
      </c>
      <c r="J205" t="inlineStr">
        <is>
          <t/>
        </is>
      </c>
      <c r="K205" t="n">
        <v>68.0</v>
      </c>
      <c r="L205" t="n">
        <v>1.0</v>
      </c>
      <c r="M205" t="n">
        <v>5.0</v>
      </c>
      <c r="N205" t="inlineStr">
        <is>
          <t>0.16129032258064516</t>
        </is>
      </c>
      <c r="O205" t="n">
        <v>4.0</v>
      </c>
      <c r="P205" t="n">
        <v>1.0</v>
      </c>
      <c r="Q205" t="n">
        <v>0.2</v>
      </c>
      <c r="R205" t="n">
        <v>0.25</v>
      </c>
      <c r="S205" t="n">
        <v>0.0</v>
      </c>
      <c r="T205" t="n">
        <v>0.0</v>
      </c>
      <c r="U205" t="n">
        <v>0.0</v>
      </c>
      <c r="V205" t="n">
        <v>0.0</v>
      </c>
      <c r="W205" t="n">
        <v>0.0</v>
      </c>
      <c r="X205" t="n">
        <v>0.0</v>
      </c>
      <c r="Y205" t="n">
        <v>1.0</v>
      </c>
      <c r="Z205" t="n">
        <v>1.0</v>
      </c>
      <c r="AA205" t="n">
        <v>0.0</v>
      </c>
      <c r="AB205" t="n">
        <v>0.0</v>
      </c>
      <c r="AC205" t="n">
        <v>0.0</v>
      </c>
      <c r="AD205" t="n">
        <v>31.0</v>
      </c>
      <c r="AE205" t="n">
        <v>1.0</v>
      </c>
      <c r="AF205" t="n">
        <v>0.0</v>
      </c>
      <c r="AG205" t="n">
        <v>0.0</v>
      </c>
      <c r="AH205" t="n">
        <v>0.0</v>
      </c>
      <c r="AI205" t="n">
        <v>0.0</v>
      </c>
      <c r="AJ205" t="n">
        <v>0.0</v>
      </c>
      <c r="AK205" t="n">
        <v>7.387096774193548</v>
      </c>
      <c r="AL205" t="inlineStr">
        <is>
          <t/>
        </is>
      </c>
    </row>
    <row r="206">
      <c r="A206" t="inlineStr">
        <is>
          <t>请所有孕妈宝妈安心闭眼入，没打一点药✨</t>
        </is>
      </c>
      <c r="B206" t="inlineStr">
        <is>
          <t>6a75abed00000000250033e2</t>
        </is>
      </c>
      <c r="C206" s="205" t="n">
        <f>HYPERLINK("https://www.xiaohongshu.com/explore/6a75abed00000000250033e2?xsec_token=TB7zWT8uC_Q-m_VusJubEL4He2VLXHgLoQmXpYzFn-Dm0=&amp;xsec_source=pc_trdark","https://www.xiaohongshu.com/explore/6a75abed00000000250033e2?xsec_token=TB7zWT8uC_Q-m_VusJubEL4He2VLXHgLoQmXpYzFn-Dm0=&amp;xsec_source=pc_trdark")</f>
        <v>0.0</v>
      </c>
      <c r="D206" t="inlineStr">
        <is>
          <t>鲜水湾甄选</t>
        </is>
      </c>
      <c r="E206" t="inlineStr">
        <is>
          <t>27401929161</t>
        </is>
      </c>
      <c r="F206" t="inlineStr">
        <is>
          <t>2026-08-07 17:57:01</t>
        </is>
      </c>
      <c r="G206" t="inlineStr">
        <is>
          <t>图文</t>
        </is>
      </c>
      <c r="H206" t="inlineStr">
        <is>
          <t>手剥虾仁 无冰衣无添加 低脂餐一人食 上班带饭 顺丰包邮 5盒装</t>
        </is>
      </c>
      <c r="I206" t="inlineStr">
        <is>
          <t>694baba01d450d00013662f0</t>
        </is>
      </c>
      <c r="J206" t="inlineStr">
        <is>
          <t/>
        </is>
      </c>
      <c r="K206" t="n">
        <v>0.0</v>
      </c>
      <c r="L206" t="n">
        <v>0.0</v>
      </c>
      <c r="M206" t="n">
        <v>4.0</v>
      </c>
      <c r="N206" t="inlineStr">
        <is>
          <t>0.13333333333333333</t>
        </is>
      </c>
      <c r="O206" t="n">
        <v>3.0</v>
      </c>
      <c r="P206" t="n">
        <v>0.0</v>
      </c>
      <c r="Q206" t="n">
        <v>0.0</v>
      </c>
      <c r="R206" t="n">
        <v>0.0</v>
      </c>
      <c r="S206" t="n">
        <v>0.0</v>
      </c>
      <c r="T206" t="n">
        <v>0.0</v>
      </c>
      <c r="U206" t="n">
        <v>0.0</v>
      </c>
      <c r="V206" t="n">
        <v>0.0</v>
      </c>
      <c r="W206" t="inlineStr">
        <is>
          <t/>
        </is>
      </c>
      <c r="X206" t="n">
        <v>0.0</v>
      </c>
      <c r="Y206" t="n">
        <v>0.0</v>
      </c>
      <c r="Z206" t="n">
        <v>3.0</v>
      </c>
      <c r="AA206" t="n">
        <v>0.0</v>
      </c>
      <c r="AB206" t="n">
        <v>0.0</v>
      </c>
      <c r="AC206" t="n">
        <v>0.0</v>
      </c>
      <c r="AD206" t="n">
        <v>30.0</v>
      </c>
      <c r="AE206" t="n">
        <v>1.0</v>
      </c>
      <c r="AF206" t="n">
        <v>1.0</v>
      </c>
      <c r="AG206" t="n">
        <v>0.0</v>
      </c>
      <c r="AH206" t="n">
        <v>2.0</v>
      </c>
      <c r="AI206" t="n">
        <v>0.0</v>
      </c>
      <c r="AJ206" t="n">
        <v>0.0</v>
      </c>
      <c r="AK206" t="n">
        <v>7.233333333333333</v>
      </c>
      <c r="AL206" t="inlineStr">
        <is>
          <t/>
        </is>
      </c>
    </row>
    <row r="207">
      <c r="A207" t="inlineStr">
        <is>
          <t>送领导的端午节礼盒368被误以为上千块</t>
        </is>
      </c>
      <c r="B207" t="inlineStr">
        <is>
          <t>6a2ea7570000000008033a88</t>
        </is>
      </c>
      <c r="C207" s="206" t="n">
        <f>HYPERLINK("https://www.xiaohongshu.com/explore/6a2ea7570000000008033a88?xsec_token=TBhHjC2DWrdLZDWzxKRIYz56Wk0BS-a-qNvKGXANjxu2s=&amp;xsec_source=pc_trdark","https://www.xiaohongshu.com/explore/6a2ea7570000000008033a88?xsec_token=TBhHjC2DWrdLZDWzxKRIYz56Wk0BS-a-qNvKGXANjxu2s=&amp;xsec_source=pc_trdark")</f>
        <v>0.0</v>
      </c>
      <c r="D207" t="inlineStr">
        <is>
          <t>鲜水湾</t>
        </is>
      </c>
      <c r="E207" t="inlineStr">
        <is>
          <t>49316638994</t>
        </is>
      </c>
      <c r="F207" t="inlineStr">
        <is>
          <t>2026-06-14 21:06:31</t>
        </is>
      </c>
      <c r="G207" t="inlineStr">
        <is>
          <t>图文</t>
        </is>
      </c>
      <c r="H207" t="inlineStr">
        <is>
          <t>智利尾端中段整条三文鱼 8斤深海鱼低脂餐囤货一周备菜顺丰包邮</t>
        </is>
      </c>
      <c r="I207" t="inlineStr">
        <is>
          <t>69fab80d64eb410001ece0c0</t>
        </is>
      </c>
      <c r="J207" t="inlineStr">
        <is>
          <t/>
        </is>
      </c>
      <c r="K207" t="n">
        <v>0.0</v>
      </c>
      <c r="L207" t="n">
        <v>0.0</v>
      </c>
      <c r="M207" t="n">
        <v>5.0</v>
      </c>
      <c r="N207" t="inlineStr">
        <is>
          <t>0.16666666666666666</t>
        </is>
      </c>
      <c r="O207" t="n">
        <v>5.0</v>
      </c>
      <c r="P207" t="n">
        <v>0.0</v>
      </c>
      <c r="Q207" t="n">
        <v>0.0</v>
      </c>
      <c r="R207" t="n">
        <v>0.0</v>
      </c>
      <c r="S207" t="n">
        <v>0.0</v>
      </c>
      <c r="T207" t="n">
        <v>0.0</v>
      </c>
      <c r="U207" t="n">
        <v>0.0</v>
      </c>
      <c r="V207" t="n">
        <v>0.0</v>
      </c>
      <c r="W207" t="inlineStr">
        <is>
          <t/>
        </is>
      </c>
      <c r="X207" t="n">
        <v>0.0</v>
      </c>
      <c r="Y207" t="n">
        <v>3.0</v>
      </c>
      <c r="Z207" t="n">
        <v>9.0</v>
      </c>
      <c r="AA207" t="n">
        <v>0.0</v>
      </c>
      <c r="AB207" t="n">
        <v>0.0</v>
      </c>
      <c r="AC207" t="n">
        <v>0.0</v>
      </c>
      <c r="AD207" t="n">
        <v>30.0</v>
      </c>
      <c r="AE207" t="n">
        <v>1.0</v>
      </c>
      <c r="AF207" t="n">
        <v>0.0</v>
      </c>
      <c r="AG207" t="n">
        <v>0.0</v>
      </c>
      <c r="AH207" t="n">
        <v>0.0</v>
      </c>
      <c r="AI207" t="n">
        <v>0.0</v>
      </c>
      <c r="AJ207" t="n">
        <v>0.0</v>
      </c>
      <c r="AK207" t="n">
        <v>9.033333333333333</v>
      </c>
      <c r="AL207" t="inlineStr">
        <is>
          <t/>
        </is>
      </c>
    </row>
    <row r="208">
      <c r="A208" t="inlineStr">
        <is>
          <t>超级爱吃我自己做的饭！（减脂餐</t>
        </is>
      </c>
      <c r="B208" t="inlineStr">
        <is>
          <t>6a22c0cd000000000803d4db</t>
        </is>
      </c>
      <c r="C208" s="207" t="n">
        <f>HYPERLINK("https://www.xiaohongshu.com/explore/6a22c0cd000000000803d4db?xsec_token=TBC-_2V2Jf8UHvhGX5sq95h1XSwZghZEOsQO727iw8LBk=&amp;xsec_source=pc_trdark","https://www.xiaohongshu.com/explore/6a22c0cd000000000803d4db?xsec_token=TBC-_2V2Jf8UHvhGX5sq95h1XSwZghZEOsQO727iw8LBk=&amp;xsec_source=pc_trdark")</f>
        <v>0.0</v>
      </c>
      <c r="D208" t="inlineStr">
        <is>
          <t>鲜水湾</t>
        </is>
      </c>
      <c r="E208" t="inlineStr">
        <is>
          <t>49316638994</t>
        </is>
      </c>
      <c r="F208" t="inlineStr">
        <is>
          <t>2026-06-05 20:27:57</t>
        </is>
      </c>
      <c r="G208" t="inlineStr">
        <is>
          <t>图文</t>
        </is>
      </c>
      <c r="H208" t="inlineStr">
        <is>
          <t>智利三文鱼切块·整条三文鱼·深海鱼一人食健康饮食</t>
        </is>
      </c>
      <c r="I208" t="inlineStr">
        <is>
          <t>691ac562a524ee0001b51d7b</t>
        </is>
      </c>
      <c r="J208" t="inlineStr">
        <is>
          <t/>
        </is>
      </c>
      <c r="K208" t="n">
        <v>67.0</v>
      </c>
      <c r="L208" t="n">
        <v>1.0</v>
      </c>
      <c r="M208" t="n">
        <v>2.0</v>
      </c>
      <c r="N208" t="inlineStr">
        <is>
          <t>0.06666666666666667</t>
        </is>
      </c>
      <c r="O208" t="n">
        <v>2.0</v>
      </c>
      <c r="P208" t="n">
        <v>1.0</v>
      </c>
      <c r="Q208" t="n">
        <v>0.5</v>
      </c>
      <c r="R208" t="n">
        <v>0.5</v>
      </c>
      <c r="S208" t="n">
        <v>0.0</v>
      </c>
      <c r="T208" t="n">
        <v>0.0</v>
      </c>
      <c r="U208" t="n">
        <v>0.0</v>
      </c>
      <c r="V208" t="n">
        <v>0.0</v>
      </c>
      <c r="W208" t="n">
        <v>0.0</v>
      </c>
      <c r="X208" t="n">
        <v>0.0</v>
      </c>
      <c r="Y208" t="n">
        <v>0.0</v>
      </c>
      <c r="Z208" t="n">
        <v>0.0</v>
      </c>
      <c r="AA208" t="n">
        <v>0.0</v>
      </c>
      <c r="AB208" t="n">
        <v>0.0</v>
      </c>
      <c r="AC208" t="n">
        <v>0.0</v>
      </c>
      <c r="AD208" t="n">
        <v>30.0</v>
      </c>
      <c r="AE208" t="n">
        <v>0.0</v>
      </c>
      <c r="AF208" t="n">
        <v>0.0</v>
      </c>
      <c r="AG208" t="n">
        <v>0.0</v>
      </c>
      <c r="AH208" t="n">
        <v>0.0</v>
      </c>
      <c r="AI208" t="n">
        <v>0.0</v>
      </c>
      <c r="AJ208" t="n">
        <v>0.0</v>
      </c>
      <c r="AK208" t="n">
        <v>27.6</v>
      </c>
      <c r="AL208" t="inlineStr">
        <is>
          <t/>
        </is>
      </c>
    </row>
    <row r="209">
      <c r="A209" t="inlineStr">
        <is>
          <t>不会做虾的进！3种懒人做法，比泡面还简单</t>
        </is>
      </c>
      <c r="B209" t="inlineStr">
        <is>
          <t>69d66e2a000000002301d1a4</t>
        </is>
      </c>
      <c r="C209" s="208" t="n">
        <f>HYPERLINK("https://www.xiaohongshu.com/explore/69d66e2a000000002301d1a4?xsec_token=TBvBxKrH7kcVQkSA7MMxNJOaxsoOlQejv60KiAfR4vJlA=&amp;xsec_source=pc_trdark","https://www.xiaohongshu.com/explore/69d66e2a000000002301d1a4?xsec_token=TBvBxKrH7kcVQkSA7MMxNJOaxsoOlQejv60KiAfR4vJlA=&amp;xsec_source=pc_trdark")</f>
        <v>0.0</v>
      </c>
      <c r="D209" t="inlineStr">
        <is>
          <t>菲菲上班吃什么</t>
        </is>
      </c>
      <c r="E209" t="inlineStr">
        <is>
          <t>49936530607</t>
        </is>
      </c>
      <c r="F209" t="inlineStr">
        <is>
          <t>2026-04-08 23:03:06</t>
        </is>
      </c>
      <c r="G209" t="inlineStr">
        <is>
          <t>图文</t>
        </is>
      </c>
      <c r="H209" t="inlineStr">
        <is>
          <t>手剥虾仁 无冰衣无添加 低脂餐一人食 上班带饭 顺丰包邮 5盒装</t>
        </is>
      </c>
      <c r="I209" t="inlineStr">
        <is>
          <t>694baba01d450d00013662f0</t>
        </is>
      </c>
      <c r="J209" t="inlineStr">
        <is>
          <t/>
        </is>
      </c>
      <c r="K209" t="n">
        <v>0.0</v>
      </c>
      <c r="L209" t="n">
        <v>0.0</v>
      </c>
      <c r="M209" t="n">
        <v>1.0</v>
      </c>
      <c r="N209" t="inlineStr">
        <is>
          <t>0.03333333333333333</t>
        </is>
      </c>
      <c r="O209" t="n">
        <v>1.0</v>
      </c>
      <c r="P209" t="n">
        <v>0.0</v>
      </c>
      <c r="Q209" t="n">
        <v>0.0</v>
      </c>
      <c r="R209" t="n">
        <v>0.0</v>
      </c>
      <c r="S209" t="n">
        <v>0.0</v>
      </c>
      <c r="T209" t="n">
        <v>0.0</v>
      </c>
      <c r="U209" t="n">
        <v>0.0</v>
      </c>
      <c r="V209" t="n">
        <v>0.0</v>
      </c>
      <c r="W209" t="inlineStr">
        <is>
          <t/>
        </is>
      </c>
      <c r="X209" t="n">
        <v>0.0</v>
      </c>
      <c r="Y209" t="n">
        <v>0.0</v>
      </c>
      <c r="Z209" t="n">
        <v>0.0</v>
      </c>
      <c r="AA209" t="n">
        <v>0.0</v>
      </c>
      <c r="AB209" t="n">
        <v>0.0</v>
      </c>
      <c r="AC209" t="n">
        <v>0.0</v>
      </c>
      <c r="AD209" t="n">
        <v>30.0</v>
      </c>
      <c r="AE209" t="n">
        <v>0.0</v>
      </c>
      <c r="AF209" t="n">
        <v>0.0</v>
      </c>
      <c r="AG209" t="n">
        <v>0.0</v>
      </c>
      <c r="AH209" t="n">
        <v>0.0</v>
      </c>
      <c r="AI209" t="n">
        <v>0.0</v>
      </c>
      <c r="AJ209" t="n">
        <v>0.0</v>
      </c>
      <c r="AK209" t="n">
        <v>14.4</v>
      </c>
      <c r="AL209" t="inlineStr">
        <is>
          <t/>
        </is>
      </c>
    </row>
    <row r="210">
      <c r="A210" t="inlineStr">
        <is>
          <t>健身女会一直吃下去的蛋白质</t>
        </is>
      </c>
      <c r="B210" t="inlineStr">
        <is>
          <t>6a82693200000000050216fc</t>
        </is>
      </c>
      <c r="C210" s="209" t="n">
        <f>HYPERLINK("https://www.xiaohongshu.com/explore/6a82693200000000050216fc?xsec_token=TBA1HIXh5By36RiQNQnYzmZfZhclj-XyBR4MRp8eUA4Sc=&amp;xsec_source=pc_trdark","https://www.xiaohongshu.com/explore/6a82693200000000050216fc?xsec_token=TBA1HIXh5By36RiQNQnYzmZfZhclj-XyBR4MRp8eUA4Sc=&amp;xsec_source=pc_trdark")</f>
        <v>0.0</v>
      </c>
      <c r="D210" t="inlineStr">
        <is>
          <t>菲菲上班吃什么</t>
        </is>
      </c>
      <c r="E210" t="inlineStr">
        <is>
          <t>49936530607</t>
        </is>
      </c>
      <c r="F210" t="inlineStr">
        <is>
          <t>2026-08-17 09:51:46</t>
        </is>
      </c>
      <c r="G210" t="inlineStr">
        <is>
          <t>图文</t>
        </is>
      </c>
      <c r="H210" t="inlineStr">
        <is>
          <t>手剥虾仁 无冰衣无添加 低脂餐一人食 上班带饭 顺丰包邮 5盒装</t>
        </is>
      </c>
      <c r="I210" t="inlineStr">
        <is>
          <t>694baba01d450d00013662f0</t>
        </is>
      </c>
      <c r="J210" t="inlineStr">
        <is>
          <t/>
        </is>
      </c>
      <c r="K210" t="n">
        <v>0.0</v>
      </c>
      <c r="L210" t="n">
        <v>0.0</v>
      </c>
      <c r="M210" t="n">
        <v>4.0</v>
      </c>
      <c r="N210" t="inlineStr">
        <is>
          <t>0.13793103448275862</t>
        </is>
      </c>
      <c r="O210" t="n">
        <v>3.0</v>
      </c>
      <c r="P210" t="n">
        <v>0.0</v>
      </c>
      <c r="Q210" t="n">
        <v>0.0</v>
      </c>
      <c r="R210" t="n">
        <v>0.0</v>
      </c>
      <c r="S210" t="n">
        <v>0.0</v>
      </c>
      <c r="T210" t="n">
        <v>0.0</v>
      </c>
      <c r="U210" t="n">
        <v>0.0</v>
      </c>
      <c r="V210" t="n">
        <v>0.0</v>
      </c>
      <c r="W210" t="inlineStr">
        <is>
          <t/>
        </is>
      </c>
      <c r="X210" t="n">
        <v>0.0</v>
      </c>
      <c r="Y210" t="n">
        <v>0.0</v>
      </c>
      <c r="Z210" t="n">
        <v>0.0</v>
      </c>
      <c r="AA210" t="n">
        <v>0.0</v>
      </c>
      <c r="AB210" t="n">
        <v>0.0</v>
      </c>
      <c r="AC210" t="n">
        <v>0.0</v>
      </c>
      <c r="AD210" t="n">
        <v>29.0</v>
      </c>
      <c r="AE210" t="n">
        <v>1.0</v>
      </c>
      <c r="AF210" t="n">
        <v>0.0</v>
      </c>
      <c r="AG210" t="n">
        <v>0.0</v>
      </c>
      <c r="AH210" t="n">
        <v>2.0</v>
      </c>
      <c r="AI210" t="n">
        <v>0.0</v>
      </c>
      <c r="AJ210" t="n">
        <v>0.0</v>
      </c>
      <c r="AK210" t="n">
        <v>22.137931034482758</v>
      </c>
      <c r="AL210" t="inlineStr">
        <is>
          <t/>
        </is>
      </c>
    </row>
    <row r="211">
      <c r="A211" t="inlineStr">
        <is>
          <t>健身党运动后的，减脂三件套，绝了！ ！！</t>
        </is>
      </c>
      <c r="B211" t="inlineStr">
        <is>
          <t>6a56f9360000000021019de2</t>
        </is>
      </c>
      <c r="C211" s="210" t="n">
        <f>HYPERLINK("https://www.xiaohongshu.com/explore/6a56f9360000000021019de2?xsec_token=TB9bhMHu11lwl7C-NRH9-rDM-kRMJZtInq1yfYTnqMeFE=&amp;xsec_source=pc_trdark","https://www.xiaohongshu.com/explore/6a56f9360000000021019de2?xsec_token=TB9bhMHu11lwl7C-NRH9-rDM-kRMJZtInq1yfYTnqMeFE=&amp;xsec_source=pc_trdark")</f>
        <v>0.0</v>
      </c>
      <c r="D211" t="inlineStr">
        <is>
          <t>菲菲上班吃什么</t>
        </is>
      </c>
      <c r="E211" t="inlineStr">
        <is>
          <t>49936530607</t>
        </is>
      </c>
      <c r="F211" t="inlineStr">
        <is>
          <t>2026-07-15 11:06:30</t>
        </is>
      </c>
      <c r="G211" t="inlineStr">
        <is>
          <t>图文</t>
        </is>
      </c>
      <c r="H211" t="inlineStr">
        <is>
          <t>手剥虾仁 无冰衣无添加 低脂餐一人食 上班带饭 顺丰包邮 5盒装</t>
        </is>
      </c>
      <c r="I211" t="inlineStr">
        <is>
          <t>694baba01d450d00013662f0</t>
        </is>
      </c>
      <c r="J211" t="inlineStr">
        <is>
          <t/>
        </is>
      </c>
      <c r="K211" t="n">
        <v>0.0</v>
      </c>
      <c r="L211" t="n">
        <v>0.0</v>
      </c>
      <c r="M211" t="n">
        <v>3.0</v>
      </c>
      <c r="N211" t="inlineStr">
        <is>
          <t>0.10344827586206896</t>
        </is>
      </c>
      <c r="O211" t="n">
        <v>3.0</v>
      </c>
      <c r="P211" t="n">
        <v>0.0</v>
      </c>
      <c r="Q211" t="n">
        <v>0.0</v>
      </c>
      <c r="R211" t="n">
        <v>0.0</v>
      </c>
      <c r="S211" t="n">
        <v>0.0</v>
      </c>
      <c r="T211" t="n">
        <v>0.0</v>
      </c>
      <c r="U211" t="n">
        <v>0.0</v>
      </c>
      <c r="V211" t="n">
        <v>0.0</v>
      </c>
      <c r="W211" t="inlineStr">
        <is>
          <t/>
        </is>
      </c>
      <c r="X211" t="n">
        <v>0.0</v>
      </c>
      <c r="Y211" t="n">
        <v>0.0</v>
      </c>
      <c r="Z211" t="n">
        <v>0.0</v>
      </c>
      <c r="AA211" t="n">
        <v>0.0</v>
      </c>
      <c r="AB211" t="n">
        <v>0.0</v>
      </c>
      <c r="AC211" t="n">
        <v>0.0</v>
      </c>
      <c r="AD211" t="n">
        <v>29.0</v>
      </c>
      <c r="AE211" t="n">
        <v>0.0</v>
      </c>
      <c r="AF211" t="n">
        <v>0.0</v>
      </c>
      <c r="AG211" t="n">
        <v>0.0</v>
      </c>
      <c r="AH211" t="n">
        <v>0.0</v>
      </c>
      <c r="AI211" t="n">
        <v>0.0</v>
      </c>
      <c r="AJ211" t="n">
        <v>0.0</v>
      </c>
      <c r="AK211" t="n">
        <v>16.0</v>
      </c>
      <c r="AL211" t="inlineStr">
        <is>
          <t/>
        </is>
      </c>
    </row>
    <row r="212">
      <c r="A212" t="inlineStr">
        <is>
          <t>都去拍这个三文鱼尾段，太适合上班带饭了！</t>
        </is>
      </c>
      <c r="B212" t="inlineStr">
        <is>
          <t>6a2fbfd5000000002100af7b</t>
        </is>
      </c>
      <c r="C212" s="211" t="n">
        <f>HYPERLINK("https://www.xiaohongshu.com/explore/6a2fbfd5000000002100af7b?xsec_token=TBOClpwOvyolzEXhDI3pDx7VTHP2CDqgn2VVNY8lpEGPQ=&amp;xsec_source=pc_trdark","https://www.xiaohongshu.com/explore/6a2fbfd5000000002100af7b?xsec_token=TBOClpwOvyolzEXhDI3pDx7VTHP2CDqgn2VVNY8lpEGPQ=&amp;xsec_source=pc_trdark")</f>
        <v>0.0</v>
      </c>
      <c r="D212" t="inlineStr">
        <is>
          <t>鲜水湾</t>
        </is>
      </c>
      <c r="E212" t="inlineStr">
        <is>
          <t>49316638994</t>
        </is>
      </c>
      <c r="F212" t="inlineStr">
        <is>
          <t>2026-06-15 17:03:17</t>
        </is>
      </c>
      <c r="G212" t="inlineStr">
        <is>
          <t>图文</t>
        </is>
      </c>
      <c r="H212" t="inlineStr">
        <is>
          <t>智利尾端中段整条三文鱼 8斤深海鱼低脂餐囤货一周备菜顺丰包邮</t>
        </is>
      </c>
      <c r="I212" t="inlineStr">
        <is>
          <t>69fab80d64eb410001ece0c0</t>
        </is>
      </c>
      <c r="J212" t="inlineStr">
        <is>
          <t/>
        </is>
      </c>
      <c r="K212" t="n">
        <v>0.0</v>
      </c>
      <c r="L212" t="n">
        <v>0.0</v>
      </c>
      <c r="M212" t="n">
        <v>6.0</v>
      </c>
      <c r="N212" t="inlineStr">
        <is>
          <t>0.20689655172413793</t>
        </is>
      </c>
      <c r="O212" t="n">
        <v>4.0</v>
      </c>
      <c r="P212" t="n">
        <v>0.0</v>
      </c>
      <c r="Q212" t="n">
        <v>0.0</v>
      </c>
      <c r="R212" t="n">
        <v>0.0</v>
      </c>
      <c r="S212" t="n">
        <v>0.0</v>
      </c>
      <c r="T212" t="n">
        <v>0.0</v>
      </c>
      <c r="U212" t="n">
        <v>0.0</v>
      </c>
      <c r="V212" t="n">
        <v>0.0</v>
      </c>
      <c r="W212" t="inlineStr">
        <is>
          <t/>
        </is>
      </c>
      <c r="X212" t="n">
        <v>0.0</v>
      </c>
      <c r="Y212" t="n">
        <v>0.0</v>
      </c>
      <c r="Z212" t="n">
        <v>0.0</v>
      </c>
      <c r="AA212" t="n">
        <v>0.0</v>
      </c>
      <c r="AB212" t="n">
        <v>0.0</v>
      </c>
      <c r="AC212" t="n">
        <v>0.0</v>
      </c>
      <c r="AD212" t="n">
        <v>29.0</v>
      </c>
      <c r="AE212" t="n">
        <v>0.0</v>
      </c>
      <c r="AF212" t="n">
        <v>0.0</v>
      </c>
      <c r="AG212" t="n">
        <v>0.0</v>
      </c>
      <c r="AH212" t="n">
        <v>0.0</v>
      </c>
      <c r="AI212" t="n">
        <v>0.0</v>
      </c>
      <c r="AJ212" t="n">
        <v>0.0</v>
      </c>
      <c r="AK212" t="n">
        <v>11.689655172413794</v>
      </c>
      <c r="AL212" t="inlineStr">
        <is>
          <t/>
        </is>
      </c>
    </row>
    <row r="213">
      <c r="A213" t="inlineStr">
        <is>
          <t>和老爸商量了，推出一人食小包装三文鱼</t>
        </is>
      </c>
      <c r="B213" t="inlineStr">
        <is>
          <t>6a057512000000000702fc66</t>
        </is>
      </c>
      <c r="C213" s="212" t="n">
        <f>HYPERLINK("https://www.xiaohongshu.com/explore/6a057512000000000702fc66?xsec_token=TB5fIXEADm3ztd3cFmDO51aL0FAaAIzJbQxTCgwHgKK5A=&amp;xsec_source=pc_trdark","https://www.xiaohongshu.com/explore/6a057512000000000702fc66?xsec_token=TB5fIXEADm3ztd3cFmDO51aL0FAaAIzJbQxTCgwHgKK5A=&amp;xsec_source=pc_trdark")</f>
        <v>0.0</v>
      </c>
      <c r="D213" t="inlineStr">
        <is>
          <t>鲜水湾</t>
        </is>
      </c>
      <c r="E213" t="inlineStr">
        <is>
          <t>49316638994</t>
        </is>
      </c>
      <c r="F213" t="inlineStr">
        <is>
          <t>2026-05-14 15:09:06</t>
        </is>
      </c>
      <c r="G213" t="inlineStr">
        <is>
          <t>图文</t>
        </is>
      </c>
      <c r="H213" t="inlineStr">
        <is>
          <t>智利尾端中段整条三文鱼 8斤深海鱼低脂餐囤货一周备菜顺丰包邮</t>
        </is>
      </c>
      <c r="I213" t="inlineStr">
        <is>
          <t>69fab80d64eb410001ece0c0</t>
        </is>
      </c>
      <c r="J213" t="inlineStr">
        <is>
          <t/>
        </is>
      </c>
      <c r="K213" t="n">
        <v>0.0</v>
      </c>
      <c r="L213" t="n">
        <v>0.0</v>
      </c>
      <c r="M213" t="n">
        <v>3.0</v>
      </c>
      <c r="N213" t="inlineStr">
        <is>
          <t>0.10344827586206896</t>
        </is>
      </c>
      <c r="O213" t="n">
        <v>3.0</v>
      </c>
      <c r="P213" t="n">
        <v>0.0</v>
      </c>
      <c r="Q213" t="n">
        <v>0.0</v>
      </c>
      <c r="R213" t="n">
        <v>0.0</v>
      </c>
      <c r="S213" t="n">
        <v>0.0</v>
      </c>
      <c r="T213" t="n">
        <v>0.0</v>
      </c>
      <c r="U213" t="n">
        <v>0.0</v>
      </c>
      <c r="V213" t="n">
        <v>0.0</v>
      </c>
      <c r="W213" t="inlineStr">
        <is>
          <t/>
        </is>
      </c>
      <c r="X213" t="n">
        <v>0.0</v>
      </c>
      <c r="Y213" t="n">
        <v>0.0</v>
      </c>
      <c r="Z213" t="n">
        <v>2.0</v>
      </c>
      <c r="AA213" t="n">
        <v>0.0</v>
      </c>
      <c r="AB213" t="n">
        <v>0.0</v>
      </c>
      <c r="AC213" t="n">
        <v>0.0</v>
      </c>
      <c r="AD213" t="n">
        <v>29.0</v>
      </c>
      <c r="AE213" t="n">
        <v>1.0</v>
      </c>
      <c r="AF213" t="n">
        <v>0.0</v>
      </c>
      <c r="AG213" t="n">
        <v>0.0</v>
      </c>
      <c r="AH213" t="n">
        <v>0.0</v>
      </c>
      <c r="AI213" t="n">
        <v>0.0</v>
      </c>
      <c r="AJ213" t="n">
        <v>0.0</v>
      </c>
      <c r="AK213" t="n">
        <v>6.827586206896552</v>
      </c>
      <c r="AL213" t="inlineStr">
        <is>
          <t/>
        </is>
      </c>
    </row>
    <row r="214">
      <c r="A214" t="inlineStr">
        <is>
          <t>才69一盒？还发顺丰！很难不买单</t>
        </is>
      </c>
      <c r="B214" t="inlineStr">
        <is>
          <t>698ae027000000000e03cef2</t>
        </is>
      </c>
      <c r="C214" s="213" t="n">
        <f>HYPERLINK("https://www.xiaohongshu.com/explore/698ae027000000000e03cef2?xsec_token=TBG0mKfxVH0N0QJz26OSUyhW-ynmI2DfpMtklv7EqnPlg=&amp;xsec_source=pc_trdark","https://www.xiaohongshu.com/explore/698ae027000000000e03cef2?xsec_token=TBG0mKfxVH0N0QJz26OSUyhW-ynmI2DfpMtklv7EqnPlg=&amp;xsec_source=pc_trdark")</f>
        <v>0.0</v>
      </c>
      <c r="D214" t="inlineStr">
        <is>
          <t>鲜水湾</t>
        </is>
      </c>
      <c r="E214" t="inlineStr">
        <is>
          <t>49316638994</t>
        </is>
      </c>
      <c r="F214" t="inlineStr">
        <is>
          <t>2026-02-10 15:37:11</t>
        </is>
      </c>
      <c r="G214" t="inlineStr">
        <is>
          <t>图文</t>
        </is>
      </c>
      <c r="H214" t="inlineStr">
        <is>
          <t>大虾基围虾王牌大虾厄瓜多尔白虾盐冻虾仁海洋大虾送礼顺丰包邮</t>
        </is>
      </c>
      <c r="I214" t="inlineStr">
        <is>
          <t>690aeb7be379430001e686ac</t>
        </is>
      </c>
      <c r="J214" t="inlineStr">
        <is>
          <t/>
        </is>
      </c>
      <c r="K214" t="n">
        <v>0.0</v>
      </c>
      <c r="L214" t="n">
        <v>0.0</v>
      </c>
      <c r="M214" t="n">
        <v>2.0</v>
      </c>
      <c r="N214" t="inlineStr">
        <is>
          <t>0.06896551724137931</t>
        </is>
      </c>
      <c r="O214" t="n">
        <v>1.0</v>
      </c>
      <c r="P214" t="n">
        <v>0.0</v>
      </c>
      <c r="Q214" t="n">
        <v>0.0</v>
      </c>
      <c r="R214" t="n">
        <v>0.0</v>
      </c>
      <c r="S214" t="n">
        <v>0.0</v>
      </c>
      <c r="T214" t="n">
        <v>0.0</v>
      </c>
      <c r="U214" t="n">
        <v>0.0</v>
      </c>
      <c r="V214" t="n">
        <v>0.0</v>
      </c>
      <c r="W214" t="inlineStr">
        <is>
          <t/>
        </is>
      </c>
      <c r="X214" t="n">
        <v>0.0</v>
      </c>
      <c r="Y214" t="n">
        <v>1.0</v>
      </c>
      <c r="Z214" t="n">
        <v>13.0</v>
      </c>
      <c r="AA214" t="n">
        <v>0.0</v>
      </c>
      <c r="AB214" t="n">
        <v>0.0</v>
      </c>
      <c r="AC214" t="n">
        <v>0.0</v>
      </c>
      <c r="AD214" t="n">
        <v>29.0</v>
      </c>
      <c r="AE214" t="n">
        <v>0.0</v>
      </c>
      <c r="AF214" t="n">
        <v>0.0</v>
      </c>
      <c r="AG214" t="n">
        <v>0.0</v>
      </c>
      <c r="AH214" t="n">
        <v>0.0</v>
      </c>
      <c r="AI214" t="n">
        <v>0.0</v>
      </c>
      <c r="AJ214" t="n">
        <v>0.0</v>
      </c>
      <c r="AK214" t="n">
        <v>4.827586206896552</v>
      </c>
      <c r="AL214" t="inlineStr">
        <is>
          <t/>
        </is>
      </c>
    </row>
    <row r="215">
      <c r="A215" t="inlineStr">
        <is>
          <t>以为200块没多少，没想到够我吃一个月了！</t>
        </is>
      </c>
      <c r="B215" t="inlineStr">
        <is>
          <t>6a7eb5f4000000003400fd5b</t>
        </is>
      </c>
      <c r="C215" s="214" t="n">
        <f>HYPERLINK("https://www.xiaohongshu.com/explore/6a7eb5f4000000003400fd5b?xsec_token=TBBnEEkj2VNmS0LsHYWGGzg3K1YX6g6Mazegy_Edgwy-k=&amp;xsec_source=pc_trdark","https://www.xiaohongshu.com/explore/6a7eb5f4000000003400fd5b?xsec_token=TBBnEEkj2VNmS0LsHYWGGzg3K1YX6g6Mazegy_Edgwy-k=&amp;xsec_source=pc_trdark")</f>
        <v>0.0</v>
      </c>
      <c r="D215" t="inlineStr">
        <is>
          <t>鲜水湾</t>
        </is>
      </c>
      <c r="E215" t="inlineStr">
        <is>
          <t>49316638994</t>
        </is>
      </c>
      <c r="F215" t="inlineStr">
        <is>
          <t>2026-08-14 14:30:12</t>
        </is>
      </c>
      <c r="G215" t="inlineStr">
        <is>
          <t>图文</t>
        </is>
      </c>
      <c r="H215" t="inlineStr">
        <is>
          <t>手剥虾仁 无冰衣无添加 低脂餐一人食 上班带饭 顺丰包邮 5盒装</t>
        </is>
      </c>
      <c r="I215" t="inlineStr">
        <is>
          <t>694baba01d450d00013662f0</t>
        </is>
      </c>
      <c r="J215" t="inlineStr">
        <is>
          <t/>
        </is>
      </c>
      <c r="K215" t="n">
        <v>0.0</v>
      </c>
      <c r="L215" t="n">
        <v>0.0</v>
      </c>
      <c r="M215" t="n">
        <v>0.0</v>
      </c>
      <c r="N215" t="n">
        <v>0.0</v>
      </c>
      <c r="O215" t="n">
        <v>0.0</v>
      </c>
      <c r="P215" t="n">
        <v>0.0</v>
      </c>
      <c r="Q215" t="inlineStr">
        <is>
          <t/>
        </is>
      </c>
      <c r="R215" t="inlineStr">
        <is>
          <t/>
        </is>
      </c>
      <c r="S215" t="n">
        <v>0.0</v>
      </c>
      <c r="T215" t="n">
        <v>0.0</v>
      </c>
      <c r="U215" t="n">
        <v>0.0</v>
      </c>
      <c r="V215" t="n">
        <v>0.0</v>
      </c>
      <c r="W215" t="inlineStr">
        <is>
          <t/>
        </is>
      </c>
      <c r="X215" t="n">
        <v>0.0</v>
      </c>
      <c r="Y215" t="n">
        <v>0.0</v>
      </c>
      <c r="Z215" t="n">
        <v>0.0</v>
      </c>
      <c r="AA215" t="n">
        <v>0.0</v>
      </c>
      <c r="AB215" t="n">
        <v>0.0</v>
      </c>
      <c r="AC215" t="n">
        <v>0.0</v>
      </c>
      <c r="AD215" t="n">
        <v>28.0</v>
      </c>
      <c r="AE215" t="n">
        <v>1.0</v>
      </c>
      <c r="AF215" t="n">
        <v>0.0</v>
      </c>
      <c r="AG215" t="n">
        <v>0.0</v>
      </c>
      <c r="AH215" t="n">
        <v>2.0</v>
      </c>
      <c r="AI215" t="n">
        <v>0.0</v>
      </c>
      <c r="AJ215" t="n">
        <v>0.0</v>
      </c>
      <c r="AK215" t="n">
        <v>5.25</v>
      </c>
      <c r="AL215" t="inlineStr">
        <is>
          <t/>
        </is>
      </c>
    </row>
    <row r="216">
      <c r="A216" t="inlineStr">
        <is>
          <t>应该没人能拒绝三文鱼这份减脂早餐吧</t>
        </is>
      </c>
      <c r="B216" t="inlineStr">
        <is>
          <t>6a744b7e0000000033009be2</t>
        </is>
      </c>
      <c r="C216" s="215" t="n">
        <f>HYPERLINK("https://www.xiaohongshu.com/explore/6a744b7e0000000033009be2?xsec_token=TBJtS_xn5m5mCKtnUbGCdZGZiUrpGwgotsdInwEhT4eb4=&amp;xsec_source=pc_trdark","https://www.xiaohongshu.com/explore/6a744b7e0000000033009be2?xsec_token=TBJtS_xn5m5mCKtnUbGCdZGZiUrpGwgotsdInwEhT4eb4=&amp;xsec_source=pc_trdark")</f>
        <v>0.0</v>
      </c>
      <c r="D216" t="inlineStr">
        <is>
          <t>菲菲上班吃什么</t>
        </is>
      </c>
      <c r="E216" t="inlineStr">
        <is>
          <t>49936530607</t>
        </is>
      </c>
      <c r="F216" t="inlineStr">
        <is>
          <t>2026-08-06 16:53:18</t>
        </is>
      </c>
      <c r="G216" t="inlineStr">
        <is>
          <t>图文</t>
        </is>
      </c>
      <c r="H216" t="inlineStr">
        <is>
          <t>智利三文鱼切块·整条三文鱼·深海鱼一人食健康饮食</t>
        </is>
      </c>
      <c r="I216" t="inlineStr">
        <is>
          <t>691ac562a524ee0001b51d7b</t>
        </is>
      </c>
      <c r="J216" t="inlineStr">
        <is>
          <t/>
        </is>
      </c>
      <c r="K216" t="n">
        <v>0.0</v>
      </c>
      <c r="L216" t="n">
        <v>0.0</v>
      </c>
      <c r="M216" t="n">
        <v>3.0</v>
      </c>
      <c r="N216" t="inlineStr">
        <is>
          <t>0.10714285714285714</t>
        </is>
      </c>
      <c r="O216" t="n">
        <v>3.0</v>
      </c>
      <c r="P216" t="n">
        <v>0.0</v>
      </c>
      <c r="Q216" t="n">
        <v>0.0</v>
      </c>
      <c r="R216" t="n">
        <v>0.0</v>
      </c>
      <c r="S216" t="n">
        <v>0.0</v>
      </c>
      <c r="T216" t="n">
        <v>0.0</v>
      </c>
      <c r="U216" t="n">
        <v>0.0</v>
      </c>
      <c r="V216" t="n">
        <v>0.0</v>
      </c>
      <c r="W216" t="inlineStr">
        <is>
          <t/>
        </is>
      </c>
      <c r="X216" t="n">
        <v>0.0</v>
      </c>
      <c r="Y216" t="n">
        <v>0.0</v>
      </c>
      <c r="Z216" t="n">
        <v>0.0</v>
      </c>
      <c r="AA216" t="n">
        <v>0.0</v>
      </c>
      <c r="AB216" t="n">
        <v>0.0</v>
      </c>
      <c r="AC216" t="n">
        <v>0.0</v>
      </c>
      <c r="AD216" t="n">
        <v>28.0</v>
      </c>
      <c r="AE216" t="n">
        <v>0.0</v>
      </c>
      <c r="AF216" t="n">
        <v>0.0</v>
      </c>
      <c r="AG216" t="n">
        <v>0.0</v>
      </c>
      <c r="AH216" t="n">
        <v>0.0</v>
      </c>
      <c r="AI216" t="n">
        <v>0.0</v>
      </c>
      <c r="AJ216" t="n">
        <v>0.0</v>
      </c>
      <c r="AK216" t="n">
        <v>9.464285714285714</v>
      </c>
      <c r="AL216" t="inlineStr">
        <is>
          <t/>
        </is>
      </c>
    </row>
    <row r="217">
      <c r="A217" t="inlineStr">
        <is>
          <t>应独居姐妹建议，推出不浪费一人食小包装~</t>
        </is>
      </c>
      <c r="B217" t="inlineStr">
        <is>
          <t>6a4c9536000000002003bc3b</t>
        </is>
      </c>
      <c r="C217" s="216" t="n">
        <f>HYPERLINK("https://www.xiaohongshu.com/explore/6a4c9536000000002003bc3b?xsec_token=TBUTHXond34IOioCHeuH06ueSQ_exlKR53sFTyXRVQAQc=&amp;xsec_source=pc_trdark","https://www.xiaohongshu.com/explore/6a4c9536000000002003bc3b?xsec_token=TBUTHXond34IOioCHeuH06ueSQ_exlKR53sFTyXRVQAQc=&amp;xsec_source=pc_trdark")</f>
        <v>0.0</v>
      </c>
      <c r="D217" t="inlineStr">
        <is>
          <t>鲜水湾</t>
        </is>
      </c>
      <c r="E217" t="inlineStr">
        <is>
          <t>49316638994</t>
        </is>
      </c>
      <c r="F217" t="inlineStr">
        <is>
          <t>2026-07-07 13:57:10</t>
        </is>
      </c>
      <c r="G217" t="inlineStr">
        <is>
          <t>图文</t>
        </is>
      </c>
      <c r="H217" t="inlineStr">
        <is>
          <t>手剥虾仁 无冰衣无添加 低脂餐一人食 上班带饭 顺丰包邮 5盒装</t>
        </is>
      </c>
      <c r="I217" t="inlineStr">
        <is>
          <t>694baba01d450d00013662f0</t>
        </is>
      </c>
      <c r="J217" t="inlineStr">
        <is>
          <t/>
        </is>
      </c>
      <c r="K217" t="n">
        <v>0.0</v>
      </c>
      <c r="L217" t="n">
        <v>0.0</v>
      </c>
      <c r="M217" t="n">
        <v>5.0</v>
      </c>
      <c r="N217" t="inlineStr">
        <is>
          <t>0.17857142857142858</t>
        </is>
      </c>
      <c r="O217" t="n">
        <v>3.0</v>
      </c>
      <c r="P217" t="n">
        <v>0.0</v>
      </c>
      <c r="Q217" t="n">
        <v>0.0</v>
      </c>
      <c r="R217" t="n">
        <v>0.0</v>
      </c>
      <c r="S217" t="n">
        <v>0.0</v>
      </c>
      <c r="T217" t="n">
        <v>0.0</v>
      </c>
      <c r="U217" t="n">
        <v>0.0</v>
      </c>
      <c r="V217" t="n">
        <v>0.0</v>
      </c>
      <c r="W217" t="inlineStr">
        <is>
          <t/>
        </is>
      </c>
      <c r="X217" t="n">
        <v>0.0</v>
      </c>
      <c r="Y217" t="n">
        <v>0.0</v>
      </c>
      <c r="Z217" t="n">
        <v>0.0</v>
      </c>
      <c r="AA217" t="n">
        <v>0.0</v>
      </c>
      <c r="AB217" t="n">
        <v>0.0</v>
      </c>
      <c r="AC217" t="n">
        <v>0.0</v>
      </c>
      <c r="AD217" t="n">
        <v>28.0</v>
      </c>
      <c r="AE217" t="n">
        <v>0.0</v>
      </c>
      <c r="AF217" t="n">
        <v>0.0</v>
      </c>
      <c r="AG217" t="n">
        <v>0.0</v>
      </c>
      <c r="AH217" t="n">
        <v>1.0</v>
      </c>
      <c r="AI217" t="n">
        <v>0.0</v>
      </c>
      <c r="AJ217" t="n">
        <v>0.0</v>
      </c>
      <c r="AK217" t="n">
        <v>9.571428571428571</v>
      </c>
      <c r="AL217" t="inlineStr">
        <is>
          <t/>
        </is>
      </c>
    </row>
    <row r="218">
      <c r="A218" t="inlineStr">
        <is>
          <t>打工人管住嘴不是饿肚子，虾仁让我真香了…</t>
        </is>
      </c>
      <c r="B218" t="inlineStr">
        <is>
          <t>6a3260560000000006030f24</t>
        </is>
      </c>
      <c r="C218" s="217" t="n">
        <f>HYPERLINK("https://www.xiaohongshu.com/explore/6a3260560000000006030f24?xsec_token=TBgwqICxjpF4PaPju8orzP40pwKpf2DAKbvdu9rv17MZY=&amp;xsec_source=pc_trdark","https://www.xiaohongshu.com/explore/6a3260560000000006030f24?xsec_token=TBgwqICxjpF4PaPju8orzP40pwKpf2DAKbvdu9rv17MZY=&amp;xsec_source=pc_trdark")</f>
        <v>0.0</v>
      </c>
      <c r="D218" t="inlineStr">
        <is>
          <t>菲菲上班吃什么</t>
        </is>
      </c>
      <c r="E218" t="inlineStr">
        <is>
          <t>49936530607</t>
        </is>
      </c>
      <c r="F218" t="inlineStr">
        <is>
          <t>2026-06-17 16:52:38</t>
        </is>
      </c>
      <c r="G218" t="inlineStr">
        <is>
          <t>图文</t>
        </is>
      </c>
      <c r="H218" t="inlineStr">
        <is>
          <t>手剥虾仁 无冰衣无添加 低脂餐一人食 上班带饭 顺丰包邮 5盒装</t>
        </is>
      </c>
      <c r="I218" t="inlineStr">
        <is>
          <t>694baba01d450d00013662f0</t>
        </is>
      </c>
      <c r="J218" t="inlineStr">
        <is>
          <t/>
        </is>
      </c>
      <c r="K218" t="n">
        <v>0.0</v>
      </c>
      <c r="L218" t="n">
        <v>0.0</v>
      </c>
      <c r="M218" t="n">
        <v>1.0</v>
      </c>
      <c r="N218" t="inlineStr">
        <is>
          <t>0.03571428571428571</t>
        </is>
      </c>
      <c r="O218" t="n">
        <v>1.0</v>
      </c>
      <c r="P218" t="n">
        <v>0.0</v>
      </c>
      <c r="Q218" t="n">
        <v>0.0</v>
      </c>
      <c r="R218" t="n">
        <v>0.0</v>
      </c>
      <c r="S218" t="n">
        <v>0.0</v>
      </c>
      <c r="T218" t="n">
        <v>0.0</v>
      </c>
      <c r="U218" t="n">
        <v>0.0</v>
      </c>
      <c r="V218" t="n">
        <v>0.0</v>
      </c>
      <c r="W218" t="inlineStr">
        <is>
          <t/>
        </is>
      </c>
      <c r="X218" t="n">
        <v>0.0</v>
      </c>
      <c r="Y218" t="n">
        <v>0.0</v>
      </c>
      <c r="Z218" t="n">
        <v>0.0</v>
      </c>
      <c r="AA218" t="n">
        <v>0.0</v>
      </c>
      <c r="AB218" t="n">
        <v>0.0</v>
      </c>
      <c r="AC218" t="n">
        <v>0.0</v>
      </c>
      <c r="AD218" t="n">
        <v>28.0</v>
      </c>
      <c r="AE218" t="n">
        <v>0.0</v>
      </c>
      <c r="AF218" t="n">
        <v>0.0</v>
      </c>
      <c r="AG218" t="n">
        <v>0.0</v>
      </c>
      <c r="AH218" t="n">
        <v>0.0</v>
      </c>
      <c r="AI218" t="n">
        <v>0.0</v>
      </c>
      <c r="AJ218" t="n">
        <v>0.0</v>
      </c>
      <c r="AK218" t="n">
        <v>13.785714285714286</v>
      </c>
      <c r="AL218" t="inlineStr">
        <is>
          <t/>
        </is>
      </c>
    </row>
    <row r="219">
      <c r="A219" t="inlineStr">
        <is>
          <t>这虾仁夯爆了，再也不去某马买了</t>
        </is>
      </c>
      <c r="B219" t="inlineStr">
        <is>
          <t>6a080cd6000000000803d3f7</t>
        </is>
      </c>
      <c r="C219" s="218" t="n">
        <f>HYPERLINK("https://www.xiaohongshu.com/explore/6a080cd6000000000803d3f7?xsec_token=TB4DqilU8Iz_RTzVurf6g8eu3u8kDud1TRcQBV70CVDsw=&amp;xsec_source=pc_trdark","https://www.xiaohongshu.com/explore/6a080cd6000000000803d3f7?xsec_token=TB4DqilU8Iz_RTzVurf6g8eu3u8kDud1TRcQBV70CVDsw=&amp;xsec_source=pc_trdark")</f>
        <v>0.0</v>
      </c>
      <c r="D219" t="inlineStr">
        <is>
          <t>婉婉上班吃什么</t>
        </is>
      </c>
      <c r="E219" t="inlineStr">
        <is>
          <t>11434449706</t>
        </is>
      </c>
      <c r="F219" t="inlineStr">
        <is>
          <t>2026-05-16 14:21:10</t>
        </is>
      </c>
      <c r="G219" t="inlineStr">
        <is>
          <t>图文</t>
        </is>
      </c>
      <c r="H219" t="inlineStr">
        <is>
          <t>手剥虾仁 无冰衣无添加 低脂餐一人食 上班带饭 顺丰包邮 5盒装</t>
        </is>
      </c>
      <c r="I219" t="inlineStr">
        <is>
          <t>694baba01d450d00013662f0</t>
        </is>
      </c>
      <c r="J219" t="inlineStr">
        <is>
          <t/>
        </is>
      </c>
      <c r="K219" t="n">
        <v>0.0</v>
      </c>
      <c r="L219" t="n">
        <v>0.0</v>
      </c>
      <c r="M219" t="n">
        <v>4.0</v>
      </c>
      <c r="N219" t="inlineStr">
        <is>
          <t>0.14285714285714285</t>
        </is>
      </c>
      <c r="O219" t="n">
        <v>4.0</v>
      </c>
      <c r="P219" t="n">
        <v>0.0</v>
      </c>
      <c r="Q219" t="n">
        <v>0.0</v>
      </c>
      <c r="R219" t="n">
        <v>0.0</v>
      </c>
      <c r="S219" t="n">
        <v>0.0</v>
      </c>
      <c r="T219" t="n">
        <v>0.0</v>
      </c>
      <c r="U219" t="n">
        <v>0.0</v>
      </c>
      <c r="V219" t="n">
        <v>0.0</v>
      </c>
      <c r="W219" t="inlineStr">
        <is>
          <t/>
        </is>
      </c>
      <c r="X219" t="n">
        <v>0.0</v>
      </c>
      <c r="Y219" t="n">
        <v>0.0</v>
      </c>
      <c r="Z219" t="n">
        <v>3.0</v>
      </c>
      <c r="AA219" t="n">
        <v>0.0</v>
      </c>
      <c r="AB219" t="n">
        <v>0.0</v>
      </c>
      <c r="AC219" t="n">
        <v>0.0</v>
      </c>
      <c r="AD219" t="n">
        <v>28.0</v>
      </c>
      <c r="AE219" t="n">
        <v>0.0</v>
      </c>
      <c r="AF219" t="n">
        <v>0.0</v>
      </c>
      <c r="AG219" t="n">
        <v>0.0</v>
      </c>
      <c r="AH219" t="n">
        <v>0.0</v>
      </c>
      <c r="AI219" t="n">
        <v>0.0</v>
      </c>
      <c r="AJ219" t="n">
        <v>0.0</v>
      </c>
      <c r="AK219" t="n">
        <v>3.7142857142857144</v>
      </c>
      <c r="AL219" t="inlineStr">
        <is>
          <t/>
        </is>
      </c>
    </row>
    <row r="220">
      <c r="A220" t="inlineStr">
        <is>
          <t>打工人的高蛋白，真不用天天靠外卖</t>
        </is>
      </c>
      <c r="B220" t="inlineStr">
        <is>
          <t>6a7026940000000029030116</t>
        </is>
      </c>
      <c r="C220" s="219" t="n">
        <f>HYPERLINK("https://www.xiaohongshu.com/explore/6a7026940000000029030116?xsec_token=TBIU1I5Zy_IXjnVZzC2076Q48wNuYbZGgI5Zl59nDZAIs=&amp;xsec_source=pc_trdark","https://www.xiaohongshu.com/explore/6a7026940000000029030116?xsec_token=TBIU1I5Zy_IXjnVZzC2076Q48wNuYbZGgI5Zl59nDZAIs=&amp;xsec_source=pc_trdark")</f>
        <v>0.0</v>
      </c>
      <c r="D220" t="inlineStr">
        <is>
          <t>鲜水湾甄选</t>
        </is>
      </c>
      <c r="E220" t="inlineStr">
        <is>
          <t>27401929161</t>
        </is>
      </c>
      <c r="F220" t="inlineStr">
        <is>
          <t>2026-08-03 13:26:44</t>
        </is>
      </c>
      <c r="G220" t="inlineStr">
        <is>
          <t>图文</t>
        </is>
      </c>
      <c r="H220" t="inlineStr">
        <is>
          <t>手剥虾仁 无冰衣无添加 低脂餐一人食 上班带饭 顺丰包邮 5盒装</t>
        </is>
      </c>
      <c r="I220" t="inlineStr">
        <is>
          <t>694baba01d450d00013662f0</t>
        </is>
      </c>
      <c r="J220" t="inlineStr">
        <is>
          <t/>
        </is>
      </c>
      <c r="K220" t="n">
        <v>0.0</v>
      </c>
      <c r="L220" t="n">
        <v>0.0</v>
      </c>
      <c r="M220" t="n">
        <v>2.0</v>
      </c>
      <c r="N220" t="inlineStr">
        <is>
          <t>0.07407407407407407</t>
        </is>
      </c>
      <c r="O220" t="n">
        <v>2.0</v>
      </c>
      <c r="P220" t="n">
        <v>0.0</v>
      </c>
      <c r="Q220" t="n">
        <v>0.0</v>
      </c>
      <c r="R220" t="n">
        <v>0.0</v>
      </c>
      <c r="S220" t="n">
        <v>0.0</v>
      </c>
      <c r="T220" t="n">
        <v>0.0</v>
      </c>
      <c r="U220" t="n">
        <v>0.0</v>
      </c>
      <c r="V220" t="n">
        <v>0.0</v>
      </c>
      <c r="W220" t="inlineStr">
        <is>
          <t/>
        </is>
      </c>
      <c r="X220" t="n">
        <v>0.0</v>
      </c>
      <c r="Y220" t="n">
        <v>0.0</v>
      </c>
      <c r="Z220" t="n">
        <v>0.0</v>
      </c>
      <c r="AA220" t="n">
        <v>0.0</v>
      </c>
      <c r="AB220" t="n">
        <v>0.0</v>
      </c>
      <c r="AC220" t="n">
        <v>0.0</v>
      </c>
      <c r="AD220" t="n">
        <v>27.0</v>
      </c>
      <c r="AE220" t="n">
        <v>0.0</v>
      </c>
      <c r="AF220" t="n">
        <v>0.0</v>
      </c>
      <c r="AG220" t="n">
        <v>0.0</v>
      </c>
      <c r="AH220" t="n">
        <v>0.0</v>
      </c>
      <c r="AI220" t="n">
        <v>0.0</v>
      </c>
      <c r="AJ220" t="n">
        <v>0.0</v>
      </c>
      <c r="AK220" t="n">
        <v>4.0</v>
      </c>
      <c r="AL220" t="inlineStr">
        <is>
          <t/>
        </is>
      </c>
    </row>
    <row r="221">
      <c r="A221" t="inlineStr">
        <is>
          <t>300块一整条吃一个月，比日料店划算多了</t>
        </is>
      </c>
      <c r="B221" t="inlineStr">
        <is>
          <t>6a68aedf00000000140040b2</t>
        </is>
      </c>
      <c r="C221" s="220" t="n">
        <f>HYPERLINK("https://www.xiaohongshu.com/explore/6a68aedf00000000140040b2?xsec_token=TBuVqV6OAJJIOGGQlO2UOOSERIv2yTQpF4IKmw3GHctzI=&amp;xsec_source=pc_trdark","https://www.xiaohongshu.com/explore/6a68aedf00000000140040b2?xsec_token=TBuVqV6OAJJIOGGQlO2UOOSERIv2yTQpF4IKmw3GHctzI=&amp;xsec_source=pc_trdark")</f>
        <v>0.0</v>
      </c>
      <c r="D221" t="inlineStr">
        <is>
          <t>鲜水湾</t>
        </is>
      </c>
      <c r="E221" t="inlineStr">
        <is>
          <t>49316638994</t>
        </is>
      </c>
      <c r="F221" t="inlineStr">
        <is>
          <t>2026-07-28 21:30:07</t>
        </is>
      </c>
      <c r="G221" t="inlineStr">
        <is>
          <t>图文</t>
        </is>
      </c>
      <c r="H221" t="inlineStr">
        <is>
          <t>智利尾端中段整条三文鱼 8斤深海鱼低脂餐囤货一周备菜顺丰包邮</t>
        </is>
      </c>
      <c r="I221" t="inlineStr">
        <is>
          <t>69fab80d64eb410001ece0c0</t>
        </is>
      </c>
      <c r="J221" t="inlineStr">
        <is>
          <t/>
        </is>
      </c>
      <c r="K221" t="n">
        <v>0.0</v>
      </c>
      <c r="L221" t="n">
        <v>0.0</v>
      </c>
      <c r="M221" t="n">
        <v>8.0</v>
      </c>
      <c r="N221" t="n">
        <v>0.3076923076923077</v>
      </c>
      <c r="O221" t="n">
        <v>5.0</v>
      </c>
      <c r="P221" t="n">
        <v>0.0</v>
      </c>
      <c r="Q221" t="n">
        <v>0.0</v>
      </c>
      <c r="R221" t="n">
        <v>0.0</v>
      </c>
      <c r="S221" t="n">
        <v>0.0</v>
      </c>
      <c r="T221" t="n">
        <v>0.0</v>
      </c>
      <c r="U221" t="n">
        <v>0.0</v>
      </c>
      <c r="V221" t="n">
        <v>0.0</v>
      </c>
      <c r="W221" t="inlineStr">
        <is>
          <t/>
        </is>
      </c>
      <c r="X221" t="n">
        <v>0.0</v>
      </c>
      <c r="Y221" t="n">
        <v>1.0</v>
      </c>
      <c r="Z221" t="n">
        <v>0.0</v>
      </c>
      <c r="AA221" t="n">
        <v>0.0</v>
      </c>
      <c r="AB221" t="n">
        <v>0.0</v>
      </c>
      <c r="AC221" t="n">
        <v>0.0</v>
      </c>
      <c r="AD221" t="n">
        <v>26.0</v>
      </c>
      <c r="AE221" t="n">
        <v>0.0</v>
      </c>
      <c r="AF221" t="n">
        <v>0.0</v>
      </c>
      <c r="AG221" t="n">
        <v>0.0</v>
      </c>
      <c r="AH221" t="n">
        <v>0.0</v>
      </c>
      <c r="AI221" t="n">
        <v>0.0</v>
      </c>
      <c r="AJ221" t="n">
        <v>0.0</v>
      </c>
      <c r="AK221" t="n">
        <v>28.307692307692307</v>
      </c>
      <c r="AL221" t="inlineStr">
        <is>
          <t/>
        </is>
      </c>
    </row>
    <row r="222">
      <c r="A222" t="inlineStr">
        <is>
          <t>和老爸商量后，上架了减脂人独爱的小包装</t>
        </is>
      </c>
      <c r="B222" t="inlineStr">
        <is>
          <t>6a6723bf000000001303ead3</t>
        </is>
      </c>
      <c r="C222" s="221" t="n">
        <f>HYPERLINK("https://www.xiaohongshu.com/explore/6a6723bf000000001303ead3?xsec_token=TBUg_D-BIUqM0ucIsEuUBe2GN-R7KConk9HpNYXHZ3hcY=&amp;xsec_source=pc_trdark","https://www.xiaohongshu.com/explore/6a6723bf000000001303ead3?xsec_token=TBUg_D-BIUqM0ucIsEuUBe2GN-R7KConk9HpNYXHZ3hcY=&amp;xsec_source=pc_trdark")</f>
        <v>0.0</v>
      </c>
      <c r="D222" t="inlineStr">
        <is>
          <t>鲜水湾</t>
        </is>
      </c>
      <c r="E222" t="inlineStr">
        <is>
          <t>49316638994</t>
        </is>
      </c>
      <c r="F222" t="inlineStr">
        <is>
          <t>2026-07-27 17:24:15</t>
        </is>
      </c>
      <c r="G222" t="inlineStr">
        <is>
          <t>图文</t>
        </is>
      </c>
      <c r="H222" t="inlineStr">
        <is>
          <t>手剥虾仁 无冰衣无添加 低脂餐一人食 上班带饭 顺丰包邮 5盒装</t>
        </is>
      </c>
      <c r="I222" t="inlineStr">
        <is>
          <t>694baba01d450d00013662f0</t>
        </is>
      </c>
      <c r="J222" t="inlineStr">
        <is>
          <t/>
        </is>
      </c>
      <c r="K222" t="n">
        <v>0.0</v>
      </c>
      <c r="L222" t="n">
        <v>0.0</v>
      </c>
      <c r="M222" t="n">
        <v>3.0</v>
      </c>
      <c r="N222" t="inlineStr">
        <is>
          <t>0.11538461538461539</t>
        </is>
      </c>
      <c r="O222" t="n">
        <v>2.0</v>
      </c>
      <c r="P222" t="n">
        <v>0.0</v>
      </c>
      <c r="Q222" t="n">
        <v>0.0</v>
      </c>
      <c r="R222" t="n">
        <v>0.0</v>
      </c>
      <c r="S222" t="n">
        <v>0.0</v>
      </c>
      <c r="T222" t="n">
        <v>0.0</v>
      </c>
      <c r="U222" t="n">
        <v>0.0</v>
      </c>
      <c r="V222" t="n">
        <v>0.0</v>
      </c>
      <c r="W222" t="inlineStr">
        <is>
          <t/>
        </is>
      </c>
      <c r="X222" t="n">
        <v>0.0</v>
      </c>
      <c r="Y222" t="n">
        <v>0.0</v>
      </c>
      <c r="Z222" t="n">
        <v>0.0</v>
      </c>
      <c r="AA222" t="n">
        <v>0.0</v>
      </c>
      <c r="AB222" t="n">
        <v>0.0</v>
      </c>
      <c r="AC222" t="n">
        <v>0.0</v>
      </c>
      <c r="AD222" t="n">
        <v>26.0</v>
      </c>
      <c r="AE222" t="n">
        <v>0.0</v>
      </c>
      <c r="AF222" t="n">
        <v>0.0</v>
      </c>
      <c r="AG222" t="n">
        <v>0.0</v>
      </c>
      <c r="AH222" t="n">
        <v>0.0</v>
      </c>
      <c r="AI222" t="n">
        <v>0.0</v>
      </c>
      <c r="AJ222" t="n">
        <v>0.0</v>
      </c>
      <c r="AK222" t="n">
        <v>10.26923076923077</v>
      </c>
      <c r="AL222" t="inlineStr">
        <is>
          <t/>
        </is>
      </c>
    </row>
    <row r="223">
      <c r="A223" t="inlineStr">
        <is>
          <t>90斤同事中午就是吃的这个三文鱼轻食餐</t>
        </is>
      </c>
      <c r="B223" t="inlineStr">
        <is>
          <t>6a5d8447000000001d0213c8</t>
        </is>
      </c>
      <c r="C223" s="222" t="n">
        <f>HYPERLINK("https://www.xiaohongshu.com/explore/6a5d8447000000001d0213c8?xsec_token=TBhNPC94_6xvOzlNirloUV2Jt968e1wJ99Sn9Mg-Dlfcs=&amp;xsec_source=pc_trdark","https://www.xiaohongshu.com/explore/6a5d8447000000001d0213c8?xsec_token=TBhNPC94_6xvOzlNirloUV2Jt968e1wJ99Sn9Mg-Dlfcs=&amp;xsec_source=pc_trdark")</f>
        <v>0.0</v>
      </c>
      <c r="D223" t="inlineStr">
        <is>
          <t>婉婉上班吃什么</t>
        </is>
      </c>
      <c r="E223" t="inlineStr">
        <is>
          <t>11434449706</t>
        </is>
      </c>
      <c r="F223" t="inlineStr">
        <is>
          <t>2026-07-20 10:13:27</t>
        </is>
      </c>
      <c r="G223" t="inlineStr">
        <is>
          <t>图文</t>
        </is>
      </c>
      <c r="H223" t="inlineStr">
        <is>
          <t>智利三文鱼切块·整条三文鱼·深海鱼一人食健康饮食</t>
        </is>
      </c>
      <c r="I223" t="inlineStr">
        <is>
          <t>691ac562a524ee0001b51d7b</t>
        </is>
      </c>
      <c r="J223" t="inlineStr">
        <is>
          <t/>
        </is>
      </c>
      <c r="K223" t="n">
        <v>0.0</v>
      </c>
      <c r="L223" t="n">
        <v>0.0</v>
      </c>
      <c r="M223" t="n">
        <v>0.0</v>
      </c>
      <c r="N223" t="n">
        <v>0.0</v>
      </c>
      <c r="O223" t="n">
        <v>0.0</v>
      </c>
      <c r="P223" t="n">
        <v>0.0</v>
      </c>
      <c r="Q223" t="inlineStr">
        <is>
          <t/>
        </is>
      </c>
      <c r="R223" t="inlineStr">
        <is>
          <t/>
        </is>
      </c>
      <c r="S223" t="n">
        <v>0.0</v>
      </c>
      <c r="T223" t="n">
        <v>0.0</v>
      </c>
      <c r="U223" t="n">
        <v>0.0</v>
      </c>
      <c r="V223" t="n">
        <v>0.0</v>
      </c>
      <c r="W223" t="inlineStr">
        <is>
          <t/>
        </is>
      </c>
      <c r="X223" t="n">
        <v>0.0</v>
      </c>
      <c r="Y223" t="n">
        <v>0.0</v>
      </c>
      <c r="Z223" t="n">
        <v>0.0</v>
      </c>
      <c r="AA223" t="n">
        <v>0.0</v>
      </c>
      <c r="AB223" t="n">
        <v>0.0</v>
      </c>
      <c r="AC223" t="n">
        <v>0.0</v>
      </c>
      <c r="AD223" t="n">
        <v>26.0</v>
      </c>
      <c r="AE223" t="n">
        <v>0.0</v>
      </c>
      <c r="AF223" t="n">
        <v>0.0</v>
      </c>
      <c r="AG223" t="n">
        <v>0.0</v>
      </c>
      <c r="AH223" t="n">
        <v>0.0</v>
      </c>
      <c r="AI223" t="n">
        <v>0.0</v>
      </c>
      <c r="AJ223" t="n">
        <v>0.0</v>
      </c>
      <c r="AK223" t="n">
        <v>4.5</v>
      </c>
      <c r="AL223" t="inlineStr">
        <is>
          <t/>
        </is>
      </c>
    </row>
    <row r="224">
      <c r="A224" t="inlineStr">
        <is>
          <t>某马虾仁很好，但网购小包装更适合一人食</t>
        </is>
      </c>
      <c r="B224" t="inlineStr">
        <is>
          <t>6a0d6df000000000070136ca</t>
        </is>
      </c>
      <c r="C224" s="223" t="n">
        <f>HYPERLINK("https://www.xiaohongshu.com/explore/6a0d6df000000000070136ca?xsec_token=TBDdsXyCcn-sb0LuI71w4Ot5olR-3pWgmgY0J7fJoa5Dk=&amp;xsec_source=pc_trdark","https://www.xiaohongshu.com/explore/6a0d6df000000000070136ca?xsec_token=TBDdsXyCcn-sb0LuI71w4Ot5olR-3pWgmgY0J7fJoa5Dk=&amp;xsec_source=pc_trdark")</f>
        <v>0.0</v>
      </c>
      <c r="D224" t="inlineStr">
        <is>
          <t>婉婉上班吃什么</t>
        </is>
      </c>
      <c r="E224" t="inlineStr">
        <is>
          <t>11434449706</t>
        </is>
      </c>
      <c r="F224" t="inlineStr">
        <is>
          <t>2026-05-20 16:16:48</t>
        </is>
      </c>
      <c r="G224" t="inlineStr">
        <is>
          <t>图文</t>
        </is>
      </c>
      <c r="H224" t="inlineStr">
        <is>
          <t>手剥虾仁 无冰衣无添加 低脂餐一人食 上班带饭 顺丰包邮 5盒装</t>
        </is>
      </c>
      <c r="I224" t="inlineStr">
        <is>
          <t>694baba01d450d00013662f0</t>
        </is>
      </c>
      <c r="J224" t="inlineStr">
        <is>
          <t/>
        </is>
      </c>
      <c r="K224" t="n">
        <v>0.0</v>
      </c>
      <c r="L224" t="n">
        <v>0.0</v>
      </c>
      <c r="M224" t="n">
        <v>4.0</v>
      </c>
      <c r="N224" t="inlineStr">
        <is>
          <t>0.15384615384615385</t>
        </is>
      </c>
      <c r="O224" t="n">
        <v>4.0</v>
      </c>
      <c r="P224" t="n">
        <v>0.0</v>
      </c>
      <c r="Q224" t="n">
        <v>0.0</v>
      </c>
      <c r="R224" t="n">
        <v>0.0</v>
      </c>
      <c r="S224" t="n">
        <v>0.0</v>
      </c>
      <c r="T224" t="n">
        <v>0.0</v>
      </c>
      <c r="U224" t="n">
        <v>0.0</v>
      </c>
      <c r="V224" t="n">
        <v>0.0</v>
      </c>
      <c r="W224" t="inlineStr">
        <is>
          <t/>
        </is>
      </c>
      <c r="X224" t="n">
        <v>0.0</v>
      </c>
      <c r="Y224" t="n">
        <v>1.0</v>
      </c>
      <c r="Z224" t="n">
        <v>0.0</v>
      </c>
      <c r="AA224" t="n">
        <v>0.0</v>
      </c>
      <c r="AB224" t="n">
        <v>0.0</v>
      </c>
      <c r="AC224" t="n">
        <v>0.0</v>
      </c>
      <c r="AD224" t="n">
        <v>26.0</v>
      </c>
      <c r="AE224" t="n">
        <v>0.0</v>
      </c>
      <c r="AF224" t="n">
        <v>0.0</v>
      </c>
      <c r="AG224" t="n">
        <v>0.0</v>
      </c>
      <c r="AH224" t="n">
        <v>0.0</v>
      </c>
      <c r="AI224" t="n">
        <v>0.0</v>
      </c>
      <c r="AJ224" t="n">
        <v>0.0</v>
      </c>
      <c r="AK224" t="n">
        <v>9.192307692307692</v>
      </c>
      <c r="AL224" t="inlineStr">
        <is>
          <t/>
        </is>
      </c>
    </row>
    <row r="225">
      <c r="A225" t="inlineStr">
        <is>
          <t>3斤虾才能剥1斤虾仁，真别算不过账！</t>
        </is>
      </c>
      <c r="B225" t="inlineStr">
        <is>
          <t>69dbbec00000000023004cf2</t>
        </is>
      </c>
      <c r="C225" s="224" t="n">
        <f>HYPERLINK("https://www.xiaohongshu.com/explore/69dbbec00000000023004cf2?xsec_token=TBv7n0Oy0CPbFvgz473v78kTXc5cO9Pt8WCz12tSnp-LI=&amp;xsec_source=pc_trdark","https://www.xiaohongshu.com/explore/69dbbec00000000023004cf2?xsec_token=TBv7n0Oy0CPbFvgz473v78kTXc5cO9Pt8WCz12tSnp-LI=&amp;xsec_source=pc_trdark")</f>
        <v>0.0</v>
      </c>
      <c r="D225" t="inlineStr">
        <is>
          <t>鲜水湾</t>
        </is>
      </c>
      <c r="E225" t="inlineStr">
        <is>
          <t>49316638994</t>
        </is>
      </c>
      <c r="F225" t="inlineStr">
        <is>
          <t>2026-04-12 23:48:16</t>
        </is>
      </c>
      <c r="G225" t="inlineStr">
        <is>
          <t>图文</t>
        </is>
      </c>
      <c r="H225" t="inlineStr">
        <is>
          <t>手剥虾仁 无冰衣无添加 低脂餐一人食 上班带饭 顺丰包邮 5盒装</t>
        </is>
      </c>
      <c r="I225" t="inlineStr">
        <is>
          <t>694baba01d450d00013662f0</t>
        </is>
      </c>
      <c r="J225" t="inlineStr">
        <is>
          <t/>
        </is>
      </c>
      <c r="K225" t="n">
        <v>0.0</v>
      </c>
      <c r="L225" t="n">
        <v>0.0</v>
      </c>
      <c r="M225" t="n">
        <v>6.0</v>
      </c>
      <c r="N225" t="inlineStr">
        <is>
          <t>0.23076923076923078</t>
        </is>
      </c>
      <c r="O225" t="n">
        <v>4.0</v>
      </c>
      <c r="P225" t="n">
        <v>0.0</v>
      </c>
      <c r="Q225" t="n">
        <v>0.0</v>
      </c>
      <c r="R225" t="n">
        <v>0.0</v>
      </c>
      <c r="S225" t="n">
        <v>0.0</v>
      </c>
      <c r="T225" t="n">
        <v>0.0</v>
      </c>
      <c r="U225" t="n">
        <v>0.0</v>
      </c>
      <c r="V225" t="n">
        <v>0.0</v>
      </c>
      <c r="W225" t="inlineStr">
        <is>
          <t/>
        </is>
      </c>
      <c r="X225" t="n">
        <v>0.0</v>
      </c>
      <c r="Y225" t="n">
        <v>1.0</v>
      </c>
      <c r="Z225" t="n">
        <v>1.0</v>
      </c>
      <c r="AA225" t="n">
        <v>0.0</v>
      </c>
      <c r="AB225" t="n">
        <v>0.0</v>
      </c>
      <c r="AC225" t="n">
        <v>0.0</v>
      </c>
      <c r="AD225" t="n">
        <v>26.0</v>
      </c>
      <c r="AE225" t="n">
        <v>0.0</v>
      </c>
      <c r="AF225" t="n">
        <v>0.0</v>
      </c>
      <c r="AG225" t="n">
        <v>0.0</v>
      </c>
      <c r="AH225" t="n">
        <v>0.0</v>
      </c>
      <c r="AI225" t="n">
        <v>0.0</v>
      </c>
      <c r="AJ225" t="n">
        <v>0.0</v>
      </c>
      <c r="AK225" t="n">
        <v>11.961538461538462</v>
      </c>
      <c r="AL225" t="inlineStr">
        <is>
          <t/>
        </is>
      </c>
    </row>
    <row r="226">
      <c r="A226" t="inlineStr">
        <is>
          <t>100元的购买力，真的让我目瞪口呆</t>
        </is>
      </c>
      <c r="B226" t="inlineStr">
        <is>
          <t>69a133e4000000001a01c1a9</t>
        </is>
      </c>
      <c r="C226" s="225" t="n">
        <f>HYPERLINK("https://www.xiaohongshu.com/explore/69a133e4000000001a01c1a9?xsec_token=TBk7Tu9foWGIsieMmGc2tlwigPKcyoIgvUztRQx_4edtE=&amp;xsec_source=pc_trdark","https://www.xiaohongshu.com/explore/69a133e4000000001a01c1a9?xsec_token=TBk7Tu9foWGIsieMmGc2tlwigPKcyoIgvUztRQx_4edtE=&amp;xsec_source=pc_trdark")</f>
        <v>0.0</v>
      </c>
      <c r="D226" t="inlineStr">
        <is>
          <t>鲜水湾</t>
        </is>
      </c>
      <c r="E226" t="inlineStr">
        <is>
          <t>49316638994</t>
        </is>
      </c>
      <c r="F226" t="inlineStr">
        <is>
          <t>2026-02-27 14:04:20</t>
        </is>
      </c>
      <c r="G226" t="inlineStr">
        <is>
          <t>图文</t>
        </is>
      </c>
      <c r="H226" t="inlineStr">
        <is>
          <t>智利三文鱼切块·整条三文鱼·深海鱼一人食健康饮食</t>
        </is>
      </c>
      <c r="I226" t="inlineStr">
        <is>
          <t>691ac562a524ee0001b51d7b</t>
        </is>
      </c>
      <c r="J226" t="inlineStr">
        <is>
          <t/>
        </is>
      </c>
      <c r="K226" t="n">
        <v>0.0</v>
      </c>
      <c r="L226" t="n">
        <v>0.0</v>
      </c>
      <c r="M226" t="n">
        <v>7.0</v>
      </c>
      <c r="N226" t="n">
        <v>0.2692307692307692</v>
      </c>
      <c r="O226" t="n">
        <v>6.0</v>
      </c>
      <c r="P226" t="n">
        <v>0.0</v>
      </c>
      <c r="Q226" t="n">
        <v>0.0</v>
      </c>
      <c r="R226" t="n">
        <v>0.0</v>
      </c>
      <c r="S226" t="n">
        <v>0.0</v>
      </c>
      <c r="T226" t="n">
        <v>0.0</v>
      </c>
      <c r="U226" t="n">
        <v>0.0</v>
      </c>
      <c r="V226" t="n">
        <v>0.0</v>
      </c>
      <c r="W226" t="inlineStr">
        <is>
          <t/>
        </is>
      </c>
      <c r="X226" t="n">
        <v>0.0</v>
      </c>
      <c r="Y226" t="n">
        <v>0.0</v>
      </c>
      <c r="Z226" t="n">
        <v>0.0</v>
      </c>
      <c r="AA226" t="n">
        <v>0.0</v>
      </c>
      <c r="AB226" t="n">
        <v>0.0</v>
      </c>
      <c r="AC226" t="n">
        <v>0.0</v>
      </c>
      <c r="AD226" t="n">
        <v>26.0</v>
      </c>
      <c r="AE226" t="n">
        <v>1.0</v>
      </c>
      <c r="AF226" t="n">
        <v>0.0</v>
      </c>
      <c r="AG226" t="n">
        <v>0.0</v>
      </c>
      <c r="AH226" t="n">
        <v>0.0</v>
      </c>
      <c r="AI226" t="n">
        <v>0.0</v>
      </c>
      <c r="AJ226" t="n">
        <v>0.0</v>
      </c>
      <c r="AK226" t="n">
        <v>10.576923076923077</v>
      </c>
      <c r="AL226" t="inlineStr">
        <is>
          <t/>
        </is>
      </c>
    </row>
    <row r="227">
      <c r="A227" t="inlineStr">
        <is>
          <t>谁能想到，300多把冰箱囤满了三文鱼 🐟</t>
        </is>
      </c>
      <c r="B227" t="inlineStr">
        <is>
          <t>6a759bea00000000350175b1</t>
        </is>
      </c>
      <c r="C227" s="226" t="n">
        <f>HYPERLINK("https://www.xiaohongshu.com/explore/6a759bea00000000350175b1?xsec_token=TB7zWT8uC_Q-m_VusJubEL4NtJ6VX8oNNfETT-rpvOLCw=&amp;xsec_source=pc_trdark","https://www.xiaohongshu.com/explore/6a759bea00000000350175b1?xsec_token=TB7zWT8uC_Q-m_VusJubEL4NtJ6VX8oNNfETT-rpvOLCw=&amp;xsec_source=pc_trdark")</f>
        <v>0.0</v>
      </c>
      <c r="D227" t="inlineStr">
        <is>
          <t>菲菲上班吃什么</t>
        </is>
      </c>
      <c r="E227" t="inlineStr">
        <is>
          <t>49936530607</t>
        </is>
      </c>
      <c r="F227" t="inlineStr">
        <is>
          <t>2026-08-07 16:48:42</t>
        </is>
      </c>
      <c r="G227" t="inlineStr">
        <is>
          <t>图文</t>
        </is>
      </c>
      <c r="H227" t="inlineStr">
        <is>
          <t>智利尾端中段整条三文鱼 8斤深海鱼低脂餐囤货一周备菜顺丰包邮</t>
        </is>
      </c>
      <c r="I227" t="inlineStr">
        <is>
          <t>69fab80d64eb410001ece0c0</t>
        </is>
      </c>
      <c r="J227" t="inlineStr">
        <is>
          <t/>
        </is>
      </c>
      <c r="K227" t="n">
        <v>117.0</v>
      </c>
      <c r="L227" t="n">
        <v>1.0</v>
      </c>
      <c r="M227" t="n">
        <v>2.0</v>
      </c>
      <c r="N227" t="n">
        <v>0.08</v>
      </c>
      <c r="O227" t="n">
        <v>2.0</v>
      </c>
      <c r="P227" t="n">
        <v>1.0</v>
      </c>
      <c r="Q227" t="n">
        <v>0.5</v>
      </c>
      <c r="R227" t="n">
        <v>0.5</v>
      </c>
      <c r="S227" t="n">
        <v>0.0</v>
      </c>
      <c r="T227" t="n">
        <v>0.0</v>
      </c>
      <c r="U227" t="n">
        <v>0.0</v>
      </c>
      <c r="V227" t="n">
        <v>0.0</v>
      </c>
      <c r="W227" t="n">
        <v>0.0</v>
      </c>
      <c r="X227" t="n">
        <v>0.0</v>
      </c>
      <c r="Y227" t="n">
        <v>0.0</v>
      </c>
      <c r="Z227" t="n">
        <v>0.0</v>
      </c>
      <c r="AA227" t="n">
        <v>0.0</v>
      </c>
      <c r="AB227" t="n">
        <v>0.0</v>
      </c>
      <c r="AC227" t="n">
        <v>0.0</v>
      </c>
      <c r="AD227" t="n">
        <v>25.0</v>
      </c>
      <c r="AE227" t="n">
        <v>1.0</v>
      </c>
      <c r="AF227" t="n">
        <v>0.0</v>
      </c>
      <c r="AG227" t="n">
        <v>0.0</v>
      </c>
      <c r="AH227" t="n">
        <v>1.0</v>
      </c>
      <c r="AI227" t="n">
        <v>0.0</v>
      </c>
      <c r="AJ227" t="n">
        <v>0.0</v>
      </c>
      <c r="AK227" t="n">
        <v>7.64</v>
      </c>
      <c r="AL227" t="inlineStr">
        <is>
          <t/>
        </is>
      </c>
    </row>
    <row r="228">
      <c r="A228" t="inlineStr">
        <is>
          <t>谁懂？独居人的冰箱终于有标准答案了 ！！！</t>
        </is>
      </c>
      <c r="B228" t="inlineStr">
        <is>
          <t>6a5067b2000000001003ee18</t>
        </is>
      </c>
      <c r="C228" s="227" t="n">
        <f>HYPERLINK("https://www.xiaohongshu.com/explore/6a5067b2000000001003ee18?xsec_token=TBJUAT_bOmtyXvbJR8RCxT5AC8iBHF4TfTs-5TSYiHXcw=&amp;xsec_source=pc_trdark","https://www.xiaohongshu.com/explore/6a5067b2000000001003ee18?xsec_token=TBJUAT_bOmtyXvbJR8RCxT5AC8iBHF4TfTs-5TSYiHXcw=&amp;xsec_source=pc_trdark")</f>
        <v>0.0</v>
      </c>
      <c r="D228" t="inlineStr">
        <is>
          <t>鲜水湾甄选</t>
        </is>
      </c>
      <c r="E228" t="inlineStr">
        <is>
          <t>27401929161</t>
        </is>
      </c>
      <c r="F228" t="inlineStr">
        <is>
          <t>2026-07-10 11:32:02</t>
        </is>
      </c>
      <c r="G228" t="inlineStr">
        <is>
          <t>图文</t>
        </is>
      </c>
      <c r="H228" t="inlineStr">
        <is>
          <t>手剥虾仁 无冰衣无添加 低脂餐一人食 上班带饭 顺丰包邮 5盒装</t>
        </is>
      </c>
      <c r="I228" t="inlineStr">
        <is>
          <t>694baba01d450d00013662f0</t>
        </is>
      </c>
      <c r="J228" t="inlineStr">
        <is>
          <t/>
        </is>
      </c>
      <c r="K228" t="n">
        <v>0.0</v>
      </c>
      <c r="L228" t="n">
        <v>0.0</v>
      </c>
      <c r="M228" t="n">
        <v>4.0</v>
      </c>
      <c r="N228" t="n">
        <v>0.16</v>
      </c>
      <c r="O228" t="n">
        <v>4.0</v>
      </c>
      <c r="P228" t="n">
        <v>0.0</v>
      </c>
      <c r="Q228" t="n">
        <v>0.0</v>
      </c>
      <c r="R228" t="n">
        <v>0.0</v>
      </c>
      <c r="S228" t="n">
        <v>0.0</v>
      </c>
      <c r="T228" t="n">
        <v>0.0</v>
      </c>
      <c r="U228" t="n">
        <v>0.0</v>
      </c>
      <c r="V228" t="n">
        <v>0.0</v>
      </c>
      <c r="W228" t="inlineStr">
        <is>
          <t/>
        </is>
      </c>
      <c r="X228" t="n">
        <v>0.0</v>
      </c>
      <c r="Y228" t="n">
        <v>0.0</v>
      </c>
      <c r="Z228" t="n">
        <v>1.0</v>
      </c>
      <c r="AA228" t="n">
        <v>0.0</v>
      </c>
      <c r="AB228" t="n">
        <v>0.0</v>
      </c>
      <c r="AC228" t="n">
        <v>0.0</v>
      </c>
      <c r="AD228" t="n">
        <v>25.0</v>
      </c>
      <c r="AE228" t="n">
        <v>0.0</v>
      </c>
      <c r="AF228" t="n">
        <v>0.0</v>
      </c>
      <c r="AG228" t="n">
        <v>0.0</v>
      </c>
      <c r="AH228" t="n">
        <v>0.0</v>
      </c>
      <c r="AI228" t="n">
        <v>0.0</v>
      </c>
      <c r="AJ228" t="n">
        <v>0.0</v>
      </c>
      <c r="AK228" t="n">
        <v>9.68</v>
      </c>
      <c r="AL228" t="inlineStr">
        <is>
          <t/>
        </is>
      </c>
    </row>
    <row r="229">
      <c r="A229" t="inlineStr">
        <is>
          <t>2026消费觉醒，69块居然能实现虾仁自由!</t>
        </is>
      </c>
      <c r="B229" t="inlineStr">
        <is>
          <t>6a73df3e000000002701e4a0</t>
        </is>
      </c>
      <c r="C229" s="228" t="n">
        <f>HYPERLINK("https://www.xiaohongshu.com/explore/6a73df3e000000002701e4a0?xsec_token=TBSsKfBXXtDdhqA8Z1ziNPgNO9B9hk1hlxz5wdL1aUgpU=&amp;xsec_source=pc_trdark","https://www.xiaohongshu.com/explore/6a73df3e000000002701e4a0?xsec_token=TBSsKfBXXtDdhqA8Z1ziNPgNO9B9hk1hlxz5wdL1aUgpU=&amp;xsec_source=pc_trdark")</f>
        <v>0.0</v>
      </c>
      <c r="D229" t="inlineStr">
        <is>
          <t>菲菲上班吃什么</t>
        </is>
      </c>
      <c r="E229" t="inlineStr">
        <is>
          <t>49936530607</t>
        </is>
      </c>
      <c r="F229" t="inlineStr">
        <is>
          <t>2026-08-06 09:11:26</t>
        </is>
      </c>
      <c r="G229" t="inlineStr">
        <is>
          <t>图文</t>
        </is>
      </c>
      <c r="H229" t="inlineStr">
        <is>
          <t>手剥虾仁 无冰衣无添加 低脂餐一人食 上班带饭 顺丰包邮 5盒装</t>
        </is>
      </c>
      <c r="I229" t="inlineStr">
        <is>
          <t>694baba01d450d00013662f0</t>
        </is>
      </c>
      <c r="J229" t="inlineStr">
        <is>
          <t/>
        </is>
      </c>
      <c r="K229" t="n">
        <v>0.0</v>
      </c>
      <c r="L229" t="n">
        <v>0.0</v>
      </c>
      <c r="M229" t="n">
        <v>4.0</v>
      </c>
      <c r="N229" t="inlineStr">
        <is>
          <t>0.16666666666666666</t>
        </is>
      </c>
      <c r="O229" t="n">
        <v>4.0</v>
      </c>
      <c r="P229" t="n">
        <v>0.0</v>
      </c>
      <c r="Q229" t="n">
        <v>0.0</v>
      </c>
      <c r="R229" t="n">
        <v>0.0</v>
      </c>
      <c r="S229" t="n">
        <v>0.0</v>
      </c>
      <c r="T229" t="n">
        <v>0.0</v>
      </c>
      <c r="U229" t="n">
        <v>0.0</v>
      </c>
      <c r="V229" t="n">
        <v>0.0</v>
      </c>
      <c r="W229" t="inlineStr">
        <is>
          <t/>
        </is>
      </c>
      <c r="X229" t="n">
        <v>0.0</v>
      </c>
      <c r="Y229" t="n">
        <v>2.0</v>
      </c>
      <c r="Z229" t="n">
        <v>0.0</v>
      </c>
      <c r="AA229" t="n">
        <v>0.0</v>
      </c>
      <c r="AB229" t="n">
        <v>0.0</v>
      </c>
      <c r="AC229" t="n">
        <v>0.0</v>
      </c>
      <c r="AD229" t="n">
        <v>24.0</v>
      </c>
      <c r="AE229" t="n">
        <v>1.0</v>
      </c>
      <c r="AF229" t="n">
        <v>0.0</v>
      </c>
      <c r="AG229" t="n">
        <v>0.0</v>
      </c>
      <c r="AH229" t="n">
        <v>1.0</v>
      </c>
      <c r="AI229" t="n">
        <v>0.0</v>
      </c>
      <c r="AJ229" t="n">
        <v>0.0</v>
      </c>
      <c r="AK229" t="n">
        <v>12.666666666666666</v>
      </c>
      <c r="AL229" t="inlineStr">
        <is>
          <t/>
        </is>
      </c>
    </row>
    <row r="230">
      <c r="A230" t="inlineStr">
        <is>
          <t>以为 69 没多少，结果承包了我一周上班带饭</t>
        </is>
      </c>
      <c r="B230" t="inlineStr">
        <is>
          <t>6a6332b3000000001302d940</t>
        </is>
      </c>
      <c r="C230" s="229" t="n">
        <f>HYPERLINK("https://www.xiaohongshu.com/explore/6a6332b3000000001302d940?xsec_token=TBnj7c48jXKUA16YxAU7jzsqL90Ex3bPVIBhtDCvLijpg=&amp;xsec_source=pc_trdark","https://www.xiaohongshu.com/explore/6a6332b3000000001302d940?xsec_token=TBnj7c48jXKUA16YxAU7jzsqL90Ex3bPVIBhtDCvLijpg=&amp;xsec_source=pc_trdark")</f>
        <v>0.0</v>
      </c>
      <c r="D230" t="inlineStr">
        <is>
          <t>婉婉上班吃什么</t>
        </is>
      </c>
      <c r="E230" t="inlineStr">
        <is>
          <t>11434449706</t>
        </is>
      </c>
      <c r="F230" t="inlineStr">
        <is>
          <t>2026-07-24 17:38:59</t>
        </is>
      </c>
      <c r="G230" t="inlineStr">
        <is>
          <t>图文</t>
        </is>
      </c>
      <c r="H230" t="inlineStr">
        <is>
          <t>手剥虾仁 无冰衣无添加 低脂餐一人食 上班带饭 顺丰包邮 5盒装</t>
        </is>
      </c>
      <c r="I230" t="inlineStr">
        <is>
          <t>694baba01d450d00013662f0</t>
        </is>
      </c>
      <c r="J230" t="inlineStr">
        <is>
          <t/>
        </is>
      </c>
      <c r="K230" t="n">
        <v>0.0</v>
      </c>
      <c r="L230" t="n">
        <v>0.0</v>
      </c>
      <c r="M230" t="n">
        <v>0.0</v>
      </c>
      <c r="N230" t="n">
        <v>0.0</v>
      </c>
      <c r="O230" t="n">
        <v>0.0</v>
      </c>
      <c r="P230" t="n">
        <v>0.0</v>
      </c>
      <c r="Q230" t="inlineStr">
        <is>
          <t/>
        </is>
      </c>
      <c r="R230" t="inlineStr">
        <is>
          <t/>
        </is>
      </c>
      <c r="S230" t="n">
        <v>0.0</v>
      </c>
      <c r="T230" t="n">
        <v>0.0</v>
      </c>
      <c r="U230" t="n">
        <v>0.0</v>
      </c>
      <c r="V230" t="n">
        <v>0.0</v>
      </c>
      <c r="W230" t="inlineStr">
        <is>
          <t/>
        </is>
      </c>
      <c r="X230" t="n">
        <v>0.0</v>
      </c>
      <c r="Y230" t="n">
        <v>0.0</v>
      </c>
      <c r="Z230" t="n">
        <v>0.0</v>
      </c>
      <c r="AA230" t="n">
        <v>0.0</v>
      </c>
      <c r="AB230" t="n">
        <v>0.0</v>
      </c>
      <c r="AC230" t="n">
        <v>0.0</v>
      </c>
      <c r="AD230" t="n">
        <v>24.0</v>
      </c>
      <c r="AE230" t="n">
        <v>1.0</v>
      </c>
      <c r="AF230" t="n">
        <v>0.0</v>
      </c>
      <c r="AG230" t="n">
        <v>0.0</v>
      </c>
      <c r="AH230" t="n">
        <v>0.0</v>
      </c>
      <c r="AI230" t="n">
        <v>0.0</v>
      </c>
      <c r="AJ230" t="n">
        <v>0.0</v>
      </c>
      <c r="AK230" t="n">
        <v>10.333333333333334</v>
      </c>
      <c r="AL230" t="inlineStr">
        <is>
          <t/>
        </is>
      </c>
    </row>
    <row r="231">
      <c r="A231" t="inlineStr">
        <is>
          <t>身材管理期误食一碗三文鱼怎么办🥹</t>
        </is>
      </c>
      <c r="B231" t="inlineStr">
        <is>
          <t>6a44b05d0000000006022fd2</t>
        </is>
      </c>
      <c r="C231" s="230" t="n">
        <f>HYPERLINK("https://www.xiaohongshu.com/explore/6a44b05d0000000006022fd2?xsec_token=TBsNLvvwxdidvAFeSxmUSQxaUTwqRLpoHnC-KMsdAMvPE=&amp;xsec_source=pc_trdark","https://www.xiaohongshu.com/explore/6a44b05d0000000006022fd2?xsec_token=TBsNLvvwxdidvAFeSxmUSQxaUTwqRLpoHnC-KMsdAMvPE=&amp;xsec_source=pc_trdark")</f>
        <v>0.0</v>
      </c>
      <c r="D231" t="inlineStr">
        <is>
          <t>婉婉上班吃什么</t>
        </is>
      </c>
      <c r="E231" t="inlineStr">
        <is>
          <t>11434449706</t>
        </is>
      </c>
      <c r="F231" t="inlineStr">
        <is>
          <t>2026-07-01 14:14:53</t>
        </is>
      </c>
      <c r="G231" t="inlineStr">
        <is>
          <t>图文</t>
        </is>
      </c>
      <c r="H231" t="inlineStr">
        <is>
          <t>智利三文鱼切块·整条三文鱼·深海鱼一人食健康饮食</t>
        </is>
      </c>
      <c r="I231" t="inlineStr">
        <is>
          <t>691ac562a524ee0001b51d7b</t>
        </is>
      </c>
      <c r="J231" t="inlineStr">
        <is>
          <t/>
        </is>
      </c>
      <c r="K231" t="n">
        <v>0.0</v>
      </c>
      <c r="L231" t="n">
        <v>0.0</v>
      </c>
      <c r="M231" t="n">
        <v>3.0</v>
      </c>
      <c r="N231" t="n">
        <v>0.125</v>
      </c>
      <c r="O231" t="n">
        <v>3.0</v>
      </c>
      <c r="P231" t="n">
        <v>0.0</v>
      </c>
      <c r="Q231" t="n">
        <v>0.0</v>
      </c>
      <c r="R231" t="n">
        <v>0.0</v>
      </c>
      <c r="S231" t="n">
        <v>0.0</v>
      </c>
      <c r="T231" t="n">
        <v>0.0</v>
      </c>
      <c r="U231" t="n">
        <v>0.0</v>
      </c>
      <c r="V231" t="n">
        <v>0.0</v>
      </c>
      <c r="W231" t="inlineStr">
        <is>
          <t/>
        </is>
      </c>
      <c r="X231" t="n">
        <v>0.0</v>
      </c>
      <c r="Y231" t="n">
        <v>0.0</v>
      </c>
      <c r="Z231" t="n">
        <v>0.0</v>
      </c>
      <c r="AA231" t="n">
        <v>0.0</v>
      </c>
      <c r="AB231" t="n">
        <v>0.0</v>
      </c>
      <c r="AC231" t="n">
        <v>0.0</v>
      </c>
      <c r="AD231" t="n">
        <v>24.0</v>
      </c>
      <c r="AE231" t="n">
        <v>0.0</v>
      </c>
      <c r="AF231" t="n">
        <v>0.0</v>
      </c>
      <c r="AG231" t="n">
        <v>0.0</v>
      </c>
      <c r="AH231" t="n">
        <v>0.0</v>
      </c>
      <c r="AI231" t="n">
        <v>0.0</v>
      </c>
      <c r="AJ231" t="n">
        <v>0.0</v>
      </c>
      <c r="AK231" t="n">
        <v>9.083333333333334</v>
      </c>
      <c r="AL231" t="inlineStr">
        <is>
          <t/>
        </is>
      </c>
    </row>
    <row r="232">
      <c r="A232" t="inlineStr">
        <is>
          <t>听客户说处理虾太烦，连夜改了独立小包装</t>
        </is>
      </c>
      <c r="B232" t="inlineStr">
        <is>
          <t>6a40cee3000000002200b8d6</t>
        </is>
      </c>
      <c r="C232" s="231" t="n">
        <f>HYPERLINK("https://www.xiaohongshu.com/explore/6a40cee3000000002200b8d6?xsec_token=TB2xvXhU7LkdyqBoKVG9S0jfOLMAvgnEXFGoHnu_kfW5U=&amp;xsec_source=pc_trdark","https://www.xiaohongshu.com/explore/6a40cee3000000002200b8d6?xsec_token=TB2xvXhU7LkdyqBoKVG9S0jfOLMAvgnEXFGoHnu_kfW5U=&amp;xsec_source=pc_trdark")</f>
        <v>0.0</v>
      </c>
      <c r="D232" t="inlineStr">
        <is>
          <t>菲菲上班吃什么</t>
        </is>
      </c>
      <c r="E232" t="inlineStr">
        <is>
          <t>49936530607</t>
        </is>
      </c>
      <c r="F232" t="inlineStr">
        <is>
          <t>2026-06-28 15:36:03</t>
        </is>
      </c>
      <c r="G232" t="inlineStr">
        <is>
          <t>图文</t>
        </is>
      </c>
      <c r="H232" t="inlineStr">
        <is>
          <t>手剥虾仁 无冰衣无添加 低脂餐一人食 上班带饭 顺丰包邮 5盒装</t>
        </is>
      </c>
      <c r="I232" t="inlineStr">
        <is>
          <t>694baba01d450d00013662f0</t>
        </is>
      </c>
      <c r="J232" t="inlineStr">
        <is>
          <t/>
        </is>
      </c>
      <c r="K232" t="n">
        <v>0.0</v>
      </c>
      <c r="L232" t="n">
        <v>0.0</v>
      </c>
      <c r="M232" t="n">
        <v>5.0</v>
      </c>
      <c r="N232" t="inlineStr">
        <is>
          <t>0.20833333333333334</t>
        </is>
      </c>
      <c r="O232" t="n">
        <v>5.0</v>
      </c>
      <c r="P232" t="n">
        <v>0.0</v>
      </c>
      <c r="Q232" t="n">
        <v>0.0</v>
      </c>
      <c r="R232" t="n">
        <v>0.0</v>
      </c>
      <c r="S232" t="n">
        <v>0.0</v>
      </c>
      <c r="T232" t="n">
        <v>0.0</v>
      </c>
      <c r="U232" t="n">
        <v>0.0</v>
      </c>
      <c r="V232" t="n">
        <v>0.0</v>
      </c>
      <c r="W232" t="inlineStr">
        <is>
          <t/>
        </is>
      </c>
      <c r="X232" t="n">
        <v>0.0</v>
      </c>
      <c r="Y232" t="n">
        <v>3.0</v>
      </c>
      <c r="Z232" t="n">
        <v>0.0</v>
      </c>
      <c r="AA232" t="n">
        <v>0.0</v>
      </c>
      <c r="AB232" t="n">
        <v>0.0</v>
      </c>
      <c r="AC232" t="n">
        <v>0.0</v>
      </c>
      <c r="AD232" t="n">
        <v>24.0</v>
      </c>
      <c r="AE232" t="n">
        <v>0.0</v>
      </c>
      <c r="AF232" t="n">
        <v>0.0</v>
      </c>
      <c r="AG232" t="n">
        <v>0.0</v>
      </c>
      <c r="AH232" t="n">
        <v>0.0</v>
      </c>
      <c r="AI232" t="n">
        <v>0.0</v>
      </c>
      <c r="AJ232" t="n">
        <v>0.0</v>
      </c>
      <c r="AK232" t="n">
        <v>10.125</v>
      </c>
      <c r="AL232" t="inlineStr">
        <is>
          <t/>
        </is>
      </c>
    </row>
    <row r="233">
      <c r="A233" t="inlineStr">
        <is>
          <t>给孩子补充营养首选，三文鱼是唯一真神</t>
        </is>
      </c>
      <c r="B233" t="inlineStr">
        <is>
          <t>6a08835a0000000008033581</t>
        </is>
      </c>
      <c r="C233" s="232" t="n">
        <f>HYPERLINK("https://www.xiaohongshu.com/explore/6a08835a0000000008033581?xsec_token=TB4DqilU8Iz_RTzVurf6g8etkV0YyPOhBBGcwKcb5u9_0=&amp;xsec_source=pc_trdark","https://www.xiaohongshu.com/explore/6a08835a0000000008033581?xsec_token=TB4DqilU8Iz_RTzVurf6g8etkV0YyPOhBBGcwKcb5u9_0=&amp;xsec_source=pc_trdark")</f>
        <v>0.0</v>
      </c>
      <c r="D233" t="inlineStr">
        <is>
          <t>鲜水湾</t>
        </is>
      </c>
      <c r="E233" t="inlineStr">
        <is>
          <t>49316638994</t>
        </is>
      </c>
      <c r="F233" t="inlineStr">
        <is>
          <t>2026-05-16 22:46:50</t>
        </is>
      </c>
      <c r="G233" t="inlineStr">
        <is>
          <t>图文</t>
        </is>
      </c>
      <c r="H233" t="inlineStr">
        <is>
          <t>智利尾端中段整条三文鱼 8斤深海鱼低脂餐囤货一周备菜顺丰包邮</t>
        </is>
      </c>
      <c r="I233" t="inlineStr">
        <is>
          <t>69fab80d64eb410001ece0c0</t>
        </is>
      </c>
      <c r="J233" t="inlineStr">
        <is>
          <t/>
        </is>
      </c>
      <c r="K233" t="n">
        <v>0.0</v>
      </c>
      <c r="L233" t="n">
        <v>0.0</v>
      </c>
      <c r="M233" t="n">
        <v>1.0</v>
      </c>
      <c r="N233" t="inlineStr">
        <is>
          <t>0.041666666666666664</t>
        </is>
      </c>
      <c r="O233" t="n">
        <v>1.0</v>
      </c>
      <c r="P233" t="n">
        <v>0.0</v>
      </c>
      <c r="Q233" t="n">
        <v>0.0</v>
      </c>
      <c r="R233" t="n">
        <v>0.0</v>
      </c>
      <c r="S233" t="n">
        <v>0.0</v>
      </c>
      <c r="T233" t="n">
        <v>0.0</v>
      </c>
      <c r="U233" t="n">
        <v>0.0</v>
      </c>
      <c r="V233" t="n">
        <v>0.0</v>
      </c>
      <c r="W233" t="inlineStr">
        <is>
          <t/>
        </is>
      </c>
      <c r="X233" t="n">
        <v>0.0</v>
      </c>
      <c r="Y233" t="n">
        <v>0.0</v>
      </c>
      <c r="Z233" t="n">
        <v>1.0</v>
      </c>
      <c r="AA233" t="n">
        <v>0.0</v>
      </c>
      <c r="AB233" t="n">
        <v>0.0</v>
      </c>
      <c r="AC233" t="n">
        <v>0.0</v>
      </c>
      <c r="AD233" t="n">
        <v>24.0</v>
      </c>
      <c r="AE233" t="n">
        <v>0.0</v>
      </c>
      <c r="AF233" t="n">
        <v>0.0</v>
      </c>
      <c r="AG233" t="n">
        <v>0.0</v>
      </c>
      <c r="AH233" t="n">
        <v>0.0</v>
      </c>
      <c r="AI233" t="n">
        <v>0.0</v>
      </c>
      <c r="AJ233" t="n">
        <v>0.0</v>
      </c>
      <c r="AK233" t="n">
        <v>10.0</v>
      </c>
      <c r="AL233" t="inlineStr">
        <is>
          <t/>
        </is>
      </c>
    </row>
    <row r="234">
      <c r="A234" t="inlineStr">
        <is>
          <t>七天逼自己So了好多</t>
        </is>
      </c>
      <c r="B234" t="inlineStr">
        <is>
          <t>69e71bd6000000001b002acd</t>
        </is>
      </c>
      <c r="C234" s="233" t="n">
        <f>HYPERLINK("https://www.xiaohongshu.com/explore/69e71bd6000000001b002acd?xsec_token=TBxJD1S06w8M0Ib6UdHEwWiMipvkF3VA8FVS6SV7Y0Cig=&amp;xsec_source=pc_trdark","https://www.xiaohongshu.com/explore/69e71bd6000000001b002acd?xsec_token=TBxJD1S06w8M0Ib6UdHEwWiMipvkF3VA8FVS6SV7Y0Cig=&amp;xsec_source=pc_trdark")</f>
        <v>0.0</v>
      </c>
      <c r="D234" t="inlineStr">
        <is>
          <t>鲜水湾甄选</t>
        </is>
      </c>
      <c r="E234" t="inlineStr">
        <is>
          <t>27401929161</t>
        </is>
      </c>
      <c r="F234" t="inlineStr">
        <is>
          <t>2026-04-21 16:30:00</t>
        </is>
      </c>
      <c r="G234" t="inlineStr">
        <is>
          <t>图文</t>
        </is>
      </c>
      <c r="H234" t="inlineStr">
        <is>
          <t>手剥虾仁 无冰衣无添加 低脂餐一人食 上班带饭 顺丰包邮 5盒装</t>
        </is>
      </c>
      <c r="I234" t="inlineStr">
        <is>
          <t>694baba01d450d00013662f0</t>
        </is>
      </c>
      <c r="J234" t="inlineStr">
        <is>
          <t/>
        </is>
      </c>
      <c r="K234" t="n">
        <v>0.0</v>
      </c>
      <c r="L234" t="n">
        <v>0.0</v>
      </c>
      <c r="M234" t="n">
        <v>0.0</v>
      </c>
      <c r="N234" t="n">
        <v>0.0</v>
      </c>
      <c r="O234" t="n">
        <v>0.0</v>
      </c>
      <c r="P234" t="n">
        <v>0.0</v>
      </c>
      <c r="Q234" t="inlineStr">
        <is>
          <t/>
        </is>
      </c>
      <c r="R234" t="inlineStr">
        <is>
          <t/>
        </is>
      </c>
      <c r="S234" t="n">
        <v>0.0</v>
      </c>
      <c r="T234" t="n">
        <v>0.0</v>
      </c>
      <c r="U234" t="n">
        <v>0.0</v>
      </c>
      <c r="V234" t="n">
        <v>0.0</v>
      </c>
      <c r="W234" t="inlineStr">
        <is>
          <t/>
        </is>
      </c>
      <c r="X234" t="n">
        <v>0.0</v>
      </c>
      <c r="Y234" t="n">
        <v>0.0</v>
      </c>
      <c r="Z234" t="n">
        <v>0.0</v>
      </c>
      <c r="AA234" t="n">
        <v>0.0</v>
      </c>
      <c r="AB234" t="n">
        <v>0.0</v>
      </c>
      <c r="AC234" t="n">
        <v>0.0</v>
      </c>
      <c r="AD234" t="n">
        <v>24.0</v>
      </c>
      <c r="AE234" t="n">
        <v>0.0</v>
      </c>
      <c r="AF234" t="n">
        <v>1.0</v>
      </c>
      <c r="AG234" t="n">
        <v>0.0</v>
      </c>
      <c r="AH234" t="n">
        <v>0.0</v>
      </c>
      <c r="AI234" t="n">
        <v>0.0</v>
      </c>
      <c r="AJ234" t="n">
        <v>0.0</v>
      </c>
      <c r="AK234" t="n">
        <v>17.208333333333332</v>
      </c>
      <c r="AL234" t="inlineStr">
        <is>
          <t/>
        </is>
      </c>
    </row>
    <row r="235">
      <c r="A235" t="inlineStr">
        <is>
          <t>善良使我定价 338/条，如果不好吃回来喷我</t>
        </is>
      </c>
      <c r="B235" t="inlineStr">
        <is>
          <t>6a801afb0000000033037c63</t>
        </is>
      </c>
      <c r="C235" s="234" t="n">
        <f>HYPERLINK("https://www.xiaohongshu.com/explore/6a801afb0000000033037c63?xsec_token=TBacHlhVHXxXoJj4MFdBzAddrGoSNiHX6BZcxgFerLww0=&amp;xsec_source=pc_trdark","https://www.xiaohongshu.com/explore/6a801afb0000000033037c63?xsec_token=TBacHlhVHXxXoJj4MFdBzAddrGoSNiHX6BZcxgFerLww0=&amp;xsec_source=pc_trdark")</f>
        <v>0.0</v>
      </c>
      <c r="D235" t="inlineStr">
        <is>
          <t>鲜水湾</t>
        </is>
      </c>
      <c r="E235" t="inlineStr">
        <is>
          <t>49316638994</t>
        </is>
      </c>
      <c r="F235" t="inlineStr">
        <is>
          <t>2026-08-15 15:53:31</t>
        </is>
      </c>
      <c r="G235" t="inlineStr">
        <is>
          <t>图文</t>
        </is>
      </c>
      <c r="H235" t="inlineStr">
        <is>
          <t>智利尾端中段整条三文鱼 8斤深海鱼低脂餐囤货一周备菜顺丰包邮</t>
        </is>
      </c>
      <c r="I235" t="inlineStr">
        <is>
          <t>69fab80d64eb410001ece0c0</t>
        </is>
      </c>
      <c r="J235" t="inlineStr">
        <is>
          <t/>
        </is>
      </c>
      <c r="K235" t="n">
        <v>0.0</v>
      </c>
      <c r="L235" t="n">
        <v>0.0</v>
      </c>
      <c r="M235" t="n">
        <v>3.0</v>
      </c>
      <c r="N235" t="inlineStr">
        <is>
          <t>0.13043478260869565</t>
        </is>
      </c>
      <c r="O235" t="n">
        <v>2.0</v>
      </c>
      <c r="P235" t="n">
        <v>0.0</v>
      </c>
      <c r="Q235" t="n">
        <v>0.0</v>
      </c>
      <c r="R235" t="n">
        <v>0.0</v>
      </c>
      <c r="S235" t="n">
        <v>0.0</v>
      </c>
      <c r="T235" t="n">
        <v>0.0</v>
      </c>
      <c r="U235" t="n">
        <v>0.0</v>
      </c>
      <c r="V235" t="n">
        <v>0.0</v>
      </c>
      <c r="W235" t="inlineStr">
        <is>
          <t/>
        </is>
      </c>
      <c r="X235" t="n">
        <v>0.0</v>
      </c>
      <c r="Y235" t="n">
        <v>0.0</v>
      </c>
      <c r="Z235" t="n">
        <v>1.0</v>
      </c>
      <c r="AA235" t="n">
        <v>0.0</v>
      </c>
      <c r="AB235" t="n">
        <v>0.0</v>
      </c>
      <c r="AC235" t="n">
        <v>0.0</v>
      </c>
      <c r="AD235" t="n">
        <v>23.0</v>
      </c>
      <c r="AE235" t="n">
        <v>1.0</v>
      </c>
      <c r="AF235" t="n">
        <v>0.0</v>
      </c>
      <c r="AG235" t="n">
        <v>0.0</v>
      </c>
      <c r="AH235" t="n">
        <v>2.0</v>
      </c>
      <c r="AI235" t="n">
        <v>0.0</v>
      </c>
      <c r="AJ235" t="n">
        <v>0.0</v>
      </c>
      <c r="AK235" t="n">
        <v>13.521739130434783</v>
      </c>
      <c r="AL235" t="inlineStr">
        <is>
          <t/>
        </is>
      </c>
    </row>
    <row r="236">
      <c r="A236" t="inlineStr">
        <is>
          <t>谁懂！60块独立小包装虾仁，承包我一周减脂餐</t>
        </is>
      </c>
      <c r="B236" t="inlineStr">
        <is>
          <t>6a661445000000001f01e799</t>
        </is>
      </c>
      <c r="C236" s="235" t="n">
        <f>HYPERLINK("https://www.xiaohongshu.com/explore/6a661445000000001f01e799?xsec_token=TBIHthkK-vLT6HWx1MaVA_QeYLMCch4ixU7n0DuBaTBjM=&amp;xsec_source=pc_trdark","https://www.xiaohongshu.com/explore/6a661445000000001f01e799?xsec_token=TBIHthkK-vLT6HWx1MaVA_QeYLMCch4ixU7n0DuBaTBjM=&amp;xsec_source=pc_trdark")</f>
        <v>0.0</v>
      </c>
      <c r="D236" t="inlineStr">
        <is>
          <t>菲菲上班吃什么</t>
        </is>
      </c>
      <c r="E236" t="inlineStr">
        <is>
          <t>49936530607</t>
        </is>
      </c>
      <c r="F236" t="inlineStr">
        <is>
          <t>2026-07-26 22:05:57</t>
        </is>
      </c>
      <c r="G236" t="inlineStr">
        <is>
          <t>图文</t>
        </is>
      </c>
      <c r="H236" t="inlineStr">
        <is>
          <t>手剥虾仁 无冰衣无添加 低脂餐一人食 上班带饭 顺丰包邮 5盒装</t>
        </is>
      </c>
      <c r="I236" t="inlineStr">
        <is>
          <t>694baba01d450d00013662f0</t>
        </is>
      </c>
      <c r="J236" t="inlineStr">
        <is>
          <t/>
        </is>
      </c>
      <c r="K236" t="n">
        <v>0.0</v>
      </c>
      <c r="L236" t="n">
        <v>0.0</v>
      </c>
      <c r="M236" t="n">
        <v>0.0</v>
      </c>
      <c r="N236" t="n">
        <v>0.0</v>
      </c>
      <c r="O236" t="n">
        <v>0.0</v>
      </c>
      <c r="P236" t="n">
        <v>0.0</v>
      </c>
      <c r="Q236" t="inlineStr">
        <is>
          <t/>
        </is>
      </c>
      <c r="R236" t="inlineStr">
        <is>
          <t/>
        </is>
      </c>
      <c r="S236" t="n">
        <v>0.0</v>
      </c>
      <c r="T236" t="n">
        <v>0.0</v>
      </c>
      <c r="U236" t="n">
        <v>0.0</v>
      </c>
      <c r="V236" t="n">
        <v>0.0</v>
      </c>
      <c r="W236" t="inlineStr">
        <is>
          <t/>
        </is>
      </c>
      <c r="X236" t="n">
        <v>0.0</v>
      </c>
      <c r="Y236" t="n">
        <v>0.0</v>
      </c>
      <c r="Z236" t="n">
        <v>0.0</v>
      </c>
      <c r="AA236" t="n">
        <v>0.0</v>
      </c>
      <c r="AB236" t="n">
        <v>0.0</v>
      </c>
      <c r="AC236" t="n">
        <v>0.0</v>
      </c>
      <c r="AD236" t="n">
        <v>23.0</v>
      </c>
      <c r="AE236" t="n">
        <v>0.0</v>
      </c>
      <c r="AF236" t="n">
        <v>0.0</v>
      </c>
      <c r="AG236" t="n">
        <v>0.0</v>
      </c>
      <c r="AH236" t="n">
        <v>0.0</v>
      </c>
      <c r="AI236" t="n">
        <v>0.0</v>
      </c>
      <c r="AJ236" t="n">
        <v>0.0</v>
      </c>
      <c r="AK236" t="n">
        <v>5.434782608695652</v>
      </c>
      <c r="AL236" t="inlineStr">
        <is>
          <t/>
        </is>
      </c>
    </row>
    <row r="237">
      <c r="A237" t="inlineStr">
        <is>
          <t>吃了半个月虾仁🍤才花了60</t>
        </is>
      </c>
      <c r="B237" t="inlineStr">
        <is>
          <t>6a23c9320000000006035f97</t>
        </is>
      </c>
      <c r="C237" s="236" t="n">
        <f>HYPERLINK("https://www.xiaohongshu.com/explore/6a23c9320000000006035f97?xsec_token=TBMokr-Q7hGTLjI-UgelFX7yvNSzwGZa5VipRN-hhcRtE=&amp;xsec_source=pc_trdark","https://www.xiaohongshu.com/explore/6a23c9320000000006035f97?xsec_token=TBMokr-Q7hGTLjI-UgelFX7yvNSzwGZa5VipRN-hhcRtE=&amp;xsec_source=pc_trdark")</f>
        <v>0.0</v>
      </c>
      <c r="D237" t="inlineStr">
        <is>
          <t>婉婉上班吃什么</t>
        </is>
      </c>
      <c r="E237" t="inlineStr">
        <is>
          <t>11434449706</t>
        </is>
      </c>
      <c r="F237" t="inlineStr">
        <is>
          <t>2026-06-06 15:16:02</t>
        </is>
      </c>
      <c r="G237" t="inlineStr">
        <is>
          <t>图文</t>
        </is>
      </c>
      <c r="H237" t="inlineStr">
        <is>
          <t>手剥虾仁 无冰衣无添加 低脂餐一人食 上班带饭 顺丰包邮 5盒装</t>
        </is>
      </c>
      <c r="I237" t="inlineStr">
        <is>
          <t>694baba01d450d00013662f0</t>
        </is>
      </c>
      <c r="J237" t="inlineStr">
        <is>
          <t/>
        </is>
      </c>
      <c r="K237" t="n">
        <v>0.0</v>
      </c>
      <c r="L237" t="n">
        <v>0.0</v>
      </c>
      <c r="M237" t="n">
        <v>5.0</v>
      </c>
      <c r="N237" t="inlineStr">
        <is>
          <t>0.21739130434782608</t>
        </is>
      </c>
      <c r="O237" t="n">
        <v>5.0</v>
      </c>
      <c r="P237" t="n">
        <v>0.0</v>
      </c>
      <c r="Q237" t="n">
        <v>0.0</v>
      </c>
      <c r="R237" t="n">
        <v>0.0</v>
      </c>
      <c r="S237" t="n">
        <v>0.0</v>
      </c>
      <c r="T237" t="n">
        <v>0.0</v>
      </c>
      <c r="U237" t="n">
        <v>0.0</v>
      </c>
      <c r="V237" t="n">
        <v>0.0</v>
      </c>
      <c r="W237" t="inlineStr">
        <is>
          <t/>
        </is>
      </c>
      <c r="X237" t="n">
        <v>0.0</v>
      </c>
      <c r="Y237" t="n">
        <v>0.0</v>
      </c>
      <c r="Z237" t="n">
        <v>1.0</v>
      </c>
      <c r="AA237" t="n">
        <v>0.0</v>
      </c>
      <c r="AB237" t="n">
        <v>0.0</v>
      </c>
      <c r="AC237" t="n">
        <v>0.0</v>
      </c>
      <c r="AD237" t="n">
        <v>23.0</v>
      </c>
      <c r="AE237" t="n">
        <v>0.0</v>
      </c>
      <c r="AF237" t="n">
        <v>0.0</v>
      </c>
      <c r="AG237" t="n">
        <v>0.0</v>
      </c>
      <c r="AH237" t="n">
        <v>0.0</v>
      </c>
      <c r="AI237" t="n">
        <v>0.0</v>
      </c>
      <c r="AJ237" t="n">
        <v>0.0</v>
      </c>
      <c r="AK237" t="n">
        <v>23.17391304347826</v>
      </c>
      <c r="AL237" t="inlineStr">
        <is>
          <t/>
        </is>
      </c>
    </row>
    <row r="238">
      <c r="A238" t="inlineStr">
        <is>
          <t>三文鱼扒 1000g 限时直降！</t>
        </is>
      </c>
      <c r="B238" t="inlineStr">
        <is>
          <t>6a05c7e60000000008025525</t>
        </is>
      </c>
      <c r="C238" s="237" t="n">
        <f>HYPERLINK("https://www.xiaohongshu.com/explore/6a05c7e60000000008025525?xsec_token=TB5fIXEADm3ztd3cFmDO51aBnQJID10hED1wTiU0GyY68=&amp;xsec_source=pc_trdark","https://www.xiaohongshu.com/explore/6a05c7e60000000008025525?xsec_token=TB5fIXEADm3ztd3cFmDO51aBnQJID10hED1wTiU0GyY68=&amp;xsec_source=pc_trdark")</f>
        <v>0.0</v>
      </c>
      <c r="D238" t="inlineStr">
        <is>
          <t>鲜水湾</t>
        </is>
      </c>
      <c r="E238" t="inlineStr">
        <is>
          <t>49316638994</t>
        </is>
      </c>
      <c r="F238" t="inlineStr">
        <is>
          <t>2026-05-14 21:02:30</t>
        </is>
      </c>
      <c r="G238" t="inlineStr">
        <is>
          <t>图文</t>
        </is>
      </c>
      <c r="H238" t="inlineStr">
        <is>
          <t>智利尾端中段整条三文鱼 8斤深海鱼低脂餐囤货一周备菜顺丰包邮</t>
        </is>
      </c>
      <c r="I238" t="inlineStr">
        <is>
          <t>69fab80d64eb410001ece0c0</t>
        </is>
      </c>
      <c r="J238" t="inlineStr">
        <is>
          <t/>
        </is>
      </c>
      <c r="K238" t="n">
        <v>0.0</v>
      </c>
      <c r="L238" t="n">
        <v>0.0</v>
      </c>
      <c r="M238" t="n">
        <v>9.0</v>
      </c>
      <c r="N238" t="n">
        <v>0.391304347826087</v>
      </c>
      <c r="O238" t="n">
        <v>9.0</v>
      </c>
      <c r="P238" t="n">
        <v>0.0</v>
      </c>
      <c r="Q238" t="n">
        <v>0.0</v>
      </c>
      <c r="R238" t="n">
        <v>0.0</v>
      </c>
      <c r="S238" t="n">
        <v>0.0</v>
      </c>
      <c r="T238" t="n">
        <v>0.0</v>
      </c>
      <c r="U238" t="n">
        <v>0.0</v>
      </c>
      <c r="V238" t="n">
        <v>0.0</v>
      </c>
      <c r="W238" t="inlineStr">
        <is>
          <t/>
        </is>
      </c>
      <c r="X238" t="n">
        <v>0.0</v>
      </c>
      <c r="Y238" t="n">
        <v>1.0</v>
      </c>
      <c r="Z238" t="n">
        <v>0.0</v>
      </c>
      <c r="AA238" t="n">
        <v>0.0</v>
      </c>
      <c r="AB238" t="n">
        <v>0.0</v>
      </c>
      <c r="AC238" t="n">
        <v>0.0</v>
      </c>
      <c r="AD238" t="n">
        <v>23.0</v>
      </c>
      <c r="AE238" t="n">
        <v>0.0</v>
      </c>
      <c r="AF238" t="n">
        <v>0.0</v>
      </c>
      <c r="AG238" t="n">
        <v>0.0</v>
      </c>
      <c r="AH238" t="n">
        <v>0.0</v>
      </c>
      <c r="AI238" t="n">
        <v>0.0</v>
      </c>
      <c r="AJ238" t="n">
        <v>0.0</v>
      </c>
      <c r="AK238" t="n">
        <v>14.608695652173912</v>
      </c>
      <c r="AL238" t="inlineStr">
        <is>
          <t/>
        </is>
      </c>
    </row>
    <row r="239">
      <c r="A239" t="inlineStr">
        <is>
          <t>放弃山🪵了，还是这种小包装更有性价比</t>
        </is>
      </c>
      <c r="B239" t="inlineStr">
        <is>
          <t>69ec363e000000003503a4d9</t>
        </is>
      </c>
      <c r="C239" s="238" t="n">
        <f>HYPERLINK("https://www.xiaohongshu.com/explore/69ec363e000000003503a4d9?xsec_token=TBnoSF_--XRDuLtfF77lVqP0IHyNuNPYDyGYBIK-bnubw=&amp;xsec_source=pc_trdark","https://www.xiaohongshu.com/explore/69ec363e000000003503a4d9?xsec_token=TBnoSF_--XRDuLtfF77lVqP0IHyNuNPYDyGYBIK-bnubw=&amp;xsec_source=pc_trdark")</f>
        <v>0.0</v>
      </c>
      <c r="D239" t="inlineStr">
        <is>
          <t>鲜水湾甄选</t>
        </is>
      </c>
      <c r="E239" t="inlineStr">
        <is>
          <t>27401929161</t>
        </is>
      </c>
      <c r="F239" t="inlineStr">
        <is>
          <t>2026-04-25 11:34:22</t>
        </is>
      </c>
      <c r="G239" t="inlineStr">
        <is>
          <t>图文</t>
        </is>
      </c>
      <c r="H239" t="inlineStr">
        <is>
          <t>手剥虾仁 无冰衣无添加 低脂餐一人食 上班带饭 顺丰包邮 5盒装</t>
        </is>
      </c>
      <c r="I239" t="inlineStr">
        <is>
          <t>694baba01d450d00013662f0</t>
        </is>
      </c>
      <c r="J239" t="inlineStr">
        <is>
          <t/>
        </is>
      </c>
      <c r="K239" t="n">
        <v>0.0</v>
      </c>
      <c r="L239" t="n">
        <v>0.0</v>
      </c>
      <c r="M239" t="n">
        <v>2.0</v>
      </c>
      <c r="N239" t="inlineStr">
        <is>
          <t>0.08695652173913043</t>
        </is>
      </c>
      <c r="O239" t="n">
        <v>2.0</v>
      </c>
      <c r="P239" t="n">
        <v>0.0</v>
      </c>
      <c r="Q239" t="n">
        <v>0.0</v>
      </c>
      <c r="R239" t="n">
        <v>0.0</v>
      </c>
      <c r="S239" t="n">
        <v>0.0</v>
      </c>
      <c r="T239" t="n">
        <v>0.0</v>
      </c>
      <c r="U239" t="n">
        <v>0.0</v>
      </c>
      <c r="V239" t="n">
        <v>0.0</v>
      </c>
      <c r="W239" t="inlineStr">
        <is>
          <t/>
        </is>
      </c>
      <c r="X239" t="n">
        <v>0.0</v>
      </c>
      <c r="Y239" t="n">
        <v>0.0</v>
      </c>
      <c r="Z239" t="n">
        <v>3.0</v>
      </c>
      <c r="AA239" t="n">
        <v>0.0</v>
      </c>
      <c r="AB239" t="n">
        <v>0.0</v>
      </c>
      <c r="AC239" t="n">
        <v>0.0</v>
      </c>
      <c r="AD239" t="n">
        <v>23.0</v>
      </c>
      <c r="AE239" t="n">
        <v>0.0</v>
      </c>
      <c r="AF239" t="n">
        <v>0.0</v>
      </c>
      <c r="AG239" t="n">
        <v>0.0</v>
      </c>
      <c r="AH239" t="n">
        <v>0.0</v>
      </c>
      <c r="AI239" t="n">
        <v>0.0</v>
      </c>
      <c r="AJ239" t="n">
        <v>0.0</v>
      </c>
      <c r="AK239" t="n">
        <v>13.173913043478262</v>
      </c>
      <c r="AL239" t="inlineStr">
        <is>
          <t/>
        </is>
      </c>
    </row>
    <row r="240">
      <c r="A240" t="inlineStr">
        <is>
          <t>头籽北极甜虾你真的会吃吗？</t>
        </is>
      </c>
      <c r="B240" t="inlineStr">
        <is>
          <t>696d8eb3000000000c035e5e</t>
        </is>
      </c>
      <c r="C240" s="239" t="n">
        <f>HYPERLINK("https://www.xiaohongshu.com/explore/696d8eb3000000000c035e5e?xsec_token=TBhBdCGGh1NnVPomuS6-J4H6RT9tyPrUpjWMHTUUrQzKY=&amp;xsec_source=pc_trdark","https://www.xiaohongshu.com/explore/696d8eb3000000000c035e5e?xsec_token=TBhBdCGGh1NnVPomuS6-J4H6RT9tyPrUpjWMHTUUrQzKY=&amp;xsec_source=pc_trdark")</f>
        <v>0.0</v>
      </c>
      <c r="D240" t="inlineStr">
        <is>
          <t>鲜水湾甄选</t>
        </is>
      </c>
      <c r="E240" t="inlineStr">
        <is>
          <t>27401929161</t>
        </is>
      </c>
      <c r="F240" t="inlineStr">
        <is>
          <t>2026-01-19 09:53:55</t>
        </is>
      </c>
      <c r="G240" t="inlineStr">
        <is>
          <t>视频</t>
        </is>
      </c>
      <c r="H240" t="inlineStr">
        <is>
          <t>北极甜虾头籽甜虾元宝虾北极熊冰虾孕妈妈宝宝辅食顺丰</t>
        </is>
      </c>
      <c r="I240" t="inlineStr">
        <is>
          <t>6953717eb8f0bb000115158d</t>
        </is>
      </c>
      <c r="J240" t="n">
        <v>42.0</v>
      </c>
      <c r="K240" t="n">
        <v>0.0</v>
      </c>
      <c r="L240" t="n">
        <v>0.0</v>
      </c>
      <c r="M240" t="n">
        <v>1.0</v>
      </c>
      <c r="N240" t="inlineStr">
        <is>
          <t>0.043478260869565216</t>
        </is>
      </c>
      <c r="O240" t="n">
        <v>1.0</v>
      </c>
      <c r="P240" t="n">
        <v>0.0</v>
      </c>
      <c r="Q240" t="n">
        <v>0.0</v>
      </c>
      <c r="R240" t="n">
        <v>0.0</v>
      </c>
      <c r="S240" t="n">
        <v>0.0</v>
      </c>
      <c r="T240" t="n">
        <v>0.0</v>
      </c>
      <c r="U240" t="n">
        <v>0.0</v>
      </c>
      <c r="V240" t="n">
        <v>0.0</v>
      </c>
      <c r="W240" t="inlineStr">
        <is>
          <t/>
        </is>
      </c>
      <c r="X240" t="n">
        <v>0.0</v>
      </c>
      <c r="Y240" t="n">
        <v>0.0</v>
      </c>
      <c r="Z240" t="n">
        <v>0.0</v>
      </c>
      <c r="AA240" t="n">
        <v>0.0</v>
      </c>
      <c r="AB240" t="n">
        <v>0.0</v>
      </c>
      <c r="AC240" t="n">
        <v>0.0</v>
      </c>
      <c r="AD240" t="n">
        <v>23.0</v>
      </c>
      <c r="AE240" t="n">
        <v>1.0</v>
      </c>
      <c r="AF240" t="n">
        <v>0.0</v>
      </c>
      <c r="AG240" t="n">
        <v>0.0</v>
      </c>
      <c r="AH240" t="n">
        <v>1.0</v>
      </c>
      <c r="AI240" t="n">
        <v>0.0</v>
      </c>
      <c r="AJ240" t="n">
        <v>0.0</v>
      </c>
      <c r="AK240" t="n">
        <v>14.0</v>
      </c>
      <c r="AL240" t="inlineStr">
        <is>
          <t>0.18518518518518517</t>
        </is>
      </c>
    </row>
    <row r="241">
      <c r="A241" t="inlineStr">
        <is>
          <t>不贵，118买1000g大包装，身材管理期爱了</t>
        </is>
      </c>
      <c r="B241" t="inlineStr">
        <is>
          <t>6a6ab94b000000001303da3b</t>
        </is>
      </c>
      <c r="C241" s="240" t="n">
        <f>HYPERLINK("https://www.xiaohongshu.com/explore/6a6ab94b000000001303da3b?xsec_token=TBlqVLEFjND1igtxhsDYFb6Ach__XsSoYHzTTgqDXsbyw=&amp;xsec_source=pc_trdark","https://www.xiaohongshu.com/explore/6a6ab94b000000001303da3b?xsec_token=TBlqVLEFjND1igtxhsDYFb6Ach__XsSoYHzTTgqDXsbyw=&amp;xsec_source=pc_trdark")</f>
        <v>0.0</v>
      </c>
      <c r="D241" t="inlineStr">
        <is>
          <t>菲菲上班吃什么</t>
        </is>
      </c>
      <c r="E241" t="inlineStr">
        <is>
          <t>49936530607</t>
        </is>
      </c>
      <c r="F241" t="inlineStr">
        <is>
          <t>2026-07-30 10:39:07</t>
        </is>
      </c>
      <c r="G241" t="inlineStr">
        <is>
          <t>图文</t>
        </is>
      </c>
      <c r="H241" t="inlineStr">
        <is>
          <t>智利三文鱼切块·整条三文鱼·深海鱼一人食健康饮食</t>
        </is>
      </c>
      <c r="I241" t="inlineStr">
        <is>
          <t>691ac562a524ee0001b51d7b</t>
        </is>
      </c>
      <c r="J241" t="inlineStr">
        <is>
          <t/>
        </is>
      </c>
      <c r="K241" t="n">
        <v>0.0</v>
      </c>
      <c r="L241" t="n">
        <v>0.0</v>
      </c>
      <c r="M241" t="n">
        <v>1.0</v>
      </c>
      <c r="N241" t="inlineStr">
        <is>
          <t>0.045454545454545456</t>
        </is>
      </c>
      <c r="O241" t="n">
        <v>1.0</v>
      </c>
      <c r="P241" t="n">
        <v>0.0</v>
      </c>
      <c r="Q241" t="n">
        <v>0.0</v>
      </c>
      <c r="R241" t="n">
        <v>0.0</v>
      </c>
      <c r="S241" t="n">
        <v>0.0</v>
      </c>
      <c r="T241" t="n">
        <v>0.0</v>
      </c>
      <c r="U241" t="n">
        <v>0.0</v>
      </c>
      <c r="V241" t="n">
        <v>0.0</v>
      </c>
      <c r="W241" t="inlineStr">
        <is>
          <t/>
        </is>
      </c>
      <c r="X241" t="n">
        <v>0.0</v>
      </c>
      <c r="Y241" t="n">
        <v>0.0</v>
      </c>
      <c r="Z241" t="n">
        <v>0.0</v>
      </c>
      <c r="AA241" t="n">
        <v>0.0</v>
      </c>
      <c r="AB241" t="n">
        <v>0.0</v>
      </c>
      <c r="AC241" t="n">
        <v>0.0</v>
      </c>
      <c r="AD241" t="n">
        <v>22.0</v>
      </c>
      <c r="AE241" t="n">
        <v>0.0</v>
      </c>
      <c r="AF241" t="n">
        <v>0.0</v>
      </c>
      <c r="AG241" t="n">
        <v>0.0</v>
      </c>
      <c r="AH241" t="n">
        <v>0.0</v>
      </c>
      <c r="AI241" t="n">
        <v>0.0</v>
      </c>
      <c r="AJ241" t="n">
        <v>0.0</v>
      </c>
      <c r="AK241" t="n">
        <v>14.636363636363637</v>
      </c>
      <c r="AL241" t="inlineStr">
        <is>
          <t/>
        </is>
      </c>
    </row>
    <row r="242">
      <c r="A242" t="inlineStr">
        <is>
          <t>女孩们，千万别小瞧70块的购买力</t>
        </is>
      </c>
      <c r="B242" t="inlineStr">
        <is>
          <t>6a565a0f000000002100a599</t>
        </is>
      </c>
      <c r="C242" s="241" t="n">
        <f>HYPERLINK("https://www.xiaohongshu.com/explore/6a565a0f000000002100a599?xsec_token=TB9bhMHu11lwl7C-NRH9-rDFmKKZG9ogkSS8Gcg4hA544=&amp;xsec_source=pc_trdark","https://www.xiaohongshu.com/explore/6a565a0f000000002100a599?xsec_token=TB9bhMHu11lwl7C-NRH9-rDFmKKZG9ogkSS8Gcg4hA544=&amp;xsec_source=pc_trdark")</f>
        <v>0.0</v>
      </c>
      <c r="D242" t="inlineStr">
        <is>
          <t>婉婉上班吃什么</t>
        </is>
      </c>
      <c r="E242" t="inlineStr">
        <is>
          <t>11434449706</t>
        </is>
      </c>
      <c r="F242" t="inlineStr">
        <is>
          <t>2026-07-14 23:47:27</t>
        </is>
      </c>
      <c r="G242" t="inlineStr">
        <is>
          <t>图文</t>
        </is>
      </c>
      <c r="H242" t="inlineStr">
        <is>
          <t>手剥虾仁 无冰衣无添加 低脂餐一人食 上班带饭 顺丰包邮 5盒装</t>
        </is>
      </c>
      <c r="I242" t="inlineStr">
        <is>
          <t>694baba01d450d00013662f0</t>
        </is>
      </c>
      <c r="J242" t="inlineStr">
        <is>
          <t/>
        </is>
      </c>
      <c r="K242" t="n">
        <v>0.0</v>
      </c>
      <c r="L242" t="n">
        <v>0.0</v>
      </c>
      <c r="M242" t="n">
        <v>1.0</v>
      </c>
      <c r="N242" t="inlineStr">
        <is>
          <t>0.045454545454545456</t>
        </is>
      </c>
      <c r="O242" t="n">
        <v>1.0</v>
      </c>
      <c r="P242" t="n">
        <v>0.0</v>
      </c>
      <c r="Q242" t="n">
        <v>0.0</v>
      </c>
      <c r="R242" t="n">
        <v>0.0</v>
      </c>
      <c r="S242" t="n">
        <v>0.0</v>
      </c>
      <c r="T242" t="n">
        <v>0.0</v>
      </c>
      <c r="U242" t="n">
        <v>0.0</v>
      </c>
      <c r="V242" t="n">
        <v>0.0</v>
      </c>
      <c r="W242" t="inlineStr">
        <is>
          <t/>
        </is>
      </c>
      <c r="X242" t="n">
        <v>0.0</v>
      </c>
      <c r="Y242" t="n">
        <v>0.0</v>
      </c>
      <c r="Z242" t="n">
        <v>2.0</v>
      </c>
      <c r="AA242" t="n">
        <v>0.0</v>
      </c>
      <c r="AB242" t="n">
        <v>0.0</v>
      </c>
      <c r="AC242" t="n">
        <v>0.0</v>
      </c>
      <c r="AD242" t="n">
        <v>22.0</v>
      </c>
      <c r="AE242" t="n">
        <v>0.0</v>
      </c>
      <c r="AF242" t="n">
        <v>0.0</v>
      </c>
      <c r="AG242" t="n">
        <v>0.0</v>
      </c>
      <c r="AH242" t="n">
        <v>0.0</v>
      </c>
      <c r="AI242" t="n">
        <v>0.0</v>
      </c>
      <c r="AJ242" t="n">
        <v>0.0</v>
      </c>
      <c r="AK242" t="n">
        <v>7.5</v>
      </c>
      <c r="AL242" t="inlineStr">
        <is>
          <t/>
        </is>
      </c>
    </row>
    <row r="243">
      <c r="A243" t="inlineStr">
        <is>
          <t>和老爸商量后，推出夏日减脂小包装！</t>
        </is>
      </c>
      <c r="B243" t="inlineStr">
        <is>
          <t>6a486b5f00000000060201f2</t>
        </is>
      </c>
      <c r="C243" s="242" t="n">
        <f>HYPERLINK("https://www.xiaohongshu.com/explore/6a486b5f00000000060201f2?xsec_token=TBXcQ3yr16tRF4vODUHcKAuVFtoGqNBe6VSgi7sMktMxc=&amp;xsec_source=pc_trdark","https://www.xiaohongshu.com/explore/6a486b5f00000000060201f2?xsec_token=TBXcQ3yr16tRF4vODUHcKAuVFtoGqNBe6VSgi7sMktMxc=&amp;xsec_source=pc_trdark")</f>
        <v>0.0</v>
      </c>
      <c r="D243" t="inlineStr">
        <is>
          <t>菲菲上班吃什么</t>
        </is>
      </c>
      <c r="E243" t="inlineStr">
        <is>
          <t>49936530607</t>
        </is>
      </c>
      <c r="F243" t="inlineStr">
        <is>
          <t>2026-07-04 10:09:35</t>
        </is>
      </c>
      <c r="G243" t="inlineStr">
        <is>
          <t>图文</t>
        </is>
      </c>
      <c r="H243" t="inlineStr">
        <is>
          <t>手剥虾仁 无冰衣无添加 低脂餐一人食 上班带饭 顺丰包邮 5盒装</t>
        </is>
      </c>
      <c r="I243" t="inlineStr">
        <is>
          <t>694baba01d450d00013662f0</t>
        </is>
      </c>
      <c r="J243" t="inlineStr">
        <is>
          <t/>
        </is>
      </c>
      <c r="K243" t="n">
        <v>0.0</v>
      </c>
      <c r="L243" t="n">
        <v>0.0</v>
      </c>
      <c r="M243" t="n">
        <v>4.0</v>
      </c>
      <c r="N243" t="inlineStr">
        <is>
          <t>0.18181818181818182</t>
        </is>
      </c>
      <c r="O243" t="n">
        <v>4.0</v>
      </c>
      <c r="P243" t="n">
        <v>0.0</v>
      </c>
      <c r="Q243" t="n">
        <v>0.0</v>
      </c>
      <c r="R243" t="n">
        <v>0.0</v>
      </c>
      <c r="S243" t="n">
        <v>0.0</v>
      </c>
      <c r="T243" t="n">
        <v>0.0</v>
      </c>
      <c r="U243" t="n">
        <v>0.0</v>
      </c>
      <c r="V243" t="n">
        <v>0.0</v>
      </c>
      <c r="W243" t="inlineStr">
        <is>
          <t/>
        </is>
      </c>
      <c r="X243" t="n">
        <v>0.0</v>
      </c>
      <c r="Y243" t="n">
        <v>1.0</v>
      </c>
      <c r="Z243" t="n">
        <v>0.0</v>
      </c>
      <c r="AA243" t="n">
        <v>0.0</v>
      </c>
      <c r="AB243" t="n">
        <v>0.0</v>
      </c>
      <c r="AC243" t="n">
        <v>0.0</v>
      </c>
      <c r="AD243" t="n">
        <v>22.0</v>
      </c>
      <c r="AE243" t="n">
        <v>0.0</v>
      </c>
      <c r="AF243" t="n">
        <v>0.0</v>
      </c>
      <c r="AG243" t="n">
        <v>0.0</v>
      </c>
      <c r="AH243" t="n">
        <v>0.0</v>
      </c>
      <c r="AI243" t="n">
        <v>0.0</v>
      </c>
      <c r="AJ243" t="n">
        <v>0.0</v>
      </c>
      <c r="AK243" t="n">
        <v>19.727272727272727</v>
      </c>
      <c r="AL243" t="inlineStr">
        <is>
          <t/>
        </is>
      </c>
    </row>
    <row r="244">
      <c r="A244" t="inlineStr">
        <is>
          <t>一次一袋，真的太适合独居一人食了！！！</t>
        </is>
      </c>
      <c r="B244" t="inlineStr">
        <is>
          <t>6a436de200000000070208f9</t>
        </is>
      </c>
      <c r="C244" s="243" t="n">
        <f>HYPERLINK("https://www.xiaohongshu.com/explore/6a436de200000000070208f9?xsec_token=TBHlcLEn6fokKWIeUTfT7NlQ0qx-eJKVNiIBMNVYxbfKA=&amp;xsec_source=pc_trdark","https://www.xiaohongshu.com/explore/6a436de200000000070208f9?xsec_token=TBHlcLEn6fokKWIeUTfT7NlQ0qx-eJKVNiIBMNVYxbfKA=&amp;xsec_source=pc_trdark")</f>
        <v>0.0</v>
      </c>
      <c r="D244" t="inlineStr">
        <is>
          <t>菲菲上班吃什么</t>
        </is>
      </c>
      <c r="E244" t="inlineStr">
        <is>
          <t>49936530607</t>
        </is>
      </c>
      <c r="F244" t="inlineStr">
        <is>
          <t>2026-06-30 15:18:58</t>
        </is>
      </c>
      <c r="G244" t="inlineStr">
        <is>
          <t>图文</t>
        </is>
      </c>
      <c r="H244" t="inlineStr">
        <is>
          <t>手剥虾仁 无冰衣无添加 低脂餐一人食 上班带饭 顺丰包邮 5盒装</t>
        </is>
      </c>
      <c r="I244" t="inlineStr">
        <is>
          <t>694baba01d450d00013662f0</t>
        </is>
      </c>
      <c r="J244" t="inlineStr">
        <is>
          <t/>
        </is>
      </c>
      <c r="K244" t="n">
        <v>0.0</v>
      </c>
      <c r="L244" t="n">
        <v>0.0</v>
      </c>
      <c r="M244" t="n">
        <v>2.0</v>
      </c>
      <c r="N244" t="inlineStr">
        <is>
          <t>0.09090909090909091</t>
        </is>
      </c>
      <c r="O244" t="n">
        <v>2.0</v>
      </c>
      <c r="P244" t="n">
        <v>0.0</v>
      </c>
      <c r="Q244" t="n">
        <v>0.0</v>
      </c>
      <c r="R244" t="n">
        <v>0.0</v>
      </c>
      <c r="S244" t="n">
        <v>0.0</v>
      </c>
      <c r="T244" t="n">
        <v>0.0</v>
      </c>
      <c r="U244" t="n">
        <v>0.0</v>
      </c>
      <c r="V244" t="n">
        <v>0.0</v>
      </c>
      <c r="W244" t="inlineStr">
        <is>
          <t/>
        </is>
      </c>
      <c r="X244" t="n">
        <v>0.0</v>
      </c>
      <c r="Y244" t="n">
        <v>1.0</v>
      </c>
      <c r="Z244" t="n">
        <v>0.0</v>
      </c>
      <c r="AA244" t="n">
        <v>0.0</v>
      </c>
      <c r="AB244" t="n">
        <v>0.0</v>
      </c>
      <c r="AC244" t="n">
        <v>0.0</v>
      </c>
      <c r="AD244" t="n">
        <v>22.0</v>
      </c>
      <c r="AE244" t="n">
        <v>0.0</v>
      </c>
      <c r="AF244" t="n">
        <v>0.0</v>
      </c>
      <c r="AG244" t="n">
        <v>0.0</v>
      </c>
      <c r="AH244" t="n">
        <v>0.0</v>
      </c>
      <c r="AI244" t="n">
        <v>0.0</v>
      </c>
      <c r="AJ244" t="n">
        <v>0.0</v>
      </c>
      <c r="AK244" t="n">
        <v>8.409090909090908</v>
      </c>
      <c r="AL244" t="inlineStr">
        <is>
          <t/>
        </is>
      </c>
    </row>
    <row r="245">
      <c r="A245" t="inlineStr">
        <is>
          <t>1000g三文鱼扒，这波真的适合囤</t>
        </is>
      </c>
      <c r="B245" t="inlineStr">
        <is>
          <t>6a2cb5be000000002102101a</t>
        </is>
      </c>
      <c r="C245" s="244" t="n">
        <f>HYPERLINK("https://www.xiaohongshu.com/explore/6a2cb5be000000002102101a?xsec_token=TBXfyg70k-fjSy8LCGl6_2c1GtmFwPQKFVWwoZe1p_3cs=&amp;xsec_source=pc_trdark","https://www.xiaohongshu.com/explore/6a2cb5be000000002102101a?xsec_token=TBXfyg70k-fjSy8LCGl6_2c1GtmFwPQKFVWwoZe1p_3cs=&amp;xsec_source=pc_trdark")</f>
        <v>0.0</v>
      </c>
      <c r="D245" t="inlineStr">
        <is>
          <t>鲜水湾</t>
        </is>
      </c>
      <c r="E245" t="inlineStr">
        <is>
          <t>49316638994</t>
        </is>
      </c>
      <c r="F245" t="inlineStr">
        <is>
          <t>2026-06-13 09:43:26</t>
        </is>
      </c>
      <c r="G245" t="inlineStr">
        <is>
          <t>图文</t>
        </is>
      </c>
      <c r="H245" t="inlineStr">
        <is>
          <t>智利三文鱼切块·整条三文鱼·深海鱼一人食健康饮食</t>
        </is>
      </c>
      <c r="I245" t="inlineStr">
        <is>
          <t>691ac562a524ee0001b51d7b</t>
        </is>
      </c>
      <c r="J245" t="inlineStr">
        <is>
          <t/>
        </is>
      </c>
      <c r="K245" t="n">
        <v>0.0</v>
      </c>
      <c r="L245" t="n">
        <v>0.0</v>
      </c>
      <c r="M245" t="n">
        <v>8.0</v>
      </c>
      <c r="N245" t="inlineStr">
        <is>
          <t>0.36363636363636365</t>
        </is>
      </c>
      <c r="O245" t="n">
        <v>6.0</v>
      </c>
      <c r="P245" t="n">
        <v>0.0</v>
      </c>
      <c r="Q245" t="n">
        <v>0.0</v>
      </c>
      <c r="R245" t="n">
        <v>0.0</v>
      </c>
      <c r="S245" t="n">
        <v>0.0</v>
      </c>
      <c r="T245" t="n">
        <v>0.0</v>
      </c>
      <c r="U245" t="n">
        <v>0.0</v>
      </c>
      <c r="V245" t="n">
        <v>0.0</v>
      </c>
      <c r="W245" t="inlineStr">
        <is>
          <t/>
        </is>
      </c>
      <c r="X245" t="n">
        <v>0.0</v>
      </c>
      <c r="Y245" t="n">
        <v>0.0</v>
      </c>
      <c r="Z245" t="n">
        <v>8.0</v>
      </c>
      <c r="AA245" t="n">
        <v>0.0</v>
      </c>
      <c r="AB245" t="n">
        <v>0.0</v>
      </c>
      <c r="AC245" t="n">
        <v>0.0</v>
      </c>
      <c r="AD245" t="n">
        <v>22.0</v>
      </c>
      <c r="AE245" t="n">
        <v>0.0</v>
      </c>
      <c r="AF245" t="n">
        <v>0.0</v>
      </c>
      <c r="AG245" t="n">
        <v>0.0</v>
      </c>
      <c r="AH245" t="n">
        <v>0.0</v>
      </c>
      <c r="AI245" t="n">
        <v>0.0</v>
      </c>
      <c r="AJ245" t="n">
        <v>0.0</v>
      </c>
      <c r="AK245" t="n">
        <v>9.727272727272727</v>
      </c>
      <c r="AL245" t="inlineStr">
        <is>
          <t/>
        </is>
      </c>
    </row>
    <row r="246">
      <c r="A246" t="inlineStr">
        <is>
          <t>以为100块没多少，结果够我吃半个月了</t>
        </is>
      </c>
      <c r="B246" t="inlineStr">
        <is>
          <t>6a1684330000000008027d60</t>
        </is>
      </c>
      <c r="C246" s="245" t="n">
        <f>HYPERLINK("https://www.xiaohongshu.com/explore/6a1684330000000008027d60?xsec_token=TBTlDyK2vMyPBioInbRWPaPgcY72QuKZKlFHwyZ8dRrg0=&amp;xsec_source=pc_trdark","https://www.xiaohongshu.com/explore/6a1684330000000008027d60?xsec_token=TBTlDyK2vMyPBioInbRWPaPgcY72QuKZKlFHwyZ8dRrg0=&amp;xsec_source=pc_trdark")</f>
        <v>0.0</v>
      </c>
      <c r="D246" t="inlineStr">
        <is>
          <t>菲菲上班吃什么</t>
        </is>
      </c>
      <c r="E246" t="inlineStr">
        <is>
          <t>49936530607</t>
        </is>
      </c>
      <c r="F246" t="inlineStr">
        <is>
          <t>2026-05-27 13:42:11</t>
        </is>
      </c>
      <c r="G246" t="inlineStr">
        <is>
          <t>图文</t>
        </is>
      </c>
      <c r="H246" t="inlineStr">
        <is>
          <t>手剥虾仁 无冰衣无添加 低脂餐一人食 上班带饭 顺丰包邮 5盒装</t>
        </is>
      </c>
      <c r="I246" t="inlineStr">
        <is>
          <t>694baba01d450d00013662f0</t>
        </is>
      </c>
      <c r="J246" t="inlineStr">
        <is>
          <t/>
        </is>
      </c>
      <c r="K246" t="n">
        <v>0.0</v>
      </c>
      <c r="L246" t="n">
        <v>0.0</v>
      </c>
      <c r="M246" t="n">
        <v>2.0</v>
      </c>
      <c r="N246" t="inlineStr">
        <is>
          <t>0.09090909090909091</t>
        </is>
      </c>
      <c r="O246" t="n">
        <v>2.0</v>
      </c>
      <c r="P246" t="n">
        <v>0.0</v>
      </c>
      <c r="Q246" t="n">
        <v>0.0</v>
      </c>
      <c r="R246" t="n">
        <v>0.0</v>
      </c>
      <c r="S246" t="n">
        <v>0.0</v>
      </c>
      <c r="T246" t="n">
        <v>0.0</v>
      </c>
      <c r="U246" t="n">
        <v>0.0</v>
      </c>
      <c r="V246" t="n">
        <v>0.0</v>
      </c>
      <c r="W246" t="inlineStr">
        <is>
          <t/>
        </is>
      </c>
      <c r="X246" t="n">
        <v>0.0</v>
      </c>
      <c r="Y246" t="n">
        <v>0.0</v>
      </c>
      <c r="Z246" t="n">
        <v>0.0</v>
      </c>
      <c r="AA246" t="n">
        <v>0.0</v>
      </c>
      <c r="AB246" t="n">
        <v>0.0</v>
      </c>
      <c r="AC246" t="n">
        <v>0.0</v>
      </c>
      <c r="AD246" t="n">
        <v>22.0</v>
      </c>
      <c r="AE246" t="n">
        <v>0.0</v>
      </c>
      <c r="AF246" t="n">
        <v>0.0</v>
      </c>
      <c r="AG246" t="n">
        <v>0.0</v>
      </c>
      <c r="AH246" t="n">
        <v>0.0</v>
      </c>
      <c r="AI246" t="n">
        <v>0.0</v>
      </c>
      <c r="AJ246" t="n">
        <v>0.0</v>
      </c>
      <c r="AK246" t="n">
        <v>9.909090909090908</v>
      </c>
      <c r="AL246" t="inlineStr">
        <is>
          <t/>
        </is>
      </c>
    </row>
    <row r="247">
      <c r="A247" t="inlineStr">
        <is>
          <t>这才是孕妈妈可以放心吃的盐田虾🦐</t>
        </is>
      </c>
      <c r="B247" t="inlineStr">
        <is>
          <t>6a86cb7a000000002402cc87</t>
        </is>
      </c>
      <c r="C247" s="246" t="n">
        <f>HYPERLINK("https://www.xiaohongshu.com/explore/6a86cb7a000000002402cc87?xsec_token=TBOKfF9C1kDAd3xaVoQEFGZWZrdjMIRYBGv1y4dCrwme8=&amp;xsec_source=pc_trdark","https://www.xiaohongshu.com/explore/6a86cb7a000000002402cc87?xsec_token=TBOKfF9C1kDAd3xaVoQEFGZWZrdjMIRYBGv1y4dCrwme8=&amp;xsec_source=pc_trdark")</f>
        <v>0.0</v>
      </c>
      <c r="D247" t="inlineStr">
        <is>
          <t>鲜水湾</t>
        </is>
      </c>
      <c r="E247" t="inlineStr">
        <is>
          <t>49316638994</t>
        </is>
      </c>
      <c r="F247" t="inlineStr">
        <is>
          <t>2026-08-20 17:40:10</t>
        </is>
      </c>
      <c r="G247" t="inlineStr">
        <is>
          <t>图文</t>
        </is>
      </c>
      <c r="H247" t="inlineStr">
        <is>
          <t>盐田虾无抗有机盐田虾孕妈妈宝宝辅食顺丰包邮无打药无污染健康虾</t>
        </is>
      </c>
      <c r="I247" t="inlineStr">
        <is>
          <t>693244a046e530000140adb2</t>
        </is>
      </c>
      <c r="J247" t="inlineStr">
        <is>
          <t/>
        </is>
      </c>
      <c r="K247" t="n">
        <v>0.0</v>
      </c>
      <c r="L247" t="n">
        <v>0.0</v>
      </c>
      <c r="M247" t="n">
        <v>0.0</v>
      </c>
      <c r="N247" t="n">
        <v>0.0</v>
      </c>
      <c r="O247" t="n">
        <v>0.0</v>
      </c>
      <c r="P247" t="n">
        <v>0.0</v>
      </c>
      <c r="Q247" t="inlineStr">
        <is>
          <t/>
        </is>
      </c>
      <c r="R247" t="inlineStr">
        <is>
          <t/>
        </is>
      </c>
      <c r="S247" t="n">
        <v>0.0</v>
      </c>
      <c r="T247" t="n">
        <v>0.0</v>
      </c>
      <c r="U247" t="n">
        <v>0.0</v>
      </c>
      <c r="V247" t="n">
        <v>0.0</v>
      </c>
      <c r="W247" t="inlineStr">
        <is>
          <t/>
        </is>
      </c>
      <c r="X247" t="n">
        <v>0.0</v>
      </c>
      <c r="Y247" t="n">
        <v>0.0</v>
      </c>
      <c r="Z247" t="n">
        <v>0.0</v>
      </c>
      <c r="AA247" t="n">
        <v>0.0</v>
      </c>
      <c r="AB247" t="n">
        <v>0.0</v>
      </c>
      <c r="AC247" t="n">
        <v>0.0</v>
      </c>
      <c r="AD247" t="n">
        <v>21.0</v>
      </c>
      <c r="AE247" t="n">
        <v>1.0</v>
      </c>
      <c r="AF247" t="n">
        <v>0.0</v>
      </c>
      <c r="AG247" t="n">
        <v>0.0</v>
      </c>
      <c r="AH247" t="n">
        <v>2.0</v>
      </c>
      <c r="AI247" t="n">
        <v>0.0</v>
      </c>
      <c r="AJ247" t="n">
        <v>0.0</v>
      </c>
      <c r="AK247" t="n">
        <v>4.9523809523809526</v>
      </c>
      <c r="AL247" t="inlineStr">
        <is>
          <t/>
        </is>
      </c>
    </row>
    <row r="248">
      <c r="A248" t="inlineStr">
        <is>
          <t>感谢姐妹推荐！直接水煮超方便</t>
        </is>
      </c>
      <c r="B248" t="inlineStr">
        <is>
          <t>6a64da21000000001302d652</t>
        </is>
      </c>
      <c r="C248" s="247" t="n">
        <f>HYPERLINK("https://www.xiaohongshu.com/explore/6a64da21000000001302d652?xsec_token=TBLQmp8eTAvjNVw_Rn9NdbGZ-CGRzVw7dyHLFHGiDil_0=&amp;xsec_source=pc_trdark","https://www.xiaohongshu.com/explore/6a64da21000000001302d652?xsec_token=TBLQmp8eTAvjNVw_Rn9NdbGZ-CGRzVw7dyHLFHGiDil_0=&amp;xsec_source=pc_trdark")</f>
        <v>0.0</v>
      </c>
      <c r="D248" t="inlineStr">
        <is>
          <t>婉婉上班吃什么</t>
        </is>
      </c>
      <c r="E248" t="inlineStr">
        <is>
          <t>11434449706</t>
        </is>
      </c>
      <c r="F248" t="inlineStr">
        <is>
          <t>2026-07-25 23:45:37</t>
        </is>
      </c>
      <c r="G248" t="inlineStr">
        <is>
          <t>图文</t>
        </is>
      </c>
      <c r="H248" t="inlineStr">
        <is>
          <t>手剥虾仁 无冰衣无添加 低脂餐一人食 上班带饭 顺丰包邮 5盒装</t>
        </is>
      </c>
      <c r="I248" t="inlineStr">
        <is>
          <t>694baba01d450d00013662f0</t>
        </is>
      </c>
      <c r="J248" t="inlineStr">
        <is>
          <t/>
        </is>
      </c>
      <c r="K248" t="n">
        <v>0.0</v>
      </c>
      <c r="L248" t="n">
        <v>0.0</v>
      </c>
      <c r="M248" t="n">
        <v>1.0</v>
      </c>
      <c r="N248" t="inlineStr">
        <is>
          <t>0.047619047619047616</t>
        </is>
      </c>
      <c r="O248" t="n">
        <v>1.0</v>
      </c>
      <c r="P248" t="n">
        <v>0.0</v>
      </c>
      <c r="Q248" t="n">
        <v>0.0</v>
      </c>
      <c r="R248" t="n">
        <v>0.0</v>
      </c>
      <c r="S248" t="n">
        <v>0.0</v>
      </c>
      <c r="T248" t="n">
        <v>0.0</v>
      </c>
      <c r="U248" t="n">
        <v>0.0</v>
      </c>
      <c r="V248" t="n">
        <v>0.0</v>
      </c>
      <c r="W248" t="inlineStr">
        <is>
          <t/>
        </is>
      </c>
      <c r="X248" t="n">
        <v>0.0</v>
      </c>
      <c r="Y248" t="n">
        <v>0.0</v>
      </c>
      <c r="Z248" t="n">
        <v>0.0</v>
      </c>
      <c r="AA248" t="n">
        <v>0.0</v>
      </c>
      <c r="AB248" t="n">
        <v>0.0</v>
      </c>
      <c r="AC248" t="n">
        <v>0.0</v>
      </c>
      <c r="AD248" t="n">
        <v>21.0</v>
      </c>
      <c r="AE248" t="n">
        <v>0.0</v>
      </c>
      <c r="AF248" t="n">
        <v>0.0</v>
      </c>
      <c r="AG248" t="n">
        <v>0.0</v>
      </c>
      <c r="AH248" t="n">
        <v>1.0</v>
      </c>
      <c r="AI248" t="n">
        <v>0.0</v>
      </c>
      <c r="AJ248" t="n">
        <v>0.0</v>
      </c>
      <c r="AK248" t="n">
        <v>54.80952380952381</v>
      </c>
      <c r="AL248" t="inlineStr">
        <is>
          <t/>
        </is>
      </c>
    </row>
    <row r="249">
      <c r="A249" t="inlineStr">
        <is>
          <t>可以和超市说再见了，300 来块整条够吃一月</t>
        </is>
      </c>
      <c r="B249" t="inlineStr">
        <is>
          <t>6a4b19000000000021009389</t>
        </is>
      </c>
      <c r="C249" s="248" t="n">
        <f>HYPERLINK("https://www.xiaohongshu.com/explore/6a4b19000000000021009389?xsec_token=TBbJ-JHK-PBbJgek6K72FYkZRXxJJKE549WYXUUvguBEs=&amp;xsec_source=pc_trdark","https://www.xiaohongshu.com/explore/6a4b19000000000021009389?xsec_token=TBbJ-JHK-PBbJgek6K72FYkZRXxJJKE549WYXUUvguBEs=&amp;xsec_source=pc_trdark")</f>
        <v>0.0</v>
      </c>
      <c r="D249" t="inlineStr">
        <is>
          <t>鲜水湾</t>
        </is>
      </c>
      <c r="E249" t="inlineStr">
        <is>
          <t>49316638994</t>
        </is>
      </c>
      <c r="F249" t="inlineStr">
        <is>
          <t>2026-07-06 10:54:56</t>
        </is>
      </c>
      <c r="G249" t="inlineStr">
        <is>
          <t>图文</t>
        </is>
      </c>
      <c r="H249" t="inlineStr">
        <is>
          <t>智利三文鱼切块·整条三文鱼·深海鱼一人食健康饮食</t>
        </is>
      </c>
      <c r="I249" t="inlineStr">
        <is>
          <t>691ac562a524ee0001b51d7b</t>
        </is>
      </c>
      <c r="J249" t="inlineStr">
        <is>
          <t/>
        </is>
      </c>
      <c r="K249" t="n">
        <v>0.0</v>
      </c>
      <c r="L249" t="n">
        <v>0.0</v>
      </c>
      <c r="M249" t="n">
        <v>2.0</v>
      </c>
      <c r="N249" t="inlineStr">
        <is>
          <t>0.09523809523809523</t>
        </is>
      </c>
      <c r="O249" t="n">
        <v>2.0</v>
      </c>
      <c r="P249" t="n">
        <v>0.0</v>
      </c>
      <c r="Q249" t="n">
        <v>0.0</v>
      </c>
      <c r="R249" t="n">
        <v>0.0</v>
      </c>
      <c r="S249" t="n">
        <v>0.0</v>
      </c>
      <c r="T249" t="n">
        <v>0.0</v>
      </c>
      <c r="U249" t="n">
        <v>0.0</v>
      </c>
      <c r="V249" t="n">
        <v>0.0</v>
      </c>
      <c r="W249" t="inlineStr">
        <is>
          <t/>
        </is>
      </c>
      <c r="X249" t="n">
        <v>0.0</v>
      </c>
      <c r="Y249" t="n">
        <v>0.0</v>
      </c>
      <c r="Z249" t="n">
        <v>1.0</v>
      </c>
      <c r="AA249" t="n">
        <v>0.0</v>
      </c>
      <c r="AB249" t="n">
        <v>0.0</v>
      </c>
      <c r="AC249" t="n">
        <v>0.0</v>
      </c>
      <c r="AD249" t="n">
        <v>21.0</v>
      </c>
      <c r="AE249" t="n">
        <v>0.0</v>
      </c>
      <c r="AF249" t="n">
        <v>0.0</v>
      </c>
      <c r="AG249" t="n">
        <v>0.0</v>
      </c>
      <c r="AH249" t="n">
        <v>0.0</v>
      </c>
      <c r="AI249" t="n">
        <v>0.0</v>
      </c>
      <c r="AJ249" t="n">
        <v>0.0</v>
      </c>
      <c r="AK249" t="n">
        <v>12.666666666666666</v>
      </c>
      <c r="AL249" t="inlineStr">
        <is>
          <t/>
        </is>
      </c>
    </row>
    <row r="250">
      <c r="A250" t="inlineStr">
        <is>
          <t>太宠粉了！商家终于出一人食小包装虾仁了</t>
        </is>
      </c>
      <c r="B250" t="inlineStr">
        <is>
          <t>6a0d45bc0000000007023c08</t>
        </is>
      </c>
      <c r="C250" s="249" t="n">
        <f>HYPERLINK("https://www.xiaohongshu.com/explore/6a0d45bc0000000007023c08?xsec_token=TBDdsXyCcn-sb0LuI71w4Ot2WmddfUOWTk5fuFf_8g--c=&amp;xsec_source=pc_trdark","https://www.xiaohongshu.com/explore/6a0d45bc0000000007023c08?xsec_token=TBDdsXyCcn-sb0LuI71w4Ot2WmddfUOWTk5fuFf_8g--c=&amp;xsec_source=pc_trdark")</f>
        <v>0.0</v>
      </c>
      <c r="D250" t="inlineStr">
        <is>
          <t>婉婉上班吃什么</t>
        </is>
      </c>
      <c r="E250" t="inlineStr">
        <is>
          <t>11434449706</t>
        </is>
      </c>
      <c r="F250" t="inlineStr">
        <is>
          <t>2026-05-20 13:25:16</t>
        </is>
      </c>
      <c r="G250" t="inlineStr">
        <is>
          <t>图文</t>
        </is>
      </c>
      <c r="H250" t="inlineStr">
        <is>
          <t>手剥虾仁 无冰衣无添加 低脂餐一人食 上班带饭 顺丰包邮 5盒装</t>
        </is>
      </c>
      <c r="I250" t="inlineStr">
        <is>
          <t>694baba01d450d00013662f0</t>
        </is>
      </c>
      <c r="J250" t="inlineStr">
        <is>
          <t/>
        </is>
      </c>
      <c r="K250" t="n">
        <v>64.0</v>
      </c>
      <c r="L250" t="n">
        <v>1.0</v>
      </c>
      <c r="M250" t="n">
        <v>2.0</v>
      </c>
      <c r="N250" t="inlineStr">
        <is>
          <t>0.09523809523809523</t>
        </is>
      </c>
      <c r="O250" t="n">
        <v>2.0</v>
      </c>
      <c r="P250" t="n">
        <v>1.0</v>
      </c>
      <c r="Q250" t="n">
        <v>0.5</v>
      </c>
      <c r="R250" t="n">
        <v>0.5</v>
      </c>
      <c r="S250" t="n">
        <v>0.0</v>
      </c>
      <c r="T250" t="n">
        <v>0.0</v>
      </c>
      <c r="U250" t="n">
        <v>0.0</v>
      </c>
      <c r="V250" t="n">
        <v>0.0</v>
      </c>
      <c r="W250" t="n">
        <v>0.0</v>
      </c>
      <c r="X250" t="n">
        <v>0.0</v>
      </c>
      <c r="Y250" t="n">
        <v>1.0</v>
      </c>
      <c r="Z250" t="n">
        <v>0.0</v>
      </c>
      <c r="AA250" t="n">
        <v>0.0</v>
      </c>
      <c r="AB250" t="n">
        <v>0.0</v>
      </c>
      <c r="AC250" t="n">
        <v>0.0</v>
      </c>
      <c r="AD250" t="n">
        <v>21.0</v>
      </c>
      <c r="AE250" t="n">
        <v>0.0</v>
      </c>
      <c r="AF250" t="n">
        <v>0.0</v>
      </c>
      <c r="AG250" t="n">
        <v>0.0</v>
      </c>
      <c r="AH250" t="n">
        <v>0.0</v>
      </c>
      <c r="AI250" t="n">
        <v>0.0</v>
      </c>
      <c r="AJ250" t="n">
        <v>0.0</v>
      </c>
      <c r="AK250" t="n">
        <v>4.904761904761905</v>
      </c>
      <c r="AL250" t="inlineStr">
        <is>
          <t/>
        </is>
      </c>
    </row>
    <row r="251">
      <c r="A251" t="inlineStr">
        <is>
          <t>年轻人还是不能低估69块钱的购买力😍</t>
        </is>
      </c>
      <c r="B251" t="inlineStr">
        <is>
          <t>69f19896000000003502f082</t>
        </is>
      </c>
      <c r="C251" s="250" t="n">
        <f>HYPERLINK("https://www.xiaohongshu.com/explore/69f19896000000003502f082?xsec_token=TBLt8Y96Ok9n09b_UIgIegbnY8NGqtmCeHMKigwmKuRaU=&amp;xsec_source=pc_trdark","https://www.xiaohongshu.com/explore/69f19896000000003502f082?xsec_token=TBLt8Y96Ok9n09b_UIgIegbnY8NGqtmCeHMKigwmKuRaU=&amp;xsec_source=pc_trdark")</f>
        <v>0.0</v>
      </c>
      <c r="D251" t="inlineStr">
        <is>
          <t>鲜水湾甄选</t>
        </is>
      </c>
      <c r="E251" t="inlineStr">
        <is>
          <t>27401929161</t>
        </is>
      </c>
      <c r="F251" t="inlineStr">
        <is>
          <t>2026-04-29 13:35:18</t>
        </is>
      </c>
      <c r="G251" t="inlineStr">
        <is>
          <t>图文</t>
        </is>
      </c>
      <c r="H251" t="inlineStr">
        <is>
          <t>手剥虾仁 无冰衣无添加 低脂餐一人食 上班带饭 顺丰包邮 5盒装</t>
        </is>
      </c>
      <c r="I251" t="inlineStr">
        <is>
          <t>694baba01d450d00013662f0</t>
        </is>
      </c>
      <c r="J251" t="inlineStr">
        <is>
          <t/>
        </is>
      </c>
      <c r="K251" t="n">
        <v>0.0</v>
      </c>
      <c r="L251" t="n">
        <v>0.0</v>
      </c>
      <c r="M251" t="n">
        <v>2.0</v>
      </c>
      <c r="N251" t="inlineStr">
        <is>
          <t>0.09523809523809523</t>
        </is>
      </c>
      <c r="O251" t="n">
        <v>2.0</v>
      </c>
      <c r="P251" t="n">
        <v>0.0</v>
      </c>
      <c r="Q251" t="n">
        <v>0.0</v>
      </c>
      <c r="R251" t="n">
        <v>0.0</v>
      </c>
      <c r="S251" t="n">
        <v>0.0</v>
      </c>
      <c r="T251" t="n">
        <v>0.0</v>
      </c>
      <c r="U251" t="n">
        <v>0.0</v>
      </c>
      <c r="V251" t="n">
        <v>0.0</v>
      </c>
      <c r="W251" t="inlineStr">
        <is>
          <t/>
        </is>
      </c>
      <c r="X251" t="n">
        <v>0.0</v>
      </c>
      <c r="Y251" t="n">
        <v>0.0</v>
      </c>
      <c r="Z251" t="n">
        <v>0.0</v>
      </c>
      <c r="AA251" t="n">
        <v>0.0</v>
      </c>
      <c r="AB251" t="n">
        <v>0.0</v>
      </c>
      <c r="AC251" t="n">
        <v>0.0</v>
      </c>
      <c r="AD251" t="n">
        <v>21.0</v>
      </c>
      <c r="AE251" t="n">
        <v>1.0</v>
      </c>
      <c r="AF251" t="n">
        <v>0.0</v>
      </c>
      <c r="AG251" t="n">
        <v>0.0</v>
      </c>
      <c r="AH251" t="n">
        <v>0.0</v>
      </c>
      <c r="AI251" t="n">
        <v>0.0</v>
      </c>
      <c r="AJ251" t="n">
        <v>0.0</v>
      </c>
      <c r="AK251" t="n">
        <v>9.952380952380953</v>
      </c>
      <c r="AL251" t="inlineStr">
        <is>
          <t/>
        </is>
      </c>
    </row>
    <row r="252">
      <c r="A252" t="inlineStr">
        <is>
          <t>真的不比山母合马的差呀</t>
        </is>
      </c>
      <c r="B252" t="inlineStr">
        <is>
          <t>69dfa529000000001a02ef04</t>
        </is>
      </c>
      <c r="C252" s="251" t="n">
        <f>HYPERLINK("https://www.xiaohongshu.com/explore/69dfa529000000001a02ef04?xsec_token=TBbELi6fdmnK2TYKEzYY0fWobOaVNVewx8JC2zMGlrU5k=&amp;xsec_source=pc_trdark","https://www.xiaohongshu.com/explore/69dfa529000000001a02ef04?xsec_token=TBbELi6fdmnK2TYKEzYY0fWobOaVNVewx8JC2zMGlrU5k=&amp;xsec_source=pc_trdark")</f>
        <v>0.0</v>
      </c>
      <c r="D252" t="inlineStr">
        <is>
          <t>婉婉上班吃什么</t>
        </is>
      </c>
      <c r="E252" t="inlineStr">
        <is>
          <t>11434449706</t>
        </is>
      </c>
      <c r="F252" t="inlineStr">
        <is>
          <t>2026-04-15 22:48:09</t>
        </is>
      </c>
      <c r="G252" t="inlineStr">
        <is>
          <t>图文</t>
        </is>
      </c>
      <c r="H252" t="inlineStr">
        <is>
          <t>智利尾端中段整条三文鱼 8斤深海鱼低脂餐囤货一周备菜顺丰包邮</t>
        </is>
      </c>
      <c r="I252" t="inlineStr">
        <is>
          <t>69fab80d64eb410001ece0c0</t>
        </is>
      </c>
      <c r="J252" t="inlineStr">
        <is>
          <t/>
        </is>
      </c>
      <c r="K252" t="n">
        <v>0.0</v>
      </c>
      <c r="L252" t="n">
        <v>0.0</v>
      </c>
      <c r="M252" t="n">
        <v>0.0</v>
      </c>
      <c r="N252" t="n">
        <v>0.0</v>
      </c>
      <c r="O252" t="n">
        <v>0.0</v>
      </c>
      <c r="P252" t="n">
        <v>0.0</v>
      </c>
      <c r="Q252" t="inlineStr">
        <is>
          <t/>
        </is>
      </c>
      <c r="R252" t="inlineStr">
        <is>
          <t/>
        </is>
      </c>
      <c r="S252" t="n">
        <v>0.0</v>
      </c>
      <c r="T252" t="n">
        <v>0.0</v>
      </c>
      <c r="U252" t="n">
        <v>0.0</v>
      </c>
      <c r="V252" t="n">
        <v>0.0</v>
      </c>
      <c r="W252" t="inlineStr">
        <is>
          <t/>
        </is>
      </c>
      <c r="X252" t="n">
        <v>0.0</v>
      </c>
      <c r="Y252" t="n">
        <v>0.0</v>
      </c>
      <c r="Z252" t="n">
        <v>0.0</v>
      </c>
      <c r="AA252" t="n">
        <v>0.0</v>
      </c>
      <c r="AB252" t="n">
        <v>0.0</v>
      </c>
      <c r="AC252" t="n">
        <v>0.0</v>
      </c>
      <c r="AD252" t="n">
        <v>21.0</v>
      </c>
      <c r="AE252" t="n">
        <v>0.0</v>
      </c>
      <c r="AF252" t="n">
        <v>0.0</v>
      </c>
      <c r="AG252" t="n">
        <v>0.0</v>
      </c>
      <c r="AH252" t="n">
        <v>0.0</v>
      </c>
      <c r="AI252" t="n">
        <v>0.0</v>
      </c>
      <c r="AJ252" t="n">
        <v>0.0</v>
      </c>
      <c r="AK252" t="n">
        <v>6.9523809523809526</v>
      </c>
      <c r="AL252" t="inlineStr">
        <is>
          <t/>
        </is>
      </c>
    </row>
    <row r="253">
      <c r="A253" t="inlineStr">
        <is>
          <t>一个人住第三年，我终于学会不浪费食材了</t>
        </is>
      </c>
      <c r="B253" t="inlineStr">
        <is>
          <t>69d75747000000001e00fcca</t>
        </is>
      </c>
      <c r="C253" s="252" t="n">
        <f>HYPERLINK("https://www.xiaohongshu.com/explore/69d75747000000001e00fcca?xsec_token=TBabSJw1DqF320Z_FWL3yrQwxrkD0yntBxiJtWphSoFqk=&amp;xsec_source=pc_trdark","https://www.xiaohongshu.com/explore/69d75747000000001e00fcca?xsec_token=TBabSJw1DqF320Z_FWL3yrQwxrkD0yntBxiJtWphSoFqk=&amp;xsec_source=pc_trdark")</f>
        <v>0.0</v>
      </c>
      <c r="D253" t="inlineStr">
        <is>
          <t>菲菲上班吃什么</t>
        </is>
      </c>
      <c r="E253" t="inlineStr">
        <is>
          <t>49936530607</t>
        </is>
      </c>
      <c r="F253" t="inlineStr">
        <is>
          <t>2026-04-09 15:37:43</t>
        </is>
      </c>
      <c r="G253" t="inlineStr">
        <is>
          <t>图文</t>
        </is>
      </c>
      <c r="H253" t="inlineStr">
        <is>
          <t>手剥虾仁 无冰衣无添加 低脂餐一人食 上班带饭 顺丰包邮 5盒装</t>
        </is>
      </c>
      <c r="I253" t="inlineStr">
        <is>
          <t>694baba01d450d00013662f0</t>
        </is>
      </c>
      <c r="J253" t="inlineStr">
        <is>
          <t/>
        </is>
      </c>
      <c r="K253" t="n">
        <v>0.0</v>
      </c>
      <c r="L253" t="n">
        <v>0.0</v>
      </c>
      <c r="M253" t="n">
        <v>1.0</v>
      </c>
      <c r="N253" t="inlineStr">
        <is>
          <t>0.047619047619047616</t>
        </is>
      </c>
      <c r="O253" t="n">
        <v>1.0</v>
      </c>
      <c r="P253" t="n">
        <v>0.0</v>
      </c>
      <c r="Q253" t="n">
        <v>0.0</v>
      </c>
      <c r="R253" t="n">
        <v>0.0</v>
      </c>
      <c r="S253" t="n">
        <v>0.0</v>
      </c>
      <c r="T253" t="n">
        <v>0.0</v>
      </c>
      <c r="U253" t="n">
        <v>0.0</v>
      </c>
      <c r="V253" t="n">
        <v>0.0</v>
      </c>
      <c r="W253" t="inlineStr">
        <is>
          <t/>
        </is>
      </c>
      <c r="X253" t="n">
        <v>0.0</v>
      </c>
      <c r="Y253" t="n">
        <v>0.0</v>
      </c>
      <c r="Z253" t="n">
        <v>0.0</v>
      </c>
      <c r="AA253" t="n">
        <v>0.0</v>
      </c>
      <c r="AB253" t="n">
        <v>0.0</v>
      </c>
      <c r="AC253" t="n">
        <v>0.0</v>
      </c>
      <c r="AD253" t="n">
        <v>21.0</v>
      </c>
      <c r="AE253" t="n">
        <v>0.0</v>
      </c>
      <c r="AF253" t="n">
        <v>0.0</v>
      </c>
      <c r="AG253" t="n">
        <v>0.0</v>
      </c>
      <c r="AH253" t="n">
        <v>0.0</v>
      </c>
      <c r="AI253" t="n">
        <v>0.0</v>
      </c>
      <c r="AJ253" t="n">
        <v>0.0</v>
      </c>
      <c r="AK253" t="n">
        <v>11.619047619047619</v>
      </c>
      <c r="AL253" t="inlineStr">
        <is>
          <t/>
        </is>
      </c>
    </row>
    <row r="254">
      <c r="A254" t="inlineStr">
        <is>
          <t>跟刘板筋儿学的，自己做减脂餐so了7斤</t>
        </is>
      </c>
      <c r="B254" t="inlineStr">
        <is>
          <t>69b904fe000000001a02e963</t>
        </is>
      </c>
      <c r="C254" s="253" t="n">
        <f>HYPERLINK("https://www.xiaohongshu.com/explore/69b904fe000000001a02e963?xsec_token=TBgv0wN35T_w0yZx7fmvlvfCZcaYX7nUXDRTfB7N0fbIs=&amp;xsec_source=pc_trdark","https://www.xiaohongshu.com/explore/69b904fe000000001a02e963?xsec_token=TBgv0wN35T_w0yZx7fmvlvfCZcaYX7nUXDRTfB7N0fbIs=&amp;xsec_source=pc_trdark")</f>
        <v>0.0</v>
      </c>
      <c r="D254" t="inlineStr">
        <is>
          <t>婉婉上班吃什么</t>
        </is>
      </c>
      <c r="E254" t="inlineStr">
        <is>
          <t>11434449706</t>
        </is>
      </c>
      <c r="F254" t="inlineStr">
        <is>
          <t>2026-03-17 15:38:39</t>
        </is>
      </c>
      <c r="G254" t="inlineStr">
        <is>
          <t>图文</t>
        </is>
      </c>
      <c r="H254" t="inlineStr">
        <is>
          <t>手剥虾仁 无冰衣无添加 低脂餐一人食 上班带饭 顺丰包邮 5盒装</t>
        </is>
      </c>
      <c r="I254" t="inlineStr">
        <is>
          <t>694baba01d450d00013662f0</t>
        </is>
      </c>
      <c r="J254" t="inlineStr">
        <is>
          <t/>
        </is>
      </c>
      <c r="K254" t="n">
        <v>0.0</v>
      </c>
      <c r="L254" t="n">
        <v>0.0</v>
      </c>
      <c r="M254" t="n">
        <v>0.0</v>
      </c>
      <c r="N254" t="n">
        <v>0.0</v>
      </c>
      <c r="O254" t="n">
        <v>0.0</v>
      </c>
      <c r="P254" t="n">
        <v>0.0</v>
      </c>
      <c r="Q254" t="inlineStr">
        <is>
          <t/>
        </is>
      </c>
      <c r="R254" t="inlineStr">
        <is>
          <t/>
        </is>
      </c>
      <c r="S254" t="n">
        <v>0.0</v>
      </c>
      <c r="T254" t="n">
        <v>0.0</v>
      </c>
      <c r="U254" t="n">
        <v>0.0</v>
      </c>
      <c r="V254" t="n">
        <v>0.0</v>
      </c>
      <c r="W254" t="inlineStr">
        <is>
          <t/>
        </is>
      </c>
      <c r="X254" t="n">
        <v>0.0</v>
      </c>
      <c r="Y254" t="n">
        <v>0.0</v>
      </c>
      <c r="Z254" t="n">
        <v>0.0</v>
      </c>
      <c r="AA254" t="n">
        <v>0.0</v>
      </c>
      <c r="AB254" t="n">
        <v>0.0</v>
      </c>
      <c r="AC254" t="n">
        <v>0.0</v>
      </c>
      <c r="AD254" t="n">
        <v>21.0</v>
      </c>
      <c r="AE254" t="n">
        <v>0.0</v>
      </c>
      <c r="AF254" t="n">
        <v>0.0</v>
      </c>
      <c r="AG254" t="n">
        <v>0.0</v>
      </c>
      <c r="AH254" t="n">
        <v>0.0</v>
      </c>
      <c r="AI254" t="n">
        <v>0.0</v>
      </c>
      <c r="AJ254" t="n">
        <v>0.0</v>
      </c>
      <c r="AK254" t="n">
        <v>4.666666666666667</v>
      </c>
      <c r="AL254" t="inlineStr">
        <is>
          <t/>
        </is>
      </c>
    </row>
    <row r="255">
      <c r="A255" t="inlineStr">
        <is>
          <t>晚上只吃虾会变瘦是真的</t>
        </is>
      </c>
      <c r="B255" t="inlineStr">
        <is>
          <t>69aaca22000000000e03d2a2</t>
        </is>
      </c>
      <c r="C255" s="254" t="n">
        <f>HYPERLINK("https://www.xiaohongshu.com/explore/69aaca22000000000e03d2a2?xsec_token=TB8xU8BGf5cxJmpLtWj3tacacLC0Rmrw5mKoYR2flThQg=&amp;xsec_source=pc_trdark","https://www.xiaohongshu.com/explore/69aaca22000000000e03d2a2?xsec_token=TB8xU8BGf5cxJmpLtWj3tacacLC0Rmrw5mKoYR2flThQg=&amp;xsec_source=pc_trdark")</f>
        <v>0.0</v>
      </c>
      <c r="D255" t="inlineStr">
        <is>
          <t>婉婉上班吃什么</t>
        </is>
      </c>
      <c r="E255" t="inlineStr">
        <is>
          <t>11434449706</t>
        </is>
      </c>
      <c r="F255" t="inlineStr">
        <is>
          <t>2026-03-06 20:35:46</t>
        </is>
      </c>
      <c r="G255" t="inlineStr">
        <is>
          <t>图文</t>
        </is>
      </c>
      <c r="H255" t="inlineStr">
        <is>
          <t>大虾基围虾王牌大虾厄瓜多尔白虾盐冻虾仁海洋大虾送礼顺丰包邮</t>
        </is>
      </c>
      <c r="I255" t="inlineStr">
        <is>
          <t>690aeb7be379430001e686ac</t>
        </is>
      </c>
      <c r="J255" t="inlineStr">
        <is>
          <t/>
        </is>
      </c>
      <c r="K255" t="n">
        <v>0.0</v>
      </c>
      <c r="L255" t="n">
        <v>0.0</v>
      </c>
      <c r="M255" t="n">
        <v>0.0</v>
      </c>
      <c r="N255" t="n">
        <v>0.0</v>
      </c>
      <c r="O255" t="n">
        <v>0.0</v>
      </c>
      <c r="P255" t="n">
        <v>0.0</v>
      </c>
      <c r="Q255" t="inlineStr">
        <is>
          <t/>
        </is>
      </c>
      <c r="R255" t="inlineStr">
        <is>
          <t/>
        </is>
      </c>
      <c r="S255" t="n">
        <v>0.0</v>
      </c>
      <c r="T255" t="n">
        <v>0.0</v>
      </c>
      <c r="U255" t="n">
        <v>0.0</v>
      </c>
      <c r="V255" t="n">
        <v>0.0</v>
      </c>
      <c r="W255" t="inlineStr">
        <is>
          <t/>
        </is>
      </c>
      <c r="X255" t="n">
        <v>0.0</v>
      </c>
      <c r="Y255" t="n">
        <v>0.0</v>
      </c>
      <c r="Z255" t="n">
        <v>0.0</v>
      </c>
      <c r="AA255" t="n">
        <v>0.0</v>
      </c>
      <c r="AB255" t="n">
        <v>0.0</v>
      </c>
      <c r="AC255" t="n">
        <v>0.0</v>
      </c>
      <c r="AD255" t="n">
        <v>21.0</v>
      </c>
      <c r="AE255" t="n">
        <v>1.0</v>
      </c>
      <c r="AF255" t="n">
        <v>0.0</v>
      </c>
      <c r="AG255" t="n">
        <v>0.0</v>
      </c>
      <c r="AH255" t="n">
        <v>0.0</v>
      </c>
      <c r="AI255" t="n">
        <v>0.0</v>
      </c>
      <c r="AJ255" t="n">
        <v>0.0</v>
      </c>
      <c r="AK255" t="n">
        <v>7.9523809523809526</v>
      </c>
      <c r="AL255" t="inlineStr">
        <is>
          <t/>
        </is>
      </c>
    </row>
    <row r="256">
      <c r="A256" t="inlineStr">
        <is>
          <t>以前是山姆，现在是小红书</t>
        </is>
      </c>
      <c r="B256" t="inlineStr">
        <is>
          <t>6933b8fe000000001e03b9f0</t>
        </is>
      </c>
      <c r="C256" s="255" t="n">
        <f>HYPERLINK("https://www.xiaohongshu.com/explore/6933b8fe000000001e03b9f0?xsec_token=TBtLw60d0rN_yGhfj7_ewzhSlK-dul8ye9Ak2yEu59ojA=&amp;xsec_source=pc_trdark","https://www.xiaohongshu.com/explore/6933b8fe000000001e03b9f0?xsec_token=TBtLw60d0rN_yGhfj7_ewzhSlK-dul8ye9Ak2yEu59ojA=&amp;xsec_source=pc_trdark")</f>
        <v>0.0</v>
      </c>
      <c r="D256" t="inlineStr">
        <is>
          <t>鲜水湾</t>
        </is>
      </c>
      <c r="E256" t="inlineStr">
        <is>
          <t>49316638994</t>
        </is>
      </c>
      <c r="F256" t="inlineStr">
        <is>
          <t>2025-12-06 13:02:54</t>
        </is>
      </c>
      <c r="G256" t="inlineStr">
        <is>
          <t>图文</t>
        </is>
      </c>
      <c r="H256" t="inlineStr">
        <is>
          <t>智利三文鱼切块·整条三文鱼·深海鱼一人食健康饮食</t>
        </is>
      </c>
      <c r="I256" t="inlineStr">
        <is>
          <t>691ac562a524ee0001b51d7b</t>
        </is>
      </c>
      <c r="J256" t="inlineStr">
        <is>
          <t/>
        </is>
      </c>
      <c r="K256" t="n">
        <v>0.0</v>
      </c>
      <c r="L256" t="n">
        <v>0.0</v>
      </c>
      <c r="M256" t="n">
        <v>3.0</v>
      </c>
      <c r="N256" t="inlineStr">
        <is>
          <t>0.14285714285714285</t>
        </is>
      </c>
      <c r="O256" t="n">
        <v>2.0</v>
      </c>
      <c r="P256" t="n">
        <v>0.0</v>
      </c>
      <c r="Q256" t="n">
        <v>0.0</v>
      </c>
      <c r="R256" t="n">
        <v>0.0</v>
      </c>
      <c r="S256" t="n">
        <v>0.0</v>
      </c>
      <c r="T256" t="n">
        <v>0.0</v>
      </c>
      <c r="U256" t="n">
        <v>0.0</v>
      </c>
      <c r="V256" t="n">
        <v>0.0</v>
      </c>
      <c r="W256" t="inlineStr">
        <is>
          <t/>
        </is>
      </c>
      <c r="X256" t="n">
        <v>0.0</v>
      </c>
      <c r="Y256" t="n">
        <v>1.0</v>
      </c>
      <c r="Z256" t="n">
        <v>0.0</v>
      </c>
      <c r="AA256" t="n">
        <v>0.0</v>
      </c>
      <c r="AB256" t="n">
        <v>0.0</v>
      </c>
      <c r="AC256" t="n">
        <v>0.0</v>
      </c>
      <c r="AD256" t="n">
        <v>21.0</v>
      </c>
      <c r="AE256" t="n">
        <v>0.0</v>
      </c>
      <c r="AF256" t="n">
        <v>0.0</v>
      </c>
      <c r="AG256" t="n">
        <v>0.0</v>
      </c>
      <c r="AH256" t="n">
        <v>0.0</v>
      </c>
      <c r="AI256" t="n">
        <v>0.0</v>
      </c>
      <c r="AJ256" t="n">
        <v>0.0</v>
      </c>
      <c r="AK256" t="n">
        <v>15.714285714285714</v>
      </c>
      <c r="AL256" t="inlineStr">
        <is>
          <t/>
        </is>
      </c>
    </row>
    <row r="257">
      <c r="A257" t="inlineStr">
        <is>
          <t>减脂期，打工人带饭靠虾仁续命</t>
        </is>
      </c>
      <c r="B257" t="inlineStr">
        <is>
          <t>6a6c7722000000003301b6c6</t>
        </is>
      </c>
      <c r="C257" s="256" t="n">
        <f>HYPERLINK("https://www.xiaohongshu.com/explore/6a6c7722000000003301b6c6?xsec_token=TBpbsD5cK9v8WYsSJHgrIHrxeLJBZ2-gayInut0f-YSfk=&amp;xsec_source=pc_trdark","https://www.xiaohongshu.com/explore/6a6c7722000000003301b6c6?xsec_token=TBpbsD5cK9v8WYsSJHgrIHrxeLJBZ2-gayInut0f-YSfk=&amp;xsec_source=pc_trdark")</f>
        <v>0.0</v>
      </c>
      <c r="D257" t="inlineStr">
        <is>
          <t>鲜水湾甄选</t>
        </is>
      </c>
      <c r="E257" t="inlineStr">
        <is>
          <t>27401929161</t>
        </is>
      </c>
      <c r="F257" t="inlineStr">
        <is>
          <t>2026-07-31 18:21:22</t>
        </is>
      </c>
      <c r="G257" t="inlineStr">
        <is>
          <t>图文</t>
        </is>
      </c>
      <c r="H257" t="inlineStr">
        <is>
          <t>手剥虾仁 无冰衣无添加 低脂餐一人食 上班带饭 顺丰包邮 5盒装</t>
        </is>
      </c>
      <c r="I257" t="inlineStr">
        <is>
          <t>694baba01d450d00013662f0</t>
        </is>
      </c>
      <c r="J257" t="inlineStr">
        <is>
          <t/>
        </is>
      </c>
      <c r="K257" t="n">
        <v>0.0</v>
      </c>
      <c r="L257" t="n">
        <v>0.0</v>
      </c>
      <c r="M257" t="n">
        <v>5.0</v>
      </c>
      <c r="N257" t="n">
        <v>0.25</v>
      </c>
      <c r="O257" t="n">
        <v>4.0</v>
      </c>
      <c r="P257" t="n">
        <v>0.0</v>
      </c>
      <c r="Q257" t="n">
        <v>0.0</v>
      </c>
      <c r="R257" t="n">
        <v>0.0</v>
      </c>
      <c r="S257" t="n">
        <v>0.0</v>
      </c>
      <c r="T257" t="n">
        <v>0.0</v>
      </c>
      <c r="U257" t="n">
        <v>0.0</v>
      </c>
      <c r="V257" t="n">
        <v>0.0</v>
      </c>
      <c r="W257" t="inlineStr">
        <is>
          <t/>
        </is>
      </c>
      <c r="X257" t="n">
        <v>0.0</v>
      </c>
      <c r="Y257" t="n">
        <v>1.0</v>
      </c>
      <c r="Z257" t="n">
        <v>1.0</v>
      </c>
      <c r="AA257" t="n">
        <v>0.0</v>
      </c>
      <c r="AB257" t="n">
        <v>0.0</v>
      </c>
      <c r="AC257" t="n">
        <v>0.0</v>
      </c>
      <c r="AD257" t="n">
        <v>20.0</v>
      </c>
      <c r="AE257" t="n">
        <v>0.0</v>
      </c>
      <c r="AF257" t="n">
        <v>0.0</v>
      </c>
      <c r="AG257" t="n">
        <v>0.0</v>
      </c>
      <c r="AH257" t="n">
        <v>0.0</v>
      </c>
      <c r="AI257" t="n">
        <v>0.0</v>
      </c>
      <c r="AJ257" t="n">
        <v>0.0</v>
      </c>
      <c r="AK257" t="n">
        <v>9.7</v>
      </c>
      <c r="AL257" t="inlineStr">
        <is>
          <t/>
        </is>
      </c>
    </row>
    <row r="258">
      <c r="A258" t="inlineStr">
        <is>
          <t>以为虾仁很贵，结果60来块够吃一周✅</t>
        </is>
      </c>
      <c r="B258" t="inlineStr">
        <is>
          <t>6a681e7a000000001f01dc3b</t>
        </is>
      </c>
      <c r="C258" s="257" t="n">
        <f>HYPERLINK("https://www.xiaohongshu.com/explore/6a681e7a000000001f01dc3b?xsec_token=TBuVqV6OAJJIOGGQlO2UOOSNc-Y0X8Hs7p2lrjDO1DANI=&amp;xsec_source=pc_trdark","https://www.xiaohongshu.com/explore/6a681e7a000000001f01dc3b?xsec_token=TBuVqV6OAJJIOGGQlO2UOOSNc-Y0X8Hs7p2lrjDO1DANI=&amp;xsec_source=pc_trdark")</f>
        <v>0.0</v>
      </c>
      <c r="D258" t="inlineStr">
        <is>
          <t>鲜水湾</t>
        </is>
      </c>
      <c r="E258" t="inlineStr">
        <is>
          <t>49316638994</t>
        </is>
      </c>
      <c r="F258" t="inlineStr">
        <is>
          <t>2026-07-28 11:14:02</t>
        </is>
      </c>
      <c r="G258" t="inlineStr">
        <is>
          <t>图文</t>
        </is>
      </c>
      <c r="H258" t="inlineStr">
        <is>
          <t>手剥虾仁 无冰衣无添加 低脂餐一人食 上班带饭 顺丰包邮 5盒装</t>
        </is>
      </c>
      <c r="I258" t="inlineStr">
        <is>
          <t>694baba01d450d00013662f0</t>
        </is>
      </c>
      <c r="J258" t="inlineStr">
        <is>
          <t/>
        </is>
      </c>
      <c r="K258" t="n">
        <v>191.0</v>
      </c>
      <c r="L258" t="n">
        <v>2.0</v>
      </c>
      <c r="M258" t="n">
        <v>4.0</v>
      </c>
      <c r="N258" t="n">
        <v>0.2</v>
      </c>
      <c r="O258" t="n">
        <v>2.0</v>
      </c>
      <c r="P258" t="n">
        <v>2.0</v>
      </c>
      <c r="Q258" t="n">
        <v>0.5</v>
      </c>
      <c r="R258" t="n">
        <v>1.0</v>
      </c>
      <c r="S258" t="n">
        <v>0.0</v>
      </c>
      <c r="T258" t="n">
        <v>0.0</v>
      </c>
      <c r="U258" t="n">
        <v>0.0</v>
      </c>
      <c r="V258" t="n">
        <v>0.0</v>
      </c>
      <c r="W258" t="n">
        <v>0.0</v>
      </c>
      <c r="X258" t="n">
        <v>0.0</v>
      </c>
      <c r="Y258" t="n">
        <v>1.0</v>
      </c>
      <c r="Z258" t="n">
        <v>9.0</v>
      </c>
      <c r="AA258" t="n">
        <v>0.0</v>
      </c>
      <c r="AB258" t="n">
        <v>0.0</v>
      </c>
      <c r="AC258" t="n">
        <v>0.0</v>
      </c>
      <c r="AD258" t="n">
        <v>20.0</v>
      </c>
      <c r="AE258" t="n">
        <v>0.0</v>
      </c>
      <c r="AF258" t="n">
        <v>0.0</v>
      </c>
      <c r="AG258" t="n">
        <v>0.0</v>
      </c>
      <c r="AH258" t="n">
        <v>0.0</v>
      </c>
      <c r="AI258" t="n">
        <v>0.0</v>
      </c>
      <c r="AJ258" t="n">
        <v>0.0</v>
      </c>
      <c r="AK258" t="n">
        <v>17.65</v>
      </c>
      <c r="AL258" t="inlineStr">
        <is>
          <t/>
        </is>
      </c>
    </row>
    <row r="259">
      <c r="A259" t="inlineStr">
        <is>
          <t>打工人点外卖才发现，减脂餐真的很重要</t>
        </is>
      </c>
      <c r="B259" t="inlineStr">
        <is>
          <t>6a5c766a000000001d020c16</t>
        </is>
      </c>
      <c r="C259" s="258" t="n">
        <f>HYPERLINK("https://www.xiaohongshu.com/explore/6a5c766a000000001d020c16?xsec_token=TBcqCuVCCi2LPEDZ4T1AgR0fGfrbuCuHVu9X7vjGAz6hw=&amp;xsec_source=pc_trdark","https://www.xiaohongshu.com/explore/6a5c766a000000001d020c16?xsec_token=TBcqCuVCCi2LPEDZ4T1AgR0fGfrbuCuHVu9X7vjGAz6hw=&amp;xsec_source=pc_trdark")</f>
        <v>0.0</v>
      </c>
      <c r="D259" t="inlineStr">
        <is>
          <t>菲菲上班吃什么</t>
        </is>
      </c>
      <c r="E259" t="inlineStr">
        <is>
          <t>49936530607</t>
        </is>
      </c>
      <c r="F259" t="inlineStr">
        <is>
          <t>2026-07-19 15:02:02</t>
        </is>
      </c>
      <c r="G259" t="inlineStr">
        <is>
          <t>图文</t>
        </is>
      </c>
      <c r="H259" t="inlineStr">
        <is>
          <t>手剥虾仁 无冰衣无添加 低脂餐一人食 上班带饭 顺丰包邮 5盒装</t>
        </is>
      </c>
      <c r="I259" t="inlineStr">
        <is>
          <t>694baba01d450d00013662f0</t>
        </is>
      </c>
      <c r="J259" t="inlineStr">
        <is>
          <t/>
        </is>
      </c>
      <c r="K259" t="n">
        <v>0.0</v>
      </c>
      <c r="L259" t="n">
        <v>0.0</v>
      </c>
      <c r="M259" t="n">
        <v>1.0</v>
      </c>
      <c r="N259" t="n">
        <v>0.05</v>
      </c>
      <c r="O259" t="n">
        <v>1.0</v>
      </c>
      <c r="P259" t="n">
        <v>0.0</v>
      </c>
      <c r="Q259" t="n">
        <v>0.0</v>
      </c>
      <c r="R259" t="n">
        <v>0.0</v>
      </c>
      <c r="S259" t="n">
        <v>0.0</v>
      </c>
      <c r="T259" t="n">
        <v>0.0</v>
      </c>
      <c r="U259" t="n">
        <v>0.0</v>
      </c>
      <c r="V259" t="n">
        <v>0.0</v>
      </c>
      <c r="W259" t="inlineStr">
        <is>
          <t/>
        </is>
      </c>
      <c r="X259" t="n">
        <v>0.0</v>
      </c>
      <c r="Y259" t="n">
        <v>0.0</v>
      </c>
      <c r="Z259" t="n">
        <v>0.0</v>
      </c>
      <c r="AA259" t="n">
        <v>0.0</v>
      </c>
      <c r="AB259" t="n">
        <v>0.0</v>
      </c>
      <c r="AC259" t="n">
        <v>0.0</v>
      </c>
      <c r="AD259" t="n">
        <v>20.0</v>
      </c>
      <c r="AE259" t="n">
        <v>0.0</v>
      </c>
      <c r="AF259" t="n">
        <v>0.0</v>
      </c>
      <c r="AG259" t="n">
        <v>0.0</v>
      </c>
      <c r="AH259" t="n">
        <v>0.0</v>
      </c>
      <c r="AI259" t="n">
        <v>0.0</v>
      </c>
      <c r="AJ259" t="n">
        <v>0.0</v>
      </c>
      <c r="AK259" t="n">
        <v>3.7</v>
      </c>
      <c r="AL259" t="inlineStr">
        <is>
          <t/>
        </is>
      </c>
    </row>
    <row r="260">
      <c r="A260" t="inlineStr">
        <is>
          <t>我妈以为很贵的整条三文鱼。。。</t>
        </is>
      </c>
      <c r="B260" t="inlineStr">
        <is>
          <t>6a3e0eab0000000021017ad9</t>
        </is>
      </c>
      <c r="C260" s="259" t="n">
        <f>HYPERLINK("https://www.xiaohongshu.com/explore/6a3e0eab0000000021017ad9?xsec_token=TBr0r0iKecestw8rIiwqZdvqfSTYSgrNoC3DYMwYA71GY=&amp;xsec_source=pc_trdark","https://www.xiaohongshu.com/explore/6a3e0eab0000000021017ad9?xsec_token=TBr0r0iKecestw8rIiwqZdvqfSTYSgrNoC3DYMwYA71GY=&amp;xsec_source=pc_trdark")</f>
        <v>0.0</v>
      </c>
      <c r="D260" t="inlineStr">
        <is>
          <t>婉婉上班吃什么</t>
        </is>
      </c>
      <c r="E260" t="inlineStr">
        <is>
          <t>11434449706</t>
        </is>
      </c>
      <c r="F260" t="inlineStr">
        <is>
          <t>2026-06-26 13:31:23</t>
        </is>
      </c>
      <c r="G260" t="inlineStr">
        <is>
          <t>图文</t>
        </is>
      </c>
      <c r="H260" t="inlineStr">
        <is>
          <t>智利尾端中段整条三文鱼 8斤深海鱼低脂餐囤货一周备菜顺丰包邮</t>
        </is>
      </c>
      <c r="I260" t="inlineStr">
        <is>
          <t>69fab80d64eb410001ece0c0</t>
        </is>
      </c>
      <c r="J260" t="inlineStr">
        <is>
          <t/>
        </is>
      </c>
      <c r="K260" t="n">
        <v>367.0</v>
      </c>
      <c r="L260" t="n">
        <v>1.0</v>
      </c>
      <c r="M260" t="n">
        <v>6.0</v>
      </c>
      <c r="N260" t="n">
        <v>0.3</v>
      </c>
      <c r="O260" t="n">
        <v>4.0</v>
      </c>
      <c r="P260" t="n">
        <v>1.0</v>
      </c>
      <c r="Q260" t="inlineStr">
        <is>
          <t>0.16666666666666666</t>
        </is>
      </c>
      <c r="R260" t="n">
        <v>0.25</v>
      </c>
      <c r="S260" t="n">
        <v>0.0</v>
      </c>
      <c r="T260" t="n">
        <v>0.0</v>
      </c>
      <c r="U260" t="n">
        <v>0.0</v>
      </c>
      <c r="V260" t="n">
        <v>0.0</v>
      </c>
      <c r="W260" t="n">
        <v>0.0</v>
      </c>
      <c r="X260" t="n">
        <v>0.0</v>
      </c>
      <c r="Y260" t="n">
        <v>2.0</v>
      </c>
      <c r="Z260" t="n">
        <v>0.0</v>
      </c>
      <c r="AA260" t="n">
        <v>0.0</v>
      </c>
      <c r="AB260" t="n">
        <v>0.0</v>
      </c>
      <c r="AC260" t="n">
        <v>0.0</v>
      </c>
      <c r="AD260" t="n">
        <v>20.0</v>
      </c>
      <c r="AE260" t="n">
        <v>0.0</v>
      </c>
      <c r="AF260" t="n">
        <v>0.0</v>
      </c>
      <c r="AG260" t="n">
        <v>0.0</v>
      </c>
      <c r="AH260" t="n">
        <v>0.0</v>
      </c>
      <c r="AI260" t="n">
        <v>0.0</v>
      </c>
      <c r="AJ260" t="n">
        <v>0.0</v>
      </c>
      <c r="AK260" t="n">
        <v>25.75</v>
      </c>
      <c r="AL260" t="inlineStr">
        <is>
          <t/>
        </is>
      </c>
    </row>
    <row r="261">
      <c r="A261" t="inlineStr">
        <is>
          <t>太适合一人食了，快去拍这个小包装三文鱼</t>
        </is>
      </c>
      <c r="B261" t="inlineStr">
        <is>
          <t>6a16a9ad0000000007028360</t>
        </is>
      </c>
      <c r="C261" s="260" t="n">
        <f>HYPERLINK("https://www.xiaohongshu.com/explore/6a16a9ad0000000007028360?xsec_token=TBTlDyK2vMyPBioInbRWPaPiOVESXfYRrxlSFjyabHS3o=&amp;xsec_source=pc_trdark","https://www.xiaohongshu.com/explore/6a16a9ad0000000007028360?xsec_token=TBTlDyK2vMyPBioInbRWPaPiOVESXfYRrxlSFjyabHS3o=&amp;xsec_source=pc_trdark")</f>
        <v>0.0</v>
      </c>
      <c r="D261" t="inlineStr">
        <is>
          <t>鲜水湾</t>
        </is>
      </c>
      <c r="E261" t="inlineStr">
        <is>
          <t>49316638994</t>
        </is>
      </c>
      <c r="F261" t="inlineStr">
        <is>
          <t>2026-05-27 16:22:05</t>
        </is>
      </c>
      <c r="G261" t="inlineStr">
        <is>
          <t>图文</t>
        </is>
      </c>
      <c r="H261" t="inlineStr">
        <is>
          <t>智利三文鱼切块·整条三文鱼·深海鱼一人食健康饮食</t>
        </is>
      </c>
      <c r="I261" t="inlineStr">
        <is>
          <t>691ac562a524ee0001b51d7b</t>
        </is>
      </c>
      <c r="J261" t="inlineStr">
        <is>
          <t/>
        </is>
      </c>
      <c r="K261" t="n">
        <v>0.0</v>
      </c>
      <c r="L261" t="n">
        <v>0.0</v>
      </c>
      <c r="M261" t="n">
        <v>1.0</v>
      </c>
      <c r="N261" t="n">
        <v>0.05</v>
      </c>
      <c r="O261" t="n">
        <v>1.0</v>
      </c>
      <c r="P261" t="n">
        <v>0.0</v>
      </c>
      <c r="Q261" t="n">
        <v>0.0</v>
      </c>
      <c r="R261" t="n">
        <v>0.0</v>
      </c>
      <c r="S261" t="n">
        <v>0.0</v>
      </c>
      <c r="T261" t="n">
        <v>0.0</v>
      </c>
      <c r="U261" t="n">
        <v>0.0</v>
      </c>
      <c r="V261" t="n">
        <v>0.0</v>
      </c>
      <c r="W261" t="inlineStr">
        <is>
          <t/>
        </is>
      </c>
      <c r="X261" t="n">
        <v>0.0</v>
      </c>
      <c r="Y261" t="n">
        <v>0.0</v>
      </c>
      <c r="Z261" t="n">
        <v>0.0</v>
      </c>
      <c r="AA261" t="n">
        <v>0.0</v>
      </c>
      <c r="AB261" t="n">
        <v>0.0</v>
      </c>
      <c r="AC261" t="n">
        <v>0.0</v>
      </c>
      <c r="AD261" t="n">
        <v>20.0</v>
      </c>
      <c r="AE261" t="n">
        <v>0.0</v>
      </c>
      <c r="AF261" t="n">
        <v>0.0</v>
      </c>
      <c r="AG261" t="n">
        <v>0.0</v>
      </c>
      <c r="AH261" t="n">
        <v>0.0</v>
      </c>
      <c r="AI261" t="n">
        <v>0.0</v>
      </c>
      <c r="AJ261" t="n">
        <v>0.0</v>
      </c>
      <c r="AK261" t="n">
        <v>5.7</v>
      </c>
      <c r="AL261" t="inlineStr">
        <is>
          <t/>
        </is>
      </c>
    </row>
    <row r="262">
      <c r="A262" t="inlineStr">
        <is>
          <t>跟爸妈商量好，推出整条三文鱼了</t>
        </is>
      </c>
      <c r="B262" t="inlineStr">
        <is>
          <t>69dbb9880000000022025a4f</t>
        </is>
      </c>
      <c r="C262" s="261" t="n">
        <f>HYPERLINK("https://www.xiaohongshu.com/explore/69dbb9880000000022025a4f?xsec_token=TBv7n0Oy0CPbFvgz473v78kQVZn2LNbWAwYLgbkyN_NS0=&amp;xsec_source=pc_trdark","https://www.xiaohongshu.com/explore/69dbb9880000000022025a4f?xsec_token=TBv7n0Oy0CPbFvgz473v78kQVZn2LNbWAwYLgbkyN_NS0=&amp;xsec_source=pc_trdark")</f>
        <v>0.0</v>
      </c>
      <c r="D262" t="inlineStr">
        <is>
          <t>鲜水湾</t>
        </is>
      </c>
      <c r="E262" t="inlineStr">
        <is>
          <t>49316638994</t>
        </is>
      </c>
      <c r="F262" t="inlineStr">
        <is>
          <t>2026-04-12 23:26:00</t>
        </is>
      </c>
      <c r="G262" t="inlineStr">
        <is>
          <t>图文</t>
        </is>
      </c>
      <c r="H262" t="inlineStr">
        <is>
          <t>智利尾端中段整条三文鱼 8斤深海鱼低脂餐囤货一周备菜顺丰包邮</t>
        </is>
      </c>
      <c r="I262" t="inlineStr">
        <is>
          <t>69fab80d64eb410001ece0c0</t>
        </is>
      </c>
      <c r="J262" t="inlineStr">
        <is>
          <t/>
        </is>
      </c>
      <c r="K262" t="n">
        <v>0.0</v>
      </c>
      <c r="L262" t="n">
        <v>0.0</v>
      </c>
      <c r="M262" t="n">
        <v>5.0</v>
      </c>
      <c r="N262" t="n">
        <v>0.25</v>
      </c>
      <c r="O262" t="n">
        <v>5.0</v>
      </c>
      <c r="P262" t="n">
        <v>0.0</v>
      </c>
      <c r="Q262" t="n">
        <v>0.0</v>
      </c>
      <c r="R262" t="n">
        <v>0.0</v>
      </c>
      <c r="S262" t="n">
        <v>0.0</v>
      </c>
      <c r="T262" t="n">
        <v>0.0</v>
      </c>
      <c r="U262" t="n">
        <v>0.0</v>
      </c>
      <c r="V262" t="n">
        <v>0.0</v>
      </c>
      <c r="W262" t="inlineStr">
        <is>
          <t/>
        </is>
      </c>
      <c r="X262" t="n">
        <v>0.0</v>
      </c>
      <c r="Y262" t="n">
        <v>0.0</v>
      </c>
      <c r="Z262" t="n">
        <v>4.0</v>
      </c>
      <c r="AA262" t="n">
        <v>0.0</v>
      </c>
      <c r="AB262" t="n">
        <v>0.0</v>
      </c>
      <c r="AC262" t="n">
        <v>0.0</v>
      </c>
      <c r="AD262" t="n">
        <v>20.0</v>
      </c>
      <c r="AE262" t="n">
        <v>0.0</v>
      </c>
      <c r="AF262" t="n">
        <v>0.0</v>
      </c>
      <c r="AG262" t="n">
        <v>0.0</v>
      </c>
      <c r="AH262" t="n">
        <v>0.0</v>
      </c>
      <c r="AI262" t="n">
        <v>0.0</v>
      </c>
      <c r="AJ262" t="n">
        <v>0.0</v>
      </c>
      <c r="AK262" t="n">
        <v>16.4</v>
      </c>
      <c r="AL262" t="inlineStr">
        <is>
          <t/>
        </is>
      </c>
    </row>
    <row r="263">
      <c r="A263" t="inlineStr">
        <is>
          <t>山东地区女婿们又到送鲅鱼给老丈人的时候了</t>
        </is>
      </c>
      <c r="B263" t="inlineStr">
        <is>
          <t>69d5270200000000230163e2</t>
        </is>
      </c>
      <c r="C263" s="262" t="n">
        <f>HYPERLINK("https://www.xiaohongshu.com/explore/69d5270200000000230163e2?xsec_token=TB8iwnyw3eAUAW6IHOsxIm-tgivzTMPRhgPaaLFdKg8FA=&amp;xsec_source=pc_trdark","https://www.xiaohongshu.com/explore/69d5270200000000230163e2?xsec_token=TB8iwnyw3eAUAW6IHOsxIm-tgivzTMPRhgPaaLFdKg8FA=&amp;xsec_source=pc_trdark")</f>
        <v>0.0</v>
      </c>
      <c r="D263" t="inlineStr">
        <is>
          <t>鲜水湾</t>
        </is>
      </c>
      <c r="E263" t="inlineStr">
        <is>
          <t>49316638994</t>
        </is>
      </c>
      <c r="F263" t="inlineStr">
        <is>
          <t>2026-04-07 23:47:14</t>
        </is>
      </c>
      <c r="G263" t="inlineStr">
        <is>
          <t>图文</t>
        </is>
      </c>
      <c r="H263" t="inlineStr">
        <is>
          <t>青岛大鲅鱼春鲅鱼鲅鱼新鲜冷冻马鲛鱼蓝点马鲛鱼顺丰包邮</t>
        </is>
      </c>
      <c r="I263" t="inlineStr">
        <is>
          <t>6932506ad36285000198a8a6</t>
        </is>
      </c>
      <c r="J263" t="inlineStr">
        <is>
          <t/>
        </is>
      </c>
      <c r="K263" t="n">
        <v>0.0</v>
      </c>
      <c r="L263" t="n">
        <v>0.0</v>
      </c>
      <c r="M263" t="n">
        <v>2.0</v>
      </c>
      <c r="N263" t="n">
        <v>0.1</v>
      </c>
      <c r="O263" t="n">
        <v>2.0</v>
      </c>
      <c r="P263" t="n">
        <v>0.0</v>
      </c>
      <c r="Q263" t="n">
        <v>0.0</v>
      </c>
      <c r="R263" t="n">
        <v>0.0</v>
      </c>
      <c r="S263" t="n">
        <v>0.0</v>
      </c>
      <c r="T263" t="n">
        <v>0.0</v>
      </c>
      <c r="U263" t="n">
        <v>0.0</v>
      </c>
      <c r="V263" t="n">
        <v>0.0</v>
      </c>
      <c r="W263" t="inlineStr">
        <is>
          <t/>
        </is>
      </c>
      <c r="X263" t="n">
        <v>0.0</v>
      </c>
      <c r="Y263" t="n">
        <v>0.0</v>
      </c>
      <c r="Z263" t="n">
        <v>0.0</v>
      </c>
      <c r="AA263" t="n">
        <v>0.0</v>
      </c>
      <c r="AB263" t="n">
        <v>0.0</v>
      </c>
      <c r="AC263" t="n">
        <v>0.0</v>
      </c>
      <c r="AD263" t="n">
        <v>20.0</v>
      </c>
      <c r="AE263" t="n">
        <v>0.0</v>
      </c>
      <c r="AF263" t="n">
        <v>0.0</v>
      </c>
      <c r="AG263" t="n">
        <v>0.0</v>
      </c>
      <c r="AH263" t="n">
        <v>0.0</v>
      </c>
      <c r="AI263" t="n">
        <v>0.0</v>
      </c>
      <c r="AJ263" t="n">
        <v>0.0</v>
      </c>
      <c r="AK263" t="n">
        <v>10.55</v>
      </c>
      <c r="AL263" t="inlineStr">
        <is>
          <t/>
        </is>
      </c>
    </row>
    <row r="264">
      <c r="A264" t="inlineStr">
        <is>
          <t>孕妈妈可以放心吃的北极甜虾🦐</t>
        </is>
      </c>
      <c r="B264" t="inlineStr">
        <is>
          <t>6a7c230b000000003400f223</t>
        </is>
      </c>
      <c r="C264" s="263" t="n">
        <f>HYPERLINK("https://www.xiaohongshu.com/explore/6a7c230b000000003400f223?xsec_token=TBPf99IXE_doSxKY2rrlSQukyItPgyD0YLTI9rneiTNck=&amp;xsec_source=pc_trdark","https://www.xiaohongshu.com/explore/6a7c230b000000003400f223?xsec_token=TBPf99IXE_doSxKY2rrlSQukyItPgyD0YLTI9rneiTNck=&amp;xsec_source=pc_trdark")</f>
        <v>0.0</v>
      </c>
      <c r="D264" t="inlineStr">
        <is>
          <t>菲菲上班吃什么</t>
        </is>
      </c>
      <c r="E264" t="inlineStr">
        <is>
          <t>49936530607</t>
        </is>
      </c>
      <c r="F264" t="inlineStr">
        <is>
          <t>2026-08-12 15:38:51</t>
        </is>
      </c>
      <c r="G264" t="inlineStr">
        <is>
          <t>视频</t>
        </is>
      </c>
      <c r="H264" t="inlineStr">
        <is>
          <t>北极甜虾头籽甜虾元宝虾北极熊冰虾孕妈妈宝宝辅食顺丰</t>
        </is>
      </c>
      <c r="I264" t="inlineStr">
        <is>
          <t>6953717eb8f0bb000115158d</t>
        </is>
      </c>
      <c r="J264" t="n">
        <v>27.0</v>
      </c>
      <c r="K264" t="n">
        <v>0.0</v>
      </c>
      <c r="L264" t="n">
        <v>0.0</v>
      </c>
      <c r="M264" t="n">
        <v>6.0</v>
      </c>
      <c r="N264" t="n">
        <v>0.3157894736842105</v>
      </c>
      <c r="O264" t="n">
        <v>1.0</v>
      </c>
      <c r="P264" t="n">
        <v>0.0</v>
      </c>
      <c r="Q264" t="n">
        <v>0.0</v>
      </c>
      <c r="R264" t="n">
        <v>0.0</v>
      </c>
      <c r="S264" t="n">
        <v>0.0</v>
      </c>
      <c r="T264" t="n">
        <v>0.0</v>
      </c>
      <c r="U264" t="n">
        <v>0.0</v>
      </c>
      <c r="V264" t="n">
        <v>0.0</v>
      </c>
      <c r="W264" t="inlineStr">
        <is>
          <t/>
        </is>
      </c>
      <c r="X264" t="n">
        <v>0.0</v>
      </c>
      <c r="Y264" t="n">
        <v>0.0</v>
      </c>
      <c r="Z264" t="n">
        <v>0.0</v>
      </c>
      <c r="AA264" t="n">
        <v>0.0</v>
      </c>
      <c r="AB264" t="n">
        <v>0.0</v>
      </c>
      <c r="AC264" t="n">
        <v>0.0</v>
      </c>
      <c r="AD264" t="n">
        <v>19.0</v>
      </c>
      <c r="AE264" t="n">
        <v>0.0</v>
      </c>
      <c r="AF264" t="n">
        <v>0.0</v>
      </c>
      <c r="AG264" t="n">
        <v>0.0</v>
      </c>
      <c r="AH264" t="n">
        <v>1.0</v>
      </c>
      <c r="AI264" t="n">
        <v>0.0</v>
      </c>
      <c r="AJ264" t="n">
        <v>0.0</v>
      </c>
      <c r="AK264" t="n">
        <v>15.842105263157896</v>
      </c>
      <c r="AL264" t="n">
        <v>0.45</v>
      </c>
    </row>
    <row r="265">
      <c r="A265" t="inlineStr">
        <is>
          <t>吃了一整个礼拜的减脂餐，才60多块</t>
        </is>
      </c>
      <c r="B265" t="inlineStr">
        <is>
          <t>6a6413bb0000000014004ee5</t>
        </is>
      </c>
      <c r="C265" s="264" t="n">
        <f>HYPERLINK("https://www.xiaohongshu.com/explore/6a6413bb0000000014004ee5?xsec_token=TBLQmp8eTAvjNVw_Rn9NdbGbuakdWt-6mmjvRucn2-Fzw=&amp;xsec_source=pc_trdark","https://www.xiaohongshu.com/explore/6a6413bb0000000014004ee5?xsec_token=TBLQmp8eTAvjNVw_Rn9NdbGbuakdWt-6mmjvRucn2-Fzw=&amp;xsec_source=pc_trdark")</f>
        <v>0.0</v>
      </c>
      <c r="D265" t="inlineStr">
        <is>
          <t>鲜水湾</t>
        </is>
      </c>
      <c r="E265" t="inlineStr">
        <is>
          <t>49316638994</t>
        </is>
      </c>
      <c r="F265" t="inlineStr">
        <is>
          <t>2026-07-25 09:39:07</t>
        </is>
      </c>
      <c r="G265" t="inlineStr">
        <is>
          <t>图文</t>
        </is>
      </c>
      <c r="H265" t="inlineStr">
        <is>
          <t>智利三文鱼切块·整条三文鱼·深海鱼一人食健康饮食</t>
        </is>
      </c>
      <c r="I265" t="inlineStr">
        <is>
          <t>691ac562a524ee0001b51d7b</t>
        </is>
      </c>
      <c r="J265" t="inlineStr">
        <is>
          <t/>
        </is>
      </c>
      <c r="K265" t="n">
        <v>0.0</v>
      </c>
      <c r="L265" t="n">
        <v>0.0</v>
      </c>
      <c r="M265" t="n">
        <v>0.0</v>
      </c>
      <c r="N265" t="n">
        <v>0.0</v>
      </c>
      <c r="O265" t="n">
        <v>0.0</v>
      </c>
      <c r="P265" t="n">
        <v>0.0</v>
      </c>
      <c r="Q265" t="inlineStr">
        <is>
          <t/>
        </is>
      </c>
      <c r="R265" t="inlineStr">
        <is>
          <t/>
        </is>
      </c>
      <c r="S265" t="n">
        <v>0.0</v>
      </c>
      <c r="T265" t="n">
        <v>0.0</v>
      </c>
      <c r="U265" t="n">
        <v>0.0</v>
      </c>
      <c r="V265" t="n">
        <v>0.0</v>
      </c>
      <c r="W265" t="inlineStr">
        <is>
          <t/>
        </is>
      </c>
      <c r="X265" t="n">
        <v>0.0</v>
      </c>
      <c r="Y265" t="n">
        <v>0.0</v>
      </c>
      <c r="Z265" t="n">
        <v>0.0</v>
      </c>
      <c r="AA265" t="n">
        <v>0.0</v>
      </c>
      <c r="AB265" t="n">
        <v>0.0</v>
      </c>
      <c r="AC265" t="n">
        <v>0.0</v>
      </c>
      <c r="AD265" t="n">
        <v>19.0</v>
      </c>
      <c r="AE265" t="n">
        <v>0.0</v>
      </c>
      <c r="AF265" t="n">
        <v>0.0</v>
      </c>
      <c r="AG265" t="n">
        <v>0.0</v>
      </c>
      <c r="AH265" t="n">
        <v>0.0</v>
      </c>
      <c r="AI265" t="n">
        <v>0.0</v>
      </c>
      <c r="AJ265" t="n">
        <v>0.0</v>
      </c>
      <c r="AK265" t="n">
        <v>13.210526315789474</v>
      </c>
      <c r="AL265" t="inlineStr">
        <is>
          <t/>
        </is>
      </c>
    </row>
    <row r="266">
      <c r="A266" t="inlineStr">
        <is>
          <t>同事对我每天吃一盒虾仁，表示很奢侈❗️</t>
        </is>
      </c>
      <c r="B266" t="inlineStr">
        <is>
          <t>69ce226600000000200387dc</t>
        </is>
      </c>
      <c r="C266" s="265" t="n">
        <f>HYPERLINK("https://www.xiaohongshu.com/explore/69ce226600000000200387dc?xsec_token=TBclHZuM5_fs2QanfU7vVSEpoBQ_bOcfxWEw9k2JtrE-k=&amp;xsec_source=pc_trdark","https://www.xiaohongshu.com/explore/69ce226600000000200387dc?xsec_token=TBclHZuM5_fs2QanfU7vVSEpoBQ_bOcfxWEw9k2JtrE-k=&amp;xsec_source=pc_trdark")</f>
        <v>0.0</v>
      </c>
      <c r="D266" t="inlineStr">
        <is>
          <t>婉婉上班吃什么</t>
        </is>
      </c>
      <c r="E266" t="inlineStr">
        <is>
          <t>11434449706</t>
        </is>
      </c>
      <c r="F266" t="inlineStr">
        <is>
          <t>2026-04-02 16:01:42</t>
        </is>
      </c>
      <c r="G266" t="inlineStr">
        <is>
          <t>图文</t>
        </is>
      </c>
      <c r="H266" t="inlineStr">
        <is>
          <t>手剥虾仁 无冰衣无添加 低脂餐一人食 上班带饭 顺丰包邮 5盒装</t>
        </is>
      </c>
      <c r="I266" t="inlineStr">
        <is>
          <t>694baba01d450d00013662f0</t>
        </is>
      </c>
      <c r="J266" t="inlineStr">
        <is>
          <t/>
        </is>
      </c>
      <c r="K266" t="n">
        <v>0.0</v>
      </c>
      <c r="L266" t="n">
        <v>0.0</v>
      </c>
      <c r="M266" t="n">
        <v>3.0</v>
      </c>
      <c r="N266" t="inlineStr">
        <is>
          <t>0.15789473684210525</t>
        </is>
      </c>
      <c r="O266" t="n">
        <v>2.0</v>
      </c>
      <c r="P266" t="n">
        <v>0.0</v>
      </c>
      <c r="Q266" t="n">
        <v>0.0</v>
      </c>
      <c r="R266" t="n">
        <v>0.0</v>
      </c>
      <c r="S266" t="n">
        <v>0.0</v>
      </c>
      <c r="T266" t="n">
        <v>0.0</v>
      </c>
      <c r="U266" t="n">
        <v>0.0</v>
      </c>
      <c r="V266" t="n">
        <v>0.0</v>
      </c>
      <c r="W266" t="inlineStr">
        <is>
          <t/>
        </is>
      </c>
      <c r="X266" t="n">
        <v>0.0</v>
      </c>
      <c r="Y266" t="n">
        <v>2.0</v>
      </c>
      <c r="Z266" t="n">
        <v>0.0</v>
      </c>
      <c r="AA266" t="n">
        <v>0.0</v>
      </c>
      <c r="AB266" t="n">
        <v>0.0</v>
      </c>
      <c r="AC266" t="n">
        <v>0.0</v>
      </c>
      <c r="AD266" t="n">
        <v>19.0</v>
      </c>
      <c r="AE266" t="n">
        <v>0.0</v>
      </c>
      <c r="AF266" t="n">
        <v>0.0</v>
      </c>
      <c r="AG266" t="n">
        <v>0.0</v>
      </c>
      <c r="AH266" t="n">
        <v>0.0</v>
      </c>
      <c r="AI266" t="n">
        <v>0.0</v>
      </c>
      <c r="AJ266" t="n">
        <v>0.0</v>
      </c>
      <c r="AK266" t="n">
        <v>11.68421052631579</v>
      </c>
      <c r="AL266" t="inlineStr">
        <is>
          <t/>
        </is>
      </c>
    </row>
    <row r="267">
      <c r="A267" t="inlineStr">
        <is>
          <t>在小红书买的😭在家就轻松复刻的日料大餐</t>
        </is>
      </c>
      <c r="B267" t="inlineStr">
        <is>
          <t>693580e4000000001e03479d</t>
        </is>
      </c>
      <c r="C267" s="266" t="n">
        <f>HYPERLINK("https://www.xiaohongshu.com/explore/693580e4000000001e03479d?xsec_token=TBVD2oNyykPWo5AeaDpfHB-rG1MeWtLMy1MHy2g2_Zb0o=&amp;xsec_source=pc_trdark","https://www.xiaohongshu.com/explore/693580e4000000001e03479d?xsec_token=TBVD2oNyykPWo5AeaDpfHB-rG1MeWtLMy1MHy2g2_Zb0o=&amp;xsec_source=pc_trdark")</f>
        <v>0.0</v>
      </c>
      <c r="D267" t="inlineStr">
        <is>
          <t>鲜水湾</t>
        </is>
      </c>
      <c r="E267" t="inlineStr">
        <is>
          <t>49316638994</t>
        </is>
      </c>
      <c r="F267" t="inlineStr">
        <is>
          <t>2025-12-07 21:28:04</t>
        </is>
      </c>
      <c r="G267" t="inlineStr">
        <is>
          <t>图文</t>
        </is>
      </c>
      <c r="H267" t="inlineStr">
        <is>
          <t>智利三文鱼切块·整条三文鱼·深海鱼一人食健康饮食</t>
        </is>
      </c>
      <c r="I267" t="inlineStr">
        <is>
          <t>691ac562a524ee0001b51d7b</t>
        </is>
      </c>
      <c r="J267" t="inlineStr">
        <is>
          <t/>
        </is>
      </c>
      <c r="K267" t="n">
        <v>0.0</v>
      </c>
      <c r="L267" t="n">
        <v>0.0</v>
      </c>
      <c r="M267" t="n">
        <v>1.0</v>
      </c>
      <c r="N267" t="inlineStr">
        <is>
          <t>0.05263157894736842</t>
        </is>
      </c>
      <c r="O267" t="n">
        <v>1.0</v>
      </c>
      <c r="P267" t="n">
        <v>0.0</v>
      </c>
      <c r="Q267" t="n">
        <v>0.0</v>
      </c>
      <c r="R267" t="n">
        <v>0.0</v>
      </c>
      <c r="S267" t="n">
        <v>0.0</v>
      </c>
      <c r="T267" t="n">
        <v>0.0</v>
      </c>
      <c r="U267" t="n">
        <v>0.0</v>
      </c>
      <c r="V267" t="n">
        <v>0.0</v>
      </c>
      <c r="W267" t="inlineStr">
        <is>
          <t/>
        </is>
      </c>
      <c r="X267" t="n">
        <v>0.0</v>
      </c>
      <c r="Y267" t="n">
        <v>0.0</v>
      </c>
      <c r="Z267" t="n">
        <v>0.0</v>
      </c>
      <c r="AA267" t="n">
        <v>0.0</v>
      </c>
      <c r="AB267" t="n">
        <v>0.0</v>
      </c>
      <c r="AC267" t="n">
        <v>0.0</v>
      </c>
      <c r="AD267" t="n">
        <v>19.0</v>
      </c>
      <c r="AE267" t="n">
        <v>0.0</v>
      </c>
      <c r="AF267" t="n">
        <v>0.0</v>
      </c>
      <c r="AG267" t="n">
        <v>0.0</v>
      </c>
      <c r="AH267" t="n">
        <v>0.0</v>
      </c>
      <c r="AI267" t="n">
        <v>0.0</v>
      </c>
      <c r="AJ267" t="n">
        <v>0.0</v>
      </c>
      <c r="AK267" t="n">
        <v>6.157894736842105</v>
      </c>
      <c r="AL267" t="inlineStr">
        <is>
          <t/>
        </is>
      </c>
    </row>
    <row r="268">
      <c r="A268" t="inlineStr">
        <is>
          <t/>
        </is>
      </c>
      <c r="B268" t="inlineStr">
        <is>
          <t>6a72e4690000000033036817</t>
        </is>
      </c>
      <c r="C268" s="267" t="n">
        <f>HYPERLINK("https://www.xiaohongshu.com/explore/6a72e4690000000033036817?xsec_token=TBRm5Oz6TgnkTuHlzu05n-zy1wtBWS0nj5ObEXjlkpea4=&amp;xsec_source=pc_trdark","https://www.xiaohongshu.com/explore/6a72e4690000000033036817?xsec_token=TBRm5Oz6TgnkTuHlzu05n-zy1wtBWS0nj5ObEXjlkpea4=&amp;xsec_source=pc_trdark")</f>
        <v>0.0</v>
      </c>
      <c r="D268" t="inlineStr">
        <is>
          <t>鲜水湾</t>
        </is>
      </c>
      <c r="E268" t="inlineStr">
        <is>
          <t>49316638994</t>
        </is>
      </c>
      <c r="F268" t="inlineStr">
        <is>
          <t>2026-08-05 15:21:13</t>
        </is>
      </c>
      <c r="G268" t="inlineStr">
        <is>
          <t>图文</t>
        </is>
      </c>
      <c r="H268" t="inlineStr">
        <is>
          <t>王牌大虾鲜冻大虾厄瓜多尔白虾盐冻大虾年货过年送礼顺丰包邮</t>
        </is>
      </c>
      <c r="I268" t="inlineStr">
        <is>
          <t>69782738eb0d9a0001cd8a32</t>
        </is>
      </c>
      <c r="J268" t="inlineStr">
        <is>
          <t/>
        </is>
      </c>
      <c r="K268" t="n">
        <v>0.0</v>
      </c>
      <c r="L268" t="n">
        <v>0.0</v>
      </c>
      <c r="M268" t="n">
        <v>4.0</v>
      </c>
      <c r="N268" t="n">
        <v>0.2222222222222222</v>
      </c>
      <c r="O268" t="n">
        <v>2.0</v>
      </c>
      <c r="P268" t="n">
        <v>0.0</v>
      </c>
      <c r="Q268" t="n">
        <v>0.0</v>
      </c>
      <c r="R268" t="n">
        <v>0.0</v>
      </c>
      <c r="S268" t="n">
        <v>0.0</v>
      </c>
      <c r="T268" t="n">
        <v>0.0</v>
      </c>
      <c r="U268" t="n">
        <v>0.0</v>
      </c>
      <c r="V268" t="n">
        <v>0.0</v>
      </c>
      <c r="W268" t="inlineStr">
        <is>
          <t/>
        </is>
      </c>
      <c r="X268" t="n">
        <v>0.0</v>
      </c>
      <c r="Y268" t="n">
        <v>0.0</v>
      </c>
      <c r="Z268" t="n">
        <v>0.0</v>
      </c>
      <c r="AA268" t="n">
        <v>0.0</v>
      </c>
      <c r="AB268" t="n">
        <v>0.0</v>
      </c>
      <c r="AC268" t="n">
        <v>0.0</v>
      </c>
      <c r="AD268" t="n">
        <v>18.0</v>
      </c>
      <c r="AE268" t="n">
        <v>2.0</v>
      </c>
      <c r="AF268" t="n">
        <v>0.0</v>
      </c>
      <c r="AG268" t="n">
        <v>0.0</v>
      </c>
      <c r="AH268" t="n">
        <v>1.0</v>
      </c>
      <c r="AI268" t="n">
        <v>0.0</v>
      </c>
      <c r="AJ268" t="n">
        <v>0.0</v>
      </c>
      <c r="AK268" t="n">
        <v>7.5</v>
      </c>
      <c r="AL268" t="inlineStr">
        <is>
          <t/>
        </is>
      </c>
    </row>
    <row r="269">
      <c r="A269" t="inlineStr">
        <is>
          <t>我减脂期无限回购的轮切三文鱼</t>
        </is>
      </c>
      <c r="B269" t="inlineStr">
        <is>
          <t>6a16b0d30000000007023f11</t>
        </is>
      </c>
      <c r="C269" s="268" t="n">
        <f>HYPERLINK("https://www.xiaohongshu.com/explore/6a16b0d30000000007023f11?xsec_token=TBTlDyK2vMyPBioInbRWPaPr7gCACgkUTMMUs-6d67kJM=&amp;xsec_source=pc_trdark","https://www.xiaohongshu.com/explore/6a16b0d30000000007023f11?xsec_token=TBTlDyK2vMyPBioInbRWPaPr7gCACgkUTMMUs-6d67kJM=&amp;xsec_source=pc_trdark")</f>
        <v>0.0</v>
      </c>
      <c r="D269" t="inlineStr">
        <is>
          <t>婉婉上班吃什么</t>
        </is>
      </c>
      <c r="E269" t="inlineStr">
        <is>
          <t>11434449706</t>
        </is>
      </c>
      <c r="F269" t="inlineStr">
        <is>
          <t>2026-05-27 16:52:35</t>
        </is>
      </c>
      <c r="G269" t="inlineStr">
        <is>
          <t>图文</t>
        </is>
      </c>
      <c r="H269" t="inlineStr">
        <is>
          <t>智利三文鱼切块·整条三文鱼·深海鱼一人食健康饮食</t>
        </is>
      </c>
      <c r="I269" t="inlineStr">
        <is>
          <t>691ac562a524ee0001b51d7b</t>
        </is>
      </c>
      <c r="J269" t="inlineStr">
        <is>
          <t/>
        </is>
      </c>
      <c r="K269" t="n">
        <v>0.0</v>
      </c>
      <c r="L269" t="n">
        <v>0.0</v>
      </c>
      <c r="M269" t="n">
        <v>1.0</v>
      </c>
      <c r="N269" t="inlineStr">
        <is>
          <t>0.05555555555555555</t>
        </is>
      </c>
      <c r="O269" t="n">
        <v>1.0</v>
      </c>
      <c r="P269" t="n">
        <v>0.0</v>
      </c>
      <c r="Q269" t="n">
        <v>0.0</v>
      </c>
      <c r="R269" t="n">
        <v>0.0</v>
      </c>
      <c r="S269" t="n">
        <v>0.0</v>
      </c>
      <c r="T269" t="n">
        <v>0.0</v>
      </c>
      <c r="U269" t="n">
        <v>0.0</v>
      </c>
      <c r="V269" t="n">
        <v>0.0</v>
      </c>
      <c r="W269" t="inlineStr">
        <is>
          <t/>
        </is>
      </c>
      <c r="X269" t="n">
        <v>0.0</v>
      </c>
      <c r="Y269" t="n">
        <v>0.0</v>
      </c>
      <c r="Z269" t="n">
        <v>0.0</v>
      </c>
      <c r="AA269" t="n">
        <v>0.0</v>
      </c>
      <c r="AB269" t="n">
        <v>0.0</v>
      </c>
      <c r="AC269" t="n">
        <v>0.0</v>
      </c>
      <c r="AD269" t="n">
        <v>18.0</v>
      </c>
      <c r="AE269" t="n">
        <v>0.0</v>
      </c>
      <c r="AF269" t="n">
        <v>0.0</v>
      </c>
      <c r="AG269" t="n">
        <v>0.0</v>
      </c>
      <c r="AH269" t="n">
        <v>0.0</v>
      </c>
      <c r="AI269" t="n">
        <v>0.0</v>
      </c>
      <c r="AJ269" t="n">
        <v>0.0</v>
      </c>
      <c r="AK269" t="n">
        <v>14.333333333333334</v>
      </c>
      <c r="AL269" t="inlineStr">
        <is>
          <t/>
        </is>
      </c>
    </row>
    <row r="270">
      <c r="A270" t="inlineStr">
        <is>
          <t>应粉丝要求，推出了减脂虾仁小包装！！！！</t>
        </is>
      </c>
      <c r="B270" t="inlineStr">
        <is>
          <t>6a744439000000002201219f</t>
        </is>
      </c>
      <c r="C270" s="269" t="n">
        <f>HYPERLINK("https://www.xiaohongshu.com/explore/6a744439000000002201219f?xsec_token=TBJtS_xn5m5mCKtnUbGCdZGbwQOUMz3pjpqtZqNU2xrxg=&amp;xsec_source=pc_trdark","https://www.xiaohongshu.com/explore/6a744439000000002201219f?xsec_token=TBJtS_xn5m5mCKtnUbGCdZGbwQOUMz3pjpqtZqNU2xrxg=&amp;xsec_source=pc_trdark")</f>
        <v>0.0</v>
      </c>
      <c r="D270" t="inlineStr">
        <is>
          <t>鲜水湾甄选</t>
        </is>
      </c>
      <c r="E270" t="inlineStr">
        <is>
          <t>27401929161</t>
        </is>
      </c>
      <c r="F270" t="inlineStr">
        <is>
          <t>2026-08-06 16:22:17</t>
        </is>
      </c>
      <c r="G270" t="inlineStr">
        <is>
          <t>图文</t>
        </is>
      </c>
      <c r="H270" t="inlineStr">
        <is>
          <t>手剥虾仁 无冰衣无添加 低脂餐一人食 上班带饭 顺丰包邮 5盒装</t>
        </is>
      </c>
      <c r="I270" t="inlineStr">
        <is>
          <t>694baba01d450d00013662f0</t>
        </is>
      </c>
      <c r="J270" t="inlineStr">
        <is>
          <t/>
        </is>
      </c>
      <c r="K270" t="n">
        <v>0.0</v>
      </c>
      <c r="L270" t="n">
        <v>0.0</v>
      </c>
      <c r="M270" t="n">
        <v>1.0</v>
      </c>
      <c r="N270" t="inlineStr">
        <is>
          <t>0.058823529411764705</t>
        </is>
      </c>
      <c r="O270" t="n">
        <v>1.0</v>
      </c>
      <c r="P270" t="n">
        <v>0.0</v>
      </c>
      <c r="Q270" t="n">
        <v>0.0</v>
      </c>
      <c r="R270" t="n">
        <v>0.0</v>
      </c>
      <c r="S270" t="n">
        <v>0.0</v>
      </c>
      <c r="T270" t="n">
        <v>0.0</v>
      </c>
      <c r="U270" t="n">
        <v>0.0</v>
      </c>
      <c r="V270" t="n">
        <v>0.0</v>
      </c>
      <c r="W270" t="inlineStr">
        <is>
          <t/>
        </is>
      </c>
      <c r="X270" t="n">
        <v>0.0</v>
      </c>
      <c r="Y270" t="n">
        <v>1.0</v>
      </c>
      <c r="Z270" t="n">
        <v>2.0</v>
      </c>
      <c r="AA270" t="n">
        <v>0.0</v>
      </c>
      <c r="AB270" t="n">
        <v>0.0</v>
      </c>
      <c r="AC270" t="n">
        <v>0.0</v>
      </c>
      <c r="AD270" t="n">
        <v>17.0</v>
      </c>
      <c r="AE270" t="n">
        <v>0.0</v>
      </c>
      <c r="AF270" t="n">
        <v>0.0</v>
      </c>
      <c r="AG270" t="n">
        <v>0.0</v>
      </c>
      <c r="AH270" t="n">
        <v>1.0</v>
      </c>
      <c r="AI270" t="n">
        <v>0.0</v>
      </c>
      <c r="AJ270" t="n">
        <v>0.0</v>
      </c>
      <c r="AK270" t="n">
        <v>8.941176470588236</v>
      </c>
      <c r="AL270" t="inlineStr">
        <is>
          <t/>
        </is>
      </c>
    </row>
    <row r="271">
      <c r="A271" t="inlineStr">
        <is>
          <t>独居一人食以后，我开始拒绝大包装</t>
        </is>
      </c>
      <c r="B271" t="inlineStr">
        <is>
          <t>6a71e863000000002c0032b8</t>
        </is>
      </c>
      <c r="C271" s="270" t="n">
        <f>HYPERLINK("https://www.xiaohongshu.com/explore/6a71e863000000002c0032b8?xsec_token=TBGdlgq0FqunFmaLrhl7mergbp__5of8niQsK3jwQ_Zu8=&amp;xsec_source=pc_trdark","https://www.xiaohongshu.com/explore/6a71e863000000002c0032b8?xsec_token=TBGdlgq0FqunFmaLrhl7mergbp__5of8niQsK3jwQ_Zu8=&amp;xsec_source=pc_trdark")</f>
        <v>0.0</v>
      </c>
      <c r="D271" t="inlineStr">
        <is>
          <t>鲜水湾甄选</t>
        </is>
      </c>
      <c r="E271" t="inlineStr">
        <is>
          <t>27401929161</t>
        </is>
      </c>
      <c r="F271" t="inlineStr">
        <is>
          <t>2026-08-04 21:25:55</t>
        </is>
      </c>
      <c r="G271" t="inlineStr">
        <is>
          <t>图文</t>
        </is>
      </c>
      <c r="H271" t="inlineStr">
        <is>
          <t>手剥虾仁 无冰衣无添加 低脂餐一人食 上班带饭 顺丰包邮 5盒装</t>
        </is>
      </c>
      <c r="I271" t="inlineStr">
        <is>
          <t>694baba01d450d00013662f0</t>
        </is>
      </c>
      <c r="J271" t="inlineStr">
        <is>
          <t/>
        </is>
      </c>
      <c r="K271" t="n">
        <v>0.0</v>
      </c>
      <c r="L271" t="n">
        <v>0.0</v>
      </c>
      <c r="M271" t="n">
        <v>4.0</v>
      </c>
      <c r="N271" t="inlineStr">
        <is>
          <t>0.23529411764705882</t>
        </is>
      </c>
      <c r="O271" t="n">
        <v>4.0</v>
      </c>
      <c r="P271" t="n">
        <v>0.0</v>
      </c>
      <c r="Q271" t="n">
        <v>0.0</v>
      </c>
      <c r="R271" t="n">
        <v>0.0</v>
      </c>
      <c r="S271" t="n">
        <v>0.0</v>
      </c>
      <c r="T271" t="n">
        <v>0.0</v>
      </c>
      <c r="U271" t="n">
        <v>0.0</v>
      </c>
      <c r="V271" t="n">
        <v>0.0</v>
      </c>
      <c r="W271" t="inlineStr">
        <is>
          <t/>
        </is>
      </c>
      <c r="X271" t="n">
        <v>0.0</v>
      </c>
      <c r="Y271" t="n">
        <v>0.0</v>
      </c>
      <c r="Z271" t="n">
        <v>0.0</v>
      </c>
      <c r="AA271" t="n">
        <v>0.0</v>
      </c>
      <c r="AB271" t="n">
        <v>0.0</v>
      </c>
      <c r="AC271" t="n">
        <v>0.0</v>
      </c>
      <c r="AD271" t="n">
        <v>17.0</v>
      </c>
      <c r="AE271" t="n">
        <v>0.0</v>
      </c>
      <c r="AF271" t="n">
        <v>0.0</v>
      </c>
      <c r="AG271" t="n">
        <v>0.0</v>
      </c>
      <c r="AH271" t="n">
        <v>0.0</v>
      </c>
      <c r="AI271" t="n">
        <v>0.0</v>
      </c>
      <c r="AJ271" t="n">
        <v>0.0</v>
      </c>
      <c r="AK271" t="n">
        <v>59.76470588235294</v>
      </c>
      <c r="AL271" t="inlineStr">
        <is>
          <t/>
        </is>
      </c>
    </row>
    <row r="272">
      <c r="A272" t="inlineStr">
        <is>
          <t>现在年轻人，严重低估了69的购买力！！！！</t>
        </is>
      </c>
      <c r="B272" t="inlineStr">
        <is>
          <t>6a6dcdac0000000024025f0f</t>
        </is>
      </c>
      <c r="C272" s="271" t="n">
        <f>HYPERLINK("https://www.xiaohongshu.com/explore/6a6dcdac0000000024025f0f?xsec_token=TBzB8vrykIekVwjns_5rHPFBcaKGYxfdfusckPKvLSl40=&amp;xsec_source=pc_trdark","https://www.xiaohongshu.com/explore/6a6dcdac0000000024025f0f?xsec_token=TBzB8vrykIekVwjns_5rHPFBcaKGYxfdfusckPKvLSl40=&amp;xsec_source=pc_trdark")</f>
        <v>0.0</v>
      </c>
      <c r="D272" t="inlineStr">
        <is>
          <t>鲜水湾甄选</t>
        </is>
      </c>
      <c r="E272" t="inlineStr">
        <is>
          <t>27401929161</t>
        </is>
      </c>
      <c r="F272" t="inlineStr">
        <is>
          <t>2026-08-01 18:42:52</t>
        </is>
      </c>
      <c r="G272" t="inlineStr">
        <is>
          <t>图文</t>
        </is>
      </c>
      <c r="H272" t="inlineStr">
        <is>
          <t>手剥虾仁 无冰衣无添加 低脂餐一人食 上班带饭 顺丰包邮 5盒装</t>
        </is>
      </c>
      <c r="I272" t="inlineStr">
        <is>
          <t>694baba01d450d00013662f0</t>
        </is>
      </c>
      <c r="J272" t="inlineStr">
        <is>
          <t/>
        </is>
      </c>
      <c r="K272" t="n">
        <v>0.0</v>
      </c>
      <c r="L272" t="n">
        <v>0.0</v>
      </c>
      <c r="M272" t="n">
        <v>1.0</v>
      </c>
      <c r="N272" t="inlineStr">
        <is>
          <t>0.058823529411764705</t>
        </is>
      </c>
      <c r="O272" t="n">
        <v>1.0</v>
      </c>
      <c r="P272" t="n">
        <v>0.0</v>
      </c>
      <c r="Q272" t="n">
        <v>0.0</v>
      </c>
      <c r="R272" t="n">
        <v>0.0</v>
      </c>
      <c r="S272" t="n">
        <v>0.0</v>
      </c>
      <c r="T272" t="n">
        <v>0.0</v>
      </c>
      <c r="U272" t="n">
        <v>0.0</v>
      </c>
      <c r="V272" t="n">
        <v>0.0</v>
      </c>
      <c r="W272" t="inlineStr">
        <is>
          <t/>
        </is>
      </c>
      <c r="X272" t="n">
        <v>0.0</v>
      </c>
      <c r="Y272" t="n">
        <v>0.0</v>
      </c>
      <c r="Z272" t="n">
        <v>1.0</v>
      </c>
      <c r="AA272" t="n">
        <v>0.0</v>
      </c>
      <c r="AB272" t="n">
        <v>0.0</v>
      </c>
      <c r="AC272" t="n">
        <v>0.0</v>
      </c>
      <c r="AD272" t="n">
        <v>17.0</v>
      </c>
      <c r="AE272" t="n">
        <v>1.0</v>
      </c>
      <c r="AF272" t="n">
        <v>0.0</v>
      </c>
      <c r="AG272" t="n">
        <v>0.0</v>
      </c>
      <c r="AH272" t="n">
        <v>1.0</v>
      </c>
      <c r="AI272" t="n">
        <v>0.0</v>
      </c>
      <c r="AJ272" t="n">
        <v>0.0</v>
      </c>
      <c r="AK272" t="n">
        <v>11.941176470588236</v>
      </c>
      <c r="AL272" t="inlineStr">
        <is>
          <t/>
        </is>
      </c>
    </row>
    <row r="273">
      <c r="A273" t="inlineStr">
        <is>
          <t>我发现，身型好的人都有一个饮食习惯</t>
        </is>
      </c>
      <c r="B273" t="inlineStr">
        <is>
          <t>6a6088ea000000001c01331c</t>
        </is>
      </c>
      <c r="C273" s="272" t="n">
        <f>HYPERLINK("https://www.xiaohongshu.com/explore/6a6088ea000000001c01331c?xsec_token=TB_DG8qGiltVfTeMFvJTNQB7or9uKa8tGfx4af0kXd9SA=&amp;xsec_source=pc_trdark","https://www.xiaohongshu.com/explore/6a6088ea000000001c01331c?xsec_token=TB_DG8qGiltVfTeMFvJTNQB7or9uKa8tGfx4af0kXd9SA=&amp;xsec_source=pc_trdark")</f>
        <v>0.0</v>
      </c>
      <c r="D273" t="inlineStr">
        <is>
          <t>婉婉上班吃什么</t>
        </is>
      </c>
      <c r="E273" t="inlineStr">
        <is>
          <t>11434449706</t>
        </is>
      </c>
      <c r="F273" t="inlineStr">
        <is>
          <t>2026-07-22 17:10:02</t>
        </is>
      </c>
      <c r="G273" t="inlineStr">
        <is>
          <t>图文</t>
        </is>
      </c>
      <c r="H273" t="inlineStr">
        <is>
          <t>手剥虾仁 无冰衣无添加 低脂餐一人食 上班带饭 顺丰包邮 5盒装</t>
        </is>
      </c>
      <c r="I273" t="inlineStr">
        <is>
          <t>694baba01d450d00013662f0</t>
        </is>
      </c>
      <c r="J273" t="inlineStr">
        <is>
          <t/>
        </is>
      </c>
      <c r="K273" t="n">
        <v>0.0</v>
      </c>
      <c r="L273" t="n">
        <v>0.0</v>
      </c>
      <c r="M273" t="n">
        <v>1.0</v>
      </c>
      <c r="N273" t="inlineStr">
        <is>
          <t>0.058823529411764705</t>
        </is>
      </c>
      <c r="O273" t="n">
        <v>1.0</v>
      </c>
      <c r="P273" t="n">
        <v>0.0</v>
      </c>
      <c r="Q273" t="n">
        <v>0.0</v>
      </c>
      <c r="R273" t="n">
        <v>0.0</v>
      </c>
      <c r="S273" t="n">
        <v>0.0</v>
      </c>
      <c r="T273" t="n">
        <v>0.0</v>
      </c>
      <c r="U273" t="n">
        <v>0.0</v>
      </c>
      <c r="V273" t="n">
        <v>0.0</v>
      </c>
      <c r="W273" t="inlineStr">
        <is>
          <t/>
        </is>
      </c>
      <c r="X273" t="n">
        <v>0.0</v>
      </c>
      <c r="Y273" t="n">
        <v>0.0</v>
      </c>
      <c r="Z273" t="n">
        <v>1.0</v>
      </c>
      <c r="AA273" t="n">
        <v>0.0</v>
      </c>
      <c r="AB273" t="n">
        <v>0.0</v>
      </c>
      <c r="AC273" t="n">
        <v>0.0</v>
      </c>
      <c r="AD273" t="n">
        <v>17.0</v>
      </c>
      <c r="AE273" t="n">
        <v>0.0</v>
      </c>
      <c r="AF273" t="n">
        <v>0.0</v>
      </c>
      <c r="AG273" t="n">
        <v>0.0</v>
      </c>
      <c r="AH273" t="n">
        <v>0.0</v>
      </c>
      <c r="AI273" t="n">
        <v>0.0</v>
      </c>
      <c r="AJ273" t="n">
        <v>0.0</v>
      </c>
      <c r="AK273" t="n">
        <v>6.823529411764706</v>
      </c>
      <c r="AL273" t="inlineStr">
        <is>
          <t/>
        </is>
      </c>
    </row>
    <row r="274">
      <c r="A274" t="inlineStr">
        <is>
          <t>瘦干螂饮食！减脂期一餐一包刚刚好…</t>
        </is>
      </c>
      <c r="B274" t="inlineStr">
        <is>
          <t>6a47a046000000000f01f794</t>
        </is>
      </c>
      <c r="C274" s="273" t="n">
        <f>HYPERLINK("https://www.xiaohongshu.com/explore/6a47a046000000000f01f794?xsec_token=TBfioABv3EUaNcb0n3V9sKZltEDaeCNC_v1h6zLIMw0wI=&amp;xsec_source=pc_trdark","https://www.xiaohongshu.com/explore/6a47a046000000000f01f794?xsec_token=TBfioABv3EUaNcb0n3V9sKZltEDaeCNC_v1h6zLIMw0wI=&amp;xsec_source=pc_trdark")</f>
        <v>0.0</v>
      </c>
      <c r="D274" t="inlineStr">
        <is>
          <t>鲜水湾甄选</t>
        </is>
      </c>
      <c r="E274" t="inlineStr">
        <is>
          <t>27401929161</t>
        </is>
      </c>
      <c r="F274" t="inlineStr">
        <is>
          <t>2026-07-03 19:43:02</t>
        </is>
      </c>
      <c r="G274" t="inlineStr">
        <is>
          <t>图文</t>
        </is>
      </c>
      <c r="H274" t="inlineStr">
        <is>
          <t>手剥虾仁 无冰衣无添加 低脂餐一人食 上班带饭 顺丰包邮 5盒装</t>
        </is>
      </c>
      <c r="I274" t="inlineStr">
        <is>
          <t>694baba01d450d00013662f0</t>
        </is>
      </c>
      <c r="J274" t="inlineStr">
        <is>
          <t/>
        </is>
      </c>
      <c r="K274" t="n">
        <v>132.0</v>
      </c>
      <c r="L274" t="n">
        <v>2.0</v>
      </c>
      <c r="M274" t="n">
        <v>3.0</v>
      </c>
      <c r="N274" t="inlineStr">
        <is>
          <t>0.17647058823529413</t>
        </is>
      </c>
      <c r="O274" t="n">
        <v>3.0</v>
      </c>
      <c r="P274" t="n">
        <v>2.0</v>
      </c>
      <c r="Q274" t="n">
        <v>0.6666666666666666</v>
      </c>
      <c r="R274" t="n">
        <v>0.6666666666666666</v>
      </c>
      <c r="S274" t="n">
        <v>68.0</v>
      </c>
      <c r="T274" t="n">
        <v>1.0</v>
      </c>
      <c r="U274" t="n">
        <v>1.0</v>
      </c>
      <c r="V274" t="n">
        <v>68.0</v>
      </c>
      <c r="W274" t="n">
        <v>0.5151515151515151</v>
      </c>
      <c r="X274" t="n">
        <v>1.0</v>
      </c>
      <c r="Y274" t="n">
        <v>2.0</v>
      </c>
      <c r="Z274" t="n">
        <v>0.0</v>
      </c>
      <c r="AA274" t="n">
        <v>0.0</v>
      </c>
      <c r="AB274" t="n">
        <v>0.0</v>
      </c>
      <c r="AC274" t="n">
        <v>0.0</v>
      </c>
      <c r="AD274" t="n">
        <v>17.0</v>
      </c>
      <c r="AE274" t="n">
        <v>0.0</v>
      </c>
      <c r="AF274" t="n">
        <v>0.0</v>
      </c>
      <c r="AG274" t="n">
        <v>0.0</v>
      </c>
      <c r="AH274" t="n">
        <v>0.0</v>
      </c>
      <c r="AI274" t="n">
        <v>0.0</v>
      </c>
      <c r="AJ274" t="n">
        <v>0.0</v>
      </c>
      <c r="AK274" t="n">
        <v>7.9411764705882355</v>
      </c>
      <c r="AL274" t="inlineStr">
        <is>
          <t/>
        </is>
      </c>
    </row>
    <row r="275">
      <c r="A275" t="inlineStr">
        <is>
          <t>身材管理期的我一周吃100次的三文鱼</t>
        </is>
      </c>
      <c r="B275" t="inlineStr">
        <is>
          <t>6a3dde6d000000002100bc2e</t>
        </is>
      </c>
      <c r="C275" s="274" t="n">
        <f>HYPERLINK("https://www.xiaohongshu.com/explore/6a3dde6d000000002100bc2e?xsec_token=TB86hQ-xkUBjAY90uToPmFjbPadrb8o6BjgsYg_5-5MPQ=&amp;xsec_source=pc_trdark","https://www.xiaohongshu.com/explore/6a3dde6d000000002100bc2e?xsec_token=TB86hQ-xkUBjAY90uToPmFjbPadrb8o6BjgsYg_5-5MPQ=&amp;xsec_source=pc_trdark")</f>
        <v>0.0</v>
      </c>
      <c r="D275" t="inlineStr">
        <is>
          <t>婉婉上班吃什么</t>
        </is>
      </c>
      <c r="E275" t="inlineStr">
        <is>
          <t>11434449706</t>
        </is>
      </c>
      <c r="F275" t="inlineStr">
        <is>
          <t>2026-06-26 10:05:33</t>
        </is>
      </c>
      <c r="G275" t="inlineStr">
        <is>
          <t>图文</t>
        </is>
      </c>
      <c r="H275" t="inlineStr">
        <is>
          <t>智利尾端中段整条三文鱼 8斤深海鱼低脂餐囤货一周备菜顺丰包邮</t>
        </is>
      </c>
      <c r="I275" t="inlineStr">
        <is>
          <t>69fab80d64eb410001ece0c0</t>
        </is>
      </c>
      <c r="J275" t="inlineStr">
        <is>
          <t/>
        </is>
      </c>
      <c r="K275" t="n">
        <v>0.0</v>
      </c>
      <c r="L275" t="n">
        <v>0.0</v>
      </c>
      <c r="M275" t="n">
        <v>1.0</v>
      </c>
      <c r="N275" t="inlineStr">
        <is>
          <t>0.058823529411764705</t>
        </is>
      </c>
      <c r="O275" t="n">
        <v>1.0</v>
      </c>
      <c r="P275" t="n">
        <v>0.0</v>
      </c>
      <c r="Q275" t="n">
        <v>0.0</v>
      </c>
      <c r="R275" t="n">
        <v>0.0</v>
      </c>
      <c r="S275" t="n">
        <v>0.0</v>
      </c>
      <c r="T275" t="n">
        <v>0.0</v>
      </c>
      <c r="U275" t="n">
        <v>0.0</v>
      </c>
      <c r="V275" t="n">
        <v>0.0</v>
      </c>
      <c r="W275" t="inlineStr">
        <is>
          <t/>
        </is>
      </c>
      <c r="X275" t="n">
        <v>0.0</v>
      </c>
      <c r="Y275" t="n">
        <v>0.0</v>
      </c>
      <c r="Z275" t="n">
        <v>1.0</v>
      </c>
      <c r="AA275" t="n">
        <v>0.0</v>
      </c>
      <c r="AB275" t="n">
        <v>0.0</v>
      </c>
      <c r="AC275" t="n">
        <v>0.0</v>
      </c>
      <c r="AD275" t="n">
        <v>17.0</v>
      </c>
      <c r="AE275" t="n">
        <v>0.0</v>
      </c>
      <c r="AF275" t="n">
        <v>0.0</v>
      </c>
      <c r="AG275" t="n">
        <v>0.0</v>
      </c>
      <c r="AH275" t="n">
        <v>0.0</v>
      </c>
      <c r="AI275" t="n">
        <v>0.0</v>
      </c>
      <c r="AJ275" t="n">
        <v>0.0</v>
      </c>
      <c r="AK275" t="n">
        <v>8.647058823529411</v>
      </c>
      <c r="AL275" t="inlineStr">
        <is>
          <t/>
        </is>
      </c>
    </row>
    <row r="276">
      <c r="A276" t="inlineStr">
        <is>
          <t>我妈说我疯了…第一次囤了7天的量…</t>
        </is>
      </c>
      <c r="B276" t="inlineStr">
        <is>
          <t>6a23d87c0000000007028adb</t>
        </is>
      </c>
      <c r="C276" s="275" t="n">
        <f>HYPERLINK("https://www.xiaohongshu.com/explore/6a23d87c0000000007028adb?xsec_token=TBMokr-Q7hGTLjI-UgelFX73tmF3mAnyqd8joVFch8VAk=&amp;xsec_source=pc_trdark","https://www.xiaohongshu.com/explore/6a23d87c0000000007028adb?xsec_token=TBMokr-Q7hGTLjI-UgelFX73tmF3mAnyqd8joVFch8VAk=&amp;xsec_source=pc_trdark")</f>
        <v>0.0</v>
      </c>
      <c r="D276" t="inlineStr">
        <is>
          <t>菲菲上班吃什么</t>
        </is>
      </c>
      <c r="E276" t="inlineStr">
        <is>
          <t>49936530607</t>
        </is>
      </c>
      <c r="F276" t="inlineStr">
        <is>
          <t>2026-06-06 17:31:00</t>
        </is>
      </c>
      <c r="G276" t="inlineStr">
        <is>
          <t>图文</t>
        </is>
      </c>
      <c r="H276" t="inlineStr">
        <is>
          <t>手剥虾仁 无冰衣无添加 低脂餐一人食 上班带饭 顺丰包邮 5盒装</t>
        </is>
      </c>
      <c r="I276" t="inlineStr">
        <is>
          <t>694baba01d450d00013662f0</t>
        </is>
      </c>
      <c r="J276" t="inlineStr">
        <is>
          <t/>
        </is>
      </c>
      <c r="K276" t="n">
        <v>0.0</v>
      </c>
      <c r="L276" t="n">
        <v>0.0</v>
      </c>
      <c r="M276" t="n">
        <v>1.0</v>
      </c>
      <c r="N276" t="inlineStr">
        <is>
          <t>0.058823529411764705</t>
        </is>
      </c>
      <c r="O276" t="n">
        <v>1.0</v>
      </c>
      <c r="P276" t="n">
        <v>0.0</v>
      </c>
      <c r="Q276" t="n">
        <v>0.0</v>
      </c>
      <c r="R276" t="n">
        <v>0.0</v>
      </c>
      <c r="S276" t="n">
        <v>0.0</v>
      </c>
      <c r="T276" t="n">
        <v>0.0</v>
      </c>
      <c r="U276" t="n">
        <v>0.0</v>
      </c>
      <c r="V276" t="n">
        <v>0.0</v>
      </c>
      <c r="W276" t="inlineStr">
        <is>
          <t/>
        </is>
      </c>
      <c r="X276" t="n">
        <v>0.0</v>
      </c>
      <c r="Y276" t="n">
        <v>0.0</v>
      </c>
      <c r="Z276" t="n">
        <v>0.0</v>
      </c>
      <c r="AA276" t="n">
        <v>0.0</v>
      </c>
      <c r="AB276" t="n">
        <v>0.0</v>
      </c>
      <c r="AC276" t="n">
        <v>0.0</v>
      </c>
      <c r="AD276" t="n">
        <v>17.0</v>
      </c>
      <c r="AE276" t="n">
        <v>0.0</v>
      </c>
      <c r="AF276" t="n">
        <v>0.0</v>
      </c>
      <c r="AG276" t="n">
        <v>0.0</v>
      </c>
      <c r="AH276" t="n">
        <v>0.0</v>
      </c>
      <c r="AI276" t="n">
        <v>0.0</v>
      </c>
      <c r="AJ276" t="n">
        <v>0.0</v>
      </c>
      <c r="AK276" t="n">
        <v>10.470588235294118</v>
      </c>
      <c r="AL276" t="inlineStr">
        <is>
          <t/>
        </is>
      </c>
    </row>
    <row r="277">
      <c r="A277" t="inlineStr">
        <is>
          <t>水肿体质试试多吃虾仁，腿真的会细</t>
        </is>
      </c>
      <c r="B277" t="inlineStr">
        <is>
          <t>69ecc4a8000000002301688d</t>
        </is>
      </c>
      <c r="C277" s="276" t="n">
        <f>HYPERLINK("https://www.xiaohongshu.com/explore/69ecc4a8000000002301688d?xsec_token=TBnoSF_--XRDuLtfF77lVqP96kEA86r2y-ECu-IjPaBno=&amp;xsec_source=pc_trdark","https://www.xiaohongshu.com/explore/69ecc4a8000000002301688d?xsec_token=TBnoSF_--XRDuLtfF77lVqP96kEA86r2y-ECu-IjPaBno=&amp;xsec_source=pc_trdark")</f>
        <v>0.0</v>
      </c>
      <c r="D277" t="inlineStr">
        <is>
          <t>婉婉上班吃什么</t>
        </is>
      </c>
      <c r="E277" t="inlineStr">
        <is>
          <t>11434449706</t>
        </is>
      </c>
      <c r="F277" t="inlineStr">
        <is>
          <t>2026-04-25 21:42:00</t>
        </is>
      </c>
      <c r="G277" t="inlineStr">
        <is>
          <t>图文</t>
        </is>
      </c>
      <c r="H277" t="inlineStr">
        <is>
          <t>手剥虾仁 无冰衣无添加 低脂餐一人食 上班带饭 顺丰包邮 5盒装</t>
        </is>
      </c>
      <c r="I277" t="inlineStr">
        <is>
          <t>694baba01d450d00013662f0</t>
        </is>
      </c>
      <c r="J277" t="inlineStr">
        <is>
          <t/>
        </is>
      </c>
      <c r="K277" t="n">
        <v>0.0</v>
      </c>
      <c r="L277" t="n">
        <v>0.0</v>
      </c>
      <c r="M277" t="n">
        <v>1.0</v>
      </c>
      <c r="N277" t="inlineStr">
        <is>
          <t>0.058823529411764705</t>
        </is>
      </c>
      <c r="O277" t="n">
        <v>1.0</v>
      </c>
      <c r="P277" t="n">
        <v>0.0</v>
      </c>
      <c r="Q277" t="n">
        <v>0.0</v>
      </c>
      <c r="R277" t="n">
        <v>0.0</v>
      </c>
      <c r="S277" t="n">
        <v>0.0</v>
      </c>
      <c r="T277" t="n">
        <v>0.0</v>
      </c>
      <c r="U277" t="n">
        <v>0.0</v>
      </c>
      <c r="V277" t="n">
        <v>0.0</v>
      </c>
      <c r="W277" t="inlineStr">
        <is>
          <t/>
        </is>
      </c>
      <c r="X277" t="n">
        <v>0.0</v>
      </c>
      <c r="Y277" t="n">
        <v>0.0</v>
      </c>
      <c r="Z277" t="n">
        <v>0.0</v>
      </c>
      <c r="AA277" t="n">
        <v>0.0</v>
      </c>
      <c r="AB277" t="n">
        <v>0.0</v>
      </c>
      <c r="AC277" t="n">
        <v>0.0</v>
      </c>
      <c r="AD277" t="n">
        <v>17.0</v>
      </c>
      <c r="AE277" t="n">
        <v>0.0</v>
      </c>
      <c r="AF277" t="n">
        <v>0.0</v>
      </c>
      <c r="AG277" t="n">
        <v>0.0</v>
      </c>
      <c r="AH277" t="n">
        <v>0.0</v>
      </c>
      <c r="AI277" t="n">
        <v>0.0</v>
      </c>
      <c r="AJ277" t="n">
        <v>0.0</v>
      </c>
      <c r="AK277" t="n">
        <v>7.0588235294117645</v>
      </c>
      <c r="AL277" t="inlineStr">
        <is>
          <t/>
        </is>
      </c>
    </row>
    <row r="278">
      <c r="A278" t="inlineStr">
        <is>
          <t>错过可惜！一整条鱼才300来块……</t>
        </is>
      </c>
      <c r="B278" t="inlineStr">
        <is>
          <t>69e5ecdb000000002301d4b7</t>
        </is>
      </c>
      <c r="C278" s="277" t="n">
        <f>HYPERLINK("https://www.xiaohongshu.com/explore/69e5ecdb000000002301d4b7?xsec_token=TBRM_4pSbJalcnymykJyoKXSATbPzBCmo2Nd56vwuDjLU=&amp;xsec_source=pc_trdark","https://www.xiaohongshu.com/explore/69e5ecdb000000002301d4b7?xsec_token=TBRM_4pSbJalcnymykJyoKXSATbPzBCmo2Nd56vwuDjLU=&amp;xsec_source=pc_trdark")</f>
        <v>0.0</v>
      </c>
      <c r="D278" t="inlineStr">
        <is>
          <t>婉婉上班吃什么</t>
        </is>
      </c>
      <c r="E278" t="inlineStr">
        <is>
          <t>11434449706</t>
        </is>
      </c>
      <c r="F278" t="inlineStr">
        <is>
          <t>2026-04-20 17:07:39</t>
        </is>
      </c>
      <c r="G278" t="inlineStr">
        <is>
          <t>图文</t>
        </is>
      </c>
      <c r="H278" t="inlineStr">
        <is>
          <t>智利尾端中段整条三文鱼 8斤深海鱼低脂餐囤货一周备菜顺丰包邮</t>
        </is>
      </c>
      <c r="I278" t="inlineStr">
        <is>
          <t>69fab80d64eb410001ece0c0</t>
        </is>
      </c>
      <c r="J278" t="inlineStr">
        <is>
          <t/>
        </is>
      </c>
      <c r="K278" t="n">
        <v>0.0</v>
      </c>
      <c r="L278" t="n">
        <v>0.0</v>
      </c>
      <c r="M278" t="n">
        <v>5.0</v>
      </c>
      <c r="N278" t="inlineStr">
        <is>
          <t>0.29411764705882354</t>
        </is>
      </c>
      <c r="O278" t="n">
        <v>5.0</v>
      </c>
      <c r="P278" t="n">
        <v>0.0</v>
      </c>
      <c r="Q278" t="n">
        <v>0.0</v>
      </c>
      <c r="R278" t="n">
        <v>0.0</v>
      </c>
      <c r="S278" t="n">
        <v>0.0</v>
      </c>
      <c r="T278" t="n">
        <v>0.0</v>
      </c>
      <c r="U278" t="n">
        <v>0.0</v>
      </c>
      <c r="V278" t="n">
        <v>0.0</v>
      </c>
      <c r="W278" t="inlineStr">
        <is>
          <t/>
        </is>
      </c>
      <c r="X278" t="n">
        <v>0.0</v>
      </c>
      <c r="Y278" t="n">
        <v>0.0</v>
      </c>
      <c r="Z278" t="n">
        <v>0.0</v>
      </c>
      <c r="AA278" t="n">
        <v>0.0</v>
      </c>
      <c r="AB278" t="n">
        <v>0.0</v>
      </c>
      <c r="AC278" t="n">
        <v>0.0</v>
      </c>
      <c r="AD278" t="n">
        <v>17.0</v>
      </c>
      <c r="AE278" t="n">
        <v>0.0</v>
      </c>
      <c r="AF278" t="n">
        <v>0.0</v>
      </c>
      <c r="AG278" t="n">
        <v>0.0</v>
      </c>
      <c r="AH278" t="n">
        <v>0.0</v>
      </c>
      <c r="AI278" t="n">
        <v>0.0</v>
      </c>
      <c r="AJ278" t="n">
        <v>0.0</v>
      </c>
      <c r="AK278" t="n">
        <v>9.588235294117647</v>
      </c>
      <c r="AL278" t="inlineStr">
        <is>
          <t/>
        </is>
      </c>
    </row>
    <row r="279">
      <c r="A279" t="inlineStr">
        <is>
          <t>希望整条三文鱼火，但火了又怕断货</t>
        </is>
      </c>
      <c r="B279" t="inlineStr">
        <is>
          <t>69e212da000000002003abc4</t>
        </is>
      </c>
      <c r="C279" s="278" t="n">
        <f>HYPERLINK("https://www.xiaohongshu.com/explore/69e212da000000002003abc4?xsec_token=TBOpzZAuw0pnbuw-toVufuLw3OmxzKg1odnRK2Z05OlmQ=&amp;xsec_source=pc_trdark","https://www.xiaohongshu.com/explore/69e212da000000002003abc4?xsec_token=TBOpzZAuw0pnbuw-toVufuLw3OmxzKg1odnRK2Z05OlmQ=&amp;xsec_source=pc_trdark")</f>
        <v>0.0</v>
      </c>
      <c r="D279" t="inlineStr">
        <is>
          <t>鲜水湾</t>
        </is>
      </c>
      <c r="E279" t="inlineStr">
        <is>
          <t>49316638994</t>
        </is>
      </c>
      <c r="F279" t="inlineStr">
        <is>
          <t>2026-04-17 19:00:42</t>
        </is>
      </c>
      <c r="G279" t="inlineStr">
        <is>
          <t>图文</t>
        </is>
      </c>
      <c r="H279" t="inlineStr">
        <is>
          <t>智利三文鱼切块·整条三文鱼·深海鱼一人食健康饮食</t>
        </is>
      </c>
      <c r="I279" t="inlineStr">
        <is>
          <t>691ac562a524ee0001b51d7b</t>
        </is>
      </c>
      <c r="J279" t="inlineStr">
        <is>
          <t/>
        </is>
      </c>
      <c r="K279" t="n">
        <v>0.0</v>
      </c>
      <c r="L279" t="n">
        <v>0.0</v>
      </c>
      <c r="M279" t="n">
        <v>3.0</v>
      </c>
      <c r="N279" t="inlineStr">
        <is>
          <t>0.17647058823529413</t>
        </is>
      </c>
      <c r="O279" t="n">
        <v>3.0</v>
      </c>
      <c r="P279" t="n">
        <v>0.0</v>
      </c>
      <c r="Q279" t="n">
        <v>0.0</v>
      </c>
      <c r="R279" t="n">
        <v>0.0</v>
      </c>
      <c r="S279" t="n">
        <v>0.0</v>
      </c>
      <c r="T279" t="n">
        <v>0.0</v>
      </c>
      <c r="U279" t="n">
        <v>0.0</v>
      </c>
      <c r="V279" t="n">
        <v>0.0</v>
      </c>
      <c r="W279" t="inlineStr">
        <is>
          <t/>
        </is>
      </c>
      <c r="X279" t="n">
        <v>0.0</v>
      </c>
      <c r="Y279" t="n">
        <v>1.0</v>
      </c>
      <c r="Z279" t="n">
        <v>3.0</v>
      </c>
      <c r="AA279" t="n">
        <v>0.0</v>
      </c>
      <c r="AB279" t="n">
        <v>0.0</v>
      </c>
      <c r="AC279" t="n">
        <v>0.0</v>
      </c>
      <c r="AD279" t="n">
        <v>17.0</v>
      </c>
      <c r="AE279" t="n">
        <v>0.0</v>
      </c>
      <c r="AF279" t="n">
        <v>0.0</v>
      </c>
      <c r="AG279" t="n">
        <v>0.0</v>
      </c>
      <c r="AH279" t="n">
        <v>0.0</v>
      </c>
      <c r="AI279" t="n">
        <v>0.0</v>
      </c>
      <c r="AJ279" t="n">
        <v>0.0</v>
      </c>
      <c r="AK279" t="n">
        <v>14.705882352941176</v>
      </c>
      <c r="AL279" t="inlineStr">
        <is>
          <t/>
        </is>
      </c>
    </row>
    <row r="280">
      <c r="A280" t="inlineStr">
        <is>
          <t>给同事带的饭，收她们一人 18 贵吗</t>
        </is>
      </c>
      <c r="B280" t="inlineStr">
        <is>
          <t>69e0aef4000000002202529e</t>
        </is>
      </c>
      <c r="C280" s="279" t="n">
        <f>HYPERLINK("https://www.xiaohongshu.com/explore/69e0aef4000000002202529e?xsec_token=TB4w-SzmaCvFu1U8FhRGBUu07Zdbb6i3TIz77V7a7JUxc=&amp;xsec_source=pc_trdark","https://www.xiaohongshu.com/explore/69e0aef4000000002202529e?xsec_token=TB4w-SzmaCvFu1U8FhRGBUu07Zdbb6i3TIz77V7a7JUxc=&amp;xsec_source=pc_trdark")</f>
        <v>0.0</v>
      </c>
      <c r="D280" t="inlineStr">
        <is>
          <t>婉婉上班吃什么</t>
        </is>
      </c>
      <c r="E280" t="inlineStr">
        <is>
          <t>11434449706</t>
        </is>
      </c>
      <c r="F280" t="inlineStr">
        <is>
          <t>2026-04-16 17:42:12</t>
        </is>
      </c>
      <c r="G280" t="inlineStr">
        <is>
          <t>图文</t>
        </is>
      </c>
      <c r="H280" t="inlineStr">
        <is>
          <t>手剥虾仁 无冰衣无添加 低脂餐一人食 上班带饭 顺丰包邮 5盒装</t>
        </is>
      </c>
      <c r="I280" t="inlineStr">
        <is>
          <t>694baba01d450d00013662f0</t>
        </is>
      </c>
      <c r="J280" t="inlineStr">
        <is>
          <t/>
        </is>
      </c>
      <c r="K280" t="n">
        <v>0.0</v>
      </c>
      <c r="L280" t="n">
        <v>0.0</v>
      </c>
      <c r="M280" t="n">
        <v>0.0</v>
      </c>
      <c r="N280" t="n">
        <v>0.0</v>
      </c>
      <c r="O280" t="n">
        <v>0.0</v>
      </c>
      <c r="P280" t="n">
        <v>0.0</v>
      </c>
      <c r="Q280" t="inlineStr">
        <is>
          <t/>
        </is>
      </c>
      <c r="R280" t="inlineStr">
        <is>
          <t/>
        </is>
      </c>
      <c r="S280" t="n">
        <v>0.0</v>
      </c>
      <c r="T280" t="n">
        <v>0.0</v>
      </c>
      <c r="U280" t="n">
        <v>0.0</v>
      </c>
      <c r="V280" t="n">
        <v>0.0</v>
      </c>
      <c r="W280" t="inlineStr">
        <is>
          <t/>
        </is>
      </c>
      <c r="X280" t="n">
        <v>0.0</v>
      </c>
      <c r="Y280" t="n">
        <v>0.0</v>
      </c>
      <c r="Z280" t="n">
        <v>0.0</v>
      </c>
      <c r="AA280" t="n">
        <v>0.0</v>
      </c>
      <c r="AB280" t="n">
        <v>0.0</v>
      </c>
      <c r="AC280" t="n">
        <v>0.0</v>
      </c>
      <c r="AD280" t="n">
        <v>17.0</v>
      </c>
      <c r="AE280" t="n">
        <v>0.0</v>
      </c>
      <c r="AF280" t="n">
        <v>0.0</v>
      </c>
      <c r="AG280" t="n">
        <v>0.0</v>
      </c>
      <c r="AH280" t="n">
        <v>0.0</v>
      </c>
      <c r="AI280" t="n">
        <v>0.0</v>
      </c>
      <c r="AJ280" t="n">
        <v>0.0</v>
      </c>
      <c r="AK280" t="n">
        <v>15.529411764705882</v>
      </c>
      <c r="AL280" t="inlineStr">
        <is>
          <t/>
        </is>
      </c>
    </row>
    <row r="281">
      <c r="A281" t="inlineStr">
        <is>
          <t>控体期一周蛋白质全靠它！回购了五次</t>
        </is>
      </c>
      <c r="B281" t="inlineStr">
        <is>
          <t>69dba0b9000000002003908b</t>
        </is>
      </c>
      <c r="C281" s="280" t="n">
        <f>HYPERLINK("https://www.xiaohongshu.com/explore/69dba0b9000000002003908b?xsec_token=TBv7n0Oy0CPbFvgz473v78kbKq38ZS_L6TODqYv5jTY-Y=&amp;xsec_source=pc_trdark","https://www.xiaohongshu.com/explore/69dba0b9000000002003908b?xsec_token=TBv7n0Oy0CPbFvgz473v78kbKq38ZS_L6TODqYv5jTY-Y=&amp;xsec_source=pc_trdark")</f>
        <v>0.0</v>
      </c>
      <c r="D281" t="inlineStr">
        <is>
          <t>婉婉上班吃什么</t>
        </is>
      </c>
      <c r="E281" t="inlineStr">
        <is>
          <t>11434449706</t>
        </is>
      </c>
      <c r="F281" t="inlineStr">
        <is>
          <t>2026-04-12 21:40:09</t>
        </is>
      </c>
      <c r="G281" t="inlineStr">
        <is>
          <t>图文</t>
        </is>
      </c>
      <c r="H281" t="inlineStr">
        <is>
          <t>手剥虾仁 无冰衣无添加 低脂餐一人食 上班带饭 顺丰包邮 5盒装</t>
        </is>
      </c>
      <c r="I281" t="inlineStr">
        <is>
          <t>694baba01d450d00013662f0</t>
        </is>
      </c>
      <c r="J281" t="inlineStr">
        <is>
          <t/>
        </is>
      </c>
      <c r="K281" t="n">
        <v>0.0</v>
      </c>
      <c r="L281" t="n">
        <v>0.0</v>
      </c>
      <c r="M281" t="n">
        <v>0.0</v>
      </c>
      <c r="N281" t="n">
        <v>0.0</v>
      </c>
      <c r="O281" t="n">
        <v>0.0</v>
      </c>
      <c r="P281" t="n">
        <v>0.0</v>
      </c>
      <c r="Q281" t="inlineStr">
        <is>
          <t/>
        </is>
      </c>
      <c r="R281" t="inlineStr">
        <is>
          <t/>
        </is>
      </c>
      <c r="S281" t="n">
        <v>0.0</v>
      </c>
      <c r="T281" t="n">
        <v>0.0</v>
      </c>
      <c r="U281" t="n">
        <v>0.0</v>
      </c>
      <c r="V281" t="n">
        <v>0.0</v>
      </c>
      <c r="W281" t="inlineStr">
        <is>
          <t/>
        </is>
      </c>
      <c r="X281" t="n">
        <v>0.0</v>
      </c>
      <c r="Y281" t="n">
        <v>0.0</v>
      </c>
      <c r="Z281" t="n">
        <v>0.0</v>
      </c>
      <c r="AA281" t="n">
        <v>0.0</v>
      </c>
      <c r="AB281" t="n">
        <v>0.0</v>
      </c>
      <c r="AC281" t="n">
        <v>0.0</v>
      </c>
      <c r="AD281" t="n">
        <v>17.0</v>
      </c>
      <c r="AE281" t="n">
        <v>0.0</v>
      </c>
      <c r="AF281" t="n">
        <v>1.0</v>
      </c>
      <c r="AG281" t="n">
        <v>0.0</v>
      </c>
      <c r="AH281" t="n">
        <v>0.0</v>
      </c>
      <c r="AI281" t="n">
        <v>0.0</v>
      </c>
      <c r="AJ281" t="n">
        <v>0.0</v>
      </c>
      <c r="AK281" t="n">
        <v>9.941176470588236</v>
      </c>
      <c r="AL281" t="inlineStr">
        <is>
          <t/>
        </is>
      </c>
    </row>
    <row r="282">
      <c r="A282" t="inlineStr">
        <is>
          <t>唯一缺点…真的不能生吃</t>
        </is>
      </c>
      <c r="B282" t="inlineStr">
        <is>
          <t>6a59df90000000000e0377f1</t>
        </is>
      </c>
      <c r="C282" s="281" t="n">
        <f>HYPERLINK("https://www.xiaohongshu.com/explore/6a59df90000000000e0377f1?xsec_token=TBznzFg2a5AgktvQj-m55hPnuHSpy3nHQK62QqO-a-Dvk=&amp;xsec_source=pc_trdark","https://www.xiaohongshu.com/explore/6a59df90000000000e0377f1?xsec_token=TBznzFg2a5AgktvQj-m55hPnuHSpy3nHQK62QqO-a-Dvk=&amp;xsec_source=pc_trdark")</f>
        <v>0.0</v>
      </c>
      <c r="D282" t="inlineStr">
        <is>
          <t>鲜水湾</t>
        </is>
      </c>
      <c r="E282" t="inlineStr">
        <is>
          <t>49316638994</t>
        </is>
      </c>
      <c r="F282" t="inlineStr">
        <is>
          <t>2026-07-17 15:53:53</t>
        </is>
      </c>
      <c r="G282" t="inlineStr">
        <is>
          <t>图文</t>
        </is>
      </c>
      <c r="H282" t="inlineStr">
        <is>
          <t>智利三文鱼切块·整条三文鱼·深海鱼一人食健康饮食</t>
        </is>
      </c>
      <c r="I282" t="inlineStr">
        <is>
          <t>691ac562a524ee0001b51d7b</t>
        </is>
      </c>
      <c r="J282" t="inlineStr">
        <is>
          <t/>
        </is>
      </c>
      <c r="K282" t="n">
        <v>0.0</v>
      </c>
      <c r="L282" t="n">
        <v>0.0</v>
      </c>
      <c r="M282" t="n">
        <v>3.0</v>
      </c>
      <c r="N282" t="n">
        <v>0.1875</v>
      </c>
      <c r="O282" t="n">
        <v>3.0</v>
      </c>
      <c r="P282" t="n">
        <v>0.0</v>
      </c>
      <c r="Q282" t="n">
        <v>0.0</v>
      </c>
      <c r="R282" t="n">
        <v>0.0</v>
      </c>
      <c r="S282" t="n">
        <v>0.0</v>
      </c>
      <c r="T282" t="n">
        <v>0.0</v>
      </c>
      <c r="U282" t="n">
        <v>0.0</v>
      </c>
      <c r="V282" t="n">
        <v>0.0</v>
      </c>
      <c r="W282" t="inlineStr">
        <is>
          <t/>
        </is>
      </c>
      <c r="X282" t="n">
        <v>0.0</v>
      </c>
      <c r="Y282" t="n">
        <v>0.0</v>
      </c>
      <c r="Z282" t="n">
        <v>7.0</v>
      </c>
      <c r="AA282" t="n">
        <v>0.0</v>
      </c>
      <c r="AB282" t="n">
        <v>0.0</v>
      </c>
      <c r="AC282" t="n">
        <v>0.0</v>
      </c>
      <c r="AD282" t="n">
        <v>16.0</v>
      </c>
      <c r="AE282" t="n">
        <v>0.0</v>
      </c>
      <c r="AF282" t="n">
        <v>0.0</v>
      </c>
      <c r="AG282" t="n">
        <v>0.0</v>
      </c>
      <c r="AH282" t="n">
        <v>0.0</v>
      </c>
      <c r="AI282" t="n">
        <v>0.0</v>
      </c>
      <c r="AJ282" t="n">
        <v>0.0</v>
      </c>
      <c r="AK282" t="n">
        <v>9.9375</v>
      </c>
      <c r="AL282" t="inlineStr">
        <is>
          <t/>
        </is>
      </c>
    </row>
    <row r="283">
      <c r="A283" t="inlineStr">
        <is>
          <t>和老妈商量后，推出打工人独爱的一周量虾仁</t>
        </is>
      </c>
      <c r="B283" t="inlineStr">
        <is>
          <t>6a565672000000002103d5d9</t>
        </is>
      </c>
      <c r="C283" s="282" t="n">
        <f>HYPERLINK("https://www.xiaohongshu.com/explore/6a565672000000002103d5d9?xsec_token=TB9bhMHu11lwl7C-NRH9-rDFjCzgEBl-_KcYYnjUdC9sI=&amp;xsec_source=pc_trdark","https://www.xiaohongshu.com/explore/6a565672000000002103d5d9?xsec_token=TB9bhMHu11lwl7C-NRH9-rDFjCzgEBl-_KcYYnjUdC9sI=&amp;xsec_source=pc_trdark")</f>
        <v>0.0</v>
      </c>
      <c r="D283" t="inlineStr">
        <is>
          <t>鲜水湾</t>
        </is>
      </c>
      <c r="E283" t="inlineStr">
        <is>
          <t>49316638994</t>
        </is>
      </c>
      <c r="F283" t="inlineStr">
        <is>
          <t>2026-07-14 23:32:02</t>
        </is>
      </c>
      <c r="G283" t="inlineStr">
        <is>
          <t>图文</t>
        </is>
      </c>
      <c r="H283" t="inlineStr">
        <is>
          <t>手剥虾仁 无冰衣无添加 低脂餐一人食 上班带饭 顺丰包邮 5盒装</t>
        </is>
      </c>
      <c r="I283" t="inlineStr">
        <is>
          <t>694baba01d450d00013662f0</t>
        </is>
      </c>
      <c r="J283" t="inlineStr">
        <is>
          <t/>
        </is>
      </c>
      <c r="K283" t="n">
        <v>0.0</v>
      </c>
      <c r="L283" t="n">
        <v>0.0</v>
      </c>
      <c r="M283" t="n">
        <v>2.0</v>
      </c>
      <c r="N283" t="n">
        <v>0.125</v>
      </c>
      <c r="O283" t="n">
        <v>2.0</v>
      </c>
      <c r="P283" t="n">
        <v>0.0</v>
      </c>
      <c r="Q283" t="n">
        <v>0.0</v>
      </c>
      <c r="R283" t="n">
        <v>0.0</v>
      </c>
      <c r="S283" t="n">
        <v>0.0</v>
      </c>
      <c r="T283" t="n">
        <v>0.0</v>
      </c>
      <c r="U283" t="n">
        <v>0.0</v>
      </c>
      <c r="V283" t="n">
        <v>0.0</v>
      </c>
      <c r="W283" t="inlineStr">
        <is>
          <t/>
        </is>
      </c>
      <c r="X283" t="n">
        <v>0.0</v>
      </c>
      <c r="Y283" t="n">
        <v>0.0</v>
      </c>
      <c r="Z283" t="n">
        <v>0.0</v>
      </c>
      <c r="AA283" t="n">
        <v>0.0</v>
      </c>
      <c r="AB283" t="n">
        <v>0.0</v>
      </c>
      <c r="AC283" t="n">
        <v>0.0</v>
      </c>
      <c r="AD283" t="n">
        <v>16.0</v>
      </c>
      <c r="AE283" t="n">
        <v>1.0</v>
      </c>
      <c r="AF283" t="n">
        <v>1.0</v>
      </c>
      <c r="AG283" t="n">
        <v>0.0</v>
      </c>
      <c r="AH283" t="n">
        <v>0.0</v>
      </c>
      <c r="AI283" t="n">
        <v>0.0</v>
      </c>
      <c r="AJ283" t="n">
        <v>0.0</v>
      </c>
      <c r="AK283" t="n">
        <v>6.5</v>
      </c>
      <c r="AL283" t="inlineStr">
        <is>
          <t/>
        </is>
      </c>
    </row>
    <row r="284">
      <c r="A284" t="inlineStr">
        <is>
          <t>夏天减脂真不贵，区区69💰够我吃一周了！</t>
        </is>
      </c>
      <c r="B284" t="inlineStr">
        <is>
          <t>6a4e00d00000000008032a70</t>
        </is>
      </c>
      <c r="C284" s="283" t="n">
        <f>HYPERLINK("https://www.xiaohongshu.com/explore/6a4e00d00000000008032a70?xsec_token=TByg8Q0foMV6ZY6QKX3S5GBZt9pugnYgKgzA2j5LBD8AI=&amp;xsec_source=pc_trdark","https://www.xiaohongshu.com/explore/6a4e00d00000000008032a70?xsec_token=TByg8Q0foMV6ZY6QKX3S5GBZt9pugnYgKgzA2j5LBD8AI=&amp;xsec_source=pc_trdark")</f>
        <v>0.0</v>
      </c>
      <c r="D284" t="inlineStr">
        <is>
          <t>菲菲上班吃什么</t>
        </is>
      </c>
      <c r="E284" t="inlineStr">
        <is>
          <t>49936530607</t>
        </is>
      </c>
      <c r="F284" t="inlineStr">
        <is>
          <t>2026-07-08 15:48:32</t>
        </is>
      </c>
      <c r="G284" t="inlineStr">
        <is>
          <t>图文</t>
        </is>
      </c>
      <c r="H284" t="inlineStr">
        <is>
          <t>手剥虾仁 无冰衣无添加 低脂餐一人食 上班带饭 顺丰包邮 5盒装</t>
        </is>
      </c>
      <c r="I284" t="inlineStr">
        <is>
          <t>694baba01d450d00013662f0</t>
        </is>
      </c>
      <c r="J284" t="inlineStr">
        <is>
          <t/>
        </is>
      </c>
      <c r="K284" t="n">
        <v>0.0</v>
      </c>
      <c r="L284" t="n">
        <v>0.0</v>
      </c>
      <c r="M284" t="n">
        <v>2.0</v>
      </c>
      <c r="N284" t="n">
        <v>0.125</v>
      </c>
      <c r="O284" t="n">
        <v>2.0</v>
      </c>
      <c r="P284" t="n">
        <v>0.0</v>
      </c>
      <c r="Q284" t="n">
        <v>0.0</v>
      </c>
      <c r="R284" t="n">
        <v>0.0</v>
      </c>
      <c r="S284" t="n">
        <v>0.0</v>
      </c>
      <c r="T284" t="n">
        <v>0.0</v>
      </c>
      <c r="U284" t="n">
        <v>0.0</v>
      </c>
      <c r="V284" t="n">
        <v>0.0</v>
      </c>
      <c r="W284" t="inlineStr">
        <is>
          <t/>
        </is>
      </c>
      <c r="X284" t="n">
        <v>0.0</v>
      </c>
      <c r="Y284" t="n">
        <v>0.0</v>
      </c>
      <c r="Z284" t="n">
        <v>0.0</v>
      </c>
      <c r="AA284" t="n">
        <v>0.0</v>
      </c>
      <c r="AB284" t="n">
        <v>0.0</v>
      </c>
      <c r="AC284" t="n">
        <v>0.0</v>
      </c>
      <c r="AD284" t="n">
        <v>16.0</v>
      </c>
      <c r="AE284" t="n">
        <v>0.0</v>
      </c>
      <c r="AF284" t="n">
        <v>0.0</v>
      </c>
      <c r="AG284" t="n">
        <v>0.0</v>
      </c>
      <c r="AH284" t="n">
        <v>0.0</v>
      </c>
      <c r="AI284" t="n">
        <v>0.0</v>
      </c>
      <c r="AJ284" t="n">
        <v>0.0</v>
      </c>
      <c r="AK284" t="n">
        <v>16.6875</v>
      </c>
      <c r="AL284" t="inlineStr">
        <is>
          <t/>
        </is>
      </c>
    </row>
    <row r="285">
      <c r="A285" t="inlineStr">
        <is>
          <t>这也太省钱了吧😂69块吃了半个月轻食餐！</t>
        </is>
      </c>
      <c r="B285" t="inlineStr">
        <is>
          <t>6a35e35c0000000022019a23</t>
        </is>
      </c>
      <c r="C285" s="284" t="n">
        <f>HYPERLINK("https://www.xiaohongshu.com/explore/6a35e35c0000000022019a23?xsec_token=TB1bf8Ny1FwqE1zeGfH_TuGII-8320cpwOfeTa4X0DbOc=&amp;xsec_source=pc_trdark","https://www.xiaohongshu.com/explore/6a35e35c0000000022019a23?xsec_token=TB1bf8Ny1FwqE1zeGfH_TuGII-8320cpwOfeTa4X0DbOc=&amp;xsec_source=pc_trdark")</f>
        <v>0.0</v>
      </c>
      <c r="D285" t="inlineStr">
        <is>
          <t>鲜水湾甄选</t>
        </is>
      </c>
      <c r="E285" t="inlineStr">
        <is>
          <t>27401929161</t>
        </is>
      </c>
      <c r="F285" t="inlineStr">
        <is>
          <t>2026-06-20 08:48:28</t>
        </is>
      </c>
      <c r="G285" t="inlineStr">
        <is>
          <t>图文</t>
        </is>
      </c>
      <c r="H285" t="inlineStr">
        <is>
          <t>手剥虾仁 无冰衣无添加 低脂餐一人食 上班带饭 顺丰包邮 5盒装</t>
        </is>
      </c>
      <c r="I285" t="inlineStr">
        <is>
          <t>694baba01d450d00013662f0</t>
        </is>
      </c>
      <c r="J285" t="inlineStr">
        <is>
          <t/>
        </is>
      </c>
      <c r="K285" t="n">
        <v>68.0</v>
      </c>
      <c r="L285" t="n">
        <v>1.0</v>
      </c>
      <c r="M285" t="n">
        <v>8.0</v>
      </c>
      <c r="N285" t="n">
        <v>0.5</v>
      </c>
      <c r="O285" t="n">
        <v>7.0</v>
      </c>
      <c r="P285" t="n">
        <v>1.0</v>
      </c>
      <c r="Q285" t="n">
        <v>0.125</v>
      </c>
      <c r="R285" t="inlineStr">
        <is>
          <t>0.14285714285714285</t>
        </is>
      </c>
      <c r="S285" t="n">
        <v>0.0</v>
      </c>
      <c r="T285" t="n">
        <v>0.0</v>
      </c>
      <c r="U285" t="n">
        <v>0.0</v>
      </c>
      <c r="V285" t="n">
        <v>0.0</v>
      </c>
      <c r="W285" t="n">
        <v>0.0</v>
      </c>
      <c r="X285" t="n">
        <v>0.0</v>
      </c>
      <c r="Y285" t="n">
        <v>1.0</v>
      </c>
      <c r="Z285" t="n">
        <v>0.0</v>
      </c>
      <c r="AA285" t="n">
        <v>0.0</v>
      </c>
      <c r="AB285" t="n">
        <v>0.0</v>
      </c>
      <c r="AC285" t="n">
        <v>0.0</v>
      </c>
      <c r="AD285" t="n">
        <v>16.0</v>
      </c>
      <c r="AE285" t="n">
        <v>0.0</v>
      </c>
      <c r="AF285" t="n">
        <v>0.0</v>
      </c>
      <c r="AG285" t="n">
        <v>0.0</v>
      </c>
      <c r="AH285" t="n">
        <v>0.0</v>
      </c>
      <c r="AI285" t="n">
        <v>0.0</v>
      </c>
      <c r="AJ285" t="n">
        <v>0.0</v>
      </c>
      <c r="AK285" t="n">
        <v>23.625</v>
      </c>
      <c r="AL285" t="inlineStr">
        <is>
          <t/>
        </is>
      </c>
    </row>
    <row r="286">
      <c r="A286" t="inlineStr">
        <is>
          <t>谁顶得住啊😭60来块直接实现虾仁自由！</t>
        </is>
      </c>
      <c r="B286" t="inlineStr">
        <is>
          <t>6a27b4f500000000070257bb</t>
        </is>
      </c>
      <c r="C286" s="285" t="n">
        <f>HYPERLINK("https://www.xiaohongshu.com/explore/6a27b4f500000000070257bb?xsec_token=TBvEjGJgk05ohH1lyk129F5XZKyU08UL9xUs84HiIDwwM=&amp;xsec_source=pc_trdark","https://www.xiaohongshu.com/explore/6a27b4f500000000070257bb?xsec_token=TBvEjGJgk05ohH1lyk129F5XZKyU08UL9xUs84HiIDwwM=&amp;xsec_source=pc_trdark")</f>
        <v>0.0</v>
      </c>
      <c r="D286" t="inlineStr">
        <is>
          <t>婉婉上班吃什么</t>
        </is>
      </c>
      <c r="E286" t="inlineStr">
        <is>
          <t>11434449706</t>
        </is>
      </c>
      <c r="F286" t="inlineStr">
        <is>
          <t>2026-06-09 14:38:45</t>
        </is>
      </c>
      <c r="G286" t="inlineStr">
        <is>
          <t>图文</t>
        </is>
      </c>
      <c r="H286" t="inlineStr">
        <is>
          <t>手剥虾仁 无冰衣无添加 低脂餐一人食 上班带饭 顺丰包邮 5盒装</t>
        </is>
      </c>
      <c r="I286" t="inlineStr">
        <is>
          <t>694baba01d450d00013662f0</t>
        </is>
      </c>
      <c r="J286" t="inlineStr">
        <is>
          <t/>
        </is>
      </c>
      <c r="K286" t="n">
        <v>0.0</v>
      </c>
      <c r="L286" t="n">
        <v>0.0</v>
      </c>
      <c r="M286" t="n">
        <v>3.0</v>
      </c>
      <c r="N286" t="n">
        <v>0.1875</v>
      </c>
      <c r="O286" t="n">
        <v>3.0</v>
      </c>
      <c r="P286" t="n">
        <v>0.0</v>
      </c>
      <c r="Q286" t="n">
        <v>0.0</v>
      </c>
      <c r="R286" t="n">
        <v>0.0</v>
      </c>
      <c r="S286" t="n">
        <v>0.0</v>
      </c>
      <c r="T286" t="n">
        <v>0.0</v>
      </c>
      <c r="U286" t="n">
        <v>0.0</v>
      </c>
      <c r="V286" t="n">
        <v>0.0</v>
      </c>
      <c r="W286" t="inlineStr">
        <is>
          <t/>
        </is>
      </c>
      <c r="X286" t="n">
        <v>0.0</v>
      </c>
      <c r="Y286" t="n">
        <v>0.0</v>
      </c>
      <c r="Z286" t="n">
        <v>0.0</v>
      </c>
      <c r="AA286" t="n">
        <v>0.0</v>
      </c>
      <c r="AB286" t="n">
        <v>0.0</v>
      </c>
      <c r="AC286" t="n">
        <v>0.0</v>
      </c>
      <c r="AD286" t="n">
        <v>16.0</v>
      </c>
      <c r="AE286" t="n">
        <v>0.0</v>
      </c>
      <c r="AF286" t="n">
        <v>0.0</v>
      </c>
      <c r="AG286" t="n">
        <v>0.0</v>
      </c>
      <c r="AH286" t="n">
        <v>0.0</v>
      </c>
      <c r="AI286" t="n">
        <v>0.0</v>
      </c>
      <c r="AJ286" t="n">
        <v>0.0</v>
      </c>
      <c r="AK286" t="n">
        <v>7.625</v>
      </c>
      <c r="AL286" t="inlineStr">
        <is>
          <t/>
        </is>
      </c>
    </row>
    <row r="287">
      <c r="A287" t="inlineStr">
        <is>
          <t>谁说死虾冷冻是直的，活虾冷冻才弯曲？</t>
        </is>
      </c>
      <c r="B287" t="inlineStr">
        <is>
          <t>6a1f900f00000000060311f2</t>
        </is>
      </c>
      <c r="C287" s="286" t="n">
        <f>HYPERLINK("https://www.xiaohongshu.com/explore/6a1f900f00000000060311f2?xsec_token=TB6EZ8Y08PPqC5fHOGEZ2EHhsI9zzbv_zbu7V3s8Zxfgg=&amp;xsec_source=pc_trdark","https://www.xiaohongshu.com/explore/6a1f900f00000000060311f2?xsec_token=TB6EZ8Y08PPqC5fHOGEZ2EHhsI9zzbv_zbu7V3s8Zxfgg=&amp;xsec_source=pc_trdark")</f>
        <v>0.0</v>
      </c>
      <c r="D287" t="inlineStr">
        <is>
          <t>鲜水湾</t>
        </is>
      </c>
      <c r="E287" t="inlineStr">
        <is>
          <t>49316638994</t>
        </is>
      </c>
      <c r="F287" t="inlineStr">
        <is>
          <t>2026-06-03 10:23:12</t>
        </is>
      </c>
      <c r="G287" t="inlineStr">
        <is>
          <t>图文</t>
        </is>
      </c>
      <c r="H287" t="inlineStr">
        <is>
          <t>大虾基围虾王牌大虾厄瓜多尔白虾盐冻虾仁海洋大虾送礼顺丰包邮</t>
        </is>
      </c>
      <c r="I287" t="inlineStr">
        <is>
          <t>690aeb7be379430001e686ac</t>
        </is>
      </c>
      <c r="J287" t="inlineStr">
        <is>
          <t/>
        </is>
      </c>
      <c r="K287" t="n">
        <v>0.0</v>
      </c>
      <c r="L287" t="n">
        <v>0.0</v>
      </c>
      <c r="M287" t="n">
        <v>0.0</v>
      </c>
      <c r="N287" t="n">
        <v>0.0</v>
      </c>
      <c r="O287" t="n">
        <v>0.0</v>
      </c>
      <c r="P287" t="n">
        <v>0.0</v>
      </c>
      <c r="Q287" t="inlineStr">
        <is>
          <t/>
        </is>
      </c>
      <c r="R287" t="inlineStr">
        <is>
          <t/>
        </is>
      </c>
      <c r="S287" t="n">
        <v>0.0</v>
      </c>
      <c r="T287" t="n">
        <v>0.0</v>
      </c>
      <c r="U287" t="n">
        <v>0.0</v>
      </c>
      <c r="V287" t="n">
        <v>0.0</v>
      </c>
      <c r="W287" t="inlineStr">
        <is>
          <t/>
        </is>
      </c>
      <c r="X287" t="n">
        <v>0.0</v>
      </c>
      <c r="Y287" t="n">
        <v>0.0</v>
      </c>
      <c r="Z287" t="n">
        <v>0.0</v>
      </c>
      <c r="AA287" t="n">
        <v>0.0</v>
      </c>
      <c r="AB287" t="n">
        <v>0.0</v>
      </c>
      <c r="AC287" t="n">
        <v>0.0</v>
      </c>
      <c r="AD287" t="n">
        <v>16.0</v>
      </c>
      <c r="AE287" t="n">
        <v>0.0</v>
      </c>
      <c r="AF287" t="n">
        <v>0.0</v>
      </c>
      <c r="AG287" t="n">
        <v>0.0</v>
      </c>
      <c r="AH287" t="n">
        <v>0.0</v>
      </c>
      <c r="AI287" t="n">
        <v>0.0</v>
      </c>
      <c r="AJ287" t="n">
        <v>0.0</v>
      </c>
      <c r="AK287" t="n">
        <v>9.5625</v>
      </c>
      <c r="AL287" t="inlineStr">
        <is>
          <t/>
        </is>
      </c>
    </row>
    <row r="288">
      <c r="A288" t="inlineStr">
        <is>
          <t>懒人做饭第一次这么有成就感！！！！</t>
        </is>
      </c>
      <c r="B288" t="inlineStr">
        <is>
          <t>6a169f27000000000603609d</t>
        </is>
      </c>
      <c r="C288" s="287" t="n">
        <f>HYPERLINK("https://www.xiaohongshu.com/explore/6a169f27000000000603609d?xsec_token=TBTlDyK2vMyPBioInbRWPaPkCn9N5wzJ3eOr8ATOT-nOU=&amp;xsec_source=pc_trdark","https://www.xiaohongshu.com/explore/6a169f27000000000603609d?xsec_token=TBTlDyK2vMyPBioInbRWPaPkCn9N5wzJ3eOr8ATOT-nOU=&amp;xsec_source=pc_trdark")</f>
        <v>0.0</v>
      </c>
      <c r="D288" t="inlineStr">
        <is>
          <t>菲菲上班吃什么</t>
        </is>
      </c>
      <c r="E288" t="inlineStr">
        <is>
          <t>49936530607</t>
        </is>
      </c>
      <c r="F288" t="inlineStr">
        <is>
          <t>2026-05-27 19:43:00</t>
        </is>
      </c>
      <c r="G288" t="inlineStr">
        <is>
          <t>图文</t>
        </is>
      </c>
      <c r="H288" t="inlineStr">
        <is>
          <t>手剥虾仁 无冰衣无添加 低脂餐一人食 上班带饭 顺丰包邮 5盒装</t>
        </is>
      </c>
      <c r="I288" t="inlineStr">
        <is>
          <t>694baba01d450d00013662f0</t>
        </is>
      </c>
      <c r="J288" t="inlineStr">
        <is>
          <t/>
        </is>
      </c>
      <c r="K288" t="n">
        <v>0.0</v>
      </c>
      <c r="L288" t="n">
        <v>0.0</v>
      </c>
      <c r="M288" t="n">
        <v>0.0</v>
      </c>
      <c r="N288" t="n">
        <v>0.0</v>
      </c>
      <c r="O288" t="n">
        <v>0.0</v>
      </c>
      <c r="P288" t="n">
        <v>0.0</v>
      </c>
      <c r="Q288" t="inlineStr">
        <is>
          <t/>
        </is>
      </c>
      <c r="R288" t="inlineStr">
        <is>
          <t/>
        </is>
      </c>
      <c r="S288" t="n">
        <v>0.0</v>
      </c>
      <c r="T288" t="n">
        <v>0.0</v>
      </c>
      <c r="U288" t="n">
        <v>0.0</v>
      </c>
      <c r="V288" t="n">
        <v>0.0</v>
      </c>
      <c r="W288" t="inlineStr">
        <is>
          <t/>
        </is>
      </c>
      <c r="X288" t="n">
        <v>0.0</v>
      </c>
      <c r="Y288" t="n">
        <v>0.0</v>
      </c>
      <c r="Z288" t="n">
        <v>0.0</v>
      </c>
      <c r="AA288" t="n">
        <v>0.0</v>
      </c>
      <c r="AB288" t="n">
        <v>0.0</v>
      </c>
      <c r="AC288" t="n">
        <v>0.0</v>
      </c>
      <c r="AD288" t="n">
        <v>15.0</v>
      </c>
      <c r="AE288" t="n">
        <v>0.0</v>
      </c>
      <c r="AF288" t="n">
        <v>0.0</v>
      </c>
      <c r="AG288" t="n">
        <v>0.0</v>
      </c>
      <c r="AH288" t="n">
        <v>0.0</v>
      </c>
      <c r="AI288" t="n">
        <v>0.0</v>
      </c>
      <c r="AJ288" t="n">
        <v>0.0</v>
      </c>
      <c r="AK288" t="n">
        <v>6.466666666666667</v>
      </c>
      <c r="AL288" t="inlineStr">
        <is>
          <t/>
        </is>
      </c>
    </row>
    <row r="289">
      <c r="A289" t="inlineStr">
        <is>
          <t>300多整条三文鱼，装了我整个冰箱</t>
        </is>
      </c>
      <c r="B289" t="inlineStr">
        <is>
          <t>6a0828fd0000000007011179</t>
        </is>
      </c>
      <c r="C289" s="288" t="n">
        <f>HYPERLINK("https://www.xiaohongshu.com/explore/6a0828fd0000000007011179?xsec_token=TB4DqilU8Iz_RTzVurf6g8esUZ0phm0uRMdS5ATvLU0wQ=&amp;xsec_source=pc_trdark","https://www.xiaohongshu.com/explore/6a0828fd0000000007011179?xsec_token=TB4DqilU8Iz_RTzVurf6g8esUZ0phm0uRMdS5ATvLU0wQ=&amp;xsec_source=pc_trdark")</f>
        <v>0.0</v>
      </c>
      <c r="D289" t="inlineStr">
        <is>
          <t>鲜水湾</t>
        </is>
      </c>
      <c r="E289" t="inlineStr">
        <is>
          <t>49316638994</t>
        </is>
      </c>
      <c r="F289" t="inlineStr">
        <is>
          <t>2026-05-16 16:21:17</t>
        </is>
      </c>
      <c r="G289" t="inlineStr">
        <is>
          <t>图文</t>
        </is>
      </c>
      <c r="H289" t="inlineStr">
        <is>
          <t>智利尾端中段整条三文鱼 8斤深海鱼低脂餐囤货一周备菜顺丰包邮</t>
        </is>
      </c>
      <c r="I289" t="inlineStr">
        <is>
          <t>69fab80d64eb410001ece0c0</t>
        </is>
      </c>
      <c r="J289" t="inlineStr">
        <is>
          <t/>
        </is>
      </c>
      <c r="K289" t="n">
        <v>0.0</v>
      </c>
      <c r="L289" t="n">
        <v>0.0</v>
      </c>
      <c r="M289" t="n">
        <v>2.0</v>
      </c>
      <c r="N289" t="inlineStr">
        <is>
          <t>0.13333333333333333</t>
        </is>
      </c>
      <c r="O289" t="n">
        <v>2.0</v>
      </c>
      <c r="P289" t="n">
        <v>0.0</v>
      </c>
      <c r="Q289" t="n">
        <v>0.0</v>
      </c>
      <c r="R289" t="n">
        <v>0.0</v>
      </c>
      <c r="S289" t="n">
        <v>0.0</v>
      </c>
      <c r="T289" t="n">
        <v>0.0</v>
      </c>
      <c r="U289" t="n">
        <v>0.0</v>
      </c>
      <c r="V289" t="n">
        <v>0.0</v>
      </c>
      <c r="W289" t="inlineStr">
        <is>
          <t/>
        </is>
      </c>
      <c r="X289" t="n">
        <v>0.0</v>
      </c>
      <c r="Y289" t="n">
        <v>0.0</v>
      </c>
      <c r="Z289" t="n">
        <v>1.0</v>
      </c>
      <c r="AA289" t="n">
        <v>0.0</v>
      </c>
      <c r="AB289" t="n">
        <v>0.0</v>
      </c>
      <c r="AC289" t="n">
        <v>0.0</v>
      </c>
      <c r="AD289" t="n">
        <v>15.0</v>
      </c>
      <c r="AE289" t="n">
        <v>0.0</v>
      </c>
      <c r="AF289" t="n">
        <v>0.0</v>
      </c>
      <c r="AG289" t="n">
        <v>0.0</v>
      </c>
      <c r="AH289" t="n">
        <v>0.0</v>
      </c>
      <c r="AI289" t="n">
        <v>0.0</v>
      </c>
      <c r="AJ289" t="n">
        <v>0.0</v>
      </c>
      <c r="AK289" t="n">
        <v>17.333333333333332</v>
      </c>
      <c r="AL289" t="inlineStr">
        <is>
          <t/>
        </is>
      </c>
    </row>
    <row r="290">
      <c r="A290" t="inlineStr">
        <is>
          <t>半夜饿到睡不着，真的别乱吃😭</t>
        </is>
      </c>
      <c r="B290" t="inlineStr">
        <is>
          <t>6a042afb000000000803f267</t>
        </is>
      </c>
      <c r="C290" s="289" t="n">
        <f>HYPERLINK("https://www.xiaohongshu.com/explore/6a042afb000000000803f267?xsec_token=TB97Sb--y1lRno5M8_9mN6ezhGYhnwZGkRkpj6rTfd-OY=&amp;xsec_source=pc_trdark","https://www.xiaohongshu.com/explore/6a042afb000000000803f267?xsec_token=TB97Sb--y1lRno5M8_9mN6ezhGYhnwZGkRkpj6rTfd-OY=&amp;xsec_source=pc_trdark")</f>
        <v>0.0</v>
      </c>
      <c r="D290" t="inlineStr">
        <is>
          <t>菲菲上班吃什么</t>
        </is>
      </c>
      <c r="E290" t="inlineStr">
        <is>
          <t>49936530607</t>
        </is>
      </c>
      <c r="F290" t="inlineStr">
        <is>
          <t>2026-05-13 21:38:00</t>
        </is>
      </c>
      <c r="G290" t="inlineStr">
        <is>
          <t>图文</t>
        </is>
      </c>
      <c r="H290" t="inlineStr">
        <is>
          <t>手剥虾仁 无冰衣无添加 低脂餐一人食 上班带饭 顺丰包邮 5盒装</t>
        </is>
      </c>
      <c r="I290" t="inlineStr">
        <is>
          <t>694baba01d450d00013662f0</t>
        </is>
      </c>
      <c r="J290" t="inlineStr">
        <is>
          <t/>
        </is>
      </c>
      <c r="K290" t="n">
        <v>0.0</v>
      </c>
      <c r="L290" t="n">
        <v>0.0</v>
      </c>
      <c r="M290" t="n">
        <v>1.0</v>
      </c>
      <c r="N290" t="inlineStr">
        <is>
          <t>0.06666666666666667</t>
        </is>
      </c>
      <c r="O290" t="n">
        <v>1.0</v>
      </c>
      <c r="P290" t="n">
        <v>0.0</v>
      </c>
      <c r="Q290" t="n">
        <v>0.0</v>
      </c>
      <c r="R290" t="n">
        <v>0.0</v>
      </c>
      <c r="S290" t="n">
        <v>0.0</v>
      </c>
      <c r="T290" t="n">
        <v>0.0</v>
      </c>
      <c r="U290" t="n">
        <v>0.0</v>
      </c>
      <c r="V290" t="n">
        <v>0.0</v>
      </c>
      <c r="W290" t="inlineStr">
        <is>
          <t/>
        </is>
      </c>
      <c r="X290" t="n">
        <v>0.0</v>
      </c>
      <c r="Y290" t="n">
        <v>0.0</v>
      </c>
      <c r="Z290" t="n">
        <v>0.0</v>
      </c>
      <c r="AA290" t="n">
        <v>0.0</v>
      </c>
      <c r="AB290" t="n">
        <v>0.0</v>
      </c>
      <c r="AC290" t="n">
        <v>0.0</v>
      </c>
      <c r="AD290" t="n">
        <v>15.0</v>
      </c>
      <c r="AE290" t="n">
        <v>0.0</v>
      </c>
      <c r="AF290" t="n">
        <v>0.0</v>
      </c>
      <c r="AG290" t="n">
        <v>0.0</v>
      </c>
      <c r="AH290" t="n">
        <v>0.0</v>
      </c>
      <c r="AI290" t="n">
        <v>0.0</v>
      </c>
      <c r="AJ290" t="n">
        <v>0.0</v>
      </c>
      <c r="AK290" t="n">
        <v>7.733333333333333</v>
      </c>
      <c r="AL290" t="inlineStr">
        <is>
          <t/>
        </is>
      </c>
    </row>
    <row r="291">
      <c r="A291" t="inlineStr">
        <is>
          <t>给孩子买了一整条三文鱼补营养！</t>
        </is>
      </c>
      <c r="B291" t="inlineStr">
        <is>
          <t>698aa5f5000000000903b245</t>
        </is>
      </c>
      <c r="C291" s="290" t="n">
        <f>HYPERLINK("https://www.xiaohongshu.com/explore/698aa5f5000000000903b245?xsec_token=TBG0mKfxVH0N0QJz26OSUyhYnNDz9X11dGMwAn1wQfsDs=&amp;xsec_source=pc_trdark","https://www.xiaohongshu.com/explore/698aa5f5000000000903b245?xsec_token=TBG0mKfxVH0N0QJz26OSUyhYnNDz9X11dGMwAn1wQfsDs=&amp;xsec_source=pc_trdark")</f>
        <v>0.0</v>
      </c>
      <c r="D291" t="inlineStr">
        <is>
          <t>鲜水湾甄选</t>
        </is>
      </c>
      <c r="E291" t="inlineStr">
        <is>
          <t>27401929161</t>
        </is>
      </c>
      <c r="F291" t="inlineStr">
        <is>
          <t>2026-02-10 11:28:53</t>
        </is>
      </c>
      <c r="G291" t="inlineStr">
        <is>
          <t>图文</t>
        </is>
      </c>
      <c r="H291" t="inlineStr">
        <is>
          <t>智利三文鱼切块·整条三文鱼·深海鱼一人食健康饮食</t>
        </is>
      </c>
      <c r="I291" t="inlineStr">
        <is>
          <t>691ac562a524ee0001b51d7b</t>
        </is>
      </c>
      <c r="J291" t="inlineStr">
        <is>
          <t/>
        </is>
      </c>
      <c r="K291" t="n">
        <v>0.0</v>
      </c>
      <c r="L291" t="n">
        <v>0.0</v>
      </c>
      <c r="M291" t="n">
        <v>0.0</v>
      </c>
      <c r="N291" t="n">
        <v>0.0</v>
      </c>
      <c r="O291" t="n">
        <v>0.0</v>
      </c>
      <c r="P291" t="n">
        <v>0.0</v>
      </c>
      <c r="Q291" t="inlineStr">
        <is>
          <t/>
        </is>
      </c>
      <c r="R291" t="inlineStr">
        <is>
          <t/>
        </is>
      </c>
      <c r="S291" t="n">
        <v>0.0</v>
      </c>
      <c r="T291" t="n">
        <v>0.0</v>
      </c>
      <c r="U291" t="n">
        <v>0.0</v>
      </c>
      <c r="V291" t="n">
        <v>0.0</v>
      </c>
      <c r="W291" t="inlineStr">
        <is>
          <t/>
        </is>
      </c>
      <c r="X291" t="n">
        <v>0.0</v>
      </c>
      <c r="Y291" t="n">
        <v>0.0</v>
      </c>
      <c r="Z291" t="n">
        <v>0.0</v>
      </c>
      <c r="AA291" t="n">
        <v>0.0</v>
      </c>
      <c r="AB291" t="n">
        <v>0.0</v>
      </c>
      <c r="AC291" t="n">
        <v>0.0</v>
      </c>
      <c r="AD291" t="n">
        <v>15.0</v>
      </c>
      <c r="AE291" t="n">
        <v>0.0</v>
      </c>
      <c r="AF291" t="n">
        <v>0.0</v>
      </c>
      <c r="AG291" t="n">
        <v>0.0</v>
      </c>
      <c r="AH291" t="n">
        <v>0.0</v>
      </c>
      <c r="AI291" t="n">
        <v>0.0</v>
      </c>
      <c r="AJ291" t="n">
        <v>0.0</v>
      </c>
      <c r="AK291" t="n">
        <v>5.6</v>
      </c>
      <c r="AL291" t="inlineStr">
        <is>
          <t/>
        </is>
      </c>
    </row>
    <row r="292">
      <c r="A292" t="inlineStr">
        <is>
          <t>推荐孕妈妈可以放心吃的虾</t>
        </is>
      </c>
      <c r="B292" t="inlineStr">
        <is>
          <t>6a80032500000000280061f8</t>
        </is>
      </c>
      <c r="C292" s="291" t="n">
        <f>HYPERLINK("https://www.xiaohongshu.com/explore/6a80032500000000280061f8?xsec_token=TBacHlhVHXxXoJj4MFdBzAdf6C3IvWBJg19_QFGVavaOg=&amp;xsec_source=pc_trdark","https://www.xiaohongshu.com/explore/6a80032500000000280061f8?xsec_token=TBacHlhVHXxXoJj4MFdBzAdf6C3IvWBJg19_QFGVavaOg=&amp;xsec_source=pc_trdark")</f>
        <v>0.0</v>
      </c>
      <c r="D292" t="inlineStr">
        <is>
          <t>菲菲上班吃什么</t>
        </is>
      </c>
      <c r="E292" t="inlineStr">
        <is>
          <t>49936530607</t>
        </is>
      </c>
      <c r="F292" t="inlineStr">
        <is>
          <t>2026-08-15 14:11:49</t>
        </is>
      </c>
      <c r="G292" t="inlineStr">
        <is>
          <t>视频</t>
        </is>
      </c>
      <c r="H292" t="inlineStr">
        <is>
          <t>北极甜虾头籽甜虾元宝虾北极熊冰虾孕妈妈宝宝辅食顺丰</t>
        </is>
      </c>
      <c r="I292" t="inlineStr">
        <is>
          <t>6953717eb8f0bb000115158d</t>
        </is>
      </c>
      <c r="J292" t="n">
        <v>38.0</v>
      </c>
      <c r="K292" t="n">
        <v>0.0</v>
      </c>
      <c r="L292" t="n">
        <v>0.0</v>
      </c>
      <c r="M292" t="n">
        <v>2.0</v>
      </c>
      <c r="N292" t="inlineStr">
        <is>
          <t>0.14285714285714285</t>
        </is>
      </c>
      <c r="O292" t="n">
        <v>1.0</v>
      </c>
      <c r="P292" t="n">
        <v>0.0</v>
      </c>
      <c r="Q292" t="n">
        <v>0.0</v>
      </c>
      <c r="R292" t="n">
        <v>0.0</v>
      </c>
      <c r="S292" t="n">
        <v>0.0</v>
      </c>
      <c r="T292" t="n">
        <v>0.0</v>
      </c>
      <c r="U292" t="n">
        <v>0.0</v>
      </c>
      <c r="V292" t="n">
        <v>0.0</v>
      </c>
      <c r="W292" t="inlineStr">
        <is>
          <t/>
        </is>
      </c>
      <c r="X292" t="n">
        <v>0.0</v>
      </c>
      <c r="Y292" t="n">
        <v>0.0</v>
      </c>
      <c r="Z292" t="n">
        <v>0.0</v>
      </c>
      <c r="AA292" t="n">
        <v>0.0</v>
      </c>
      <c r="AB292" t="n">
        <v>0.0</v>
      </c>
      <c r="AC292" t="n">
        <v>0.0</v>
      </c>
      <c r="AD292" t="n">
        <v>14.0</v>
      </c>
      <c r="AE292" t="n">
        <v>1.0</v>
      </c>
      <c r="AF292" t="n">
        <v>0.0</v>
      </c>
      <c r="AG292" t="n">
        <v>0.0</v>
      </c>
      <c r="AH292" t="n">
        <v>1.0</v>
      </c>
      <c r="AI292" t="n">
        <v>0.0</v>
      </c>
      <c r="AJ292" t="n">
        <v>0.0</v>
      </c>
      <c r="AK292" t="n">
        <v>5.928571428571429</v>
      </c>
      <c r="AL292" t="inlineStr">
        <is>
          <t>0.09090909090909091</t>
        </is>
      </c>
    </row>
    <row r="293">
      <c r="A293" t="inlineStr">
        <is>
          <t>因为我一个人，带动了全办公室集体囤大虾🦐</t>
        </is>
      </c>
      <c r="B293" t="inlineStr">
        <is>
          <t>6a7a82f900000000050233f1</t>
        </is>
      </c>
      <c r="C293" s="292" t="n">
        <f>HYPERLINK("https://www.xiaohongshu.com/explore/6a7a82f900000000050233f1?xsec_token=TB0t4OYz0zvMWJMb3SXpV4SYnm_jDw6WZBgSzW3EqjDJs=&amp;xsec_source=pc_trdark","https://www.xiaohongshu.com/explore/6a7a82f900000000050233f1?xsec_token=TB0t4OYz0zvMWJMb3SXpV4SYnm_jDw6WZBgSzW3EqjDJs=&amp;xsec_source=pc_trdark")</f>
        <v>0.0</v>
      </c>
      <c r="D293" t="inlineStr">
        <is>
          <t>鲜水湾</t>
        </is>
      </c>
      <c r="E293" t="inlineStr">
        <is>
          <t>49316638994</t>
        </is>
      </c>
      <c r="F293" t="inlineStr">
        <is>
          <t>2026-08-11 10:03:37</t>
        </is>
      </c>
      <c r="G293" t="inlineStr">
        <is>
          <t>图文</t>
        </is>
      </c>
      <c r="H293" t="inlineStr">
        <is>
          <t>王牌大虾鲜冻大虾厄瓜多尔白虾盐冻大虾年货过年送礼顺丰包邮</t>
        </is>
      </c>
      <c r="I293" t="inlineStr">
        <is>
          <t>69782738eb0d9a0001cd8a32</t>
        </is>
      </c>
      <c r="J293" t="inlineStr">
        <is>
          <t/>
        </is>
      </c>
      <c r="K293" t="n">
        <v>0.0</v>
      </c>
      <c r="L293" t="n">
        <v>0.0</v>
      </c>
      <c r="M293" t="n">
        <v>1.0</v>
      </c>
      <c r="N293" t="inlineStr">
        <is>
          <t>0.07142857142857142</t>
        </is>
      </c>
      <c r="O293" t="n">
        <v>1.0</v>
      </c>
      <c r="P293" t="n">
        <v>0.0</v>
      </c>
      <c r="Q293" t="n">
        <v>0.0</v>
      </c>
      <c r="R293" t="n">
        <v>0.0</v>
      </c>
      <c r="S293" t="n">
        <v>0.0</v>
      </c>
      <c r="T293" t="n">
        <v>0.0</v>
      </c>
      <c r="U293" t="n">
        <v>0.0</v>
      </c>
      <c r="V293" t="n">
        <v>0.0</v>
      </c>
      <c r="W293" t="inlineStr">
        <is>
          <t/>
        </is>
      </c>
      <c r="X293" t="n">
        <v>0.0</v>
      </c>
      <c r="Y293" t="n">
        <v>0.0</v>
      </c>
      <c r="Z293" t="n">
        <v>0.0</v>
      </c>
      <c r="AA293" t="n">
        <v>0.0</v>
      </c>
      <c r="AB293" t="n">
        <v>0.0</v>
      </c>
      <c r="AC293" t="n">
        <v>0.0</v>
      </c>
      <c r="AD293" t="n">
        <v>14.0</v>
      </c>
      <c r="AE293" t="n">
        <v>1.0</v>
      </c>
      <c r="AF293" t="n">
        <v>0.0</v>
      </c>
      <c r="AG293" t="n">
        <v>0.0</v>
      </c>
      <c r="AH293" t="n">
        <v>2.0</v>
      </c>
      <c r="AI293" t="n">
        <v>0.0</v>
      </c>
      <c r="AJ293" t="n">
        <v>0.0</v>
      </c>
      <c r="AK293" t="n">
        <v>4.428571428571429</v>
      </c>
      <c r="AL293" t="inlineStr">
        <is>
          <t/>
        </is>
      </c>
    </row>
    <row r="294">
      <c r="A294" t="inlineStr">
        <is>
          <t>这也太省钱了吧😂几十块承包半个月控体餐！</t>
        </is>
      </c>
      <c r="B294" t="inlineStr">
        <is>
          <t>6a7a76fe000000003400dbea</t>
        </is>
      </c>
      <c r="C294" s="293" t="n">
        <f>HYPERLINK("https://www.xiaohongshu.com/explore/6a7a76fe000000003400dbea?xsec_token=TB0t4OYz0zvMWJMb3SXpV4SQp4zzfjnjDIkYXKzR1E9hk=&amp;xsec_source=pc_trdark","https://www.xiaohongshu.com/explore/6a7a76fe000000003400dbea?xsec_token=TB0t4OYz0zvMWJMb3SXpV4SQp4zzfjnjDIkYXKzR1E9hk=&amp;xsec_source=pc_trdark")</f>
        <v>0.0</v>
      </c>
      <c r="D294" t="inlineStr">
        <is>
          <t>菲菲上班吃什么</t>
        </is>
      </c>
      <c r="E294" t="inlineStr">
        <is>
          <t>49936530607</t>
        </is>
      </c>
      <c r="F294" t="inlineStr">
        <is>
          <t>2026-08-11 09:12:30</t>
        </is>
      </c>
      <c r="G294" t="inlineStr">
        <is>
          <t>图文</t>
        </is>
      </c>
      <c r="H294" t="inlineStr">
        <is>
          <t>手剥虾仁 无冰衣无添加 低脂餐一人食 上班带饭 顺丰包邮 5盒装</t>
        </is>
      </c>
      <c r="I294" t="inlineStr">
        <is>
          <t>694baba01d450d00013662f0</t>
        </is>
      </c>
      <c r="J294" t="inlineStr">
        <is>
          <t/>
        </is>
      </c>
      <c r="K294" t="n">
        <v>0.0</v>
      </c>
      <c r="L294" t="n">
        <v>0.0</v>
      </c>
      <c r="M294" t="n">
        <v>0.0</v>
      </c>
      <c r="N294" t="n">
        <v>0.0</v>
      </c>
      <c r="O294" t="n">
        <v>0.0</v>
      </c>
      <c r="P294" t="n">
        <v>0.0</v>
      </c>
      <c r="Q294" t="inlineStr">
        <is>
          <t/>
        </is>
      </c>
      <c r="R294" t="inlineStr">
        <is>
          <t/>
        </is>
      </c>
      <c r="S294" t="n">
        <v>0.0</v>
      </c>
      <c r="T294" t="n">
        <v>0.0</v>
      </c>
      <c r="U294" t="n">
        <v>0.0</v>
      </c>
      <c r="V294" t="n">
        <v>0.0</v>
      </c>
      <c r="W294" t="inlineStr">
        <is>
          <t/>
        </is>
      </c>
      <c r="X294" t="n">
        <v>0.0</v>
      </c>
      <c r="Y294" t="n">
        <v>0.0</v>
      </c>
      <c r="Z294" t="n">
        <v>3.0</v>
      </c>
      <c r="AA294" t="n">
        <v>0.0</v>
      </c>
      <c r="AB294" t="n">
        <v>0.0</v>
      </c>
      <c r="AC294" t="n">
        <v>0.0</v>
      </c>
      <c r="AD294" t="n">
        <v>14.0</v>
      </c>
      <c r="AE294" t="n">
        <v>0.0</v>
      </c>
      <c r="AF294" t="n">
        <v>0.0</v>
      </c>
      <c r="AG294" t="n">
        <v>0.0</v>
      </c>
      <c r="AH294" t="n">
        <v>1.0</v>
      </c>
      <c r="AI294" t="n">
        <v>0.0</v>
      </c>
      <c r="AJ294" t="n">
        <v>0.0</v>
      </c>
      <c r="AK294" t="n">
        <v>5.857142857142857</v>
      </c>
      <c r="AL294" t="inlineStr">
        <is>
          <t/>
        </is>
      </c>
    </row>
    <row r="295">
      <c r="A295" t="inlineStr">
        <is>
          <t>打工人原来贵的不是虾仁，是每天点外卖</t>
        </is>
      </c>
      <c r="B295" t="inlineStr">
        <is>
          <t>6a71599c000000002201625f</t>
        </is>
      </c>
      <c r="C295" s="294" t="n">
        <f>HYPERLINK("https://www.xiaohongshu.com/explore/6a71599c000000002201625f?xsec_token=TBGdlgq0FqunFmaLrhl7merswoG4aPdax-mMT-lh0xwv0=&amp;xsec_source=pc_trdark","https://www.xiaohongshu.com/explore/6a71599c000000002201625f?xsec_token=TBGdlgq0FqunFmaLrhl7merswoG4aPdax-mMT-lh0xwv0=&amp;xsec_source=pc_trdark")</f>
        <v>0.0</v>
      </c>
      <c r="D295" t="inlineStr">
        <is>
          <t>鲜水湾甄选</t>
        </is>
      </c>
      <c r="E295" t="inlineStr">
        <is>
          <t>27401929161</t>
        </is>
      </c>
      <c r="F295" t="inlineStr">
        <is>
          <t>2026-08-04 11:16:44</t>
        </is>
      </c>
      <c r="G295" t="inlineStr">
        <is>
          <t>图文</t>
        </is>
      </c>
      <c r="H295" t="inlineStr">
        <is>
          <t>手剥虾仁 无冰衣无添加 低脂餐一人食 上班带饭 顺丰包邮 5盒装</t>
        </is>
      </c>
      <c r="I295" t="inlineStr">
        <is>
          <t>694baba01d450d00013662f0</t>
        </is>
      </c>
      <c r="J295" t="inlineStr">
        <is>
          <t/>
        </is>
      </c>
      <c r="K295" t="n">
        <v>0.0</v>
      </c>
      <c r="L295" t="n">
        <v>0.0</v>
      </c>
      <c r="M295" t="n">
        <v>2.0</v>
      </c>
      <c r="N295" t="inlineStr">
        <is>
          <t>0.14285714285714285</t>
        </is>
      </c>
      <c r="O295" t="n">
        <v>2.0</v>
      </c>
      <c r="P295" t="n">
        <v>0.0</v>
      </c>
      <c r="Q295" t="n">
        <v>0.0</v>
      </c>
      <c r="R295" t="n">
        <v>0.0</v>
      </c>
      <c r="S295" t="n">
        <v>0.0</v>
      </c>
      <c r="T295" t="n">
        <v>0.0</v>
      </c>
      <c r="U295" t="n">
        <v>0.0</v>
      </c>
      <c r="V295" t="n">
        <v>0.0</v>
      </c>
      <c r="W295" t="inlineStr">
        <is>
          <t/>
        </is>
      </c>
      <c r="X295" t="n">
        <v>0.0</v>
      </c>
      <c r="Y295" t="n">
        <v>0.0</v>
      </c>
      <c r="Z295" t="n">
        <v>0.0</v>
      </c>
      <c r="AA295" t="n">
        <v>0.0</v>
      </c>
      <c r="AB295" t="n">
        <v>0.0</v>
      </c>
      <c r="AC295" t="n">
        <v>0.0</v>
      </c>
      <c r="AD295" t="n">
        <v>14.0</v>
      </c>
      <c r="AE295" t="n">
        <v>0.0</v>
      </c>
      <c r="AF295" t="n">
        <v>0.0</v>
      </c>
      <c r="AG295" t="n">
        <v>0.0</v>
      </c>
      <c r="AH295" t="n">
        <v>0.0</v>
      </c>
      <c r="AI295" t="n">
        <v>0.0</v>
      </c>
      <c r="AJ295" t="n">
        <v>0.0</v>
      </c>
      <c r="AK295" t="n">
        <v>8.785714285714286</v>
      </c>
      <c r="AL295" t="inlineStr">
        <is>
          <t/>
        </is>
      </c>
    </row>
    <row r="296">
      <c r="A296" t="inlineStr">
        <is>
          <t>馋嘴娃点名要吃的香煎三文鱼</t>
        </is>
      </c>
      <c r="B296" t="inlineStr">
        <is>
          <t>6a68766d000000001d02199c</t>
        </is>
      </c>
      <c r="C296" s="295" t="n">
        <f>HYPERLINK("https://www.xiaohongshu.com/explore/6a68766d000000001d02199c?xsec_token=TBuVqV6OAJJIOGGQlO2UOOSNK72pCGDNOAqRkd9Z4AMMA=&amp;xsec_source=pc_trdark","https://www.xiaohongshu.com/explore/6a68766d000000001d02199c?xsec_token=TBuVqV6OAJJIOGGQlO2UOOSNK72pCGDNOAqRkd9Z4AMMA=&amp;xsec_source=pc_trdark")</f>
        <v>0.0</v>
      </c>
      <c r="D296" t="inlineStr">
        <is>
          <t>鲜水湾</t>
        </is>
      </c>
      <c r="E296" t="inlineStr">
        <is>
          <t>49316638994</t>
        </is>
      </c>
      <c r="F296" t="inlineStr">
        <is>
          <t>2026-07-28 17:29:17</t>
        </is>
      </c>
      <c r="G296" t="inlineStr">
        <is>
          <t>图文</t>
        </is>
      </c>
      <c r="H296" t="inlineStr">
        <is>
          <t>智利三文鱼切块·整条三文鱼·深海鱼一人食健康饮食</t>
        </is>
      </c>
      <c r="I296" t="inlineStr">
        <is>
          <t>691ac562a524ee0001b51d7b</t>
        </is>
      </c>
      <c r="J296" t="inlineStr">
        <is>
          <t/>
        </is>
      </c>
      <c r="K296" t="n">
        <v>0.0</v>
      </c>
      <c r="L296" t="n">
        <v>0.0</v>
      </c>
      <c r="M296" t="n">
        <v>0.0</v>
      </c>
      <c r="N296" t="n">
        <v>0.0</v>
      </c>
      <c r="O296" t="n">
        <v>0.0</v>
      </c>
      <c r="P296" t="n">
        <v>0.0</v>
      </c>
      <c r="Q296" t="inlineStr">
        <is>
          <t/>
        </is>
      </c>
      <c r="R296" t="inlineStr">
        <is>
          <t/>
        </is>
      </c>
      <c r="S296" t="n">
        <v>0.0</v>
      </c>
      <c r="T296" t="n">
        <v>0.0</v>
      </c>
      <c r="U296" t="n">
        <v>0.0</v>
      </c>
      <c r="V296" t="n">
        <v>0.0</v>
      </c>
      <c r="W296" t="inlineStr">
        <is>
          <t/>
        </is>
      </c>
      <c r="X296" t="n">
        <v>0.0</v>
      </c>
      <c r="Y296" t="n">
        <v>0.0</v>
      </c>
      <c r="Z296" t="n">
        <v>0.0</v>
      </c>
      <c r="AA296" t="n">
        <v>0.0</v>
      </c>
      <c r="AB296" t="n">
        <v>0.0</v>
      </c>
      <c r="AC296" t="n">
        <v>0.0</v>
      </c>
      <c r="AD296" t="n">
        <v>14.0</v>
      </c>
      <c r="AE296" t="n">
        <v>0.0</v>
      </c>
      <c r="AF296" t="n">
        <v>0.0</v>
      </c>
      <c r="AG296" t="n">
        <v>0.0</v>
      </c>
      <c r="AH296" t="n">
        <v>0.0</v>
      </c>
      <c r="AI296" t="n">
        <v>0.0</v>
      </c>
      <c r="AJ296" t="n">
        <v>0.0</v>
      </c>
      <c r="AK296" t="n">
        <v>14.642857142857142</v>
      </c>
      <c r="AL296" t="inlineStr">
        <is>
          <t/>
        </is>
      </c>
    </row>
    <row r="297">
      <c r="A297" t="inlineStr">
        <is>
          <t>普通人减脂真不贵，69够吃一周了</t>
        </is>
      </c>
      <c r="B297" t="inlineStr">
        <is>
          <t>6a38e138000000001101382c</t>
        </is>
      </c>
      <c r="C297" s="296" t="n">
        <f>HYPERLINK("https://www.xiaohongshu.com/explore/6a38e138000000001101382c?xsec_token=TBRyosr1HGPYxVy2p2HWj-ew0PoP_X9pllg8z-61yem1Q=&amp;xsec_source=pc_trdark","https://www.xiaohongshu.com/explore/6a38e138000000001101382c?xsec_token=TBRyosr1HGPYxVy2p2HWj-ew0PoP_X9pllg8z-61yem1Q=&amp;xsec_source=pc_trdark")</f>
        <v>0.0</v>
      </c>
      <c r="D297" t="inlineStr">
        <is>
          <t>鲜水湾甄选</t>
        </is>
      </c>
      <c r="E297" t="inlineStr">
        <is>
          <t>27401929161</t>
        </is>
      </c>
      <c r="F297" t="inlineStr">
        <is>
          <t>2026-06-22 15:16:08</t>
        </is>
      </c>
      <c r="G297" t="inlineStr">
        <is>
          <t>图文</t>
        </is>
      </c>
      <c r="H297" t="inlineStr">
        <is>
          <t>手剥虾仁 无冰衣无添加 低脂餐一人食 上班带饭 顺丰包邮 5盒装</t>
        </is>
      </c>
      <c r="I297" t="inlineStr">
        <is>
          <t>694baba01d450d00013662f0</t>
        </is>
      </c>
      <c r="J297" t="inlineStr">
        <is>
          <t/>
        </is>
      </c>
      <c r="K297" t="n">
        <v>0.0</v>
      </c>
      <c r="L297" t="n">
        <v>0.0</v>
      </c>
      <c r="M297" t="n">
        <v>4.0</v>
      </c>
      <c r="N297" t="n">
        <v>0.2857142857142857</v>
      </c>
      <c r="O297" t="n">
        <v>4.0</v>
      </c>
      <c r="P297" t="n">
        <v>0.0</v>
      </c>
      <c r="Q297" t="n">
        <v>0.0</v>
      </c>
      <c r="R297" t="n">
        <v>0.0</v>
      </c>
      <c r="S297" t="n">
        <v>0.0</v>
      </c>
      <c r="T297" t="n">
        <v>0.0</v>
      </c>
      <c r="U297" t="n">
        <v>0.0</v>
      </c>
      <c r="V297" t="n">
        <v>0.0</v>
      </c>
      <c r="W297" t="inlineStr">
        <is>
          <t/>
        </is>
      </c>
      <c r="X297" t="n">
        <v>0.0</v>
      </c>
      <c r="Y297" t="n">
        <v>1.0</v>
      </c>
      <c r="Z297" t="n">
        <v>0.0</v>
      </c>
      <c r="AA297" t="n">
        <v>0.0</v>
      </c>
      <c r="AB297" t="n">
        <v>0.0</v>
      </c>
      <c r="AC297" t="n">
        <v>0.0</v>
      </c>
      <c r="AD297" t="n">
        <v>14.0</v>
      </c>
      <c r="AE297" t="n">
        <v>0.0</v>
      </c>
      <c r="AF297" t="n">
        <v>0.0</v>
      </c>
      <c r="AG297" t="n">
        <v>0.0</v>
      </c>
      <c r="AH297" t="n">
        <v>0.0</v>
      </c>
      <c r="AI297" t="n">
        <v>0.0</v>
      </c>
      <c r="AJ297" t="n">
        <v>0.0</v>
      </c>
      <c r="AK297" t="n">
        <v>16.071428571428573</v>
      </c>
      <c r="AL297" t="inlineStr">
        <is>
          <t/>
        </is>
      </c>
    </row>
    <row r="298">
      <c r="A298" t="inlineStr">
        <is>
          <t>坚持吃虾仁代替外卖，两周后连自己都惊讶</t>
        </is>
      </c>
      <c r="B298" t="inlineStr">
        <is>
          <t>6a1d7d60000000000803e347</t>
        </is>
      </c>
      <c r="C298" s="297" t="n">
        <f>HYPERLINK("https://www.xiaohongshu.com/explore/6a1d7d60000000000803e347?xsec_token=TB9kCrU1OKj1OYrarOG6c5hzTqoaI_t0Ln7F0aLGUr1oo=&amp;xsec_source=pc_trdark","https://www.xiaohongshu.com/explore/6a1d7d60000000000803e347?xsec_token=TB9kCrU1OKj1OYrarOG6c5hzTqoaI_t0Ln7F0aLGUr1oo=&amp;xsec_source=pc_trdark")</f>
        <v>0.0</v>
      </c>
      <c r="D298" t="inlineStr">
        <is>
          <t>婉婉上班吃什么</t>
        </is>
      </c>
      <c r="E298" t="inlineStr">
        <is>
          <t>11434449706</t>
        </is>
      </c>
      <c r="F298" t="inlineStr">
        <is>
          <t>2026-06-01 20:38:56</t>
        </is>
      </c>
      <c r="G298" t="inlineStr">
        <is>
          <t>图文</t>
        </is>
      </c>
      <c r="H298" t="inlineStr">
        <is>
          <t>手剥虾仁 无冰衣无添加 低脂餐一人食 上班带饭 顺丰包邮 5盒装</t>
        </is>
      </c>
      <c r="I298" t="inlineStr">
        <is>
          <t>694baba01d450d00013662f0</t>
        </is>
      </c>
      <c r="J298" t="inlineStr">
        <is>
          <t/>
        </is>
      </c>
      <c r="K298" t="n">
        <v>0.0</v>
      </c>
      <c r="L298" t="n">
        <v>0.0</v>
      </c>
      <c r="M298" t="n">
        <v>1.0</v>
      </c>
      <c r="N298" t="inlineStr">
        <is>
          <t>0.07142857142857142</t>
        </is>
      </c>
      <c r="O298" t="n">
        <v>1.0</v>
      </c>
      <c r="P298" t="n">
        <v>0.0</v>
      </c>
      <c r="Q298" t="n">
        <v>0.0</v>
      </c>
      <c r="R298" t="n">
        <v>0.0</v>
      </c>
      <c r="S298" t="n">
        <v>0.0</v>
      </c>
      <c r="T298" t="n">
        <v>0.0</v>
      </c>
      <c r="U298" t="n">
        <v>0.0</v>
      </c>
      <c r="V298" t="n">
        <v>0.0</v>
      </c>
      <c r="W298" t="inlineStr">
        <is>
          <t/>
        </is>
      </c>
      <c r="X298" t="n">
        <v>0.0</v>
      </c>
      <c r="Y298" t="n">
        <v>0.0</v>
      </c>
      <c r="Z298" t="n">
        <v>0.0</v>
      </c>
      <c r="AA298" t="n">
        <v>0.0</v>
      </c>
      <c r="AB298" t="n">
        <v>0.0</v>
      </c>
      <c r="AC298" t="n">
        <v>0.0</v>
      </c>
      <c r="AD298" t="n">
        <v>14.0</v>
      </c>
      <c r="AE298" t="n">
        <v>0.0</v>
      </c>
      <c r="AF298" t="n">
        <v>0.0</v>
      </c>
      <c r="AG298" t="n">
        <v>0.0</v>
      </c>
      <c r="AH298" t="n">
        <v>0.0</v>
      </c>
      <c r="AI298" t="n">
        <v>0.0</v>
      </c>
      <c r="AJ298" t="n">
        <v>0.0</v>
      </c>
      <c r="AK298" t="n">
        <v>8.928571428571429</v>
      </c>
      <c r="AL298" t="inlineStr">
        <is>
          <t/>
        </is>
      </c>
    </row>
    <row r="299">
      <c r="A299" t="inlineStr">
        <is>
          <t>三文鱼真的太适合上班带饭了</t>
        </is>
      </c>
      <c r="B299" t="inlineStr">
        <is>
          <t>6a0aca3c0000000008001208</t>
        </is>
      </c>
      <c r="C299" s="298" t="n">
        <f>HYPERLINK("https://www.xiaohongshu.com/explore/6a0aca3c0000000008001208?xsec_token=TBoSBcPF-YdRwRwQio-1GXR920gMcFu-MwB6iqHo3BjiU=&amp;xsec_source=pc_trdark","https://www.xiaohongshu.com/explore/6a0aca3c0000000008001208?xsec_token=TBoSBcPF-YdRwRwQio-1GXR920gMcFu-MwB6iqHo3BjiU=&amp;xsec_source=pc_trdark")</f>
        <v>0.0</v>
      </c>
      <c r="D299" t="inlineStr">
        <is>
          <t>鲜水湾</t>
        </is>
      </c>
      <c r="E299" t="inlineStr">
        <is>
          <t>49316638994</t>
        </is>
      </c>
      <c r="F299" t="inlineStr">
        <is>
          <t>2026-05-18 16:13:48</t>
        </is>
      </c>
      <c r="G299" t="inlineStr">
        <is>
          <t>图文</t>
        </is>
      </c>
      <c r="H299" t="inlineStr">
        <is>
          <t>智利三文鱼切块·整条三文鱼·深海鱼一人食健康饮食</t>
        </is>
      </c>
      <c r="I299" t="inlineStr">
        <is>
          <t>691ac562a524ee0001b51d7b</t>
        </is>
      </c>
      <c r="J299" t="inlineStr">
        <is>
          <t/>
        </is>
      </c>
      <c r="K299" t="n">
        <v>0.0</v>
      </c>
      <c r="L299" t="n">
        <v>0.0</v>
      </c>
      <c r="M299" t="n">
        <v>1.0</v>
      </c>
      <c r="N299" t="inlineStr">
        <is>
          <t>0.07142857142857142</t>
        </is>
      </c>
      <c r="O299" t="n">
        <v>1.0</v>
      </c>
      <c r="P299" t="n">
        <v>0.0</v>
      </c>
      <c r="Q299" t="n">
        <v>0.0</v>
      </c>
      <c r="R299" t="n">
        <v>0.0</v>
      </c>
      <c r="S299" t="n">
        <v>0.0</v>
      </c>
      <c r="T299" t="n">
        <v>0.0</v>
      </c>
      <c r="U299" t="n">
        <v>0.0</v>
      </c>
      <c r="V299" t="n">
        <v>0.0</v>
      </c>
      <c r="W299" t="inlineStr">
        <is>
          <t/>
        </is>
      </c>
      <c r="X299" t="n">
        <v>0.0</v>
      </c>
      <c r="Y299" t="n">
        <v>0.0</v>
      </c>
      <c r="Z299" t="n">
        <v>0.0</v>
      </c>
      <c r="AA299" t="n">
        <v>0.0</v>
      </c>
      <c r="AB299" t="n">
        <v>0.0</v>
      </c>
      <c r="AC299" t="n">
        <v>0.0</v>
      </c>
      <c r="AD299" t="n">
        <v>14.0</v>
      </c>
      <c r="AE299" t="n">
        <v>0.0</v>
      </c>
      <c r="AF299" t="n">
        <v>0.0</v>
      </c>
      <c r="AG299" t="n">
        <v>0.0</v>
      </c>
      <c r="AH299" t="n">
        <v>0.0</v>
      </c>
      <c r="AI299" t="n">
        <v>0.0</v>
      </c>
      <c r="AJ299" t="n">
        <v>0.0</v>
      </c>
      <c r="AK299" t="n">
        <v>11.642857142857142</v>
      </c>
      <c r="AL299" t="inlineStr">
        <is>
          <t/>
        </is>
      </c>
    </row>
    <row r="300">
      <c r="A300" t="inlineStr">
        <is>
          <t>奉劝大家不要低估了100来块的购买力</t>
        </is>
      </c>
      <c r="B300" t="inlineStr">
        <is>
          <t>6a0580440000000007025825</t>
        </is>
      </c>
      <c r="C300" s="299" t="n">
        <f>HYPERLINK("https://www.xiaohongshu.com/explore/6a0580440000000007025825?xsec_token=TB5fIXEADm3ztd3cFmDO51aNDSRqD9ts9Ymd41cFcbIXA=&amp;xsec_source=pc_trdark","https://www.xiaohongshu.com/explore/6a0580440000000007025825?xsec_token=TB5fIXEADm3ztd3cFmDO51aNDSRqD9ts9Ymd41cFcbIXA=&amp;xsec_source=pc_trdark")</f>
        <v>0.0</v>
      </c>
      <c r="D300" t="inlineStr">
        <is>
          <t>鲜水湾</t>
        </is>
      </c>
      <c r="E300" t="inlineStr">
        <is>
          <t>49316638994</t>
        </is>
      </c>
      <c r="F300" t="inlineStr">
        <is>
          <t>2026-05-14 15:56:52</t>
        </is>
      </c>
      <c r="G300" t="inlineStr">
        <is>
          <t>图文</t>
        </is>
      </c>
      <c r="H300" t="inlineStr">
        <is>
          <t>智利三文鱼切块·整条三文鱼·深海鱼一人食健康饮食</t>
        </is>
      </c>
      <c r="I300" t="inlineStr">
        <is>
          <t>691ac562a524ee0001b51d7b</t>
        </is>
      </c>
      <c r="J300" t="inlineStr">
        <is>
          <t/>
        </is>
      </c>
      <c r="K300" t="n">
        <v>0.0</v>
      </c>
      <c r="L300" t="n">
        <v>0.0</v>
      </c>
      <c r="M300" t="n">
        <v>4.0</v>
      </c>
      <c r="N300" t="n">
        <v>0.2857142857142857</v>
      </c>
      <c r="O300" t="n">
        <v>4.0</v>
      </c>
      <c r="P300" t="n">
        <v>0.0</v>
      </c>
      <c r="Q300" t="n">
        <v>0.0</v>
      </c>
      <c r="R300" t="n">
        <v>0.0</v>
      </c>
      <c r="S300" t="n">
        <v>0.0</v>
      </c>
      <c r="T300" t="n">
        <v>0.0</v>
      </c>
      <c r="U300" t="n">
        <v>0.0</v>
      </c>
      <c r="V300" t="n">
        <v>0.0</v>
      </c>
      <c r="W300" t="inlineStr">
        <is>
          <t/>
        </is>
      </c>
      <c r="X300" t="n">
        <v>0.0</v>
      </c>
      <c r="Y300" t="n">
        <v>0.0</v>
      </c>
      <c r="Z300" t="n">
        <v>0.0</v>
      </c>
      <c r="AA300" t="n">
        <v>0.0</v>
      </c>
      <c r="AB300" t="n">
        <v>0.0</v>
      </c>
      <c r="AC300" t="n">
        <v>0.0</v>
      </c>
      <c r="AD300" t="n">
        <v>14.0</v>
      </c>
      <c r="AE300" t="n">
        <v>0.0</v>
      </c>
      <c r="AF300" t="n">
        <v>0.0</v>
      </c>
      <c r="AG300" t="n">
        <v>0.0</v>
      </c>
      <c r="AH300" t="n">
        <v>0.0</v>
      </c>
      <c r="AI300" t="n">
        <v>0.0</v>
      </c>
      <c r="AJ300" t="n">
        <v>0.0</v>
      </c>
      <c r="AK300" t="n">
        <v>9.928571428571429</v>
      </c>
      <c r="AL300" t="inlineStr">
        <is>
          <t/>
        </is>
      </c>
    </row>
    <row r="301">
      <c r="A301" t="inlineStr">
        <is>
          <t>报告！这个三文鱼墩墩太适合一人食了</t>
        </is>
      </c>
      <c r="B301" t="inlineStr">
        <is>
          <t>69fec69a000000001a02f2e4</t>
        </is>
      </c>
      <c r="C301" s="300" t="n">
        <f>HYPERLINK("https://www.xiaohongshu.com/explore/69fec69a000000001a02f2e4?xsec_token=TBW_z8KxT9AgMNTeavZZG2U878d3eX14F3lfagZOblT8k=&amp;xsec_source=pc_trdark","https://www.xiaohongshu.com/explore/69fec69a000000001a02f2e4?xsec_token=TBW_z8KxT9AgMNTeavZZG2U878d3eX14F3lfagZOblT8k=&amp;xsec_source=pc_trdark")</f>
        <v>0.0</v>
      </c>
      <c r="D301" t="inlineStr">
        <is>
          <t>鲜水湾</t>
        </is>
      </c>
      <c r="E301" t="inlineStr">
        <is>
          <t>49316638994</t>
        </is>
      </c>
      <c r="F301" t="inlineStr">
        <is>
          <t>2026-05-09 13:31:06</t>
        </is>
      </c>
      <c r="G301" t="inlineStr">
        <is>
          <t>图文</t>
        </is>
      </c>
      <c r="H301" t="inlineStr">
        <is>
          <t>挪威冰鲜三文鱼刺身级食材生鱼片日式火锅食材顺丰包邮</t>
        </is>
      </c>
      <c r="I301" t="inlineStr">
        <is>
          <t>69cced09069e7b000143e726</t>
        </is>
      </c>
      <c r="J301" t="inlineStr">
        <is>
          <t/>
        </is>
      </c>
      <c r="K301" t="n">
        <v>0.0</v>
      </c>
      <c r="L301" t="n">
        <v>0.0</v>
      </c>
      <c r="M301" t="n">
        <v>0.0</v>
      </c>
      <c r="N301" t="n">
        <v>0.0</v>
      </c>
      <c r="O301" t="n">
        <v>0.0</v>
      </c>
      <c r="P301" t="n">
        <v>0.0</v>
      </c>
      <c r="Q301" t="inlineStr">
        <is>
          <t/>
        </is>
      </c>
      <c r="R301" t="inlineStr">
        <is>
          <t/>
        </is>
      </c>
      <c r="S301" t="n">
        <v>0.0</v>
      </c>
      <c r="T301" t="n">
        <v>0.0</v>
      </c>
      <c r="U301" t="n">
        <v>0.0</v>
      </c>
      <c r="V301" t="n">
        <v>0.0</v>
      </c>
      <c r="W301" t="inlineStr">
        <is>
          <t/>
        </is>
      </c>
      <c r="X301" t="n">
        <v>0.0</v>
      </c>
      <c r="Y301" t="n">
        <v>0.0</v>
      </c>
      <c r="Z301" t="n">
        <v>0.0</v>
      </c>
      <c r="AA301" t="n">
        <v>0.0</v>
      </c>
      <c r="AB301" t="n">
        <v>0.0</v>
      </c>
      <c r="AC301" t="n">
        <v>0.0</v>
      </c>
      <c r="AD301" t="n">
        <v>14.0</v>
      </c>
      <c r="AE301" t="n">
        <v>0.0</v>
      </c>
      <c r="AF301" t="n">
        <v>0.0</v>
      </c>
      <c r="AG301" t="n">
        <v>0.0</v>
      </c>
      <c r="AH301" t="n">
        <v>0.0</v>
      </c>
      <c r="AI301" t="n">
        <v>0.0</v>
      </c>
      <c r="AJ301" t="n">
        <v>0.0</v>
      </c>
      <c r="AK301" t="n">
        <v>7.285714285714286</v>
      </c>
      <c r="AL301" t="inlineStr">
        <is>
          <t/>
        </is>
      </c>
    </row>
    <row r="302">
      <c r="A302" t="inlineStr">
        <is>
          <t>跟着橙姐做的白汁虾仁意面，香到光盘！</t>
        </is>
      </c>
      <c r="B302" t="inlineStr">
        <is>
          <t>69d61f31000000001e00d3c3</t>
        </is>
      </c>
      <c r="C302" s="301" t="n">
        <f>HYPERLINK("https://www.xiaohongshu.com/explore/69d61f31000000001e00d3c3?xsec_token=TBvBxKrH7kcVQkSA7MMxNJOZXbhNzWUEP_0VfWMLbFLAA=&amp;xsec_source=pc_trdark","https://www.xiaohongshu.com/explore/69d61f31000000001e00d3c3?xsec_token=TBvBxKrH7kcVQkSA7MMxNJOZXbhNzWUEP_0VfWMLbFLAA=&amp;xsec_source=pc_trdark")</f>
        <v>0.0</v>
      </c>
      <c r="D302" t="inlineStr">
        <is>
          <t>菲菲上班吃什么</t>
        </is>
      </c>
      <c r="E302" t="inlineStr">
        <is>
          <t>49936530607</t>
        </is>
      </c>
      <c r="F302" t="inlineStr">
        <is>
          <t>2026-04-08 17:26:09</t>
        </is>
      </c>
      <c r="G302" t="inlineStr">
        <is>
          <t>图文</t>
        </is>
      </c>
      <c r="H302" t="inlineStr">
        <is>
          <t>手剥虾仁 无冰衣无添加 低脂餐一人食 上班带饭 顺丰包邮 5盒装</t>
        </is>
      </c>
      <c r="I302" t="inlineStr">
        <is>
          <t>694baba01d450d00013662f0</t>
        </is>
      </c>
      <c r="J302" t="inlineStr">
        <is>
          <t/>
        </is>
      </c>
      <c r="K302" t="n">
        <v>0.0</v>
      </c>
      <c r="L302" t="n">
        <v>0.0</v>
      </c>
      <c r="M302" t="n">
        <v>0.0</v>
      </c>
      <c r="N302" t="n">
        <v>0.0</v>
      </c>
      <c r="O302" t="n">
        <v>0.0</v>
      </c>
      <c r="P302" t="n">
        <v>0.0</v>
      </c>
      <c r="Q302" t="inlineStr">
        <is>
          <t/>
        </is>
      </c>
      <c r="R302" t="inlineStr">
        <is>
          <t/>
        </is>
      </c>
      <c r="S302" t="n">
        <v>0.0</v>
      </c>
      <c r="T302" t="n">
        <v>0.0</v>
      </c>
      <c r="U302" t="n">
        <v>0.0</v>
      </c>
      <c r="V302" t="n">
        <v>0.0</v>
      </c>
      <c r="W302" t="inlineStr">
        <is>
          <t/>
        </is>
      </c>
      <c r="X302" t="n">
        <v>0.0</v>
      </c>
      <c r="Y302" t="n">
        <v>0.0</v>
      </c>
      <c r="Z302" t="n">
        <v>0.0</v>
      </c>
      <c r="AA302" t="n">
        <v>0.0</v>
      </c>
      <c r="AB302" t="n">
        <v>0.0</v>
      </c>
      <c r="AC302" t="n">
        <v>0.0</v>
      </c>
      <c r="AD302" t="n">
        <v>14.0</v>
      </c>
      <c r="AE302" t="n">
        <v>0.0</v>
      </c>
      <c r="AF302" t="n">
        <v>0.0</v>
      </c>
      <c r="AG302" t="n">
        <v>0.0</v>
      </c>
      <c r="AH302" t="n">
        <v>0.0</v>
      </c>
      <c r="AI302" t="n">
        <v>0.0</v>
      </c>
      <c r="AJ302" t="n">
        <v>0.0</v>
      </c>
      <c r="AK302" t="n">
        <v>9.285714285714286</v>
      </c>
      <c r="AL302" t="inlineStr">
        <is>
          <t/>
        </is>
      </c>
    </row>
    <row r="303">
      <c r="A303" t="inlineStr">
        <is>
          <t>小月龄宝宝也可以放心吃的甜虾</t>
        </is>
      </c>
      <c r="B303" t="inlineStr">
        <is>
          <t>696d934e000000000c03739d</t>
        </is>
      </c>
      <c r="C303" s="302" t="n">
        <f>HYPERLINK("https://www.xiaohongshu.com/explore/696d934e000000000c03739d?xsec_token=TBhBdCGGh1NnVPomuS6-J4HwnPfzoQjjmMIF8f8-czTKA=&amp;xsec_source=pc_trdark","https://www.xiaohongshu.com/explore/696d934e000000000c03739d?xsec_token=TBhBdCGGh1NnVPomuS6-J4HwnPfzoQjjmMIF8f8-czTKA=&amp;xsec_source=pc_trdark")</f>
        <v>0.0</v>
      </c>
      <c r="D303" t="inlineStr">
        <is>
          <t>鲜水湾甄选</t>
        </is>
      </c>
      <c r="E303" t="inlineStr">
        <is>
          <t>27401929161</t>
        </is>
      </c>
      <c r="F303" t="inlineStr">
        <is>
          <t>2026-01-19 15:23:00</t>
        </is>
      </c>
      <c r="G303" t="inlineStr">
        <is>
          <t>视频</t>
        </is>
      </c>
      <c r="H303" t="inlineStr">
        <is>
          <t>北极甜虾头籽甜虾元宝虾北极熊冰虾孕妈妈宝宝辅食顺丰</t>
        </is>
      </c>
      <c r="I303" t="inlineStr">
        <is>
          <t>6953717eb8f0bb000115158d</t>
        </is>
      </c>
      <c r="J303" t="n">
        <v>35.0</v>
      </c>
      <c r="K303" t="n">
        <v>0.0</v>
      </c>
      <c r="L303" t="n">
        <v>0.0</v>
      </c>
      <c r="M303" t="n">
        <v>1.0</v>
      </c>
      <c r="N303" t="inlineStr">
        <is>
          <t>0.07142857142857142</t>
        </is>
      </c>
      <c r="O303" t="n">
        <v>1.0</v>
      </c>
      <c r="P303" t="n">
        <v>0.0</v>
      </c>
      <c r="Q303" t="n">
        <v>0.0</v>
      </c>
      <c r="R303" t="n">
        <v>0.0</v>
      </c>
      <c r="S303" t="n">
        <v>0.0</v>
      </c>
      <c r="T303" t="n">
        <v>0.0</v>
      </c>
      <c r="U303" t="n">
        <v>0.0</v>
      </c>
      <c r="V303" t="n">
        <v>0.0</v>
      </c>
      <c r="W303" t="inlineStr">
        <is>
          <t/>
        </is>
      </c>
      <c r="X303" t="n">
        <v>0.0</v>
      </c>
      <c r="Y303" t="n">
        <v>0.0</v>
      </c>
      <c r="Z303" t="n">
        <v>0.0</v>
      </c>
      <c r="AA303" t="n">
        <v>0.0</v>
      </c>
      <c r="AB303" t="n">
        <v>0.0</v>
      </c>
      <c r="AC303" t="n">
        <v>0.0</v>
      </c>
      <c r="AD303" t="n">
        <v>14.0</v>
      </c>
      <c r="AE303" t="n">
        <v>1.0</v>
      </c>
      <c r="AF303" t="n">
        <v>0.0</v>
      </c>
      <c r="AG303" t="n">
        <v>0.0</v>
      </c>
      <c r="AH303" t="n">
        <v>1.0</v>
      </c>
      <c r="AI303" t="n">
        <v>0.0</v>
      </c>
      <c r="AJ303" t="n">
        <v>0.0</v>
      </c>
      <c r="AK303" t="n">
        <v>15.285714285714286</v>
      </c>
      <c r="AL303" t="n">
        <v>0.2222222222222222</v>
      </c>
    </row>
    <row r="304">
      <c r="A304" t="inlineStr">
        <is>
          <t>99%的南方人都没吃过的北极甜虾你吃过吗</t>
        </is>
      </c>
      <c r="B304" t="inlineStr">
        <is>
          <t>6969f715000000000b00baef</t>
        </is>
      </c>
      <c r="C304" s="303" t="n">
        <f>HYPERLINK("https://www.xiaohongshu.com/explore/6969f715000000000b00baef?xsec_token=TBrfrRU4wM2w5bDKUviah5T-W9Hq5cH3-Hs-_19CceRQA=&amp;xsec_source=pc_trdark","https://www.xiaohongshu.com/explore/6969f715000000000b00baef?xsec_token=TBrfrRU4wM2w5bDKUviah5T-W9Hq5cH3-Hs-_19CceRQA=&amp;xsec_source=pc_trdark")</f>
        <v>0.0</v>
      </c>
      <c r="D304" t="inlineStr">
        <is>
          <t>鲜水湾甄选</t>
        </is>
      </c>
      <c r="E304" t="inlineStr">
        <is>
          <t>27401929161</t>
        </is>
      </c>
      <c r="F304" t="inlineStr">
        <is>
          <t>2026-01-16 16:30:13</t>
        </is>
      </c>
      <c r="G304" t="inlineStr">
        <is>
          <t>视频</t>
        </is>
      </c>
      <c r="H304" t="inlineStr">
        <is>
          <t>北极甜虾头籽甜虾元宝虾北极熊冰虾孕妈妈宝宝辅食顺丰</t>
        </is>
      </c>
      <c r="I304" t="inlineStr">
        <is>
          <t>6953717eb8f0bb000115158d</t>
        </is>
      </c>
      <c r="J304" t="n">
        <v>46.0</v>
      </c>
      <c r="K304" t="n">
        <v>0.0</v>
      </c>
      <c r="L304" t="n">
        <v>0.0</v>
      </c>
      <c r="M304" t="n">
        <v>0.0</v>
      </c>
      <c r="N304" t="n">
        <v>0.0</v>
      </c>
      <c r="O304" t="n">
        <v>0.0</v>
      </c>
      <c r="P304" t="n">
        <v>0.0</v>
      </c>
      <c r="Q304" t="inlineStr">
        <is>
          <t/>
        </is>
      </c>
      <c r="R304" t="inlineStr">
        <is>
          <t/>
        </is>
      </c>
      <c r="S304" t="n">
        <v>0.0</v>
      </c>
      <c r="T304" t="n">
        <v>0.0</v>
      </c>
      <c r="U304" t="n">
        <v>0.0</v>
      </c>
      <c r="V304" t="n">
        <v>0.0</v>
      </c>
      <c r="W304" t="inlineStr">
        <is>
          <t/>
        </is>
      </c>
      <c r="X304" t="n">
        <v>0.0</v>
      </c>
      <c r="Y304" t="n">
        <v>0.0</v>
      </c>
      <c r="Z304" t="n">
        <v>0.0</v>
      </c>
      <c r="AA304" t="n">
        <v>0.0</v>
      </c>
      <c r="AB304" t="n">
        <v>0.0</v>
      </c>
      <c r="AC304" t="n">
        <v>0.0</v>
      </c>
      <c r="AD304" t="n">
        <v>14.0</v>
      </c>
      <c r="AE304" t="n">
        <v>0.0</v>
      </c>
      <c r="AF304" t="n">
        <v>0.0</v>
      </c>
      <c r="AG304" t="n">
        <v>0.0</v>
      </c>
      <c r="AH304" t="n">
        <v>0.0</v>
      </c>
      <c r="AI304" t="n">
        <v>0.0</v>
      </c>
      <c r="AJ304" t="n">
        <v>0.0</v>
      </c>
      <c r="AK304" t="n">
        <v>14.785714285714286</v>
      </c>
      <c r="AL304" t="n">
        <v>0.125</v>
      </c>
    </row>
    <row r="305">
      <c r="A305" t="inlineStr">
        <is>
          <t>请全网孕麻麻，宝宝放心吃，没打一点药</t>
        </is>
      </c>
      <c r="B305" t="inlineStr">
        <is>
          <t>6a5ee3f7000000001303e3c1</t>
        </is>
      </c>
      <c r="C305" s="304" t="n">
        <f>HYPERLINK("https://www.xiaohongshu.com/explore/6a5ee3f7000000001303e3c1?xsec_token=TBbojWk_7wqvNRrckRPtQ4WMx_R768CdVYLxwUrKNh_nc=&amp;xsec_source=pc_trdark","https://www.xiaohongshu.com/explore/6a5ee3f7000000001303e3c1?xsec_token=TBbojWk_7wqvNRrckRPtQ4WMx_R768CdVYLxwUrKNh_nc=&amp;xsec_source=pc_trdark")</f>
        <v>0.0</v>
      </c>
      <c r="D305" t="inlineStr">
        <is>
          <t>鲜水湾</t>
        </is>
      </c>
      <c r="E305" t="inlineStr">
        <is>
          <t>49316638994</t>
        </is>
      </c>
      <c r="F305" t="inlineStr">
        <is>
          <t>2026-07-21 11:13:59</t>
        </is>
      </c>
      <c r="G305" t="inlineStr">
        <is>
          <t>图文</t>
        </is>
      </c>
      <c r="H305" t="inlineStr">
        <is>
          <t>手剥虾仁 无冰衣无添加 低脂餐一人食 上班带饭 顺丰包邮 5盒装</t>
        </is>
      </c>
      <c r="I305" t="inlineStr">
        <is>
          <t>694baba01d450d00013662f0</t>
        </is>
      </c>
      <c r="J305" t="inlineStr">
        <is>
          <t/>
        </is>
      </c>
      <c r="K305" t="n">
        <v>0.0</v>
      </c>
      <c r="L305" t="n">
        <v>0.0</v>
      </c>
      <c r="M305" t="n">
        <v>1.0</v>
      </c>
      <c r="N305" t="inlineStr">
        <is>
          <t>0.07692307692307693</t>
        </is>
      </c>
      <c r="O305" t="n">
        <v>1.0</v>
      </c>
      <c r="P305" t="n">
        <v>0.0</v>
      </c>
      <c r="Q305" t="n">
        <v>0.0</v>
      </c>
      <c r="R305" t="n">
        <v>0.0</v>
      </c>
      <c r="S305" t="n">
        <v>0.0</v>
      </c>
      <c r="T305" t="n">
        <v>0.0</v>
      </c>
      <c r="U305" t="n">
        <v>0.0</v>
      </c>
      <c r="V305" t="n">
        <v>0.0</v>
      </c>
      <c r="W305" t="inlineStr">
        <is>
          <t/>
        </is>
      </c>
      <c r="X305" t="n">
        <v>0.0</v>
      </c>
      <c r="Y305" t="n">
        <v>0.0</v>
      </c>
      <c r="Z305" t="n">
        <v>0.0</v>
      </c>
      <c r="AA305" t="n">
        <v>0.0</v>
      </c>
      <c r="AB305" t="n">
        <v>0.0</v>
      </c>
      <c r="AC305" t="n">
        <v>0.0</v>
      </c>
      <c r="AD305" t="n">
        <v>13.0</v>
      </c>
      <c r="AE305" t="n">
        <v>0.0</v>
      </c>
      <c r="AF305" t="n">
        <v>0.0</v>
      </c>
      <c r="AG305" t="n">
        <v>0.0</v>
      </c>
      <c r="AH305" t="n">
        <v>0.0</v>
      </c>
      <c r="AI305" t="n">
        <v>0.0</v>
      </c>
      <c r="AJ305" t="n">
        <v>0.0</v>
      </c>
      <c r="AK305" t="n">
        <v>6.3076923076923075</v>
      </c>
      <c r="AL305" t="inlineStr">
        <is>
          <t/>
        </is>
      </c>
    </row>
    <row r="306">
      <c r="A306" t="inlineStr">
        <is>
          <t>我也不想买啊，但69块真的够我吃一周了</t>
        </is>
      </c>
      <c r="B306" t="inlineStr">
        <is>
          <t>6a5497d200000000070237c0</t>
        </is>
      </c>
      <c r="C306" s="305" t="n">
        <f>HYPERLINK("https://www.xiaohongshu.com/explore/6a5497d200000000070237c0?xsec_token=TBnijnMEPEnSTDzzHBYv-GM_YmGQJ-BA8uV4Y-FBaeLbg=&amp;xsec_source=pc_trdark","https://www.xiaohongshu.com/explore/6a5497d200000000070237c0?xsec_token=TBnijnMEPEnSTDzzHBYv-GM_YmGQJ-BA8uV4Y-FBaeLbg=&amp;xsec_source=pc_trdark")</f>
        <v>0.0</v>
      </c>
      <c r="D306" t="inlineStr">
        <is>
          <t>婉婉上班吃什么</t>
        </is>
      </c>
      <c r="E306" t="inlineStr">
        <is>
          <t>11434449706</t>
        </is>
      </c>
      <c r="F306" t="inlineStr">
        <is>
          <t>2026-07-13 15:46:26</t>
        </is>
      </c>
      <c r="G306" t="inlineStr">
        <is>
          <t>图文</t>
        </is>
      </c>
      <c r="H306" t="inlineStr">
        <is>
          <t>手剥虾仁 无冰衣无添加 低脂餐一人食 上班带饭 顺丰包邮 5盒装</t>
        </is>
      </c>
      <c r="I306" t="inlineStr">
        <is>
          <t>694baba01d450d00013662f0</t>
        </is>
      </c>
      <c r="J306" t="inlineStr">
        <is>
          <t/>
        </is>
      </c>
      <c r="K306" t="n">
        <v>64.0</v>
      </c>
      <c r="L306" t="n">
        <v>1.0</v>
      </c>
      <c r="M306" t="n">
        <v>2.0</v>
      </c>
      <c r="N306" t="inlineStr">
        <is>
          <t>0.15384615384615385</t>
        </is>
      </c>
      <c r="O306" t="n">
        <v>2.0</v>
      </c>
      <c r="P306" t="n">
        <v>1.0</v>
      </c>
      <c r="Q306" t="n">
        <v>0.5</v>
      </c>
      <c r="R306" t="n">
        <v>0.5</v>
      </c>
      <c r="S306" t="n">
        <v>0.0</v>
      </c>
      <c r="T306" t="n">
        <v>0.0</v>
      </c>
      <c r="U306" t="n">
        <v>0.0</v>
      </c>
      <c r="V306" t="n">
        <v>0.0</v>
      </c>
      <c r="W306" t="n">
        <v>0.0</v>
      </c>
      <c r="X306" t="n">
        <v>0.0</v>
      </c>
      <c r="Y306" t="n">
        <v>1.0</v>
      </c>
      <c r="Z306" t="n">
        <v>0.0</v>
      </c>
      <c r="AA306" t="n">
        <v>0.0</v>
      </c>
      <c r="AB306" t="n">
        <v>0.0</v>
      </c>
      <c r="AC306" t="n">
        <v>0.0</v>
      </c>
      <c r="AD306" t="n">
        <v>13.0</v>
      </c>
      <c r="AE306" t="n">
        <v>0.0</v>
      </c>
      <c r="AF306" t="n">
        <v>0.0</v>
      </c>
      <c r="AG306" t="n">
        <v>0.0</v>
      </c>
      <c r="AH306" t="n">
        <v>0.0</v>
      </c>
      <c r="AI306" t="n">
        <v>0.0</v>
      </c>
      <c r="AJ306" t="n">
        <v>0.0</v>
      </c>
      <c r="AK306" t="n">
        <v>10.076923076923077</v>
      </c>
      <c r="AL306" t="inlineStr">
        <is>
          <t/>
        </is>
      </c>
    </row>
    <row r="307">
      <c r="A307" t="inlineStr">
        <is>
          <t>办公室午饭被问最多的，居然是一餐一包虾仁</t>
        </is>
      </c>
      <c r="B307" t="inlineStr">
        <is>
          <t>6a549748000000000803359a</t>
        </is>
      </c>
      <c r="C307" s="306" t="n">
        <f>HYPERLINK("https://www.xiaohongshu.com/explore/6a549748000000000803359a?xsec_token=TBnijnMEPEnSTDzzHBYv-GM0RcwAILfVdvH11fP4xX2XA=&amp;xsec_source=pc_trdark","https://www.xiaohongshu.com/explore/6a549748000000000803359a?xsec_token=TBnijnMEPEnSTDzzHBYv-GM0RcwAILfVdvH11fP4xX2XA=&amp;xsec_source=pc_trdark")</f>
        <v>0.0</v>
      </c>
      <c r="D307" t="inlineStr">
        <is>
          <t>菲菲上班吃什么</t>
        </is>
      </c>
      <c r="E307" t="inlineStr">
        <is>
          <t>49936530607</t>
        </is>
      </c>
      <c r="F307" t="inlineStr">
        <is>
          <t>2026-07-13 15:44:08</t>
        </is>
      </c>
      <c r="G307" t="inlineStr">
        <is>
          <t>图文</t>
        </is>
      </c>
      <c r="H307" t="inlineStr">
        <is>
          <t>手剥虾仁 无冰衣无添加 低脂餐一人食 上班带饭 顺丰包邮 5盒装</t>
        </is>
      </c>
      <c r="I307" t="inlineStr">
        <is>
          <t>694baba01d450d00013662f0</t>
        </is>
      </c>
      <c r="J307" t="inlineStr">
        <is>
          <t/>
        </is>
      </c>
      <c r="K307" t="n">
        <v>0.0</v>
      </c>
      <c r="L307" t="n">
        <v>0.0</v>
      </c>
      <c r="M307" t="n">
        <v>1.0</v>
      </c>
      <c r="N307" t="inlineStr">
        <is>
          <t>0.07692307692307693</t>
        </is>
      </c>
      <c r="O307" t="n">
        <v>1.0</v>
      </c>
      <c r="P307" t="n">
        <v>0.0</v>
      </c>
      <c r="Q307" t="n">
        <v>0.0</v>
      </c>
      <c r="R307" t="n">
        <v>0.0</v>
      </c>
      <c r="S307" t="n">
        <v>0.0</v>
      </c>
      <c r="T307" t="n">
        <v>0.0</v>
      </c>
      <c r="U307" t="n">
        <v>0.0</v>
      </c>
      <c r="V307" t="n">
        <v>0.0</v>
      </c>
      <c r="W307" t="inlineStr">
        <is>
          <t/>
        </is>
      </c>
      <c r="X307" t="n">
        <v>0.0</v>
      </c>
      <c r="Y307" t="n">
        <v>0.0</v>
      </c>
      <c r="Z307" t="n">
        <v>1.0</v>
      </c>
      <c r="AA307" t="n">
        <v>0.0</v>
      </c>
      <c r="AB307" t="n">
        <v>0.0</v>
      </c>
      <c r="AC307" t="n">
        <v>0.0</v>
      </c>
      <c r="AD307" t="n">
        <v>13.0</v>
      </c>
      <c r="AE307" t="n">
        <v>0.0</v>
      </c>
      <c r="AF307" t="n">
        <v>0.0</v>
      </c>
      <c r="AG307" t="n">
        <v>0.0</v>
      </c>
      <c r="AH307" t="n">
        <v>0.0</v>
      </c>
      <c r="AI307" t="n">
        <v>0.0</v>
      </c>
      <c r="AJ307" t="n">
        <v>0.0</v>
      </c>
      <c r="AK307" t="n">
        <v>11.692307692307692</v>
      </c>
      <c r="AL307" t="inlineStr">
        <is>
          <t/>
        </is>
      </c>
    </row>
    <row r="308">
      <c r="A308" t="inlineStr">
        <is>
          <t>夏日减脂真不贵，69承包我一周减脂餐！</t>
        </is>
      </c>
      <c r="B308" t="inlineStr">
        <is>
          <t>6a4a3450000000001101647e</t>
        </is>
      </c>
      <c r="C308" s="307" t="n">
        <f>HYPERLINK("https://www.xiaohongshu.com/explore/6a4a3450000000001101647e?xsec_token=TB7YZZ7VJ5Jmt_-44GQgzs22qfUl5VOmCsal_di75XOSg=&amp;xsec_source=pc_trdark","https://www.xiaohongshu.com/explore/6a4a3450000000001101647e?xsec_token=TB7YZZ7VJ5Jmt_-44GQgzs22qfUl5VOmCsal_di75XOSg=&amp;xsec_source=pc_trdark")</f>
        <v>0.0</v>
      </c>
      <c r="D308" t="inlineStr">
        <is>
          <t>鲜水湾甄选</t>
        </is>
      </c>
      <c r="E308" t="inlineStr">
        <is>
          <t>27401929161</t>
        </is>
      </c>
      <c r="F308" t="inlineStr">
        <is>
          <t>2026-07-05 18:39:12</t>
        </is>
      </c>
      <c r="G308" t="inlineStr">
        <is>
          <t>图文</t>
        </is>
      </c>
      <c r="H308" t="inlineStr">
        <is>
          <t>手剥虾仁 无冰衣无添加 低脂餐一人食 上班带饭 顺丰包邮 5盒装</t>
        </is>
      </c>
      <c r="I308" t="inlineStr">
        <is>
          <t>694baba01d450d00013662f0</t>
        </is>
      </c>
      <c r="J308" t="inlineStr">
        <is>
          <t/>
        </is>
      </c>
      <c r="K308" t="n">
        <v>0.0</v>
      </c>
      <c r="L308" t="n">
        <v>0.0</v>
      </c>
      <c r="M308" t="n">
        <v>1.0</v>
      </c>
      <c r="N308" t="inlineStr">
        <is>
          <t>0.07692307692307693</t>
        </is>
      </c>
      <c r="O308" t="n">
        <v>1.0</v>
      </c>
      <c r="P308" t="n">
        <v>0.0</v>
      </c>
      <c r="Q308" t="n">
        <v>0.0</v>
      </c>
      <c r="R308" t="n">
        <v>0.0</v>
      </c>
      <c r="S308" t="n">
        <v>0.0</v>
      </c>
      <c r="T308" t="n">
        <v>0.0</v>
      </c>
      <c r="U308" t="n">
        <v>0.0</v>
      </c>
      <c r="V308" t="n">
        <v>0.0</v>
      </c>
      <c r="W308" t="inlineStr">
        <is>
          <t/>
        </is>
      </c>
      <c r="X308" t="n">
        <v>0.0</v>
      </c>
      <c r="Y308" t="n">
        <v>0.0</v>
      </c>
      <c r="Z308" t="n">
        <v>0.0</v>
      </c>
      <c r="AA308" t="n">
        <v>0.0</v>
      </c>
      <c r="AB308" t="n">
        <v>0.0</v>
      </c>
      <c r="AC308" t="n">
        <v>0.0</v>
      </c>
      <c r="AD308" t="n">
        <v>13.0</v>
      </c>
      <c r="AE308" t="n">
        <v>0.0</v>
      </c>
      <c r="AF308" t="n">
        <v>0.0</v>
      </c>
      <c r="AG308" t="n">
        <v>0.0</v>
      </c>
      <c r="AH308" t="n">
        <v>0.0</v>
      </c>
      <c r="AI308" t="n">
        <v>0.0</v>
      </c>
      <c r="AJ308" t="n">
        <v>0.0</v>
      </c>
      <c r="AK308" t="n">
        <v>8.076923076923077</v>
      </c>
      <c r="AL308" t="inlineStr">
        <is>
          <t/>
        </is>
      </c>
    </row>
    <row r="309">
      <c r="A309" t="inlineStr">
        <is>
          <t>以为69块没多少，结果够我吃一周了…</t>
        </is>
      </c>
      <c r="B309" t="inlineStr">
        <is>
          <t>6a3a7962000000001003f850</t>
        </is>
      </c>
      <c r="C309" s="308" t="n">
        <f>HYPERLINK("https://www.xiaohongshu.com/explore/6a3a7962000000001003f850?xsec_token=TB6JLlH-I5wyeOIL4LxmWU3rTQXgX5JvvZUJWfeboUX1I=&amp;xsec_source=pc_trdark","https://www.xiaohongshu.com/explore/6a3a7962000000001003f850?xsec_token=TB6JLlH-I5wyeOIL4LxmWU3rTQXgX5JvvZUJWfeboUX1I=&amp;xsec_source=pc_trdark")</f>
        <v>0.0</v>
      </c>
      <c r="D309" t="inlineStr">
        <is>
          <t>鲜水湾甄选</t>
        </is>
      </c>
      <c r="E309" t="inlineStr">
        <is>
          <t>27401929161</t>
        </is>
      </c>
      <c r="F309" t="inlineStr">
        <is>
          <t>2026-06-23 21:25:00</t>
        </is>
      </c>
      <c r="G309" t="inlineStr">
        <is>
          <t>图文</t>
        </is>
      </c>
      <c r="H309" t="inlineStr">
        <is>
          <t>手剥虾仁 无冰衣无添加 低脂餐一人食 上班带饭 顺丰包邮 5盒装</t>
        </is>
      </c>
      <c r="I309" t="inlineStr">
        <is>
          <t>694baba01d450d00013662f0</t>
        </is>
      </c>
      <c r="J309" t="inlineStr">
        <is>
          <t/>
        </is>
      </c>
      <c r="K309" t="n">
        <v>0.0</v>
      </c>
      <c r="L309" t="n">
        <v>0.0</v>
      </c>
      <c r="M309" t="n">
        <v>3.0</v>
      </c>
      <c r="N309" t="inlineStr">
        <is>
          <t>0.23076923076923078</t>
        </is>
      </c>
      <c r="O309" t="n">
        <v>3.0</v>
      </c>
      <c r="P309" t="n">
        <v>0.0</v>
      </c>
      <c r="Q309" t="n">
        <v>0.0</v>
      </c>
      <c r="R309" t="n">
        <v>0.0</v>
      </c>
      <c r="S309" t="n">
        <v>0.0</v>
      </c>
      <c r="T309" t="n">
        <v>0.0</v>
      </c>
      <c r="U309" t="n">
        <v>0.0</v>
      </c>
      <c r="V309" t="n">
        <v>0.0</v>
      </c>
      <c r="W309" t="inlineStr">
        <is>
          <t/>
        </is>
      </c>
      <c r="X309" t="n">
        <v>0.0</v>
      </c>
      <c r="Y309" t="n">
        <v>0.0</v>
      </c>
      <c r="Z309" t="n">
        <v>0.0</v>
      </c>
      <c r="AA309" t="n">
        <v>0.0</v>
      </c>
      <c r="AB309" t="n">
        <v>0.0</v>
      </c>
      <c r="AC309" t="n">
        <v>0.0</v>
      </c>
      <c r="AD309" t="n">
        <v>13.0</v>
      </c>
      <c r="AE309" t="n">
        <v>0.0</v>
      </c>
      <c r="AF309" t="n">
        <v>0.0</v>
      </c>
      <c r="AG309" t="n">
        <v>0.0</v>
      </c>
      <c r="AH309" t="n">
        <v>1.0</v>
      </c>
      <c r="AI309" t="n">
        <v>0.0</v>
      </c>
      <c r="AJ309" t="n">
        <v>0.0</v>
      </c>
      <c r="AK309" t="n">
        <v>19.23076923076923</v>
      </c>
      <c r="AL309" t="inlineStr">
        <is>
          <t/>
        </is>
      </c>
    </row>
    <row r="310">
      <c r="A310" t="inlineStr">
        <is>
          <t>一次一袋，真的太适合独居人了</t>
        </is>
      </c>
      <c r="B310" t="inlineStr">
        <is>
          <t>6a3a4e38000000002101aa06</t>
        </is>
      </c>
      <c r="C310" s="309" t="n">
        <f>HYPERLINK("https://www.xiaohongshu.com/explore/6a3a4e38000000002101aa06?xsec_token=TB6JLlH-I5wyeOIL4LxmWU3pXlik1RRE1z_j84c_1fHXo=&amp;xsec_source=pc_trdark","https://www.xiaohongshu.com/explore/6a3a4e38000000002101aa06?xsec_token=TB6JLlH-I5wyeOIL4LxmWU3pXlik1RRE1z_j84c_1fHXo=&amp;xsec_source=pc_trdark")</f>
        <v>0.0</v>
      </c>
      <c r="D310" t="inlineStr">
        <is>
          <t>鲜水湾</t>
        </is>
      </c>
      <c r="E310" t="inlineStr">
        <is>
          <t>49316638994</t>
        </is>
      </c>
      <c r="F310" t="inlineStr">
        <is>
          <t>2026-06-23 17:13:28</t>
        </is>
      </c>
      <c r="G310" t="inlineStr">
        <is>
          <t>图文</t>
        </is>
      </c>
      <c r="H310" t="inlineStr">
        <is>
          <t>手剥虾仁 无冰衣无添加 低脂餐一人食 上班带饭 顺丰包邮 5盒装</t>
        </is>
      </c>
      <c r="I310" t="inlineStr">
        <is>
          <t>694baba01d450d00013662f0</t>
        </is>
      </c>
      <c r="J310" t="inlineStr">
        <is>
          <t/>
        </is>
      </c>
      <c r="K310" t="n">
        <v>68.0</v>
      </c>
      <c r="L310" t="n">
        <v>1.0</v>
      </c>
      <c r="M310" t="n">
        <v>2.0</v>
      </c>
      <c r="N310" t="inlineStr">
        <is>
          <t>0.15384615384615385</t>
        </is>
      </c>
      <c r="O310" t="n">
        <v>2.0</v>
      </c>
      <c r="P310" t="n">
        <v>1.0</v>
      </c>
      <c r="Q310" t="n">
        <v>0.5</v>
      </c>
      <c r="R310" t="n">
        <v>0.5</v>
      </c>
      <c r="S310" t="n">
        <v>0.0</v>
      </c>
      <c r="T310" t="n">
        <v>0.0</v>
      </c>
      <c r="U310" t="n">
        <v>0.0</v>
      </c>
      <c r="V310" t="n">
        <v>0.0</v>
      </c>
      <c r="W310" t="n">
        <v>0.0</v>
      </c>
      <c r="X310" t="n">
        <v>0.0</v>
      </c>
      <c r="Y310" t="n">
        <v>0.0</v>
      </c>
      <c r="Z310" t="n">
        <v>0.0</v>
      </c>
      <c r="AA310" t="n">
        <v>0.0</v>
      </c>
      <c r="AB310" t="n">
        <v>0.0</v>
      </c>
      <c r="AC310" t="n">
        <v>0.0</v>
      </c>
      <c r="AD310" t="n">
        <v>13.0</v>
      </c>
      <c r="AE310" t="n">
        <v>0.0</v>
      </c>
      <c r="AF310" t="n">
        <v>0.0</v>
      </c>
      <c r="AG310" t="n">
        <v>0.0</v>
      </c>
      <c r="AH310" t="n">
        <v>0.0</v>
      </c>
      <c r="AI310" t="n">
        <v>0.0</v>
      </c>
      <c r="AJ310" t="n">
        <v>0.0</v>
      </c>
      <c r="AK310" t="n">
        <v>14.615384615384615</v>
      </c>
      <c r="AL310" t="inlineStr">
        <is>
          <t/>
        </is>
      </c>
    </row>
    <row r="311">
      <c r="A311" t="inlineStr">
        <is>
          <t>和老爸商量后，果断推出早八带饭一人食</t>
        </is>
      </c>
      <c r="B311" t="inlineStr">
        <is>
          <t>6a2bbcee0000000022016a57</t>
        </is>
      </c>
      <c r="C311" s="310" t="n">
        <f>HYPERLINK("https://www.xiaohongshu.com/explore/6a2bbcee0000000022016a57?xsec_token=TB6z4gaYVtaJENMGYq0Pmb5M8tZA7X4xeRbvEVkl2W2h0=&amp;xsec_source=pc_trdark","https://www.xiaohongshu.com/explore/6a2bbcee0000000022016a57?xsec_token=TB6z4gaYVtaJENMGYq0Pmb5M8tZA7X4xeRbvEVkl2W2h0=&amp;xsec_source=pc_trdark")</f>
        <v>0.0</v>
      </c>
      <c r="D311" t="inlineStr">
        <is>
          <t>鲜水湾</t>
        </is>
      </c>
      <c r="E311" t="inlineStr">
        <is>
          <t>49316638994</t>
        </is>
      </c>
      <c r="F311" t="inlineStr">
        <is>
          <t>2026-06-12 16:01:50</t>
        </is>
      </c>
      <c r="G311" t="inlineStr">
        <is>
          <t>图文</t>
        </is>
      </c>
      <c r="H311" t="inlineStr">
        <is>
          <t>智利尾端中段整条三文鱼 8斤深海鱼低脂餐囤货一周备菜顺丰包邮</t>
        </is>
      </c>
      <c r="I311" t="inlineStr">
        <is>
          <t>69fab80d64eb410001ece0c0</t>
        </is>
      </c>
      <c r="J311" t="inlineStr">
        <is>
          <t/>
        </is>
      </c>
      <c r="K311" t="n">
        <v>0.0</v>
      </c>
      <c r="L311" t="n">
        <v>0.0</v>
      </c>
      <c r="M311" t="n">
        <v>2.0</v>
      </c>
      <c r="N311" t="inlineStr">
        <is>
          <t>0.15384615384615385</t>
        </is>
      </c>
      <c r="O311" t="n">
        <v>2.0</v>
      </c>
      <c r="P311" t="n">
        <v>0.0</v>
      </c>
      <c r="Q311" t="n">
        <v>0.0</v>
      </c>
      <c r="R311" t="n">
        <v>0.0</v>
      </c>
      <c r="S311" t="n">
        <v>0.0</v>
      </c>
      <c r="T311" t="n">
        <v>0.0</v>
      </c>
      <c r="U311" t="n">
        <v>0.0</v>
      </c>
      <c r="V311" t="n">
        <v>0.0</v>
      </c>
      <c r="W311" t="inlineStr">
        <is>
          <t/>
        </is>
      </c>
      <c r="X311" t="n">
        <v>0.0</v>
      </c>
      <c r="Y311" t="n">
        <v>0.0</v>
      </c>
      <c r="Z311" t="n">
        <v>0.0</v>
      </c>
      <c r="AA311" t="n">
        <v>0.0</v>
      </c>
      <c r="AB311" t="n">
        <v>0.0</v>
      </c>
      <c r="AC311" t="n">
        <v>0.0</v>
      </c>
      <c r="AD311" t="n">
        <v>13.0</v>
      </c>
      <c r="AE311" t="n">
        <v>0.0</v>
      </c>
      <c r="AF311" t="n">
        <v>0.0</v>
      </c>
      <c r="AG311" t="n">
        <v>0.0</v>
      </c>
      <c r="AH311" t="n">
        <v>0.0</v>
      </c>
      <c r="AI311" t="n">
        <v>0.0</v>
      </c>
      <c r="AJ311" t="n">
        <v>0.0</v>
      </c>
      <c r="AK311" t="n">
        <v>14.692307692307692</v>
      </c>
      <c r="AL311" t="inlineStr">
        <is>
          <t/>
        </is>
      </c>
    </row>
    <row r="312">
      <c r="A312" t="inlineStr">
        <is>
          <t>租房党终于找到适合小冰箱囤的食材了 ！！！！</t>
        </is>
      </c>
      <c r="B312" t="inlineStr">
        <is>
          <t>6a2954d60000000022026549</t>
        </is>
      </c>
      <c r="C312" s="311" t="n">
        <f>HYPERLINK("https://www.xiaohongshu.com/explore/6a2954d60000000022026549?xsec_token=TBxlbMhL8lXm-rLMytwo4IZAfKv2Ci-jFKEeoqD_-igVM=&amp;xsec_source=pc_trdark","https://www.xiaohongshu.com/explore/6a2954d60000000022026549?xsec_token=TBxlbMhL8lXm-rLMytwo4IZAfKv2Ci-jFKEeoqD_-igVM=&amp;xsec_source=pc_trdark")</f>
        <v>0.0</v>
      </c>
      <c r="D312" t="inlineStr">
        <is>
          <t>鲜水湾甄选</t>
        </is>
      </c>
      <c r="E312" t="inlineStr">
        <is>
          <t>27401929161</t>
        </is>
      </c>
      <c r="F312" t="inlineStr">
        <is>
          <t>2026-06-10 20:13:10</t>
        </is>
      </c>
      <c r="G312" t="inlineStr">
        <is>
          <t>图文</t>
        </is>
      </c>
      <c r="H312" t="inlineStr">
        <is>
          <t>手剥虾仁 无冰衣无添加 低脂餐一人食 上班带饭 顺丰包邮 5盒装</t>
        </is>
      </c>
      <c r="I312" t="inlineStr">
        <is>
          <t>694baba01d450d00013662f0</t>
        </is>
      </c>
      <c r="J312" t="inlineStr">
        <is>
          <t/>
        </is>
      </c>
      <c r="K312" t="n">
        <v>0.0</v>
      </c>
      <c r="L312" t="n">
        <v>0.0</v>
      </c>
      <c r="M312" t="n">
        <v>0.0</v>
      </c>
      <c r="N312" t="n">
        <v>0.0</v>
      </c>
      <c r="O312" t="n">
        <v>0.0</v>
      </c>
      <c r="P312" t="n">
        <v>0.0</v>
      </c>
      <c r="Q312" t="inlineStr">
        <is>
          <t/>
        </is>
      </c>
      <c r="R312" t="inlineStr">
        <is>
          <t/>
        </is>
      </c>
      <c r="S312" t="n">
        <v>0.0</v>
      </c>
      <c r="T312" t="n">
        <v>0.0</v>
      </c>
      <c r="U312" t="n">
        <v>0.0</v>
      </c>
      <c r="V312" t="n">
        <v>0.0</v>
      </c>
      <c r="W312" t="inlineStr">
        <is>
          <t/>
        </is>
      </c>
      <c r="X312" t="n">
        <v>0.0</v>
      </c>
      <c r="Y312" t="n">
        <v>0.0</v>
      </c>
      <c r="Z312" t="n">
        <v>0.0</v>
      </c>
      <c r="AA312" t="n">
        <v>0.0</v>
      </c>
      <c r="AB312" t="n">
        <v>0.0</v>
      </c>
      <c r="AC312" t="n">
        <v>0.0</v>
      </c>
      <c r="AD312" t="n">
        <v>13.0</v>
      </c>
      <c r="AE312" t="n">
        <v>0.0</v>
      </c>
      <c r="AF312" t="n">
        <v>0.0</v>
      </c>
      <c r="AG312" t="n">
        <v>0.0</v>
      </c>
      <c r="AH312" t="n">
        <v>0.0</v>
      </c>
      <c r="AI312" t="n">
        <v>0.0</v>
      </c>
      <c r="AJ312" t="n">
        <v>0.0</v>
      </c>
      <c r="AK312" t="n">
        <v>6.923076923076923</v>
      </c>
      <c r="AL312" t="inlineStr">
        <is>
          <t/>
        </is>
      </c>
    </row>
    <row r="313">
      <c r="A313" t="inlineStr">
        <is>
          <t>厨房越小越爱，独立小包装懒人食材……</t>
        </is>
      </c>
      <c r="B313" t="inlineStr">
        <is>
          <t>6a2141a7000000003503ac3c</t>
        </is>
      </c>
      <c r="C313" s="312" t="n">
        <f>HYPERLINK("https://www.xiaohongshu.com/explore/6a2141a7000000003503ac3c?xsec_token=TBruDoYqydt0gOAY-R5iHU20YEWexLHWWBp2jikscRqBQ=&amp;xsec_source=pc_trdark","https://www.xiaohongshu.com/explore/6a2141a7000000003503ac3c?xsec_token=TBruDoYqydt0gOAY-R5iHU20YEWexLHWWBp2jikscRqBQ=&amp;xsec_source=pc_trdark")</f>
        <v>0.0</v>
      </c>
      <c r="D313" t="inlineStr">
        <is>
          <t>鲜水湾甄选</t>
        </is>
      </c>
      <c r="E313" t="inlineStr">
        <is>
          <t>27401929161</t>
        </is>
      </c>
      <c r="F313" t="inlineStr">
        <is>
          <t>2026-06-04 17:13:11</t>
        </is>
      </c>
      <c r="G313" t="inlineStr">
        <is>
          <t>图文</t>
        </is>
      </c>
      <c r="H313" t="inlineStr">
        <is>
          <t>手剥虾仁 无冰衣无添加 低脂餐一人食 上班带饭 顺丰包邮 5盒装</t>
        </is>
      </c>
      <c r="I313" t="inlineStr">
        <is>
          <t>694baba01d450d00013662f0</t>
        </is>
      </c>
      <c r="J313" t="inlineStr">
        <is>
          <t/>
        </is>
      </c>
      <c r="K313" t="n">
        <v>0.0</v>
      </c>
      <c r="L313" t="n">
        <v>0.0</v>
      </c>
      <c r="M313" t="n">
        <v>1.0</v>
      </c>
      <c r="N313" t="inlineStr">
        <is>
          <t>0.07692307692307693</t>
        </is>
      </c>
      <c r="O313" t="n">
        <v>1.0</v>
      </c>
      <c r="P313" t="n">
        <v>0.0</v>
      </c>
      <c r="Q313" t="n">
        <v>0.0</v>
      </c>
      <c r="R313" t="n">
        <v>0.0</v>
      </c>
      <c r="S313" t="n">
        <v>0.0</v>
      </c>
      <c r="T313" t="n">
        <v>0.0</v>
      </c>
      <c r="U313" t="n">
        <v>0.0</v>
      </c>
      <c r="V313" t="n">
        <v>0.0</v>
      </c>
      <c r="W313" t="inlineStr">
        <is>
          <t/>
        </is>
      </c>
      <c r="X313" t="n">
        <v>0.0</v>
      </c>
      <c r="Y313" t="n">
        <v>1.0</v>
      </c>
      <c r="Z313" t="n">
        <v>0.0</v>
      </c>
      <c r="AA313" t="n">
        <v>0.0</v>
      </c>
      <c r="AB313" t="n">
        <v>0.0</v>
      </c>
      <c r="AC313" t="n">
        <v>0.0</v>
      </c>
      <c r="AD313" t="n">
        <v>13.0</v>
      </c>
      <c r="AE313" t="n">
        <v>0.0</v>
      </c>
      <c r="AF313" t="n">
        <v>1.0</v>
      </c>
      <c r="AG313" t="n">
        <v>0.0</v>
      </c>
      <c r="AH313" t="n">
        <v>0.0</v>
      </c>
      <c r="AI313" t="n">
        <v>0.0</v>
      </c>
      <c r="AJ313" t="n">
        <v>0.0</v>
      </c>
      <c r="AK313" t="n">
        <v>4.923076923076923</v>
      </c>
      <c r="AL313" t="inlineStr">
        <is>
          <t/>
        </is>
      </c>
    </row>
    <row r="314">
      <c r="A314" t="inlineStr">
        <is>
          <t>⛰️姆对不起！我移情别恋大虾仁了</t>
        </is>
      </c>
      <c r="B314" t="inlineStr">
        <is>
          <t>69f316190000000036000647</t>
        </is>
      </c>
      <c r="C314" s="313" t="n">
        <f>HYPERLINK("https://www.xiaohongshu.com/explore/69f316190000000036000647?xsec_token=TBx93XfWzGohdywDZFOL5vkd1048ALwYbtSMliXTIWssk=&amp;xsec_source=pc_trdark","https://www.xiaohongshu.com/explore/69f316190000000036000647?xsec_token=TBx93XfWzGohdywDZFOL5vkd1048ALwYbtSMliXTIWssk=&amp;xsec_source=pc_trdark")</f>
        <v>0.0</v>
      </c>
      <c r="D314" t="inlineStr">
        <is>
          <t>鲜水湾甄选</t>
        </is>
      </c>
      <c r="E314" t="inlineStr">
        <is>
          <t>27401929161</t>
        </is>
      </c>
      <c r="F314" t="inlineStr">
        <is>
          <t>2026-04-30 16:43:05</t>
        </is>
      </c>
      <c r="G314" t="inlineStr">
        <is>
          <t>图文</t>
        </is>
      </c>
      <c r="H314" t="inlineStr">
        <is>
          <t>手剥虾仁 无冰衣无添加 低脂餐一人食 上班带饭 顺丰包邮 5盒装</t>
        </is>
      </c>
      <c r="I314" t="inlineStr">
        <is>
          <t>694baba01d450d00013662f0</t>
        </is>
      </c>
      <c r="J314" t="inlineStr">
        <is>
          <t/>
        </is>
      </c>
      <c r="K314" t="n">
        <v>0.0</v>
      </c>
      <c r="L314" t="n">
        <v>0.0</v>
      </c>
      <c r="M314" t="n">
        <v>2.0</v>
      </c>
      <c r="N314" t="inlineStr">
        <is>
          <t>0.15384615384615385</t>
        </is>
      </c>
      <c r="O314" t="n">
        <v>1.0</v>
      </c>
      <c r="P314" t="n">
        <v>0.0</v>
      </c>
      <c r="Q314" t="n">
        <v>0.0</v>
      </c>
      <c r="R314" t="n">
        <v>0.0</v>
      </c>
      <c r="S314" t="n">
        <v>0.0</v>
      </c>
      <c r="T314" t="n">
        <v>0.0</v>
      </c>
      <c r="U314" t="n">
        <v>0.0</v>
      </c>
      <c r="V314" t="n">
        <v>0.0</v>
      </c>
      <c r="W314" t="inlineStr">
        <is>
          <t/>
        </is>
      </c>
      <c r="X314" t="n">
        <v>0.0</v>
      </c>
      <c r="Y314" t="n">
        <v>0.0</v>
      </c>
      <c r="Z314" t="n">
        <v>1.0</v>
      </c>
      <c r="AA314" t="n">
        <v>0.0</v>
      </c>
      <c r="AB314" t="n">
        <v>0.0</v>
      </c>
      <c r="AC314" t="n">
        <v>0.0</v>
      </c>
      <c r="AD314" t="n">
        <v>13.0</v>
      </c>
      <c r="AE314" t="n">
        <v>0.0</v>
      </c>
      <c r="AF314" t="n">
        <v>0.0</v>
      </c>
      <c r="AG314" t="n">
        <v>0.0</v>
      </c>
      <c r="AH314" t="n">
        <v>0.0</v>
      </c>
      <c r="AI314" t="n">
        <v>0.0</v>
      </c>
      <c r="AJ314" t="n">
        <v>0.0</v>
      </c>
      <c r="AK314" t="n">
        <v>6.384615384615385</v>
      </c>
      <c r="AL314" t="inlineStr">
        <is>
          <t/>
        </is>
      </c>
    </row>
    <row r="315">
      <c r="A315" t="inlineStr">
        <is>
          <t>真别低估了100来块的购买力，够吃半个月了</t>
        </is>
      </c>
      <c r="B315" t="inlineStr">
        <is>
          <t>69c4d7c300000000200387da</t>
        </is>
      </c>
      <c r="C315" s="314" t="n">
        <f>HYPERLINK("https://www.xiaohongshu.com/explore/69c4d7c300000000200387da?xsec_token=TBIVv4KG_Is8XT8uyOgDE1R0ZsRnUUTJR6R_fiRutAnVc=&amp;xsec_source=pc_trdark","https://www.xiaohongshu.com/explore/69c4d7c300000000200387da?xsec_token=TBIVv4KG_Is8XT8uyOgDE1R0ZsRnUUTJR6R_fiRutAnVc=&amp;xsec_source=pc_trdark")</f>
        <v>0.0</v>
      </c>
      <c r="D315" t="inlineStr">
        <is>
          <t>鲜水湾</t>
        </is>
      </c>
      <c r="E315" t="inlineStr">
        <is>
          <t>49316638994</t>
        </is>
      </c>
      <c r="F315" t="inlineStr">
        <is>
          <t>2026-03-26 14:52:51</t>
        </is>
      </c>
      <c r="G315" t="inlineStr">
        <is>
          <t>图文</t>
        </is>
      </c>
      <c r="H315" t="inlineStr">
        <is>
          <t>手剥虾仁 无冰衣无添加 低脂餐一人食 上班带饭 顺丰包邮 5盒装</t>
        </is>
      </c>
      <c r="I315" t="inlineStr">
        <is>
          <t>694baba01d450d00013662f0</t>
        </is>
      </c>
      <c r="J315" t="inlineStr">
        <is>
          <t/>
        </is>
      </c>
      <c r="K315" t="n">
        <v>0.0</v>
      </c>
      <c r="L315" t="n">
        <v>0.0</v>
      </c>
      <c r="M315" t="n">
        <v>1.0</v>
      </c>
      <c r="N315" t="inlineStr">
        <is>
          <t>0.07692307692307693</t>
        </is>
      </c>
      <c r="O315" t="n">
        <v>1.0</v>
      </c>
      <c r="P315" t="n">
        <v>0.0</v>
      </c>
      <c r="Q315" t="n">
        <v>0.0</v>
      </c>
      <c r="R315" t="n">
        <v>0.0</v>
      </c>
      <c r="S315" t="n">
        <v>0.0</v>
      </c>
      <c r="T315" t="n">
        <v>0.0</v>
      </c>
      <c r="U315" t="n">
        <v>0.0</v>
      </c>
      <c r="V315" t="n">
        <v>0.0</v>
      </c>
      <c r="W315" t="inlineStr">
        <is>
          <t/>
        </is>
      </c>
      <c r="X315" t="n">
        <v>0.0</v>
      </c>
      <c r="Y315" t="n">
        <v>1.0</v>
      </c>
      <c r="Z315" t="n">
        <v>0.0</v>
      </c>
      <c r="AA315" t="n">
        <v>0.0</v>
      </c>
      <c r="AB315" t="n">
        <v>0.0</v>
      </c>
      <c r="AC315" t="n">
        <v>0.0</v>
      </c>
      <c r="AD315" t="n">
        <v>13.0</v>
      </c>
      <c r="AE315" t="n">
        <v>0.0</v>
      </c>
      <c r="AF315" t="n">
        <v>0.0</v>
      </c>
      <c r="AG315" t="n">
        <v>0.0</v>
      </c>
      <c r="AH315" t="n">
        <v>0.0</v>
      </c>
      <c r="AI315" t="n">
        <v>0.0</v>
      </c>
      <c r="AJ315" t="n">
        <v>0.0</v>
      </c>
      <c r="AK315" t="n">
        <v>14.384615384615385</v>
      </c>
      <c r="AL315" t="inlineStr">
        <is>
          <t/>
        </is>
      </c>
    </row>
    <row r="316">
      <c r="A316" t="inlineStr">
        <is>
          <t>和爸妈商量了，推出独居一人食小包装🍤</t>
        </is>
      </c>
      <c r="B316" t="inlineStr">
        <is>
          <t>6a64be8b000000001f01e25a</t>
        </is>
      </c>
      <c r="C316" s="315" t="n">
        <f>HYPERLINK("https://www.xiaohongshu.com/explore/6a64be8b000000001f01e25a?xsec_token=TBLQmp8eTAvjNVw_Rn9NdbGRN_zGBzqr4q-p0MIR6cbcM=&amp;xsec_source=pc_trdark","https://www.xiaohongshu.com/explore/6a64be8b000000001f01e25a?xsec_token=TBLQmp8eTAvjNVw_Rn9NdbGRN_zGBzqr4q-p0MIR6cbcM=&amp;xsec_source=pc_trdark")</f>
        <v>0.0</v>
      </c>
      <c r="D316" t="inlineStr">
        <is>
          <t>鲜水湾</t>
        </is>
      </c>
      <c r="E316" t="inlineStr">
        <is>
          <t>49316638994</t>
        </is>
      </c>
      <c r="F316" t="inlineStr">
        <is>
          <t>2026-07-25 21:47:55</t>
        </is>
      </c>
      <c r="G316" t="inlineStr">
        <is>
          <t>图文</t>
        </is>
      </c>
      <c r="H316" t="inlineStr">
        <is>
          <t>手剥虾仁 无冰衣无添加 低脂餐一人食 上班带饭 顺丰包邮 5盒装</t>
        </is>
      </c>
      <c r="I316" t="inlineStr">
        <is>
          <t>694baba01d450d00013662f0</t>
        </is>
      </c>
      <c r="J316" t="inlineStr">
        <is>
          <t/>
        </is>
      </c>
      <c r="K316" t="n">
        <v>0.0</v>
      </c>
      <c r="L316" t="n">
        <v>0.0</v>
      </c>
      <c r="M316" t="n">
        <v>1.0</v>
      </c>
      <c r="N316" t="inlineStr">
        <is>
          <t>0.08333333333333333</t>
        </is>
      </c>
      <c r="O316" t="n">
        <v>1.0</v>
      </c>
      <c r="P316" t="n">
        <v>0.0</v>
      </c>
      <c r="Q316" t="n">
        <v>0.0</v>
      </c>
      <c r="R316" t="n">
        <v>0.0</v>
      </c>
      <c r="S316" t="n">
        <v>0.0</v>
      </c>
      <c r="T316" t="n">
        <v>0.0</v>
      </c>
      <c r="U316" t="n">
        <v>0.0</v>
      </c>
      <c r="V316" t="n">
        <v>0.0</v>
      </c>
      <c r="W316" t="inlineStr">
        <is>
          <t/>
        </is>
      </c>
      <c r="X316" t="n">
        <v>0.0</v>
      </c>
      <c r="Y316" t="n">
        <v>0.0</v>
      </c>
      <c r="Z316" t="n">
        <v>0.0</v>
      </c>
      <c r="AA316" t="n">
        <v>0.0</v>
      </c>
      <c r="AB316" t="n">
        <v>0.0</v>
      </c>
      <c r="AC316" t="n">
        <v>0.0</v>
      </c>
      <c r="AD316" t="n">
        <v>12.0</v>
      </c>
      <c r="AE316" t="n">
        <v>0.0</v>
      </c>
      <c r="AF316" t="n">
        <v>0.0</v>
      </c>
      <c r="AG316" t="n">
        <v>0.0</v>
      </c>
      <c r="AH316" t="n">
        <v>0.0</v>
      </c>
      <c r="AI316" t="n">
        <v>0.0</v>
      </c>
      <c r="AJ316" t="n">
        <v>0.0</v>
      </c>
      <c r="AK316" t="n">
        <v>4.583333333333333</v>
      </c>
      <c r="AL316" t="inlineStr">
        <is>
          <t/>
        </is>
      </c>
    </row>
    <row r="317">
      <c r="A317" t="inlineStr">
        <is>
          <t>本来只想囤点三文鱼，结果半个月晚饭都有了</t>
        </is>
      </c>
      <c r="B317" t="inlineStr">
        <is>
          <t>6a5494140000000022008e43</t>
        </is>
      </c>
      <c r="C317" s="316" t="n">
        <f>HYPERLINK("https://www.xiaohongshu.com/explore/6a5494140000000022008e43?xsec_token=TBnijnMEPEnSTDzzHBYv-GMxiq3spvV_F_AL-tpwGJ3RI=&amp;xsec_source=pc_trdark","https://www.xiaohongshu.com/explore/6a5494140000000022008e43?xsec_token=TBnijnMEPEnSTDzzHBYv-GMxiq3spvV_F_AL-tpwGJ3RI=&amp;xsec_source=pc_trdark")</f>
        <v>0.0</v>
      </c>
      <c r="D317" t="inlineStr">
        <is>
          <t>婉婉上班吃什么</t>
        </is>
      </c>
      <c r="E317" t="inlineStr">
        <is>
          <t>11434449706</t>
        </is>
      </c>
      <c r="F317" t="inlineStr">
        <is>
          <t>2026-07-13 15:30:28</t>
        </is>
      </c>
      <c r="G317" t="inlineStr">
        <is>
          <t>图文</t>
        </is>
      </c>
      <c r="H317" t="inlineStr">
        <is>
          <t>智利尾端中段整条三文鱼 8斤深海鱼低脂餐囤货一周备菜顺丰包邮</t>
        </is>
      </c>
      <c r="I317" t="inlineStr">
        <is>
          <t>69fab80d64eb410001ece0c0</t>
        </is>
      </c>
      <c r="J317" t="inlineStr">
        <is>
          <t/>
        </is>
      </c>
      <c r="K317" t="n">
        <v>0.0</v>
      </c>
      <c r="L317" t="n">
        <v>0.0</v>
      </c>
      <c r="M317" t="n">
        <v>0.0</v>
      </c>
      <c r="N317" t="n">
        <v>0.0</v>
      </c>
      <c r="O317" t="n">
        <v>0.0</v>
      </c>
      <c r="P317" t="n">
        <v>0.0</v>
      </c>
      <c r="Q317" t="inlineStr">
        <is>
          <t/>
        </is>
      </c>
      <c r="R317" t="inlineStr">
        <is>
          <t/>
        </is>
      </c>
      <c r="S317" t="n">
        <v>0.0</v>
      </c>
      <c r="T317" t="n">
        <v>0.0</v>
      </c>
      <c r="U317" t="n">
        <v>0.0</v>
      </c>
      <c r="V317" t="n">
        <v>0.0</v>
      </c>
      <c r="W317" t="inlineStr">
        <is>
          <t/>
        </is>
      </c>
      <c r="X317" t="n">
        <v>0.0</v>
      </c>
      <c r="Y317" t="n">
        <v>0.0</v>
      </c>
      <c r="Z317" t="n">
        <v>0.0</v>
      </c>
      <c r="AA317" t="n">
        <v>0.0</v>
      </c>
      <c r="AB317" t="n">
        <v>0.0</v>
      </c>
      <c r="AC317" t="n">
        <v>0.0</v>
      </c>
      <c r="AD317" t="n">
        <v>12.0</v>
      </c>
      <c r="AE317" t="n">
        <v>0.0</v>
      </c>
      <c r="AF317" t="n">
        <v>0.0</v>
      </c>
      <c r="AG317" t="n">
        <v>0.0</v>
      </c>
      <c r="AH317" t="n">
        <v>0.0</v>
      </c>
      <c r="AI317" t="n">
        <v>0.0</v>
      </c>
      <c r="AJ317" t="n">
        <v>0.0</v>
      </c>
      <c r="AK317" t="n">
        <v>9.75</v>
      </c>
      <c r="AL317" t="inlineStr">
        <is>
          <t/>
        </is>
      </c>
    </row>
    <row r="318">
      <c r="A318" t="inlineStr">
        <is>
          <t>奉劝现在的年轻人不要低估69块的购买力</t>
        </is>
      </c>
      <c r="B318" t="inlineStr">
        <is>
          <t>6a53b5730000000008031b8d</t>
        </is>
      </c>
      <c r="C318" s="317" t="n">
        <f>HYPERLINK("https://www.xiaohongshu.com/explore/6a53b5730000000008031b8d?xsec_token=TBFK5Se19N-rY8UMGPamuX6Uzx2lcJt8mLkwhuHbCR0wY=&amp;xsec_source=pc_trdark","https://www.xiaohongshu.com/explore/6a53b5730000000008031b8d?xsec_token=TBFK5Se19N-rY8UMGPamuX6Uzx2lcJt8mLkwhuHbCR0wY=&amp;xsec_source=pc_trdark")</f>
        <v>0.0</v>
      </c>
      <c r="D318" t="inlineStr">
        <is>
          <t>婉婉上班吃什么</t>
        </is>
      </c>
      <c r="E318" t="inlineStr">
        <is>
          <t>11434449706</t>
        </is>
      </c>
      <c r="F318" t="inlineStr">
        <is>
          <t>2026-07-12 23:40:35</t>
        </is>
      </c>
      <c r="G318" t="inlineStr">
        <is>
          <t>图文</t>
        </is>
      </c>
      <c r="H318" t="inlineStr">
        <is>
          <t>手剥虾仁 无冰衣无添加 低脂餐一人食 上班带饭 顺丰包邮 5盒装</t>
        </is>
      </c>
      <c r="I318" t="inlineStr">
        <is>
          <t>694baba01d450d00013662f0</t>
        </is>
      </c>
      <c r="J318" t="inlineStr">
        <is>
          <t/>
        </is>
      </c>
      <c r="K318" t="n">
        <v>0.0</v>
      </c>
      <c r="L318" t="n">
        <v>0.0</v>
      </c>
      <c r="M318" t="n">
        <v>3.0</v>
      </c>
      <c r="N318" t="n">
        <v>0.25</v>
      </c>
      <c r="O318" t="n">
        <v>3.0</v>
      </c>
      <c r="P318" t="n">
        <v>0.0</v>
      </c>
      <c r="Q318" t="n">
        <v>0.0</v>
      </c>
      <c r="R318" t="n">
        <v>0.0</v>
      </c>
      <c r="S318" t="n">
        <v>0.0</v>
      </c>
      <c r="T318" t="n">
        <v>0.0</v>
      </c>
      <c r="U318" t="n">
        <v>0.0</v>
      </c>
      <c r="V318" t="n">
        <v>0.0</v>
      </c>
      <c r="W318" t="inlineStr">
        <is>
          <t/>
        </is>
      </c>
      <c r="X318" t="n">
        <v>0.0</v>
      </c>
      <c r="Y318" t="n">
        <v>0.0</v>
      </c>
      <c r="Z318" t="n">
        <v>2.0</v>
      </c>
      <c r="AA318" t="n">
        <v>0.0</v>
      </c>
      <c r="AB318" t="n">
        <v>0.0</v>
      </c>
      <c r="AC318" t="n">
        <v>0.0</v>
      </c>
      <c r="AD318" t="n">
        <v>12.0</v>
      </c>
      <c r="AE318" t="n">
        <v>0.0</v>
      </c>
      <c r="AF318" t="n">
        <v>0.0</v>
      </c>
      <c r="AG318" t="n">
        <v>0.0</v>
      </c>
      <c r="AH318" t="n">
        <v>0.0</v>
      </c>
      <c r="AI318" t="n">
        <v>0.0</v>
      </c>
      <c r="AJ318" t="n">
        <v>0.0</v>
      </c>
      <c r="AK318" t="n">
        <v>8.0</v>
      </c>
      <c r="AL318" t="inlineStr">
        <is>
          <t/>
        </is>
      </c>
    </row>
    <row r="319">
      <c r="A319" t="inlineStr">
        <is>
          <t>误以为很贵，实际 300 多一整条真的过瘾！</t>
        </is>
      </c>
      <c r="B319" t="inlineStr">
        <is>
          <t>6a4635e500000000060377b2</t>
        </is>
      </c>
      <c r="C319" s="318" t="n">
        <f>HYPERLINK("https://www.xiaohongshu.com/explore/6a4635e500000000060377b2?xsec_token=TBh16dqEaGc_HtFtaLZGOnEI4Ay-k46gx7sYtEcvang0Q=&amp;xsec_source=pc_trdark","https://www.xiaohongshu.com/explore/6a4635e500000000060377b2?xsec_token=TBh16dqEaGc_HtFtaLZGOnEI4Ay-k46gx7sYtEcvang0Q=&amp;xsec_source=pc_trdark")</f>
        <v>0.0</v>
      </c>
      <c r="D319" t="inlineStr">
        <is>
          <t>婉婉上班吃什么</t>
        </is>
      </c>
      <c r="E319" t="inlineStr">
        <is>
          <t>11434449706</t>
        </is>
      </c>
      <c r="F319" t="inlineStr">
        <is>
          <t>2026-07-02 17:56:53</t>
        </is>
      </c>
      <c r="G319" t="inlineStr">
        <is>
          <t>图文</t>
        </is>
      </c>
      <c r="H319" t="inlineStr">
        <is>
          <t>智利三文鱼切块·整条三文鱼·深海鱼一人食健康饮食</t>
        </is>
      </c>
      <c r="I319" t="inlineStr">
        <is>
          <t>691ac562a524ee0001b51d7b</t>
        </is>
      </c>
      <c r="J319" t="inlineStr">
        <is>
          <t/>
        </is>
      </c>
      <c r="K319" t="n">
        <v>0.0</v>
      </c>
      <c r="L319" t="n">
        <v>0.0</v>
      </c>
      <c r="M319" t="n">
        <v>1.0</v>
      </c>
      <c r="N319" t="inlineStr">
        <is>
          <t>0.08333333333333333</t>
        </is>
      </c>
      <c r="O319" t="n">
        <v>1.0</v>
      </c>
      <c r="P319" t="n">
        <v>0.0</v>
      </c>
      <c r="Q319" t="n">
        <v>0.0</v>
      </c>
      <c r="R319" t="n">
        <v>0.0</v>
      </c>
      <c r="S319" t="n">
        <v>0.0</v>
      </c>
      <c r="T319" t="n">
        <v>0.0</v>
      </c>
      <c r="U319" t="n">
        <v>0.0</v>
      </c>
      <c r="V319" t="n">
        <v>0.0</v>
      </c>
      <c r="W319" t="inlineStr">
        <is>
          <t/>
        </is>
      </c>
      <c r="X319" t="n">
        <v>0.0</v>
      </c>
      <c r="Y319" t="n">
        <v>0.0</v>
      </c>
      <c r="Z319" t="n">
        <v>0.0</v>
      </c>
      <c r="AA319" t="n">
        <v>0.0</v>
      </c>
      <c r="AB319" t="n">
        <v>0.0</v>
      </c>
      <c r="AC319" t="n">
        <v>0.0</v>
      </c>
      <c r="AD319" t="n">
        <v>12.0</v>
      </c>
      <c r="AE319" t="n">
        <v>0.0</v>
      </c>
      <c r="AF319" t="n">
        <v>0.0</v>
      </c>
      <c r="AG319" t="n">
        <v>0.0</v>
      </c>
      <c r="AH319" t="n">
        <v>0.0</v>
      </c>
      <c r="AI319" t="n">
        <v>0.0</v>
      </c>
      <c r="AJ319" t="n">
        <v>0.0</v>
      </c>
      <c r="AK319" t="n">
        <v>9.25</v>
      </c>
      <c r="AL319" t="inlineStr">
        <is>
          <t/>
        </is>
      </c>
    </row>
    <row r="320">
      <c r="A320" t="inlineStr">
        <is>
          <t>懒人做饭第一次这么有成就感！！！！</t>
        </is>
      </c>
      <c r="B320" t="inlineStr">
        <is>
          <t>6a1553d5000000003501d112</t>
        </is>
      </c>
      <c r="C320" s="319" t="n">
        <f>HYPERLINK("https://www.xiaohongshu.com/explore/6a1553d5000000003501d112?xsec_token=TB-9iWPr9Mx2NrjMC4lGPdgHoSuY5OvRlH1DBqJ5IvF3U=&amp;xsec_source=pc_trdark","https://www.xiaohongshu.com/explore/6a1553d5000000003501d112?xsec_token=TB-9iWPr9Mx2NrjMC4lGPdgHoSuY5OvRlH1DBqJ5IvF3U=&amp;xsec_source=pc_trdark")</f>
        <v>0.0</v>
      </c>
      <c r="D320" t="inlineStr">
        <is>
          <t>鲜水湾甄选</t>
        </is>
      </c>
      <c r="E320" t="inlineStr">
        <is>
          <t>27401929161</t>
        </is>
      </c>
      <c r="F320" t="inlineStr">
        <is>
          <t>2026-05-26 16:36:00</t>
        </is>
      </c>
      <c r="G320" t="inlineStr">
        <is>
          <t>图文</t>
        </is>
      </c>
      <c r="H320" t="inlineStr">
        <is>
          <t>手剥虾仁 无冰衣无添加 低脂餐一人食 上班带饭 顺丰包邮 5盒装</t>
        </is>
      </c>
      <c r="I320" t="inlineStr">
        <is>
          <t>694baba01d450d00013662f0</t>
        </is>
      </c>
      <c r="J320" t="inlineStr">
        <is>
          <t/>
        </is>
      </c>
      <c r="K320" t="n">
        <v>0.0</v>
      </c>
      <c r="L320" t="n">
        <v>0.0</v>
      </c>
      <c r="M320" t="n">
        <v>1.0</v>
      </c>
      <c r="N320" t="inlineStr">
        <is>
          <t>0.08333333333333333</t>
        </is>
      </c>
      <c r="O320" t="n">
        <v>1.0</v>
      </c>
      <c r="P320" t="n">
        <v>0.0</v>
      </c>
      <c r="Q320" t="n">
        <v>0.0</v>
      </c>
      <c r="R320" t="n">
        <v>0.0</v>
      </c>
      <c r="S320" t="n">
        <v>0.0</v>
      </c>
      <c r="T320" t="n">
        <v>0.0</v>
      </c>
      <c r="U320" t="n">
        <v>0.0</v>
      </c>
      <c r="V320" t="n">
        <v>0.0</v>
      </c>
      <c r="W320" t="inlineStr">
        <is>
          <t/>
        </is>
      </c>
      <c r="X320" t="n">
        <v>0.0</v>
      </c>
      <c r="Y320" t="n">
        <v>0.0</v>
      </c>
      <c r="Z320" t="n">
        <v>0.0</v>
      </c>
      <c r="AA320" t="n">
        <v>0.0</v>
      </c>
      <c r="AB320" t="n">
        <v>0.0</v>
      </c>
      <c r="AC320" t="n">
        <v>0.0</v>
      </c>
      <c r="AD320" t="n">
        <v>12.0</v>
      </c>
      <c r="AE320" t="n">
        <v>0.0</v>
      </c>
      <c r="AF320" t="n">
        <v>0.0</v>
      </c>
      <c r="AG320" t="n">
        <v>0.0</v>
      </c>
      <c r="AH320" t="n">
        <v>0.0</v>
      </c>
      <c r="AI320" t="n">
        <v>0.0</v>
      </c>
      <c r="AJ320" t="n">
        <v>0.0</v>
      </c>
      <c r="AK320" t="n">
        <v>5.083333333333333</v>
      </c>
      <c r="AL320" t="inlineStr">
        <is>
          <t/>
        </is>
      </c>
    </row>
    <row r="321">
      <c r="A321" t="inlineStr">
        <is>
          <t>奉劝在健身房爬坡没瘦的姐妹！！</t>
        </is>
      </c>
      <c r="B321" t="inlineStr">
        <is>
          <t>6a02f2df0000000008026dfc</t>
        </is>
      </c>
      <c r="C321" s="320" t="n">
        <f>HYPERLINK("https://www.xiaohongshu.com/explore/6a02f2df0000000008026dfc?xsec_token=TBPwq-ce0mzGyOoBGbWlmZ4Me43OjwqSSeGXK_GscoGoc=&amp;xsec_source=pc_trdark","https://www.xiaohongshu.com/explore/6a02f2df0000000008026dfc?xsec_token=TBPwq-ce0mzGyOoBGbWlmZ4Me43OjwqSSeGXK_GscoGoc=&amp;xsec_source=pc_trdark")</f>
        <v>0.0</v>
      </c>
      <c r="D321" t="inlineStr">
        <is>
          <t>菲菲上班吃什么</t>
        </is>
      </c>
      <c r="E321" t="inlineStr">
        <is>
          <t>49936530607</t>
        </is>
      </c>
      <c r="F321" t="inlineStr">
        <is>
          <t>2026-05-12 22:28:00</t>
        </is>
      </c>
      <c r="G321" t="inlineStr">
        <is>
          <t>图文</t>
        </is>
      </c>
      <c r="H321" t="inlineStr">
        <is>
          <t>手剥虾仁 无冰衣无添加 低脂餐一人食 上班带饭 顺丰包邮 5盒装</t>
        </is>
      </c>
      <c r="I321" t="inlineStr">
        <is>
          <t>694baba01d450d00013662f0</t>
        </is>
      </c>
      <c r="J321" t="inlineStr">
        <is>
          <t/>
        </is>
      </c>
      <c r="K321" t="n">
        <v>0.0</v>
      </c>
      <c r="L321" t="n">
        <v>0.0</v>
      </c>
      <c r="M321" t="n">
        <v>0.0</v>
      </c>
      <c r="N321" t="n">
        <v>0.0</v>
      </c>
      <c r="O321" t="n">
        <v>0.0</v>
      </c>
      <c r="P321" t="n">
        <v>0.0</v>
      </c>
      <c r="Q321" t="inlineStr">
        <is>
          <t/>
        </is>
      </c>
      <c r="R321" t="inlineStr">
        <is>
          <t/>
        </is>
      </c>
      <c r="S321" t="n">
        <v>0.0</v>
      </c>
      <c r="T321" t="n">
        <v>0.0</v>
      </c>
      <c r="U321" t="n">
        <v>0.0</v>
      </c>
      <c r="V321" t="n">
        <v>0.0</v>
      </c>
      <c r="W321" t="inlineStr">
        <is>
          <t/>
        </is>
      </c>
      <c r="X321" t="n">
        <v>0.0</v>
      </c>
      <c r="Y321" t="n">
        <v>0.0</v>
      </c>
      <c r="Z321" t="n">
        <v>0.0</v>
      </c>
      <c r="AA321" t="n">
        <v>0.0</v>
      </c>
      <c r="AB321" t="n">
        <v>0.0</v>
      </c>
      <c r="AC321" t="n">
        <v>0.0</v>
      </c>
      <c r="AD321" t="n">
        <v>12.0</v>
      </c>
      <c r="AE321" t="n">
        <v>0.0</v>
      </c>
      <c r="AF321" t="n">
        <v>0.0</v>
      </c>
      <c r="AG321" t="n">
        <v>0.0</v>
      </c>
      <c r="AH321" t="n">
        <v>0.0</v>
      </c>
      <c r="AI321" t="n">
        <v>0.0</v>
      </c>
      <c r="AJ321" t="n">
        <v>0.0</v>
      </c>
      <c r="AK321" t="n">
        <v>6.583333333333333</v>
      </c>
      <c r="AL321" t="inlineStr">
        <is>
          <t/>
        </is>
      </c>
    </row>
    <row r="322">
      <c r="A322" t="inlineStr">
        <is>
          <t>感谢网友！网购三文鱼安全下车！</t>
        </is>
      </c>
      <c r="B322" t="inlineStr">
        <is>
          <t>69dfa768000000001f003c5a</t>
        </is>
      </c>
      <c r="C322" s="321" t="n">
        <f>HYPERLINK("https://www.xiaohongshu.com/explore/69dfa768000000001f003c5a?xsec_token=TBbELi6fdmnK2TYKEzYY0fWku9GzDqHAHSEI9tFnWD7xI=&amp;xsec_source=pc_trdark","https://www.xiaohongshu.com/explore/69dfa768000000001f003c5a?xsec_token=TBbELi6fdmnK2TYKEzYY0fWku9GzDqHAHSEI9tFnWD7xI=&amp;xsec_source=pc_trdark")</f>
        <v>0.0</v>
      </c>
      <c r="D322" t="inlineStr">
        <is>
          <t>菲菲上班吃什么</t>
        </is>
      </c>
      <c r="E322" t="inlineStr">
        <is>
          <t>49936530607</t>
        </is>
      </c>
      <c r="F322" t="inlineStr">
        <is>
          <t>2026-04-15 22:57:44</t>
        </is>
      </c>
      <c r="G322" t="inlineStr">
        <is>
          <t>图文</t>
        </is>
      </c>
      <c r="H322" t="inlineStr">
        <is>
          <t>智利尾端中段整条三文鱼 8斤深海鱼低脂餐囤货一周备菜顺丰包邮</t>
        </is>
      </c>
      <c r="I322" t="inlineStr">
        <is>
          <t>69fab80d64eb410001ece0c0</t>
        </is>
      </c>
      <c r="J322" t="inlineStr">
        <is>
          <t/>
        </is>
      </c>
      <c r="K322" t="n">
        <v>0.0</v>
      </c>
      <c r="L322" t="n">
        <v>0.0</v>
      </c>
      <c r="M322" t="n">
        <v>0.0</v>
      </c>
      <c r="N322" t="n">
        <v>0.0</v>
      </c>
      <c r="O322" t="n">
        <v>0.0</v>
      </c>
      <c r="P322" t="n">
        <v>0.0</v>
      </c>
      <c r="Q322" t="inlineStr">
        <is>
          <t/>
        </is>
      </c>
      <c r="R322" t="inlineStr">
        <is>
          <t/>
        </is>
      </c>
      <c r="S322" t="n">
        <v>0.0</v>
      </c>
      <c r="T322" t="n">
        <v>0.0</v>
      </c>
      <c r="U322" t="n">
        <v>0.0</v>
      </c>
      <c r="V322" t="n">
        <v>0.0</v>
      </c>
      <c r="W322" t="inlineStr">
        <is>
          <t/>
        </is>
      </c>
      <c r="X322" t="n">
        <v>0.0</v>
      </c>
      <c r="Y322" t="n">
        <v>0.0</v>
      </c>
      <c r="Z322" t="n">
        <v>0.0</v>
      </c>
      <c r="AA322" t="n">
        <v>0.0</v>
      </c>
      <c r="AB322" t="n">
        <v>0.0</v>
      </c>
      <c r="AC322" t="n">
        <v>0.0</v>
      </c>
      <c r="AD322" t="n">
        <v>12.0</v>
      </c>
      <c r="AE322" t="n">
        <v>0.0</v>
      </c>
      <c r="AF322" t="n">
        <v>0.0</v>
      </c>
      <c r="AG322" t="n">
        <v>0.0</v>
      </c>
      <c r="AH322" t="n">
        <v>0.0</v>
      </c>
      <c r="AI322" t="n">
        <v>0.0</v>
      </c>
      <c r="AJ322" t="n">
        <v>0.0</v>
      </c>
      <c r="AK322" t="n">
        <v>11.75</v>
      </c>
      <c r="AL322" t="inlineStr">
        <is>
          <t/>
        </is>
      </c>
    </row>
    <row r="323">
      <c r="A323" t="inlineStr">
        <is>
          <t>真的惊到我！才花69块，居然够我连吃整整一周</t>
        </is>
      </c>
      <c r="B323" t="inlineStr">
        <is>
          <t>69c889970000000023006d5a</t>
        </is>
      </c>
      <c r="C323" s="322" t="n">
        <f>HYPERLINK("https://www.xiaohongshu.com/explore/69c889970000000023006d5a?xsec_token=TBSs0bsvi6YGXB042lLCz_JPcohIrS3G6faLXAPDyQrBs=&amp;xsec_source=pc_trdark","https://www.xiaohongshu.com/explore/69c889970000000023006d5a?xsec_token=TBSs0bsvi6YGXB042lLCz_JPcohIrS3G6faLXAPDyQrBs=&amp;xsec_source=pc_trdark")</f>
        <v>0.0</v>
      </c>
      <c r="D323" t="inlineStr">
        <is>
          <t>婉婉上班吃什么</t>
        </is>
      </c>
      <c r="E323" t="inlineStr">
        <is>
          <t>11434449706</t>
        </is>
      </c>
      <c r="F323" t="inlineStr">
        <is>
          <t>2026-03-29 10:08:23</t>
        </is>
      </c>
      <c r="G323" t="inlineStr">
        <is>
          <t>图文</t>
        </is>
      </c>
      <c r="H323" t="inlineStr">
        <is>
          <t>手剥虾仁 无冰衣无添加 低脂餐一人食 上班带饭 顺丰包邮 5盒装</t>
        </is>
      </c>
      <c r="I323" t="inlineStr">
        <is>
          <t>694baba01d450d00013662f0</t>
        </is>
      </c>
      <c r="J323" t="inlineStr">
        <is>
          <t/>
        </is>
      </c>
      <c r="K323" t="n">
        <v>0.0</v>
      </c>
      <c r="L323" t="n">
        <v>0.0</v>
      </c>
      <c r="M323" t="n">
        <v>2.0</v>
      </c>
      <c r="N323" t="inlineStr">
        <is>
          <t>0.16666666666666666</t>
        </is>
      </c>
      <c r="O323" t="n">
        <v>2.0</v>
      </c>
      <c r="P323" t="n">
        <v>0.0</v>
      </c>
      <c r="Q323" t="n">
        <v>0.0</v>
      </c>
      <c r="R323" t="n">
        <v>0.0</v>
      </c>
      <c r="S323" t="n">
        <v>0.0</v>
      </c>
      <c r="T323" t="n">
        <v>0.0</v>
      </c>
      <c r="U323" t="n">
        <v>0.0</v>
      </c>
      <c r="V323" t="n">
        <v>0.0</v>
      </c>
      <c r="W323" t="inlineStr">
        <is>
          <t/>
        </is>
      </c>
      <c r="X323" t="n">
        <v>0.0</v>
      </c>
      <c r="Y323" t="n">
        <v>2.0</v>
      </c>
      <c r="Z323" t="n">
        <v>2.0</v>
      </c>
      <c r="AA323" t="n">
        <v>0.0</v>
      </c>
      <c r="AB323" t="n">
        <v>0.0</v>
      </c>
      <c r="AC323" t="n">
        <v>0.0</v>
      </c>
      <c r="AD323" t="n">
        <v>12.0</v>
      </c>
      <c r="AE323" t="n">
        <v>0.0</v>
      </c>
      <c r="AF323" t="n">
        <v>1.0</v>
      </c>
      <c r="AG323" t="n">
        <v>0.0</v>
      </c>
      <c r="AH323" t="n">
        <v>0.0</v>
      </c>
      <c r="AI323" t="n">
        <v>0.0</v>
      </c>
      <c r="AJ323" t="n">
        <v>0.0</v>
      </c>
      <c r="AK323" t="n">
        <v>6.916666666666667</v>
      </c>
      <c r="AL323" t="inlineStr">
        <is>
          <t/>
        </is>
      </c>
    </row>
    <row r="324">
      <c r="A324" t="inlineStr">
        <is>
          <t>54r💰2 盒，网购甜虾吃到爽！</t>
        </is>
      </c>
      <c r="B324" t="inlineStr">
        <is>
          <t>6a7e7727000000003400e62d</t>
        </is>
      </c>
      <c r="C324" s="323" t="n">
        <f>HYPERLINK("https://www.xiaohongshu.com/explore/6a7e7727000000003400e62d?xsec_token=TBBnEEkj2VNmS0LsHYWGGzg0LLRVNpGmerpHJa8jOQn6E=&amp;xsec_source=pc_trdark","https://www.xiaohongshu.com/explore/6a7e7727000000003400e62d?xsec_token=TBBnEEkj2VNmS0LsHYWGGzg0LLRVNpGmerpHJa8jOQn6E=&amp;xsec_source=pc_trdark")</f>
        <v>0.0</v>
      </c>
      <c r="D324" t="inlineStr">
        <is>
          <t>菲菲上班吃什么</t>
        </is>
      </c>
      <c r="E324" t="inlineStr">
        <is>
          <t>49936530607</t>
        </is>
      </c>
      <c r="F324" t="inlineStr">
        <is>
          <t>2026-08-14 10:02:16</t>
        </is>
      </c>
      <c r="G324" t="inlineStr">
        <is>
          <t>视频</t>
        </is>
      </c>
      <c r="H324" t="inlineStr">
        <is>
          <t>寿司甜虾北极甜虾可生食日料一人食</t>
        </is>
      </c>
      <c r="I324" t="inlineStr">
        <is>
          <t>6a797fd30020da0001732e75</t>
        </is>
      </c>
      <c r="J324" t="n">
        <v>28.0</v>
      </c>
      <c r="K324" t="n">
        <v>0.0</v>
      </c>
      <c r="L324" t="n">
        <v>0.0</v>
      </c>
      <c r="M324" t="n">
        <v>1.0</v>
      </c>
      <c r="N324" t="inlineStr">
        <is>
          <t>0.09090909090909091</t>
        </is>
      </c>
      <c r="O324" t="n">
        <v>1.0</v>
      </c>
      <c r="P324" t="n">
        <v>0.0</v>
      </c>
      <c r="Q324" t="n">
        <v>0.0</v>
      </c>
      <c r="R324" t="n">
        <v>0.0</v>
      </c>
      <c r="S324" t="n">
        <v>0.0</v>
      </c>
      <c r="T324" t="n">
        <v>0.0</v>
      </c>
      <c r="U324" t="n">
        <v>0.0</v>
      </c>
      <c r="V324" t="n">
        <v>0.0</v>
      </c>
      <c r="W324" t="inlineStr">
        <is>
          <t/>
        </is>
      </c>
      <c r="X324" t="n">
        <v>0.0</v>
      </c>
      <c r="Y324" t="n">
        <v>0.0</v>
      </c>
      <c r="Z324" t="n">
        <v>0.0</v>
      </c>
      <c r="AA324" t="n">
        <v>0.0</v>
      </c>
      <c r="AB324" t="n">
        <v>0.0</v>
      </c>
      <c r="AC324" t="n">
        <v>0.0</v>
      </c>
      <c r="AD324" t="n">
        <v>11.0</v>
      </c>
      <c r="AE324" t="n">
        <v>0.0</v>
      </c>
      <c r="AF324" t="n">
        <v>0.0</v>
      </c>
      <c r="AG324" t="n">
        <v>0.0</v>
      </c>
      <c r="AH324" t="n">
        <v>2.0</v>
      </c>
      <c r="AI324" t="n">
        <v>0.0</v>
      </c>
      <c r="AJ324" t="n">
        <v>0.0</v>
      </c>
      <c r="AK324" t="n">
        <v>10.545454545454545</v>
      </c>
      <c r="AL324" t="inlineStr">
        <is>
          <t>0.18181818181818182</t>
        </is>
      </c>
    </row>
    <row r="325">
      <c r="A325" t="inlineStr">
        <is>
          <t>我爸让在网上宣传 69💰5 袋总比卖不出强</t>
        </is>
      </c>
      <c r="B325" t="inlineStr">
        <is>
          <t>6a6bfa5e000000003300aea0</t>
        </is>
      </c>
      <c r="C325" s="324" t="n">
        <f>HYPERLINK("https://www.xiaohongshu.com/explore/6a6bfa5e000000003300aea0?xsec_token=TBHA1sOilTIahikB8-qFTo9pZ_zKK8Sev1wkzafjtr6QA=&amp;xsec_source=pc_trdark","https://www.xiaohongshu.com/explore/6a6bfa5e000000003300aea0?xsec_token=TBHA1sOilTIahikB8-qFTo9pZ_zKK8Sev1wkzafjtr6QA=&amp;xsec_source=pc_trdark")</f>
        <v>0.0</v>
      </c>
      <c r="D325" t="inlineStr">
        <is>
          <t>鲜水湾</t>
        </is>
      </c>
      <c r="E325" t="inlineStr">
        <is>
          <t>49316638994</t>
        </is>
      </c>
      <c r="F325" t="inlineStr">
        <is>
          <t>2026-07-31 09:29:02</t>
        </is>
      </c>
      <c r="G325" t="inlineStr">
        <is>
          <t>图文</t>
        </is>
      </c>
      <c r="H325" t="inlineStr">
        <is>
          <t>手剥虾仁 无冰衣无添加 低脂餐一人食 上班带饭 顺丰包邮 5盒装</t>
        </is>
      </c>
      <c r="I325" t="inlineStr">
        <is>
          <t>694baba01d450d00013662f0</t>
        </is>
      </c>
      <c r="J325" t="inlineStr">
        <is>
          <t/>
        </is>
      </c>
      <c r="K325" t="n">
        <v>0.0</v>
      </c>
      <c r="L325" t="n">
        <v>0.0</v>
      </c>
      <c r="M325" t="n">
        <v>0.0</v>
      </c>
      <c r="N325" t="n">
        <v>0.0</v>
      </c>
      <c r="O325" t="n">
        <v>0.0</v>
      </c>
      <c r="P325" t="n">
        <v>0.0</v>
      </c>
      <c r="Q325" t="inlineStr">
        <is>
          <t/>
        </is>
      </c>
      <c r="R325" t="inlineStr">
        <is>
          <t/>
        </is>
      </c>
      <c r="S325" t="n">
        <v>0.0</v>
      </c>
      <c r="T325" t="n">
        <v>0.0</v>
      </c>
      <c r="U325" t="n">
        <v>0.0</v>
      </c>
      <c r="V325" t="n">
        <v>0.0</v>
      </c>
      <c r="W325" t="inlineStr">
        <is>
          <t/>
        </is>
      </c>
      <c r="X325" t="n">
        <v>0.0</v>
      </c>
      <c r="Y325" t="n">
        <v>0.0</v>
      </c>
      <c r="Z325" t="n">
        <v>0.0</v>
      </c>
      <c r="AA325" t="n">
        <v>0.0</v>
      </c>
      <c r="AB325" t="n">
        <v>0.0</v>
      </c>
      <c r="AC325" t="n">
        <v>0.0</v>
      </c>
      <c r="AD325" t="n">
        <v>11.0</v>
      </c>
      <c r="AE325" t="n">
        <v>0.0</v>
      </c>
      <c r="AF325" t="n">
        <v>0.0</v>
      </c>
      <c r="AG325" t="n">
        <v>0.0</v>
      </c>
      <c r="AH325" t="n">
        <v>0.0</v>
      </c>
      <c r="AI325" t="n">
        <v>0.0</v>
      </c>
      <c r="AJ325" t="n">
        <v>0.0</v>
      </c>
      <c r="AK325" t="n">
        <v>7.636363636363637</v>
      </c>
      <c r="AL325" t="inlineStr">
        <is>
          <t/>
        </is>
      </c>
    </row>
    <row r="326">
      <c r="A326" t="inlineStr">
        <is>
          <t>泪水不用打湿减脂餐了</t>
        </is>
      </c>
      <c r="B326" t="inlineStr">
        <is>
          <t>6a2d3fd4000000000803d655</t>
        </is>
      </c>
      <c r="C326" s="325" t="n">
        <f>HYPERLINK("https://www.xiaohongshu.com/explore/6a2d3fd4000000000803d655?xsec_token=TBzgoa2COAFk8AkHvWhIePLUB19vZ-XoPgsd12N2DbSSg=&amp;xsec_source=pc_trdark","https://www.xiaohongshu.com/explore/6a2d3fd4000000000803d655?xsec_token=TBzgoa2COAFk8AkHvWhIePLUB19vZ-XoPgsd12N2DbSSg=&amp;xsec_source=pc_trdark")</f>
        <v>0.0</v>
      </c>
      <c r="D326" t="inlineStr">
        <is>
          <t>婉婉上班吃什么</t>
        </is>
      </c>
      <c r="E326" t="inlineStr">
        <is>
          <t>11434449706</t>
        </is>
      </c>
      <c r="F326" t="inlineStr">
        <is>
          <t>2026-06-13 19:32:36</t>
        </is>
      </c>
      <c r="G326" t="inlineStr">
        <is>
          <t>图文</t>
        </is>
      </c>
      <c r="H326" t="inlineStr">
        <is>
          <t>手剥虾仁 无冰衣无添加 低脂餐一人食 上班带饭 顺丰包邮 5盒装</t>
        </is>
      </c>
      <c r="I326" t="inlineStr">
        <is>
          <t>694baba01d450d00013662f0</t>
        </is>
      </c>
      <c r="J326" t="inlineStr">
        <is>
          <t/>
        </is>
      </c>
      <c r="K326" t="n">
        <v>128.0</v>
      </c>
      <c r="L326" t="n">
        <v>1.0</v>
      </c>
      <c r="M326" t="n">
        <v>2.0</v>
      </c>
      <c r="N326" t="inlineStr">
        <is>
          <t>0.18181818181818182</t>
        </is>
      </c>
      <c r="O326" t="n">
        <v>2.0</v>
      </c>
      <c r="P326" t="n">
        <v>1.0</v>
      </c>
      <c r="Q326" t="n">
        <v>0.5</v>
      </c>
      <c r="R326" t="n">
        <v>0.5</v>
      </c>
      <c r="S326" t="n">
        <v>0.0</v>
      </c>
      <c r="T326" t="n">
        <v>0.0</v>
      </c>
      <c r="U326" t="n">
        <v>0.0</v>
      </c>
      <c r="V326" t="n">
        <v>0.0</v>
      </c>
      <c r="W326" t="n">
        <v>0.0</v>
      </c>
      <c r="X326" t="n">
        <v>0.0</v>
      </c>
      <c r="Y326" t="n">
        <v>0.0</v>
      </c>
      <c r="Z326" t="n">
        <v>0.0</v>
      </c>
      <c r="AA326" t="n">
        <v>0.0</v>
      </c>
      <c r="AB326" t="n">
        <v>0.0</v>
      </c>
      <c r="AC326" t="n">
        <v>0.0</v>
      </c>
      <c r="AD326" t="n">
        <v>11.0</v>
      </c>
      <c r="AE326" t="n">
        <v>0.0</v>
      </c>
      <c r="AF326" t="n">
        <v>1.0</v>
      </c>
      <c r="AG326" t="n">
        <v>0.0</v>
      </c>
      <c r="AH326" t="n">
        <v>0.0</v>
      </c>
      <c r="AI326" t="n">
        <v>0.0</v>
      </c>
      <c r="AJ326" t="n">
        <v>0.0</v>
      </c>
      <c r="AK326" t="n">
        <v>6.545454545454546</v>
      </c>
      <c r="AL326" t="inlineStr">
        <is>
          <t/>
        </is>
      </c>
    </row>
    <row r="327">
      <c r="A327" t="inlineStr">
        <is>
          <t>青岛发来的，被爸妈一顿夸！</t>
        </is>
      </c>
      <c r="B327" t="inlineStr">
        <is>
          <t>6a1e7035000000002101b010</t>
        </is>
      </c>
      <c r="C327" s="326" t="n">
        <f>HYPERLINK("https://www.xiaohongshu.com/explore/6a1e7035000000002101b010?xsec_token=TB-3bUuyjb2g56J4RSha7EmlzzFgz69F738A_b4yR8zzQ=&amp;xsec_source=pc_trdark","https://www.xiaohongshu.com/explore/6a1e7035000000002101b010?xsec_token=TB-3bUuyjb2g56J4RSha7EmlzzFgz69F738A_b4yR8zzQ=&amp;xsec_source=pc_trdark")</f>
        <v>0.0</v>
      </c>
      <c r="D327" t="inlineStr">
        <is>
          <t>鲜水湾</t>
        </is>
      </c>
      <c r="E327" t="inlineStr">
        <is>
          <t>49316638994</t>
        </is>
      </c>
      <c r="F327" t="inlineStr">
        <is>
          <t>2026-06-02 13:55:02</t>
        </is>
      </c>
      <c r="G327" t="inlineStr">
        <is>
          <t>图文</t>
        </is>
      </c>
      <c r="H327" t="inlineStr">
        <is>
          <t>智利三文鱼切块·整条三文鱼·深海鱼一人食健康饮食</t>
        </is>
      </c>
      <c r="I327" t="inlineStr">
        <is>
          <t>691ac562a524ee0001b51d7b</t>
        </is>
      </c>
      <c r="J327" t="inlineStr">
        <is>
          <t/>
        </is>
      </c>
      <c r="K327" t="n">
        <v>0.0</v>
      </c>
      <c r="L327" t="n">
        <v>0.0</v>
      </c>
      <c r="M327" t="n">
        <v>3.0</v>
      </c>
      <c r="N327" t="n">
        <v>0.2727272727272727</v>
      </c>
      <c r="O327" t="n">
        <v>3.0</v>
      </c>
      <c r="P327" t="n">
        <v>0.0</v>
      </c>
      <c r="Q327" t="n">
        <v>0.0</v>
      </c>
      <c r="R327" t="n">
        <v>0.0</v>
      </c>
      <c r="S327" t="n">
        <v>0.0</v>
      </c>
      <c r="T327" t="n">
        <v>0.0</v>
      </c>
      <c r="U327" t="n">
        <v>0.0</v>
      </c>
      <c r="V327" t="n">
        <v>0.0</v>
      </c>
      <c r="W327" t="inlineStr">
        <is>
          <t/>
        </is>
      </c>
      <c r="X327" t="n">
        <v>0.0</v>
      </c>
      <c r="Y327" t="n">
        <v>0.0</v>
      </c>
      <c r="Z327" t="n">
        <v>0.0</v>
      </c>
      <c r="AA327" t="n">
        <v>0.0</v>
      </c>
      <c r="AB327" t="n">
        <v>0.0</v>
      </c>
      <c r="AC327" t="n">
        <v>0.0</v>
      </c>
      <c r="AD327" t="n">
        <v>11.0</v>
      </c>
      <c r="AE327" t="n">
        <v>0.0</v>
      </c>
      <c r="AF327" t="n">
        <v>0.0</v>
      </c>
      <c r="AG327" t="n">
        <v>0.0</v>
      </c>
      <c r="AH327" t="n">
        <v>0.0</v>
      </c>
      <c r="AI327" t="n">
        <v>0.0</v>
      </c>
      <c r="AJ327" t="n">
        <v>0.0</v>
      </c>
      <c r="AK327" t="n">
        <v>12.272727272727273</v>
      </c>
      <c r="AL327" t="inlineStr">
        <is>
          <t/>
        </is>
      </c>
    </row>
    <row r="328">
      <c r="A328" t="inlineStr">
        <is>
          <t>和老爸商量后，推出专为健身党做的轮切中段</t>
        </is>
      </c>
      <c r="B328" t="inlineStr">
        <is>
          <t>6a1cf5d70000000007024c06</t>
        </is>
      </c>
      <c r="C328" s="327" t="n">
        <f>HYPERLINK("https://www.xiaohongshu.com/explore/6a1cf5d70000000007024c06?xsec_token=TBI-GQfdF0uIK8olRzilz5G6JkRTPebE8GMf2QZR85UGg=&amp;xsec_source=pc_trdark","https://www.xiaohongshu.com/explore/6a1cf5d70000000007024c06?xsec_token=TBI-GQfdF0uIK8olRzilz5G6JkRTPebE8GMf2QZR85UGg=&amp;xsec_source=pc_trdark")</f>
        <v>0.0</v>
      </c>
      <c r="D328" t="inlineStr">
        <is>
          <t>鲜水湾</t>
        </is>
      </c>
      <c r="E328" t="inlineStr">
        <is>
          <t>49316638994</t>
        </is>
      </c>
      <c r="F328" t="inlineStr">
        <is>
          <t>2026-06-01 11:00:39</t>
        </is>
      </c>
      <c r="G328" t="inlineStr">
        <is>
          <t>图文</t>
        </is>
      </c>
      <c r="H328" t="inlineStr">
        <is>
          <t>智利三文鱼切块·整条三文鱼·深海鱼一人食健康饮食</t>
        </is>
      </c>
      <c r="I328" t="inlineStr">
        <is>
          <t>691ac562a524ee0001b51d7b</t>
        </is>
      </c>
      <c r="J328" t="inlineStr">
        <is>
          <t/>
        </is>
      </c>
      <c r="K328" t="n">
        <v>67.0</v>
      </c>
      <c r="L328" t="n">
        <v>1.0</v>
      </c>
      <c r="M328" t="n">
        <v>3.0</v>
      </c>
      <c r="N328" t="n">
        <v>0.2727272727272727</v>
      </c>
      <c r="O328" t="n">
        <v>3.0</v>
      </c>
      <c r="P328" t="n">
        <v>1.0</v>
      </c>
      <c r="Q328" t="n">
        <v>0.3333333333333333</v>
      </c>
      <c r="R328" t="n">
        <v>0.3333333333333333</v>
      </c>
      <c r="S328" t="n">
        <v>46.0</v>
      </c>
      <c r="T328" t="n">
        <v>1.0</v>
      </c>
      <c r="U328" t="n">
        <v>1.0</v>
      </c>
      <c r="V328" t="n">
        <v>46.0</v>
      </c>
      <c r="W328" t="n">
        <v>0.6865671641791045</v>
      </c>
      <c r="X328" t="n">
        <v>1.0</v>
      </c>
      <c r="Y328" t="n">
        <v>0.0</v>
      </c>
      <c r="Z328" t="n">
        <v>0.0</v>
      </c>
      <c r="AA328" t="n">
        <v>0.0</v>
      </c>
      <c r="AB328" t="n">
        <v>0.0</v>
      </c>
      <c r="AC328" t="n">
        <v>0.0</v>
      </c>
      <c r="AD328" t="n">
        <v>11.0</v>
      </c>
      <c r="AE328" t="n">
        <v>0.0</v>
      </c>
      <c r="AF328" t="n">
        <v>0.0</v>
      </c>
      <c r="AG328" t="n">
        <v>0.0</v>
      </c>
      <c r="AH328" t="n">
        <v>0.0</v>
      </c>
      <c r="AI328" t="n">
        <v>0.0</v>
      </c>
      <c r="AJ328" t="n">
        <v>0.0</v>
      </c>
      <c r="AK328" t="n">
        <v>16.272727272727273</v>
      </c>
      <c r="AL328" t="inlineStr">
        <is>
          <t/>
        </is>
      </c>
    </row>
    <row r="329">
      <c r="A329" t="inlineStr">
        <is>
          <t>同事总说我天天吃虾仁也太奢侈了……</t>
        </is>
      </c>
      <c r="B329" t="inlineStr">
        <is>
          <t>69c353ba000000001e00cbc5</t>
        </is>
      </c>
      <c r="C329" s="328" t="n">
        <f>HYPERLINK("https://www.xiaohongshu.com/explore/69c353ba000000001e00cbc5?xsec_token=TBedSEQ7qtT06AlsylOAiUw906lvL7l1HMn1WN-Pjb6l0=&amp;xsec_source=pc_trdark","https://www.xiaohongshu.com/explore/69c353ba000000001e00cbc5?xsec_token=TBedSEQ7qtT06AlsylOAiUw906lvL7l1HMn1WN-Pjb6l0=&amp;xsec_source=pc_trdark")</f>
        <v>0.0</v>
      </c>
      <c r="D329" t="inlineStr">
        <is>
          <t>菲菲上班吃什么</t>
        </is>
      </c>
      <c r="E329" t="inlineStr">
        <is>
          <t>49936530607</t>
        </is>
      </c>
      <c r="F329" t="inlineStr">
        <is>
          <t>2026-03-25 11:17:14</t>
        </is>
      </c>
      <c r="G329" t="inlineStr">
        <is>
          <t>图文</t>
        </is>
      </c>
      <c r="H329" t="inlineStr">
        <is>
          <t>手剥虾仁 无冰衣无添加 低脂餐一人食 上班带饭 顺丰包邮 5盒装</t>
        </is>
      </c>
      <c r="I329" t="inlineStr">
        <is>
          <t>694baba01d450d00013662f0</t>
        </is>
      </c>
      <c r="J329" t="inlineStr">
        <is>
          <t/>
        </is>
      </c>
      <c r="K329" t="n">
        <v>0.0</v>
      </c>
      <c r="L329" t="n">
        <v>0.0</v>
      </c>
      <c r="M329" t="n">
        <v>1.0</v>
      </c>
      <c r="N329" t="inlineStr">
        <is>
          <t>0.09090909090909091</t>
        </is>
      </c>
      <c r="O329" t="n">
        <v>1.0</v>
      </c>
      <c r="P329" t="n">
        <v>0.0</v>
      </c>
      <c r="Q329" t="n">
        <v>0.0</v>
      </c>
      <c r="R329" t="n">
        <v>0.0</v>
      </c>
      <c r="S329" t="n">
        <v>0.0</v>
      </c>
      <c r="T329" t="n">
        <v>0.0</v>
      </c>
      <c r="U329" t="n">
        <v>0.0</v>
      </c>
      <c r="V329" t="n">
        <v>0.0</v>
      </c>
      <c r="W329" t="inlineStr">
        <is>
          <t/>
        </is>
      </c>
      <c r="X329" t="n">
        <v>0.0</v>
      </c>
      <c r="Y329" t="n">
        <v>0.0</v>
      </c>
      <c r="Z329" t="n">
        <v>0.0</v>
      </c>
      <c r="AA329" t="n">
        <v>0.0</v>
      </c>
      <c r="AB329" t="n">
        <v>0.0</v>
      </c>
      <c r="AC329" t="n">
        <v>0.0</v>
      </c>
      <c r="AD329" t="n">
        <v>11.0</v>
      </c>
      <c r="AE329" t="n">
        <v>0.0</v>
      </c>
      <c r="AF329" t="n">
        <v>0.0</v>
      </c>
      <c r="AG329" t="n">
        <v>0.0</v>
      </c>
      <c r="AH329" t="n">
        <v>0.0</v>
      </c>
      <c r="AI329" t="n">
        <v>0.0</v>
      </c>
      <c r="AJ329" t="n">
        <v>0.0</v>
      </c>
      <c r="AK329" t="n">
        <v>9.545454545454545</v>
      </c>
      <c r="AL329" t="inlineStr">
        <is>
          <t/>
        </is>
      </c>
    </row>
    <row r="330">
      <c r="A330" t="inlineStr">
        <is>
          <t>我妈让我通知各位：23一斤的大虾真的可以冲</t>
        </is>
      </c>
      <c r="B330" t="inlineStr">
        <is>
          <t>693d3be4000000001e0339c1</t>
        </is>
      </c>
      <c r="C330" s="329" t="n">
        <f>HYPERLINK("https://www.xiaohongshu.com/explore/693d3be4000000001e0339c1?xsec_token=TBz651BHP1Dr15NeLsAqSGPjA0MwwK3lizKrf8Smu6AWc=&amp;xsec_source=pc_trdark","https://www.xiaohongshu.com/explore/693d3be4000000001e0339c1?xsec_token=TBz651BHP1Dr15NeLsAqSGPjA0MwwK3lizKrf8Smu6AWc=&amp;xsec_source=pc_trdark")</f>
        <v>0.0</v>
      </c>
      <c r="D330" t="inlineStr">
        <is>
          <t>鲜水湾</t>
        </is>
      </c>
      <c r="E330" t="inlineStr">
        <is>
          <t>49316638994</t>
        </is>
      </c>
      <c r="F330" t="inlineStr">
        <is>
          <t>2025-12-13 18:11:48</t>
        </is>
      </c>
      <c r="G330" t="inlineStr">
        <is>
          <t>图文</t>
        </is>
      </c>
      <c r="H330" t="inlineStr">
        <is>
          <t>大虾基围虾王牌大虾厄瓜多尔白虾盐冻虾仁海洋大虾送礼顺丰包邮</t>
        </is>
      </c>
      <c r="I330" t="inlineStr">
        <is>
          <t>690aeb7be379430001e686ac</t>
        </is>
      </c>
      <c r="J330" t="inlineStr">
        <is>
          <t/>
        </is>
      </c>
      <c r="K330" t="n">
        <v>0.0</v>
      </c>
      <c r="L330" t="n">
        <v>0.0</v>
      </c>
      <c r="M330" t="n">
        <v>0.0</v>
      </c>
      <c r="N330" t="n">
        <v>0.0</v>
      </c>
      <c r="O330" t="n">
        <v>0.0</v>
      </c>
      <c r="P330" t="n">
        <v>0.0</v>
      </c>
      <c r="Q330" t="inlineStr">
        <is>
          <t/>
        </is>
      </c>
      <c r="R330" t="inlineStr">
        <is>
          <t/>
        </is>
      </c>
      <c r="S330" t="n">
        <v>0.0</v>
      </c>
      <c r="T330" t="n">
        <v>0.0</v>
      </c>
      <c r="U330" t="n">
        <v>0.0</v>
      </c>
      <c r="V330" t="n">
        <v>0.0</v>
      </c>
      <c r="W330" t="inlineStr">
        <is>
          <t/>
        </is>
      </c>
      <c r="X330" t="n">
        <v>0.0</v>
      </c>
      <c r="Y330" t="n">
        <v>0.0</v>
      </c>
      <c r="Z330" t="n">
        <v>0.0</v>
      </c>
      <c r="AA330" t="n">
        <v>0.0</v>
      </c>
      <c r="AB330" t="n">
        <v>0.0</v>
      </c>
      <c r="AC330" t="n">
        <v>0.0</v>
      </c>
      <c r="AD330" t="n">
        <v>11.0</v>
      </c>
      <c r="AE330" t="n">
        <v>0.0</v>
      </c>
      <c r="AF330" t="n">
        <v>0.0</v>
      </c>
      <c r="AG330" t="n">
        <v>0.0</v>
      </c>
      <c r="AH330" t="n">
        <v>0.0</v>
      </c>
      <c r="AI330" t="n">
        <v>0.0</v>
      </c>
      <c r="AJ330" t="n">
        <v>0.0</v>
      </c>
      <c r="AK330" t="n">
        <v>2.272727272727273</v>
      </c>
      <c r="AL330" t="inlineStr">
        <is>
          <t/>
        </is>
      </c>
    </row>
    <row r="331">
      <c r="A331" t="inlineStr">
        <is>
          <t>现在的年轻人对 100 块💰的购买力真的无感</t>
        </is>
      </c>
      <c r="B331" t="inlineStr">
        <is>
          <t>6a79997d0000000028002092</t>
        </is>
      </c>
      <c r="C331" s="330" t="n">
        <f>HYPERLINK("https://www.xiaohongshu.com/explore/6a79997d0000000028002092?xsec_token=TBsnAROY2EYN-xIVUvJJxKjeaBuzyUxoYARJqZedFJe0k=&amp;xsec_source=pc_trdark","https://www.xiaohongshu.com/explore/6a79997d0000000028002092?xsec_token=TBsnAROY2EYN-xIVUvJJxKjeaBuzyUxoYARJqZedFJe0k=&amp;xsec_source=pc_trdark")</f>
        <v>0.0</v>
      </c>
      <c r="D331" t="inlineStr">
        <is>
          <t>菲菲上班吃什么</t>
        </is>
      </c>
      <c r="E331" t="inlineStr">
        <is>
          <t>49936530607</t>
        </is>
      </c>
      <c r="F331" t="inlineStr">
        <is>
          <t>2026-08-10 17:27:25</t>
        </is>
      </c>
      <c r="G331" t="inlineStr">
        <is>
          <t>图文</t>
        </is>
      </c>
      <c r="H331" t="inlineStr">
        <is>
          <t>手剥虾仁 无冰衣无添加 低脂餐一人食 上班带饭 顺丰包邮 5盒装</t>
        </is>
      </c>
      <c r="I331" t="inlineStr">
        <is>
          <t>694baba01d450d00013662f0</t>
        </is>
      </c>
      <c r="J331" t="inlineStr">
        <is>
          <t/>
        </is>
      </c>
      <c r="K331" t="n">
        <v>0.0</v>
      </c>
      <c r="L331" t="n">
        <v>0.0</v>
      </c>
      <c r="M331" t="n">
        <v>0.0</v>
      </c>
      <c r="N331" t="n">
        <v>0.0</v>
      </c>
      <c r="O331" t="n">
        <v>0.0</v>
      </c>
      <c r="P331" t="n">
        <v>0.0</v>
      </c>
      <c r="Q331" t="inlineStr">
        <is>
          <t/>
        </is>
      </c>
      <c r="R331" t="inlineStr">
        <is>
          <t/>
        </is>
      </c>
      <c r="S331" t="n">
        <v>0.0</v>
      </c>
      <c r="T331" t="n">
        <v>0.0</v>
      </c>
      <c r="U331" t="n">
        <v>0.0</v>
      </c>
      <c r="V331" t="n">
        <v>0.0</v>
      </c>
      <c r="W331" t="inlineStr">
        <is>
          <t/>
        </is>
      </c>
      <c r="X331" t="n">
        <v>0.0</v>
      </c>
      <c r="Y331" t="n">
        <v>0.0</v>
      </c>
      <c r="Z331" t="n">
        <v>0.0</v>
      </c>
      <c r="AA331" t="n">
        <v>0.0</v>
      </c>
      <c r="AB331" t="n">
        <v>0.0</v>
      </c>
      <c r="AC331" t="n">
        <v>0.0</v>
      </c>
      <c r="AD331" t="n">
        <v>10.0</v>
      </c>
      <c r="AE331" t="n">
        <v>1.0</v>
      </c>
      <c r="AF331" t="n">
        <v>0.0</v>
      </c>
      <c r="AG331" t="n">
        <v>0.0</v>
      </c>
      <c r="AH331" t="n">
        <v>2.0</v>
      </c>
      <c r="AI331" t="n">
        <v>0.0</v>
      </c>
      <c r="AJ331" t="n">
        <v>0.0</v>
      </c>
      <c r="AK331" t="n">
        <v>7.3</v>
      </c>
      <c r="AL331" t="inlineStr">
        <is>
          <t/>
        </is>
      </c>
    </row>
    <row r="332">
      <c r="A332" t="inlineStr">
        <is>
          <t>两眼一睁就是减，独居党终于等到一餐一包</t>
        </is>
      </c>
      <c r="B332" t="inlineStr">
        <is>
          <t>6a6c0e2f0000000033018085</t>
        </is>
      </c>
      <c r="C332" s="331" t="n">
        <f>HYPERLINK("https://www.xiaohongshu.com/explore/6a6c0e2f0000000033018085?xsec_token=TBpbsD5cK9v8WYsSJHgrIHr-e6-VUg1v2a45_BYXHJ_h4=&amp;xsec_source=pc_trdark","https://www.xiaohongshu.com/explore/6a6c0e2f0000000033018085?xsec_token=TBpbsD5cK9v8WYsSJHgrIHr-e6-VUg1v2a45_BYXHJ_h4=&amp;xsec_source=pc_trdark")</f>
        <v>0.0</v>
      </c>
      <c r="D332" t="inlineStr">
        <is>
          <t>鲜水湾甄选</t>
        </is>
      </c>
      <c r="E332" t="inlineStr">
        <is>
          <t>27401929161</t>
        </is>
      </c>
      <c r="F332" t="inlineStr">
        <is>
          <t>2026-07-31 10:53:36</t>
        </is>
      </c>
      <c r="G332" t="inlineStr">
        <is>
          <t>图文</t>
        </is>
      </c>
      <c r="H332" t="inlineStr">
        <is>
          <t>手剥虾仁 无冰衣无添加 低脂餐一人食 上班带饭 顺丰包邮 5盒装</t>
        </is>
      </c>
      <c r="I332" t="inlineStr">
        <is>
          <t>694baba01d450d00013662f0</t>
        </is>
      </c>
      <c r="J332" t="inlineStr">
        <is>
          <t/>
        </is>
      </c>
      <c r="K332" t="n">
        <v>0.0</v>
      </c>
      <c r="L332" t="n">
        <v>0.0</v>
      </c>
      <c r="M332" t="n">
        <v>2.0</v>
      </c>
      <c r="N332" t="n">
        <v>0.2</v>
      </c>
      <c r="O332" t="n">
        <v>2.0</v>
      </c>
      <c r="P332" t="n">
        <v>0.0</v>
      </c>
      <c r="Q332" t="n">
        <v>0.0</v>
      </c>
      <c r="R332" t="n">
        <v>0.0</v>
      </c>
      <c r="S332" t="n">
        <v>0.0</v>
      </c>
      <c r="T332" t="n">
        <v>0.0</v>
      </c>
      <c r="U332" t="n">
        <v>0.0</v>
      </c>
      <c r="V332" t="n">
        <v>0.0</v>
      </c>
      <c r="W332" t="inlineStr">
        <is>
          <t/>
        </is>
      </c>
      <c r="X332" t="n">
        <v>0.0</v>
      </c>
      <c r="Y332" t="n">
        <v>0.0</v>
      </c>
      <c r="Z332" t="n">
        <v>2.0</v>
      </c>
      <c r="AA332" t="n">
        <v>0.0</v>
      </c>
      <c r="AB332" t="n">
        <v>0.0</v>
      </c>
      <c r="AC332" t="n">
        <v>0.0</v>
      </c>
      <c r="AD332" t="n">
        <v>10.0</v>
      </c>
      <c r="AE332" t="n">
        <v>0.0</v>
      </c>
      <c r="AF332" t="n">
        <v>0.0</v>
      </c>
      <c r="AG332" t="n">
        <v>0.0</v>
      </c>
      <c r="AH332" t="n">
        <v>0.0</v>
      </c>
      <c r="AI332" t="n">
        <v>0.0</v>
      </c>
      <c r="AJ332" t="n">
        <v>0.0</v>
      </c>
      <c r="AK332" t="n">
        <v>6.4</v>
      </c>
      <c r="AL332" t="inlineStr">
        <is>
          <t/>
        </is>
      </c>
    </row>
    <row r="333">
      <c r="A333" t="inlineStr">
        <is>
          <t>独居一人食，终于有人做独立小包装了</t>
        </is>
      </c>
      <c r="B333" t="inlineStr">
        <is>
          <t>6a65e1430000000006011d99</t>
        </is>
      </c>
      <c r="C333" s="332" t="n">
        <f>HYPERLINK("https://www.xiaohongshu.com/explore/6a65e1430000000006011d99?xsec_token=TB58XJIgbz5sDQhjTMNqitzN0HEAdgZGzvw5mpAjl4ppI=&amp;xsec_source=pc_trdark","https://www.xiaohongshu.com/explore/6a65e1430000000006011d99?xsec_token=TB58XJIgbz5sDQhjTMNqitzN0HEAdgZGzvw5mpAjl4ppI=&amp;xsec_source=pc_trdark")</f>
        <v>0.0</v>
      </c>
      <c r="D333" t="inlineStr">
        <is>
          <t>菲菲上班吃什么</t>
        </is>
      </c>
      <c r="E333" t="inlineStr">
        <is>
          <t>49936530607</t>
        </is>
      </c>
      <c r="F333" t="inlineStr">
        <is>
          <t>2026-07-26 18:28:19</t>
        </is>
      </c>
      <c r="G333" t="inlineStr">
        <is>
          <t>图文</t>
        </is>
      </c>
      <c r="H333" t="inlineStr">
        <is>
          <t>手剥虾仁 无冰衣无添加 低脂餐一人食 上班带饭 顺丰包邮 5盒装</t>
        </is>
      </c>
      <c r="I333" t="inlineStr">
        <is>
          <t>694baba01d450d00013662f0</t>
        </is>
      </c>
      <c r="J333" t="inlineStr">
        <is>
          <t/>
        </is>
      </c>
      <c r="K333" t="n">
        <v>0.0</v>
      </c>
      <c r="L333" t="n">
        <v>0.0</v>
      </c>
      <c r="M333" t="n">
        <v>0.0</v>
      </c>
      <c r="N333" t="n">
        <v>0.0</v>
      </c>
      <c r="O333" t="n">
        <v>0.0</v>
      </c>
      <c r="P333" t="n">
        <v>0.0</v>
      </c>
      <c r="Q333" t="inlineStr">
        <is>
          <t/>
        </is>
      </c>
      <c r="R333" t="inlineStr">
        <is>
          <t/>
        </is>
      </c>
      <c r="S333" t="n">
        <v>0.0</v>
      </c>
      <c r="T333" t="n">
        <v>0.0</v>
      </c>
      <c r="U333" t="n">
        <v>0.0</v>
      </c>
      <c r="V333" t="n">
        <v>0.0</v>
      </c>
      <c r="W333" t="inlineStr">
        <is>
          <t/>
        </is>
      </c>
      <c r="X333" t="n">
        <v>0.0</v>
      </c>
      <c r="Y333" t="n">
        <v>0.0</v>
      </c>
      <c r="Z333" t="n">
        <v>0.0</v>
      </c>
      <c r="AA333" t="n">
        <v>0.0</v>
      </c>
      <c r="AB333" t="n">
        <v>0.0</v>
      </c>
      <c r="AC333" t="n">
        <v>0.0</v>
      </c>
      <c r="AD333" t="n">
        <v>10.0</v>
      </c>
      <c r="AE333" t="n">
        <v>0.0</v>
      </c>
      <c r="AF333" t="n">
        <v>0.0</v>
      </c>
      <c r="AG333" t="n">
        <v>0.0</v>
      </c>
      <c r="AH333" t="n">
        <v>0.0</v>
      </c>
      <c r="AI333" t="n">
        <v>0.0</v>
      </c>
      <c r="AJ333" t="n">
        <v>0.0</v>
      </c>
      <c r="AK333" t="n">
        <v>5.5</v>
      </c>
      <c r="AL333" t="inlineStr">
        <is>
          <t/>
        </is>
      </c>
    </row>
    <row r="334">
      <c r="A334" t="inlineStr">
        <is>
          <t>以前真低估100块了，换成虾仁能吃整整一个月</t>
        </is>
      </c>
      <c r="B334" t="inlineStr">
        <is>
          <t>6a5dc8f900000000060108a6</t>
        </is>
      </c>
      <c r="C334" s="333" t="n">
        <f>HYPERLINK("https://www.xiaohongshu.com/explore/6a5dc8f900000000060108a6?xsec_token=TBhNPC94_6xvOzlNirloUV2M4qfm90TUkKTT9QoTFS6HU=&amp;xsec_source=pc_trdark","https://www.xiaohongshu.com/explore/6a5dc8f900000000060108a6?xsec_token=TBhNPC94_6xvOzlNirloUV2M4qfm90TUkKTT9QoTFS6HU=&amp;xsec_source=pc_trdark")</f>
        <v>0.0</v>
      </c>
      <c r="D334" t="inlineStr">
        <is>
          <t>鲜水湾</t>
        </is>
      </c>
      <c r="E334" t="inlineStr">
        <is>
          <t>49316638994</t>
        </is>
      </c>
      <c r="F334" t="inlineStr">
        <is>
          <t>2026-07-20 15:06:33</t>
        </is>
      </c>
      <c r="G334" t="inlineStr">
        <is>
          <t>图文</t>
        </is>
      </c>
      <c r="H334" t="inlineStr">
        <is>
          <t>手剥虾仁 无冰衣无添加 低脂餐一人食 上班带饭 顺丰包邮 5盒装</t>
        </is>
      </c>
      <c r="I334" t="inlineStr">
        <is>
          <t>694baba01d450d00013662f0</t>
        </is>
      </c>
      <c r="J334" t="inlineStr">
        <is>
          <t/>
        </is>
      </c>
      <c r="K334" t="n">
        <v>0.0</v>
      </c>
      <c r="L334" t="n">
        <v>0.0</v>
      </c>
      <c r="M334" t="n">
        <v>2.0</v>
      </c>
      <c r="N334" t="n">
        <v>0.2</v>
      </c>
      <c r="O334" t="n">
        <v>2.0</v>
      </c>
      <c r="P334" t="n">
        <v>0.0</v>
      </c>
      <c r="Q334" t="n">
        <v>0.0</v>
      </c>
      <c r="R334" t="n">
        <v>0.0</v>
      </c>
      <c r="S334" t="n">
        <v>0.0</v>
      </c>
      <c r="T334" t="n">
        <v>0.0</v>
      </c>
      <c r="U334" t="n">
        <v>0.0</v>
      </c>
      <c r="V334" t="n">
        <v>0.0</v>
      </c>
      <c r="W334" t="inlineStr">
        <is>
          <t/>
        </is>
      </c>
      <c r="X334" t="n">
        <v>0.0</v>
      </c>
      <c r="Y334" t="n">
        <v>0.0</v>
      </c>
      <c r="Z334" t="n">
        <v>0.0</v>
      </c>
      <c r="AA334" t="n">
        <v>0.0</v>
      </c>
      <c r="AB334" t="n">
        <v>0.0</v>
      </c>
      <c r="AC334" t="n">
        <v>0.0</v>
      </c>
      <c r="AD334" t="n">
        <v>10.0</v>
      </c>
      <c r="AE334" t="n">
        <v>0.0</v>
      </c>
      <c r="AF334" t="n">
        <v>0.0</v>
      </c>
      <c r="AG334" t="n">
        <v>0.0</v>
      </c>
      <c r="AH334" t="n">
        <v>0.0</v>
      </c>
      <c r="AI334" t="n">
        <v>0.0</v>
      </c>
      <c r="AJ334" t="n">
        <v>0.0</v>
      </c>
      <c r="AK334" t="n">
        <v>27.4</v>
      </c>
      <c r="AL334" t="inlineStr">
        <is>
          <t/>
        </is>
      </c>
    </row>
    <row r="335">
      <c r="A335" t="inlineStr">
        <is>
          <t>和老爸商量好，推出减脂人一周高蛋白💪</t>
        </is>
      </c>
      <c r="B335" t="inlineStr">
        <is>
          <t>6a5735b00000000007025621</t>
        </is>
      </c>
      <c r="C335" s="334" t="n">
        <f>HYPERLINK("https://www.xiaohongshu.com/explore/6a5735b00000000007025621?xsec_token=TB3zADzSb113WZKv-nEzvX6dkq0bSyM7K4OPTQfRHo_so=&amp;xsec_source=pc_trdark","https://www.xiaohongshu.com/explore/6a5735b00000000007025621?xsec_token=TB3zADzSb113WZKv-nEzvX6dkq0bSyM7K4OPTQfRHo_so=&amp;xsec_source=pc_trdark")</f>
        <v>0.0</v>
      </c>
      <c r="D335" t="inlineStr">
        <is>
          <t>鲜水湾</t>
        </is>
      </c>
      <c r="E335" t="inlineStr">
        <is>
          <t>49316638994</t>
        </is>
      </c>
      <c r="F335" t="inlineStr">
        <is>
          <t>2026-07-15 15:24:32</t>
        </is>
      </c>
      <c r="G335" t="inlineStr">
        <is>
          <t>图文</t>
        </is>
      </c>
      <c r="H335" t="inlineStr">
        <is>
          <t>手剥虾仁 无冰衣无添加 低脂餐一人食 上班带饭 顺丰包邮 5盒装</t>
        </is>
      </c>
      <c r="I335" t="inlineStr">
        <is>
          <t>694baba01d450d00013662f0</t>
        </is>
      </c>
      <c r="J335" t="inlineStr">
        <is>
          <t/>
        </is>
      </c>
      <c r="K335" t="n">
        <v>0.0</v>
      </c>
      <c r="L335" t="n">
        <v>0.0</v>
      </c>
      <c r="M335" t="n">
        <v>0.0</v>
      </c>
      <c r="N335" t="n">
        <v>0.0</v>
      </c>
      <c r="O335" t="n">
        <v>0.0</v>
      </c>
      <c r="P335" t="n">
        <v>0.0</v>
      </c>
      <c r="Q335" t="inlineStr">
        <is>
          <t/>
        </is>
      </c>
      <c r="R335" t="inlineStr">
        <is>
          <t/>
        </is>
      </c>
      <c r="S335" t="n">
        <v>0.0</v>
      </c>
      <c r="T335" t="n">
        <v>0.0</v>
      </c>
      <c r="U335" t="n">
        <v>0.0</v>
      </c>
      <c r="V335" t="n">
        <v>0.0</v>
      </c>
      <c r="W335" t="inlineStr">
        <is>
          <t/>
        </is>
      </c>
      <c r="X335" t="n">
        <v>0.0</v>
      </c>
      <c r="Y335" t="n">
        <v>0.0</v>
      </c>
      <c r="Z335" t="n">
        <v>0.0</v>
      </c>
      <c r="AA335" t="n">
        <v>0.0</v>
      </c>
      <c r="AB335" t="n">
        <v>0.0</v>
      </c>
      <c r="AC335" t="n">
        <v>0.0</v>
      </c>
      <c r="AD335" t="n">
        <v>10.0</v>
      </c>
      <c r="AE335" t="n">
        <v>0.0</v>
      </c>
      <c r="AF335" t="n">
        <v>0.0</v>
      </c>
      <c r="AG335" t="n">
        <v>0.0</v>
      </c>
      <c r="AH335" t="n">
        <v>0.0</v>
      </c>
      <c r="AI335" t="n">
        <v>0.0</v>
      </c>
      <c r="AJ335" t="n">
        <v>0.0</v>
      </c>
      <c r="AK335" t="n">
        <v>7.5</v>
      </c>
      <c r="AL335" t="inlineStr">
        <is>
          <t/>
        </is>
      </c>
    </row>
    <row r="336">
      <c r="A336" t="inlineStr">
        <is>
          <t>家里的冰箱都被这些三文鱼塞满了！</t>
        </is>
      </c>
      <c r="B336" t="inlineStr">
        <is>
          <t>6a55e71a000000000702728a</t>
        </is>
      </c>
      <c r="C336" s="335" t="n">
        <f>HYPERLINK("https://www.xiaohongshu.com/explore/6a55e71a000000000702728a?xsec_token=TBtjT0D3LpwTfPk27zCmXZxU230CLP8d_nuDwVZt89AG0=&amp;xsec_source=pc_trdark","https://www.xiaohongshu.com/explore/6a55e71a000000000702728a?xsec_token=TBtjT0D3LpwTfPk27zCmXZxU230CLP8d_nuDwVZt89AG0=&amp;xsec_source=pc_trdark")</f>
        <v>0.0</v>
      </c>
      <c r="D336" t="inlineStr">
        <is>
          <t>鲜水湾</t>
        </is>
      </c>
      <c r="E336" t="inlineStr">
        <is>
          <t>49316638994</t>
        </is>
      </c>
      <c r="F336" t="inlineStr">
        <is>
          <t>2026-07-14 15:36:58</t>
        </is>
      </c>
      <c r="G336" t="inlineStr">
        <is>
          <t>图文</t>
        </is>
      </c>
      <c r="H336" t="inlineStr">
        <is>
          <t>智利尾端中段整条三文鱼 8斤深海鱼低脂餐囤货一周备菜顺丰包邮</t>
        </is>
      </c>
      <c r="I336" t="inlineStr">
        <is>
          <t>69fab80d64eb410001ece0c0</t>
        </is>
      </c>
      <c r="J336" t="inlineStr">
        <is>
          <t/>
        </is>
      </c>
      <c r="K336" t="n">
        <v>0.0</v>
      </c>
      <c r="L336" t="n">
        <v>0.0</v>
      </c>
      <c r="M336" t="n">
        <v>0.0</v>
      </c>
      <c r="N336" t="n">
        <v>0.0</v>
      </c>
      <c r="O336" t="n">
        <v>0.0</v>
      </c>
      <c r="P336" t="n">
        <v>0.0</v>
      </c>
      <c r="Q336" t="inlineStr">
        <is>
          <t/>
        </is>
      </c>
      <c r="R336" t="inlineStr">
        <is>
          <t/>
        </is>
      </c>
      <c r="S336" t="n">
        <v>0.0</v>
      </c>
      <c r="T336" t="n">
        <v>0.0</v>
      </c>
      <c r="U336" t="n">
        <v>0.0</v>
      </c>
      <c r="V336" t="n">
        <v>0.0</v>
      </c>
      <c r="W336" t="inlineStr">
        <is>
          <t/>
        </is>
      </c>
      <c r="X336" t="n">
        <v>0.0</v>
      </c>
      <c r="Y336" t="n">
        <v>0.0</v>
      </c>
      <c r="Z336" t="n">
        <v>0.0</v>
      </c>
      <c r="AA336" t="n">
        <v>0.0</v>
      </c>
      <c r="AB336" t="n">
        <v>0.0</v>
      </c>
      <c r="AC336" t="n">
        <v>0.0</v>
      </c>
      <c r="AD336" t="n">
        <v>10.0</v>
      </c>
      <c r="AE336" t="n">
        <v>0.0</v>
      </c>
      <c r="AF336" t="n">
        <v>0.0</v>
      </c>
      <c r="AG336" t="n">
        <v>0.0</v>
      </c>
      <c r="AH336" t="n">
        <v>0.0</v>
      </c>
      <c r="AI336" t="n">
        <v>0.0</v>
      </c>
      <c r="AJ336" t="n">
        <v>0.0</v>
      </c>
      <c r="AK336" t="n">
        <v>8.2</v>
      </c>
      <c r="AL336" t="inlineStr">
        <is>
          <t/>
        </is>
      </c>
    </row>
    <row r="337">
      <c r="A337" t="inlineStr">
        <is>
          <t>专为学生党推出的一人食三文鱼</t>
        </is>
      </c>
      <c r="B337" t="inlineStr">
        <is>
          <t>6a4b39640000000006037e5e</t>
        </is>
      </c>
      <c r="C337" s="336" t="n">
        <f>HYPERLINK("https://www.xiaohongshu.com/explore/6a4b39640000000006037e5e?xsec_token=TBbJ-JHK-PBbJgek6K72FYkVa7oSSY-IXvIvr1UC-zKQY=&amp;xsec_source=pc_trdark","https://www.xiaohongshu.com/explore/6a4b39640000000006037e5e?xsec_token=TBbJ-JHK-PBbJgek6K72FYkVa7oSSY-IXvIvr1UC-zKQY=&amp;xsec_source=pc_trdark")</f>
        <v>0.0</v>
      </c>
      <c r="D337" t="inlineStr">
        <is>
          <t>鲜水湾</t>
        </is>
      </c>
      <c r="E337" t="inlineStr">
        <is>
          <t>49316638994</t>
        </is>
      </c>
      <c r="F337" t="inlineStr">
        <is>
          <t>2026-07-06 13:13:08</t>
        </is>
      </c>
      <c r="G337" t="inlineStr">
        <is>
          <t>图文</t>
        </is>
      </c>
      <c r="H337" t="inlineStr">
        <is>
          <t>挪威冰鲜三文鱼刺身级食材生鱼片日式火锅食材顺丰包邮</t>
        </is>
      </c>
      <c r="I337" t="inlineStr">
        <is>
          <t>69cced09069e7b000143e726</t>
        </is>
      </c>
      <c r="J337" t="inlineStr">
        <is>
          <t/>
        </is>
      </c>
      <c r="K337" t="n">
        <v>0.0</v>
      </c>
      <c r="L337" t="n">
        <v>0.0</v>
      </c>
      <c r="M337" t="n">
        <v>4.0</v>
      </c>
      <c r="N337" t="n">
        <v>0.4</v>
      </c>
      <c r="O337" t="n">
        <v>3.0</v>
      </c>
      <c r="P337" t="n">
        <v>0.0</v>
      </c>
      <c r="Q337" t="n">
        <v>0.0</v>
      </c>
      <c r="R337" t="n">
        <v>0.0</v>
      </c>
      <c r="S337" t="n">
        <v>0.0</v>
      </c>
      <c r="T337" t="n">
        <v>0.0</v>
      </c>
      <c r="U337" t="n">
        <v>0.0</v>
      </c>
      <c r="V337" t="n">
        <v>0.0</v>
      </c>
      <c r="W337" t="inlineStr">
        <is>
          <t/>
        </is>
      </c>
      <c r="X337" t="n">
        <v>0.0</v>
      </c>
      <c r="Y337" t="n">
        <v>1.0</v>
      </c>
      <c r="Z337" t="n">
        <v>1.0</v>
      </c>
      <c r="AA337" t="n">
        <v>0.0</v>
      </c>
      <c r="AB337" t="n">
        <v>0.0</v>
      </c>
      <c r="AC337" t="n">
        <v>0.0</v>
      </c>
      <c r="AD337" t="n">
        <v>10.0</v>
      </c>
      <c r="AE337" t="n">
        <v>0.0</v>
      </c>
      <c r="AF337" t="n">
        <v>0.0</v>
      </c>
      <c r="AG337" t="n">
        <v>0.0</v>
      </c>
      <c r="AH337" t="n">
        <v>0.0</v>
      </c>
      <c r="AI337" t="n">
        <v>0.0</v>
      </c>
      <c r="AJ337" t="n">
        <v>0.0</v>
      </c>
      <c r="AK337" t="n">
        <v>7.3</v>
      </c>
      <c r="AL337" t="inlineStr">
        <is>
          <t/>
        </is>
      </c>
    </row>
    <row r="338">
      <c r="A338" t="inlineStr">
        <is>
          <t>我承认，是虾仁让我开始认真吃饭了</t>
        </is>
      </c>
      <c r="B338" t="inlineStr">
        <is>
          <t>6a447c57000000000f01ce05</t>
        </is>
      </c>
      <c r="C338" s="337" t="n">
        <f>HYPERLINK("https://www.xiaohongshu.com/explore/6a447c57000000000f01ce05?xsec_token=TBsNLvvwxdidvAFeSxmUSQxTkXbZEdZ0GzwQ_taigoHbo=&amp;xsec_source=pc_trdark","https://www.xiaohongshu.com/explore/6a447c57000000000f01ce05?xsec_token=TBsNLvvwxdidvAFeSxmUSQxTkXbZEdZ0GzwQ_taigoHbo=&amp;xsec_source=pc_trdark")</f>
        <v>0.0</v>
      </c>
      <c r="D338" t="inlineStr">
        <is>
          <t>鲜水湾甄选</t>
        </is>
      </c>
      <c r="E338" t="inlineStr">
        <is>
          <t>27401929161</t>
        </is>
      </c>
      <c r="F338" t="inlineStr">
        <is>
          <t>2026-07-01 10:32:55</t>
        </is>
      </c>
      <c r="G338" t="inlineStr">
        <is>
          <t>图文</t>
        </is>
      </c>
      <c r="H338" t="inlineStr">
        <is>
          <t>手剥虾仁 无冰衣无添加 低脂餐一人食 上班带饭 顺丰包邮 5盒装</t>
        </is>
      </c>
      <c r="I338" t="inlineStr">
        <is>
          <t>694baba01d450d00013662f0</t>
        </is>
      </c>
      <c r="J338" t="inlineStr">
        <is>
          <t/>
        </is>
      </c>
      <c r="K338" t="n">
        <v>0.0</v>
      </c>
      <c r="L338" t="n">
        <v>0.0</v>
      </c>
      <c r="M338" t="n">
        <v>0.0</v>
      </c>
      <c r="N338" t="n">
        <v>0.0</v>
      </c>
      <c r="O338" t="n">
        <v>0.0</v>
      </c>
      <c r="P338" t="n">
        <v>0.0</v>
      </c>
      <c r="Q338" t="inlineStr">
        <is>
          <t/>
        </is>
      </c>
      <c r="R338" t="inlineStr">
        <is>
          <t/>
        </is>
      </c>
      <c r="S338" t="n">
        <v>0.0</v>
      </c>
      <c r="T338" t="n">
        <v>0.0</v>
      </c>
      <c r="U338" t="n">
        <v>0.0</v>
      </c>
      <c r="V338" t="n">
        <v>0.0</v>
      </c>
      <c r="W338" t="inlineStr">
        <is>
          <t/>
        </is>
      </c>
      <c r="X338" t="n">
        <v>0.0</v>
      </c>
      <c r="Y338" t="n">
        <v>0.0</v>
      </c>
      <c r="Z338" t="n">
        <v>0.0</v>
      </c>
      <c r="AA338" t="n">
        <v>0.0</v>
      </c>
      <c r="AB338" t="n">
        <v>0.0</v>
      </c>
      <c r="AC338" t="n">
        <v>0.0</v>
      </c>
      <c r="AD338" t="n">
        <v>10.0</v>
      </c>
      <c r="AE338" t="n">
        <v>0.0</v>
      </c>
      <c r="AF338" t="n">
        <v>0.0</v>
      </c>
      <c r="AG338" t="n">
        <v>0.0</v>
      </c>
      <c r="AH338" t="n">
        <v>0.0</v>
      </c>
      <c r="AI338" t="n">
        <v>0.0</v>
      </c>
      <c r="AJ338" t="n">
        <v>0.0</v>
      </c>
      <c r="AK338" t="n">
        <v>6.1</v>
      </c>
      <c r="AL338" t="inlineStr">
        <is>
          <t/>
        </is>
      </c>
    </row>
    <row r="339">
      <c r="A339" t="inlineStr">
        <is>
          <t>三文鱼最省的，不是钱</t>
        </is>
      </c>
      <c r="B339" t="inlineStr">
        <is>
          <t>6a41dc53000000002100b3ce</t>
        </is>
      </c>
      <c r="C339" s="338" t="n">
        <f>HYPERLINK("https://www.xiaohongshu.com/explore/6a41dc53000000002100b3ce?xsec_token=TBRNUk5wH66TXTF2VcDeTk6TwZ8L_GaIh4eEtvZPO7bn0=&amp;xsec_source=pc_trdark","https://www.xiaohongshu.com/explore/6a41dc53000000002100b3ce?xsec_token=TBRNUk5wH66TXTF2VcDeTk6TwZ8L_GaIh4eEtvZPO7bn0=&amp;xsec_source=pc_trdark")</f>
        <v>0.0</v>
      </c>
      <c r="D339" t="inlineStr">
        <is>
          <t>鲜水湾</t>
        </is>
      </c>
      <c r="E339" t="inlineStr">
        <is>
          <t>49316638994</t>
        </is>
      </c>
      <c r="F339" t="inlineStr">
        <is>
          <t>2026-06-29 10:45:39</t>
        </is>
      </c>
      <c r="G339" t="inlineStr">
        <is>
          <t>图文</t>
        </is>
      </c>
      <c r="H339" t="inlineStr">
        <is>
          <t>智利三文鱼切块·整条三文鱼·深海鱼一人食健康饮食</t>
        </is>
      </c>
      <c r="I339" t="inlineStr">
        <is>
          <t>691ac562a524ee0001b51d7b</t>
        </is>
      </c>
      <c r="J339" t="inlineStr">
        <is>
          <t/>
        </is>
      </c>
      <c r="K339" t="n">
        <v>0.0</v>
      </c>
      <c r="L339" t="n">
        <v>0.0</v>
      </c>
      <c r="M339" t="n">
        <v>1.0</v>
      </c>
      <c r="N339" t="n">
        <v>0.1</v>
      </c>
      <c r="O339" t="n">
        <v>1.0</v>
      </c>
      <c r="P339" t="n">
        <v>0.0</v>
      </c>
      <c r="Q339" t="n">
        <v>0.0</v>
      </c>
      <c r="R339" t="n">
        <v>0.0</v>
      </c>
      <c r="S339" t="n">
        <v>0.0</v>
      </c>
      <c r="T339" t="n">
        <v>0.0</v>
      </c>
      <c r="U339" t="n">
        <v>0.0</v>
      </c>
      <c r="V339" t="n">
        <v>0.0</v>
      </c>
      <c r="W339" t="inlineStr">
        <is>
          <t/>
        </is>
      </c>
      <c r="X339" t="n">
        <v>0.0</v>
      </c>
      <c r="Y339" t="n">
        <v>0.0</v>
      </c>
      <c r="Z339" t="n">
        <v>1.0</v>
      </c>
      <c r="AA339" t="n">
        <v>0.0</v>
      </c>
      <c r="AB339" t="n">
        <v>0.0</v>
      </c>
      <c r="AC339" t="n">
        <v>0.0</v>
      </c>
      <c r="AD339" t="n">
        <v>10.0</v>
      </c>
      <c r="AE339" t="n">
        <v>0.0</v>
      </c>
      <c r="AF339" t="n">
        <v>0.0</v>
      </c>
      <c r="AG339" t="n">
        <v>0.0</v>
      </c>
      <c r="AH339" t="n">
        <v>0.0</v>
      </c>
      <c r="AI339" t="n">
        <v>0.0</v>
      </c>
      <c r="AJ339" t="n">
        <v>0.0</v>
      </c>
      <c r="AK339" t="n">
        <v>11.4</v>
      </c>
      <c r="AL339" t="inlineStr">
        <is>
          <t/>
        </is>
      </c>
    </row>
    <row r="340">
      <c r="A340" t="inlineStr">
        <is>
          <t>多亏了这虾仁，夏天前的控体KPI提前完成</t>
        </is>
      </c>
      <c r="B340" t="inlineStr">
        <is>
          <t>6a3e40c3000000000f02835b</t>
        </is>
      </c>
      <c r="C340" s="339" t="n">
        <f>HYPERLINK("https://www.xiaohongshu.com/explore/6a3e40c3000000000f02835b?xsec_token=TBr0r0iKecestw8rIiwqZdvvunmfJ_aSUnpoQ19WK1P-U=&amp;xsec_source=pc_trdark","https://www.xiaohongshu.com/explore/6a3e40c3000000000f02835b?xsec_token=TBr0r0iKecestw8rIiwqZdvvunmfJ_aSUnpoQ19WK1P-U=&amp;xsec_source=pc_trdark")</f>
        <v>0.0</v>
      </c>
      <c r="D340" t="inlineStr">
        <is>
          <t>鲜水湾甄选</t>
        </is>
      </c>
      <c r="E340" t="inlineStr">
        <is>
          <t>27401929161</t>
        </is>
      </c>
      <c r="F340" t="inlineStr">
        <is>
          <t>2026-06-26 17:05:07</t>
        </is>
      </c>
      <c r="G340" t="inlineStr">
        <is>
          <t>图文</t>
        </is>
      </c>
      <c r="H340" t="inlineStr">
        <is>
          <t>手剥虾仁 无冰衣无添加 低脂餐一人食 上班带饭 顺丰包邮 5盒装</t>
        </is>
      </c>
      <c r="I340" t="inlineStr">
        <is>
          <t>694baba01d450d00013662f0</t>
        </is>
      </c>
      <c r="J340" t="inlineStr">
        <is>
          <t/>
        </is>
      </c>
      <c r="K340" t="n">
        <v>0.0</v>
      </c>
      <c r="L340" t="n">
        <v>0.0</v>
      </c>
      <c r="M340" t="n">
        <v>0.0</v>
      </c>
      <c r="N340" t="n">
        <v>0.0</v>
      </c>
      <c r="O340" t="n">
        <v>0.0</v>
      </c>
      <c r="P340" t="n">
        <v>0.0</v>
      </c>
      <c r="Q340" t="inlineStr">
        <is>
          <t/>
        </is>
      </c>
      <c r="R340" t="inlineStr">
        <is>
          <t/>
        </is>
      </c>
      <c r="S340" t="n">
        <v>0.0</v>
      </c>
      <c r="T340" t="n">
        <v>0.0</v>
      </c>
      <c r="U340" t="n">
        <v>0.0</v>
      </c>
      <c r="V340" t="n">
        <v>0.0</v>
      </c>
      <c r="W340" t="inlineStr">
        <is>
          <t/>
        </is>
      </c>
      <c r="X340" t="n">
        <v>0.0</v>
      </c>
      <c r="Y340" t="n">
        <v>0.0</v>
      </c>
      <c r="Z340" t="n">
        <v>0.0</v>
      </c>
      <c r="AA340" t="n">
        <v>0.0</v>
      </c>
      <c r="AB340" t="n">
        <v>0.0</v>
      </c>
      <c r="AC340" t="n">
        <v>0.0</v>
      </c>
      <c r="AD340" t="n">
        <v>10.0</v>
      </c>
      <c r="AE340" t="n">
        <v>0.0</v>
      </c>
      <c r="AF340" t="n">
        <v>0.0</v>
      </c>
      <c r="AG340" t="n">
        <v>0.0</v>
      </c>
      <c r="AH340" t="n">
        <v>0.0</v>
      </c>
      <c r="AI340" t="n">
        <v>0.0</v>
      </c>
      <c r="AJ340" t="n">
        <v>0.0</v>
      </c>
      <c r="AK340" t="n">
        <v>3.7</v>
      </c>
      <c r="AL340" t="inlineStr">
        <is>
          <t/>
        </is>
      </c>
    </row>
    <row r="341">
      <c r="A341" t="inlineStr">
        <is>
          <t/>
        </is>
      </c>
      <c r="B341" t="inlineStr">
        <is>
          <t>6a389f1400000000080330e2</t>
        </is>
      </c>
      <c r="C341" s="340" t="n">
        <f>HYPERLINK("https://www.xiaohongshu.com/explore/6a389f1400000000080330e2?xsec_token=TBRyosr1HGPYxVy2p2HWj-e76uoOJ3e5sa_Z-LDtaOKC4=&amp;xsec_source=pc_trdark","https://www.xiaohongshu.com/explore/6a389f1400000000080330e2?xsec_token=TBRyosr1HGPYxVy2p2HWj-e76uoOJ3e5sa_Z-LDtaOKC4=&amp;xsec_source=pc_trdark")</f>
        <v>0.0</v>
      </c>
      <c r="D341" t="inlineStr">
        <is>
          <t>婉婉上班吃什么</t>
        </is>
      </c>
      <c r="E341" t="inlineStr">
        <is>
          <t>11434449706</t>
        </is>
      </c>
      <c r="F341" t="inlineStr">
        <is>
          <t>2026-06-22 10:33:56</t>
        </is>
      </c>
      <c r="G341" t="inlineStr">
        <is>
          <t>图文</t>
        </is>
      </c>
      <c r="H341" t="inlineStr">
        <is>
          <t>手剥虾仁 无冰衣无添加 低脂餐一人食 上班带饭 顺丰包邮 5盒装</t>
        </is>
      </c>
      <c r="I341" t="inlineStr">
        <is>
          <t>694baba01d450d00013662f0</t>
        </is>
      </c>
      <c r="J341" t="inlineStr">
        <is>
          <t/>
        </is>
      </c>
      <c r="K341" t="n">
        <v>0.0</v>
      </c>
      <c r="L341" t="n">
        <v>0.0</v>
      </c>
      <c r="M341" t="n">
        <v>1.0</v>
      </c>
      <c r="N341" t="n">
        <v>0.1</v>
      </c>
      <c r="O341" t="n">
        <v>1.0</v>
      </c>
      <c r="P341" t="n">
        <v>0.0</v>
      </c>
      <c r="Q341" t="n">
        <v>0.0</v>
      </c>
      <c r="R341" t="n">
        <v>0.0</v>
      </c>
      <c r="S341" t="n">
        <v>0.0</v>
      </c>
      <c r="T341" t="n">
        <v>0.0</v>
      </c>
      <c r="U341" t="n">
        <v>0.0</v>
      </c>
      <c r="V341" t="n">
        <v>0.0</v>
      </c>
      <c r="W341" t="inlineStr">
        <is>
          <t/>
        </is>
      </c>
      <c r="X341" t="n">
        <v>0.0</v>
      </c>
      <c r="Y341" t="n">
        <v>0.0</v>
      </c>
      <c r="Z341" t="n">
        <v>0.0</v>
      </c>
      <c r="AA341" t="n">
        <v>0.0</v>
      </c>
      <c r="AB341" t="n">
        <v>0.0</v>
      </c>
      <c r="AC341" t="n">
        <v>0.0</v>
      </c>
      <c r="AD341" t="n">
        <v>10.0</v>
      </c>
      <c r="AE341" t="n">
        <v>0.0</v>
      </c>
      <c r="AF341" t="n">
        <v>0.0</v>
      </c>
      <c r="AG341" t="n">
        <v>0.0</v>
      </c>
      <c r="AH341" t="n">
        <v>0.0</v>
      </c>
      <c r="AI341" t="n">
        <v>0.0</v>
      </c>
      <c r="AJ341" t="n">
        <v>0.0</v>
      </c>
      <c r="AK341" t="n">
        <v>10.4</v>
      </c>
      <c r="AL341" t="inlineStr">
        <is>
          <t/>
        </is>
      </c>
    </row>
    <row r="342">
      <c r="A342" t="inlineStr">
        <is>
          <t>整条8斤三文鱼，限时直降100💰再减30</t>
        </is>
      </c>
      <c r="B342" t="inlineStr">
        <is>
          <t>6a0fba74000000000702ca82</t>
        </is>
      </c>
      <c r="C342" s="341" t="n">
        <f>HYPERLINK("https://www.xiaohongshu.com/explore/6a0fba74000000000702ca82?xsec_token=TBd_B63JN0tjdtncBm9C_ukpg08WJeyQ2egPQT8WHgPwA=&amp;xsec_source=pc_trdark","https://www.xiaohongshu.com/explore/6a0fba74000000000702ca82?xsec_token=TBd_B63JN0tjdtncBm9C_ukpg08WJeyQ2egPQT8WHgPwA=&amp;xsec_source=pc_trdark")</f>
        <v>0.0</v>
      </c>
      <c r="D342" t="inlineStr">
        <is>
          <t>鲜水湾</t>
        </is>
      </c>
      <c r="E342" t="inlineStr">
        <is>
          <t>49316638994</t>
        </is>
      </c>
      <c r="F342" t="inlineStr">
        <is>
          <t>2026-05-22 10:07:48</t>
        </is>
      </c>
      <c r="G342" t="inlineStr">
        <is>
          <t>图文</t>
        </is>
      </c>
      <c r="H342" t="inlineStr">
        <is>
          <t>智利尾端中段整条三文鱼 8斤深海鱼低脂餐囤货一周备菜顺丰包邮</t>
        </is>
      </c>
      <c r="I342" t="inlineStr">
        <is>
          <t>69fab80d64eb410001ece0c0</t>
        </is>
      </c>
      <c r="J342" t="inlineStr">
        <is>
          <t/>
        </is>
      </c>
      <c r="K342" t="n">
        <v>0.0</v>
      </c>
      <c r="L342" t="n">
        <v>0.0</v>
      </c>
      <c r="M342" t="n">
        <v>2.0</v>
      </c>
      <c r="N342" t="n">
        <v>0.2</v>
      </c>
      <c r="O342" t="n">
        <v>2.0</v>
      </c>
      <c r="P342" t="n">
        <v>0.0</v>
      </c>
      <c r="Q342" t="n">
        <v>0.0</v>
      </c>
      <c r="R342" t="n">
        <v>0.0</v>
      </c>
      <c r="S342" t="n">
        <v>0.0</v>
      </c>
      <c r="T342" t="n">
        <v>0.0</v>
      </c>
      <c r="U342" t="n">
        <v>0.0</v>
      </c>
      <c r="V342" t="n">
        <v>0.0</v>
      </c>
      <c r="W342" t="inlineStr">
        <is>
          <t/>
        </is>
      </c>
      <c r="X342" t="n">
        <v>0.0</v>
      </c>
      <c r="Y342" t="n">
        <v>0.0</v>
      </c>
      <c r="Z342" t="n">
        <v>0.0</v>
      </c>
      <c r="AA342" t="n">
        <v>0.0</v>
      </c>
      <c r="AB342" t="n">
        <v>0.0</v>
      </c>
      <c r="AC342" t="n">
        <v>0.0</v>
      </c>
      <c r="AD342" t="n">
        <v>10.0</v>
      </c>
      <c r="AE342" t="n">
        <v>0.0</v>
      </c>
      <c r="AF342" t="n">
        <v>0.0</v>
      </c>
      <c r="AG342" t="n">
        <v>0.0</v>
      </c>
      <c r="AH342" t="n">
        <v>0.0</v>
      </c>
      <c r="AI342" t="n">
        <v>0.0</v>
      </c>
      <c r="AJ342" t="n">
        <v>0.0</v>
      </c>
      <c r="AK342" t="n">
        <v>19.1</v>
      </c>
      <c r="AL342" t="inlineStr">
        <is>
          <t/>
        </is>
      </c>
    </row>
    <row r="343">
      <c r="A343" t="inlineStr">
        <is>
          <t>和老爸商量了，专为早八人推出的减脂小包装</t>
        </is>
      </c>
      <c r="B343" t="inlineStr">
        <is>
          <t>69d5e49b000000001f001982</t>
        </is>
      </c>
      <c r="C343" s="342" t="n">
        <f>HYPERLINK("https://www.xiaohongshu.com/explore/69d5e49b000000001f001982?xsec_token=TB8iwnyw3eAUAW6IHOsxIm-uxRI-fldOD_5uC7Or4em_U=&amp;xsec_source=pc_trdark","https://www.xiaohongshu.com/explore/69d5e49b000000001f001982?xsec_token=TB8iwnyw3eAUAW6IHOsxIm-uxRI-fldOD_5uC7Or4em_U=&amp;xsec_source=pc_trdark")</f>
        <v>0.0</v>
      </c>
      <c r="D343" t="inlineStr">
        <is>
          <t>菲菲上班吃什么</t>
        </is>
      </c>
      <c r="E343" t="inlineStr">
        <is>
          <t>49936530607</t>
        </is>
      </c>
      <c r="F343" t="inlineStr">
        <is>
          <t>2026-04-08 13:16:11</t>
        </is>
      </c>
      <c r="G343" t="inlineStr">
        <is>
          <t>图文</t>
        </is>
      </c>
      <c r="H343" t="inlineStr">
        <is>
          <t>手剥虾仁 无冰衣无添加 低脂餐一人食 上班带饭 顺丰包邮 5盒装</t>
        </is>
      </c>
      <c r="I343" t="inlineStr">
        <is>
          <t>694baba01d450d00013662f0</t>
        </is>
      </c>
      <c r="J343" t="inlineStr">
        <is>
          <t/>
        </is>
      </c>
      <c r="K343" t="n">
        <v>0.0</v>
      </c>
      <c r="L343" t="n">
        <v>0.0</v>
      </c>
      <c r="M343" t="n">
        <v>2.0</v>
      </c>
      <c r="N343" t="n">
        <v>0.2</v>
      </c>
      <c r="O343" t="n">
        <v>2.0</v>
      </c>
      <c r="P343" t="n">
        <v>0.0</v>
      </c>
      <c r="Q343" t="n">
        <v>0.0</v>
      </c>
      <c r="R343" t="n">
        <v>0.0</v>
      </c>
      <c r="S343" t="n">
        <v>0.0</v>
      </c>
      <c r="T343" t="n">
        <v>0.0</v>
      </c>
      <c r="U343" t="n">
        <v>0.0</v>
      </c>
      <c r="V343" t="n">
        <v>0.0</v>
      </c>
      <c r="W343" t="inlineStr">
        <is>
          <t/>
        </is>
      </c>
      <c r="X343" t="n">
        <v>0.0</v>
      </c>
      <c r="Y343" t="n">
        <v>0.0</v>
      </c>
      <c r="Z343" t="n">
        <v>0.0</v>
      </c>
      <c r="AA343" t="n">
        <v>0.0</v>
      </c>
      <c r="AB343" t="n">
        <v>0.0</v>
      </c>
      <c r="AC343" t="n">
        <v>0.0</v>
      </c>
      <c r="AD343" t="n">
        <v>10.0</v>
      </c>
      <c r="AE343" t="n">
        <v>0.0</v>
      </c>
      <c r="AF343" t="n">
        <v>0.0</v>
      </c>
      <c r="AG343" t="n">
        <v>0.0</v>
      </c>
      <c r="AH343" t="n">
        <v>0.0</v>
      </c>
      <c r="AI343" t="n">
        <v>0.0</v>
      </c>
      <c r="AJ343" t="n">
        <v>0.0</v>
      </c>
      <c r="AK343" t="n">
        <v>19.6</v>
      </c>
      <c r="AL343" t="inlineStr">
        <is>
          <t/>
        </is>
      </c>
    </row>
    <row r="344">
      <c r="A344" t="inlineStr">
        <is>
          <t>新手友好🔥外脆里嫩的香煎柠檬三文鱼</t>
        </is>
      </c>
      <c r="B344" t="inlineStr">
        <is>
          <t>69d3196c000000001f000597</t>
        </is>
      </c>
      <c r="C344" s="343" t="n">
        <f>HYPERLINK("https://www.xiaohongshu.com/explore/69d3196c000000001f000597?xsec_token=TBhEDzysvLbwbBD8CIa_-jsWP4H9Jm4hcqkNxBU2BPZlQ=&amp;xsec_source=pc_trdark","https://www.xiaohongshu.com/explore/69d3196c000000001f000597?xsec_token=TBhEDzysvLbwbBD8CIa_-jsWP4H9Jm4hcqkNxBU2BPZlQ=&amp;xsec_source=pc_trdark")</f>
        <v>0.0</v>
      </c>
      <c r="D344" t="inlineStr">
        <is>
          <t>婉婉上班吃什么</t>
        </is>
      </c>
      <c r="E344" t="inlineStr">
        <is>
          <t>11434449706</t>
        </is>
      </c>
      <c r="F344" t="inlineStr">
        <is>
          <t>2026-04-06 10:24:44</t>
        </is>
      </c>
      <c r="G344" t="inlineStr">
        <is>
          <t>图文</t>
        </is>
      </c>
      <c r="H344" t="inlineStr">
        <is>
          <t>智利三文鱼切块·整条三文鱼·深海鱼一人食健康饮食</t>
        </is>
      </c>
      <c r="I344" t="inlineStr">
        <is>
          <t>691ac562a524ee0001b51d7b</t>
        </is>
      </c>
      <c r="J344" t="inlineStr">
        <is>
          <t/>
        </is>
      </c>
      <c r="K344" t="n">
        <v>0.0</v>
      </c>
      <c r="L344" t="n">
        <v>0.0</v>
      </c>
      <c r="M344" t="n">
        <v>0.0</v>
      </c>
      <c r="N344" t="n">
        <v>0.0</v>
      </c>
      <c r="O344" t="n">
        <v>0.0</v>
      </c>
      <c r="P344" t="n">
        <v>0.0</v>
      </c>
      <c r="Q344" t="inlineStr">
        <is>
          <t/>
        </is>
      </c>
      <c r="R344" t="inlineStr">
        <is>
          <t/>
        </is>
      </c>
      <c r="S344" t="n">
        <v>0.0</v>
      </c>
      <c r="T344" t="n">
        <v>0.0</v>
      </c>
      <c r="U344" t="n">
        <v>0.0</v>
      </c>
      <c r="V344" t="n">
        <v>0.0</v>
      </c>
      <c r="W344" t="inlineStr">
        <is>
          <t/>
        </is>
      </c>
      <c r="X344" t="n">
        <v>0.0</v>
      </c>
      <c r="Y344" t="n">
        <v>0.0</v>
      </c>
      <c r="Z344" t="n">
        <v>0.0</v>
      </c>
      <c r="AA344" t="n">
        <v>0.0</v>
      </c>
      <c r="AB344" t="n">
        <v>0.0</v>
      </c>
      <c r="AC344" t="n">
        <v>0.0</v>
      </c>
      <c r="AD344" t="n">
        <v>10.0</v>
      </c>
      <c r="AE344" t="n">
        <v>0.0</v>
      </c>
      <c r="AF344" t="n">
        <v>0.0</v>
      </c>
      <c r="AG344" t="n">
        <v>0.0</v>
      </c>
      <c r="AH344" t="n">
        <v>0.0</v>
      </c>
      <c r="AI344" t="n">
        <v>0.0</v>
      </c>
      <c r="AJ344" t="n">
        <v>0.0</v>
      </c>
      <c r="AK344" t="n">
        <v>9.9</v>
      </c>
      <c r="AL344" t="inlineStr">
        <is>
          <t/>
        </is>
      </c>
    </row>
    <row r="345">
      <c r="A345" t="inlineStr">
        <is>
          <t>晚上只吃虾，掉秤巨稳</t>
        </is>
      </c>
      <c r="B345" t="inlineStr">
        <is>
          <t>69a8f445000000002801d57d</t>
        </is>
      </c>
      <c r="C345" s="344" t="n">
        <f>HYPERLINK("https://www.xiaohongshu.com/explore/69a8f445000000002801d57d?xsec_token=TBoPbpeIhQUL4QR6_LMsKnIRXXf9-BsatbfrxCyb4eMEE=&amp;xsec_source=pc_trdark","https://www.xiaohongshu.com/explore/69a8f445000000002801d57d?xsec_token=TBoPbpeIhQUL4QR6_LMsKnIRXXf9-BsatbfrxCyb4eMEE=&amp;xsec_source=pc_trdark")</f>
        <v>0.0</v>
      </c>
      <c r="D345" t="inlineStr">
        <is>
          <t>鲜水湾</t>
        </is>
      </c>
      <c r="E345" t="inlineStr">
        <is>
          <t>49316638994</t>
        </is>
      </c>
      <c r="F345" t="inlineStr">
        <is>
          <t>2026-03-05 11:11:01</t>
        </is>
      </c>
      <c r="G345" t="inlineStr">
        <is>
          <t>图文</t>
        </is>
      </c>
      <c r="H345" t="inlineStr">
        <is>
          <t>大虾基围虾王牌大虾厄瓜多尔白虾盐冻虾仁海洋大虾送礼顺丰包邮</t>
        </is>
      </c>
      <c r="I345" t="inlineStr">
        <is>
          <t>690aeb7be379430001e686ac</t>
        </is>
      </c>
      <c r="J345" t="inlineStr">
        <is>
          <t/>
        </is>
      </c>
      <c r="K345" t="n">
        <v>0.0</v>
      </c>
      <c r="L345" t="n">
        <v>0.0</v>
      </c>
      <c r="M345" t="n">
        <v>1.0</v>
      </c>
      <c r="N345" t="n">
        <v>0.1</v>
      </c>
      <c r="O345" t="n">
        <v>1.0</v>
      </c>
      <c r="P345" t="n">
        <v>0.0</v>
      </c>
      <c r="Q345" t="n">
        <v>0.0</v>
      </c>
      <c r="R345" t="n">
        <v>0.0</v>
      </c>
      <c r="S345" t="n">
        <v>0.0</v>
      </c>
      <c r="T345" t="n">
        <v>0.0</v>
      </c>
      <c r="U345" t="n">
        <v>0.0</v>
      </c>
      <c r="V345" t="n">
        <v>0.0</v>
      </c>
      <c r="W345" t="inlineStr">
        <is>
          <t/>
        </is>
      </c>
      <c r="X345" t="n">
        <v>0.0</v>
      </c>
      <c r="Y345" t="n">
        <v>1.0</v>
      </c>
      <c r="Z345" t="n">
        <v>0.0</v>
      </c>
      <c r="AA345" t="n">
        <v>0.0</v>
      </c>
      <c r="AB345" t="n">
        <v>0.0</v>
      </c>
      <c r="AC345" t="n">
        <v>0.0</v>
      </c>
      <c r="AD345" t="n">
        <v>10.0</v>
      </c>
      <c r="AE345" t="n">
        <v>0.0</v>
      </c>
      <c r="AF345" t="n">
        <v>0.0</v>
      </c>
      <c r="AG345" t="n">
        <v>0.0</v>
      </c>
      <c r="AH345" t="n">
        <v>0.0</v>
      </c>
      <c r="AI345" t="n">
        <v>0.0</v>
      </c>
      <c r="AJ345" t="n">
        <v>0.0</v>
      </c>
      <c r="AK345" t="n">
        <v>4.6</v>
      </c>
      <c r="AL345" t="inlineStr">
        <is>
          <t/>
        </is>
      </c>
    </row>
    <row r="346">
      <c r="A346" t="inlineStr">
        <is>
          <t>低估60多块的购买力了，不到一块💰一只</t>
        </is>
      </c>
      <c r="B346" t="inlineStr">
        <is>
          <t>69271d5b000000001e030027</t>
        </is>
      </c>
      <c r="C346" s="345" t="n">
        <f>HYPERLINK("https://www.xiaohongshu.com/explore/69271d5b000000001e030027?xsec_token=TBLaSXRlY1LuZckfwFBOoYph40dfB80hCcDYQn9fvVAKU=&amp;xsec_source=pc_trdark","https://www.xiaohongshu.com/explore/69271d5b000000001e030027?xsec_token=TBLaSXRlY1LuZckfwFBOoYph40dfB80hCcDYQn9fvVAKU=&amp;xsec_source=pc_trdark")</f>
        <v>0.0</v>
      </c>
      <c r="D346" t="inlineStr">
        <is>
          <t>鲜水湾</t>
        </is>
      </c>
      <c r="E346" t="inlineStr">
        <is>
          <t>49316638994</t>
        </is>
      </c>
      <c r="F346" t="inlineStr">
        <is>
          <t>2025-11-26 23:31:40</t>
        </is>
      </c>
      <c r="G346" t="inlineStr">
        <is>
          <t>图文</t>
        </is>
      </c>
      <c r="H346" t="inlineStr">
        <is>
          <t>大虾基围虾王牌大虾厄瓜多尔白虾盐冻虾仁海洋大虾送礼顺丰包邮</t>
        </is>
      </c>
      <c r="I346" t="inlineStr">
        <is>
          <t>690aeb7be379430001e686ac</t>
        </is>
      </c>
      <c r="J346" t="inlineStr">
        <is>
          <t/>
        </is>
      </c>
      <c r="K346" t="n">
        <v>0.0</v>
      </c>
      <c r="L346" t="n">
        <v>0.0</v>
      </c>
      <c r="M346" t="n">
        <v>1.0</v>
      </c>
      <c r="N346" t="n">
        <v>0.1</v>
      </c>
      <c r="O346" t="n">
        <v>1.0</v>
      </c>
      <c r="P346" t="n">
        <v>0.0</v>
      </c>
      <c r="Q346" t="n">
        <v>0.0</v>
      </c>
      <c r="R346" t="n">
        <v>0.0</v>
      </c>
      <c r="S346" t="n">
        <v>0.0</v>
      </c>
      <c r="T346" t="n">
        <v>0.0</v>
      </c>
      <c r="U346" t="n">
        <v>0.0</v>
      </c>
      <c r="V346" t="n">
        <v>0.0</v>
      </c>
      <c r="W346" t="inlineStr">
        <is>
          <t/>
        </is>
      </c>
      <c r="X346" t="n">
        <v>0.0</v>
      </c>
      <c r="Y346" t="n">
        <v>0.0</v>
      </c>
      <c r="Z346" t="n">
        <v>0.0</v>
      </c>
      <c r="AA346" t="n">
        <v>0.0</v>
      </c>
      <c r="AB346" t="n">
        <v>0.0</v>
      </c>
      <c r="AC346" t="n">
        <v>0.0</v>
      </c>
      <c r="AD346" t="n">
        <v>10.0</v>
      </c>
      <c r="AE346" t="n">
        <v>0.0</v>
      </c>
      <c r="AF346" t="n">
        <v>0.0</v>
      </c>
      <c r="AG346" t="n">
        <v>0.0</v>
      </c>
      <c r="AH346" t="n">
        <v>0.0</v>
      </c>
      <c r="AI346" t="n">
        <v>0.0</v>
      </c>
      <c r="AJ346" t="n">
        <v>0.0</v>
      </c>
      <c r="AK346" t="n">
        <v>7.7</v>
      </c>
      <c r="AL346" t="inlineStr">
        <is>
          <t/>
        </is>
      </c>
    </row>
    <row r="347">
      <c r="A347" t="inlineStr">
        <is>
          <t>54.9r 两大盒，同行都问我挣钱吗？</t>
        </is>
      </c>
      <c r="B347" t="inlineStr">
        <is>
          <t>6a7e7e040000000033037a9e</t>
        </is>
      </c>
      <c r="C347" s="346" t="n">
        <f>HYPERLINK("https://www.xiaohongshu.com/explore/6a7e7e040000000033037a9e?xsec_token=TBBnEEkj2VNmS0LsHYWGGzgxsgUz0BLfYfPOgkK4nGKe8=&amp;xsec_source=pc_trdark","https://www.xiaohongshu.com/explore/6a7e7e040000000033037a9e?xsec_token=TBBnEEkj2VNmS0LsHYWGGzgxsgUz0BLfYfPOgkK4nGKe8=&amp;xsec_source=pc_trdark")</f>
        <v>0.0</v>
      </c>
      <c r="D347" t="inlineStr">
        <is>
          <t>菲菲上班吃什么</t>
        </is>
      </c>
      <c r="E347" t="inlineStr">
        <is>
          <t>49936530607</t>
        </is>
      </c>
      <c r="F347" t="inlineStr">
        <is>
          <t>2026-08-14 10:31:32</t>
        </is>
      </c>
      <c r="G347" t="inlineStr">
        <is>
          <t>视频</t>
        </is>
      </c>
      <c r="H347" t="inlineStr">
        <is>
          <t>寿司甜虾北极甜虾可生食日料一人食</t>
        </is>
      </c>
      <c r="I347" t="inlineStr">
        <is>
          <t>6a797fd30020da0001732e75</t>
        </is>
      </c>
      <c r="J347" t="n">
        <v>17.0</v>
      </c>
      <c r="K347" t="n">
        <v>0.0</v>
      </c>
      <c r="L347" t="n">
        <v>0.0</v>
      </c>
      <c r="M347" t="n">
        <v>2.0</v>
      </c>
      <c r="N347" t="n">
        <v>0.2222222222222222</v>
      </c>
      <c r="O347" t="n">
        <v>1.0</v>
      </c>
      <c r="P347" t="n">
        <v>0.0</v>
      </c>
      <c r="Q347" t="n">
        <v>0.0</v>
      </c>
      <c r="R347" t="n">
        <v>0.0</v>
      </c>
      <c r="S347" t="n">
        <v>0.0</v>
      </c>
      <c r="T347" t="n">
        <v>0.0</v>
      </c>
      <c r="U347" t="n">
        <v>0.0</v>
      </c>
      <c r="V347" t="n">
        <v>0.0</v>
      </c>
      <c r="W347" t="inlineStr">
        <is>
          <t/>
        </is>
      </c>
      <c r="X347" t="n">
        <v>0.0</v>
      </c>
      <c r="Y347" t="n">
        <v>0.0</v>
      </c>
      <c r="Z347" t="n">
        <v>0.0</v>
      </c>
      <c r="AA347" t="n">
        <v>0.0</v>
      </c>
      <c r="AB347" t="n">
        <v>0.0</v>
      </c>
      <c r="AC347" t="n">
        <v>0.0</v>
      </c>
      <c r="AD347" t="n">
        <v>9.0</v>
      </c>
      <c r="AE347" t="n">
        <v>0.0</v>
      </c>
      <c r="AF347" t="n">
        <v>0.0</v>
      </c>
      <c r="AG347" t="n">
        <v>0.0</v>
      </c>
      <c r="AH347" t="n">
        <v>1.0</v>
      </c>
      <c r="AI347" t="n">
        <v>0.0</v>
      </c>
      <c r="AJ347" t="n">
        <v>0.0</v>
      </c>
      <c r="AK347" t="n">
        <v>5.888888888888889</v>
      </c>
      <c r="AL347" t="n">
        <v>0.1111111111111111</v>
      </c>
    </row>
    <row r="348">
      <c r="A348" t="inlineStr">
        <is>
          <t>100块解决打工人半个月的轻食餐！</t>
        </is>
      </c>
      <c r="B348" t="inlineStr">
        <is>
          <t>6a6ee788000000002c0070d5</t>
        </is>
      </c>
      <c r="C348" s="347" t="n">
        <f>HYPERLINK("https://www.xiaohongshu.com/explore/6a6ee788000000002c0070d5?xsec_token=TBtNkliAah_1QzUOs2HAMynHKZ-1y_zw4T2xVkk46bKj0=&amp;xsec_source=pc_trdark","https://www.xiaohongshu.com/explore/6a6ee788000000002c0070d5?xsec_token=TBtNkliAah_1QzUOs2HAMynHKZ-1y_zw4T2xVkk46bKj0=&amp;xsec_source=pc_trdark")</f>
        <v>0.0</v>
      </c>
      <c r="D348" t="inlineStr">
        <is>
          <t>鲜水湾甄选</t>
        </is>
      </c>
      <c r="E348" t="inlineStr">
        <is>
          <t>27401929161</t>
        </is>
      </c>
      <c r="F348" t="inlineStr">
        <is>
          <t>2026-08-02 14:45:28</t>
        </is>
      </c>
      <c r="G348" t="inlineStr">
        <is>
          <t>图文</t>
        </is>
      </c>
      <c r="H348" t="inlineStr">
        <is>
          <t>手剥虾仁 无冰衣无添加 低脂餐一人食 上班带饭 顺丰包邮 5盒装</t>
        </is>
      </c>
      <c r="I348" t="inlineStr">
        <is>
          <t>694baba01d450d00013662f0</t>
        </is>
      </c>
      <c r="J348" t="inlineStr">
        <is>
          <t/>
        </is>
      </c>
      <c r="K348" t="n">
        <v>0.0</v>
      </c>
      <c r="L348" t="n">
        <v>0.0</v>
      </c>
      <c r="M348" t="n">
        <v>0.0</v>
      </c>
      <c r="N348" t="n">
        <v>0.0</v>
      </c>
      <c r="O348" t="n">
        <v>0.0</v>
      </c>
      <c r="P348" t="n">
        <v>0.0</v>
      </c>
      <c r="Q348" t="inlineStr">
        <is>
          <t/>
        </is>
      </c>
      <c r="R348" t="inlineStr">
        <is>
          <t/>
        </is>
      </c>
      <c r="S348" t="n">
        <v>0.0</v>
      </c>
      <c r="T348" t="n">
        <v>0.0</v>
      </c>
      <c r="U348" t="n">
        <v>0.0</v>
      </c>
      <c r="V348" t="n">
        <v>0.0</v>
      </c>
      <c r="W348" t="inlineStr">
        <is>
          <t/>
        </is>
      </c>
      <c r="X348" t="n">
        <v>0.0</v>
      </c>
      <c r="Y348" t="n">
        <v>0.0</v>
      </c>
      <c r="Z348" t="n">
        <v>0.0</v>
      </c>
      <c r="AA348" t="n">
        <v>0.0</v>
      </c>
      <c r="AB348" t="n">
        <v>0.0</v>
      </c>
      <c r="AC348" t="n">
        <v>0.0</v>
      </c>
      <c r="AD348" t="n">
        <v>9.0</v>
      </c>
      <c r="AE348" t="n">
        <v>0.0</v>
      </c>
      <c r="AF348" t="n">
        <v>0.0</v>
      </c>
      <c r="AG348" t="n">
        <v>0.0</v>
      </c>
      <c r="AH348" t="n">
        <v>0.0</v>
      </c>
      <c r="AI348" t="n">
        <v>0.0</v>
      </c>
      <c r="AJ348" t="n">
        <v>0.0</v>
      </c>
      <c r="AK348" t="n">
        <v>12.88888888888889</v>
      </c>
      <c r="AL348" t="inlineStr">
        <is>
          <t/>
        </is>
      </c>
    </row>
    <row r="349">
      <c r="A349" t="inlineStr">
        <is>
          <t>我也不想吃啊，可它69够我吃一周了😂</t>
        </is>
      </c>
      <c r="B349" t="inlineStr">
        <is>
          <t>6a684aab00000000110114d0</t>
        </is>
      </c>
      <c r="C349" s="348" t="n">
        <f>HYPERLINK("https://www.xiaohongshu.com/explore/6a684aab00000000110114d0?xsec_token=TBuVqV6OAJJIOGGQlO2UOOSCdzCUh94hGtp_A22X6l2uI=&amp;xsec_source=pc_trdark","https://www.xiaohongshu.com/explore/6a684aab00000000110114d0?xsec_token=TBuVqV6OAJJIOGGQlO2UOOSCdzCUh94hGtp_A22X6l2uI=&amp;xsec_source=pc_trdark")</f>
        <v>0.0</v>
      </c>
      <c r="D349" t="inlineStr">
        <is>
          <t>鲜水湾甄选</t>
        </is>
      </c>
      <c r="E349" t="inlineStr">
        <is>
          <t>27401929161</t>
        </is>
      </c>
      <c r="F349" t="inlineStr">
        <is>
          <t>2026-07-28 14:22:35</t>
        </is>
      </c>
      <c r="G349" t="inlineStr">
        <is>
          <t>图文</t>
        </is>
      </c>
      <c r="H349" t="inlineStr">
        <is>
          <t>手剥虾仁 无冰衣无添加 低脂餐一人食 上班带饭 顺丰包邮 5盒装</t>
        </is>
      </c>
      <c r="I349" t="inlineStr">
        <is>
          <t>694baba01d450d00013662f0</t>
        </is>
      </c>
      <c r="J349" t="inlineStr">
        <is>
          <t/>
        </is>
      </c>
      <c r="K349" t="n">
        <v>0.0</v>
      </c>
      <c r="L349" t="n">
        <v>0.0</v>
      </c>
      <c r="M349" t="n">
        <v>3.0</v>
      </c>
      <c r="N349" t="n">
        <v>0.3333333333333333</v>
      </c>
      <c r="O349" t="n">
        <v>3.0</v>
      </c>
      <c r="P349" t="n">
        <v>0.0</v>
      </c>
      <c r="Q349" t="n">
        <v>0.0</v>
      </c>
      <c r="R349" t="n">
        <v>0.0</v>
      </c>
      <c r="S349" t="n">
        <v>0.0</v>
      </c>
      <c r="T349" t="n">
        <v>0.0</v>
      </c>
      <c r="U349" t="n">
        <v>0.0</v>
      </c>
      <c r="V349" t="n">
        <v>0.0</v>
      </c>
      <c r="W349" t="inlineStr">
        <is>
          <t/>
        </is>
      </c>
      <c r="X349" t="n">
        <v>0.0</v>
      </c>
      <c r="Y349" t="n">
        <v>1.0</v>
      </c>
      <c r="Z349" t="n">
        <v>0.0</v>
      </c>
      <c r="AA349" t="n">
        <v>0.0</v>
      </c>
      <c r="AB349" t="n">
        <v>0.0</v>
      </c>
      <c r="AC349" t="n">
        <v>0.0</v>
      </c>
      <c r="AD349" t="n">
        <v>9.0</v>
      </c>
      <c r="AE349" t="n">
        <v>0.0</v>
      </c>
      <c r="AF349" t="n">
        <v>0.0</v>
      </c>
      <c r="AG349" t="n">
        <v>0.0</v>
      </c>
      <c r="AH349" t="n">
        <v>0.0</v>
      </c>
      <c r="AI349" t="n">
        <v>0.0</v>
      </c>
      <c r="AJ349" t="n">
        <v>0.0</v>
      </c>
      <c r="AK349" t="n">
        <v>6.666666666666667</v>
      </c>
      <c r="AL349" t="inlineStr">
        <is>
          <t/>
        </is>
      </c>
    </row>
    <row r="350">
      <c r="A350" t="inlineStr">
        <is>
          <t>手剥虾仁69管一周？一人食减脂餐</t>
        </is>
      </c>
      <c r="B350" t="inlineStr">
        <is>
          <t>6a6577da000000000f011013</t>
        </is>
      </c>
      <c r="C350" s="349" t="n">
        <f>HYPERLINK("https://www.xiaohongshu.com/explore/6a6577da000000000f011013?xsec_token=TB58XJIgbz5sDQhjTMNqitzGsjre_S6-vU0Ifg4VCYlUc=&amp;xsec_source=pc_trdark","https://www.xiaohongshu.com/explore/6a6577da000000000f011013?xsec_token=TB58XJIgbz5sDQhjTMNqitzGsjre_S6-vU0Ifg4VCYlUc=&amp;xsec_source=pc_trdark")</f>
        <v>0.0</v>
      </c>
      <c r="D350" t="inlineStr">
        <is>
          <t>菲菲上班吃什么</t>
        </is>
      </c>
      <c r="E350" t="inlineStr">
        <is>
          <t>49936530607</t>
        </is>
      </c>
      <c r="F350" t="inlineStr">
        <is>
          <t>2026-07-26 10:58:34</t>
        </is>
      </c>
      <c r="G350" t="inlineStr">
        <is>
          <t>图文</t>
        </is>
      </c>
      <c r="H350" t="inlineStr">
        <is>
          <t>手剥虾仁 无冰衣无添加 低脂餐一人食 上班带饭 顺丰包邮 5盒装</t>
        </is>
      </c>
      <c r="I350" t="inlineStr">
        <is>
          <t>694baba01d450d00013662f0</t>
        </is>
      </c>
      <c r="J350" t="inlineStr">
        <is>
          <t/>
        </is>
      </c>
      <c r="K350" t="n">
        <v>0.0</v>
      </c>
      <c r="L350" t="n">
        <v>0.0</v>
      </c>
      <c r="M350" t="n">
        <v>2.0</v>
      </c>
      <c r="N350" t="n">
        <v>0.2222222222222222</v>
      </c>
      <c r="O350" t="n">
        <v>2.0</v>
      </c>
      <c r="P350" t="n">
        <v>0.0</v>
      </c>
      <c r="Q350" t="n">
        <v>0.0</v>
      </c>
      <c r="R350" t="n">
        <v>0.0</v>
      </c>
      <c r="S350" t="n">
        <v>0.0</v>
      </c>
      <c r="T350" t="n">
        <v>0.0</v>
      </c>
      <c r="U350" t="n">
        <v>0.0</v>
      </c>
      <c r="V350" t="n">
        <v>0.0</v>
      </c>
      <c r="W350" t="inlineStr">
        <is>
          <t/>
        </is>
      </c>
      <c r="X350" t="n">
        <v>0.0</v>
      </c>
      <c r="Y350" t="n">
        <v>0.0</v>
      </c>
      <c r="Z350" t="n">
        <v>0.0</v>
      </c>
      <c r="AA350" t="n">
        <v>0.0</v>
      </c>
      <c r="AB350" t="n">
        <v>0.0</v>
      </c>
      <c r="AC350" t="n">
        <v>0.0</v>
      </c>
      <c r="AD350" t="n">
        <v>9.0</v>
      </c>
      <c r="AE350" t="n">
        <v>0.0</v>
      </c>
      <c r="AF350" t="n">
        <v>0.0</v>
      </c>
      <c r="AG350" t="n">
        <v>0.0</v>
      </c>
      <c r="AH350" t="n">
        <v>0.0</v>
      </c>
      <c r="AI350" t="n">
        <v>0.0</v>
      </c>
      <c r="AJ350" t="n">
        <v>0.0</v>
      </c>
      <c r="AK350" t="n">
        <v>8.333333333333334</v>
      </c>
      <c r="AL350" t="inlineStr">
        <is>
          <t/>
        </is>
      </c>
    </row>
    <row r="351">
      <c r="A351" t="inlineStr">
        <is>
          <t>区区300多，承包了我一个月的减脂餐</t>
        </is>
      </c>
      <c r="B351" t="inlineStr">
        <is>
          <t>6a5f61e100000000100258dd</t>
        </is>
      </c>
      <c r="C351" s="350" t="n">
        <f>HYPERLINK("https://www.xiaohongshu.com/explore/6a5f61e100000000100258dd?xsec_token=TBNiP87dDl0mbMa3fu0C81MWM_X17nRpxrISRSgjtqFTk=&amp;xsec_source=pc_trdark","https://www.xiaohongshu.com/explore/6a5f61e100000000100258dd?xsec_token=TBNiP87dDl0mbMa3fu0C81MWM_X17nRpxrISRSgjtqFTk=&amp;xsec_source=pc_trdark")</f>
        <v>0.0</v>
      </c>
      <c r="D351" t="inlineStr">
        <is>
          <t>鲜水湾</t>
        </is>
      </c>
      <c r="E351" t="inlineStr">
        <is>
          <t>49316638994</t>
        </is>
      </c>
      <c r="F351" t="inlineStr">
        <is>
          <t>2026-07-21 20:11:13</t>
        </is>
      </c>
      <c r="G351" t="inlineStr">
        <is>
          <t>图文</t>
        </is>
      </c>
      <c r="H351" t="inlineStr">
        <is>
          <t>智利三文鱼切块·整条三文鱼·深海鱼一人食健康饮食</t>
        </is>
      </c>
      <c r="I351" t="inlineStr">
        <is>
          <t>691ac562a524ee0001b51d7b</t>
        </is>
      </c>
      <c r="J351" t="inlineStr">
        <is>
          <t/>
        </is>
      </c>
      <c r="K351" t="n">
        <v>0.0</v>
      </c>
      <c r="L351" t="n">
        <v>0.0</v>
      </c>
      <c r="M351" t="n">
        <v>1.0</v>
      </c>
      <c r="N351" t="n">
        <v>0.1111111111111111</v>
      </c>
      <c r="O351" t="n">
        <v>1.0</v>
      </c>
      <c r="P351" t="n">
        <v>0.0</v>
      </c>
      <c r="Q351" t="n">
        <v>0.0</v>
      </c>
      <c r="R351" t="n">
        <v>0.0</v>
      </c>
      <c r="S351" t="n">
        <v>0.0</v>
      </c>
      <c r="T351" t="n">
        <v>0.0</v>
      </c>
      <c r="U351" t="n">
        <v>0.0</v>
      </c>
      <c r="V351" t="n">
        <v>0.0</v>
      </c>
      <c r="W351" t="inlineStr">
        <is>
          <t/>
        </is>
      </c>
      <c r="X351" t="n">
        <v>0.0</v>
      </c>
      <c r="Y351" t="n">
        <v>0.0</v>
      </c>
      <c r="Z351" t="n">
        <v>0.0</v>
      </c>
      <c r="AA351" t="n">
        <v>0.0</v>
      </c>
      <c r="AB351" t="n">
        <v>0.0</v>
      </c>
      <c r="AC351" t="n">
        <v>0.0</v>
      </c>
      <c r="AD351" t="n">
        <v>9.0</v>
      </c>
      <c r="AE351" t="n">
        <v>0.0</v>
      </c>
      <c r="AF351" t="n">
        <v>0.0</v>
      </c>
      <c r="AG351" t="n">
        <v>0.0</v>
      </c>
      <c r="AH351" t="n">
        <v>0.0</v>
      </c>
      <c r="AI351" t="n">
        <v>0.0</v>
      </c>
      <c r="AJ351" t="n">
        <v>0.0</v>
      </c>
      <c r="AK351" t="n">
        <v>17.88888888888889</v>
      </c>
      <c r="AL351" t="inlineStr">
        <is>
          <t/>
        </is>
      </c>
    </row>
    <row r="352">
      <c r="A352" t="inlineStr">
        <is>
          <t>被同事追问最多的，居然是我的午饭！！！</t>
        </is>
      </c>
      <c r="B352" t="inlineStr">
        <is>
          <t>6a4e038d000000000f01fe94</t>
        </is>
      </c>
      <c r="C352" s="351" t="n">
        <f>HYPERLINK("https://www.xiaohongshu.com/explore/6a4e038d000000000f01fe94?xsec_token=TByg8Q0foMV6ZY6QKX3S5GBYNEcAvK1cH3gXrtH5YCdWY=&amp;xsec_source=pc_trdark","https://www.xiaohongshu.com/explore/6a4e038d000000000f01fe94?xsec_token=TByg8Q0foMV6ZY6QKX3S5GBYNEcAvK1cH3gXrtH5YCdWY=&amp;xsec_source=pc_trdark")</f>
        <v>0.0</v>
      </c>
      <c r="D352" t="inlineStr">
        <is>
          <t>鲜水湾甄选</t>
        </is>
      </c>
      <c r="E352" t="inlineStr">
        <is>
          <t>27401929161</t>
        </is>
      </c>
      <c r="F352" t="inlineStr">
        <is>
          <t>2026-07-08 16:00:13</t>
        </is>
      </c>
      <c r="G352" t="inlineStr">
        <is>
          <t>图文</t>
        </is>
      </c>
      <c r="H352" t="inlineStr">
        <is>
          <t>手剥虾仁 无冰衣无添加 低脂餐一人食 上班带饭 顺丰包邮 5盒装</t>
        </is>
      </c>
      <c r="I352" t="inlineStr">
        <is>
          <t>694baba01d450d00013662f0</t>
        </is>
      </c>
      <c r="J352" t="inlineStr">
        <is>
          <t/>
        </is>
      </c>
      <c r="K352" t="n">
        <v>0.0</v>
      </c>
      <c r="L352" t="n">
        <v>0.0</v>
      </c>
      <c r="M352" t="n">
        <v>0.0</v>
      </c>
      <c r="N352" t="n">
        <v>0.0</v>
      </c>
      <c r="O352" t="n">
        <v>0.0</v>
      </c>
      <c r="P352" t="n">
        <v>0.0</v>
      </c>
      <c r="Q352" t="inlineStr">
        <is>
          <t/>
        </is>
      </c>
      <c r="R352" t="inlineStr">
        <is>
          <t/>
        </is>
      </c>
      <c r="S352" t="n">
        <v>0.0</v>
      </c>
      <c r="T352" t="n">
        <v>0.0</v>
      </c>
      <c r="U352" t="n">
        <v>0.0</v>
      </c>
      <c r="V352" t="n">
        <v>0.0</v>
      </c>
      <c r="W352" t="inlineStr">
        <is>
          <t/>
        </is>
      </c>
      <c r="X352" t="n">
        <v>0.0</v>
      </c>
      <c r="Y352" t="n">
        <v>0.0</v>
      </c>
      <c r="Z352" t="n">
        <v>0.0</v>
      </c>
      <c r="AA352" t="n">
        <v>0.0</v>
      </c>
      <c r="AB352" t="n">
        <v>0.0</v>
      </c>
      <c r="AC352" t="n">
        <v>0.0</v>
      </c>
      <c r="AD352" t="n">
        <v>9.0</v>
      </c>
      <c r="AE352" t="n">
        <v>0.0</v>
      </c>
      <c r="AF352" t="n">
        <v>0.0</v>
      </c>
      <c r="AG352" t="n">
        <v>0.0</v>
      </c>
      <c r="AH352" t="n">
        <v>0.0</v>
      </c>
      <c r="AI352" t="n">
        <v>0.0</v>
      </c>
      <c r="AJ352" t="n">
        <v>0.0</v>
      </c>
      <c r="AK352" t="n">
        <v>5.111111111111111</v>
      </c>
      <c r="AL352" t="inlineStr">
        <is>
          <t/>
        </is>
      </c>
    </row>
    <row r="353">
      <c r="A353" t="inlineStr">
        <is>
          <t>和老爸决定，上架了一人食方便携带的小包装</t>
        </is>
      </c>
      <c r="B353" t="inlineStr">
        <is>
          <t>6a4a459a000000001101632e</t>
        </is>
      </c>
      <c r="C353" s="352" t="n">
        <f>HYPERLINK("https://www.xiaohongshu.com/explore/6a4a459a000000001101632e?xsec_token=TB7YZZ7VJ5Jmt_-44GQgzs25xzfdGUqqcjSpQ6IMQWEwo=&amp;xsec_source=pc_trdark","https://www.xiaohongshu.com/explore/6a4a459a000000001101632e?xsec_token=TB7YZZ7VJ5Jmt_-44GQgzs25xzfdGUqqcjSpQ6IMQWEwo=&amp;xsec_source=pc_trdark")</f>
        <v>0.0</v>
      </c>
      <c r="D353" t="inlineStr">
        <is>
          <t>鲜水湾甄选</t>
        </is>
      </c>
      <c r="E353" t="inlineStr">
        <is>
          <t>27401929161</t>
        </is>
      </c>
      <c r="F353" t="inlineStr">
        <is>
          <t>2026-07-05 19:52:58</t>
        </is>
      </c>
      <c r="G353" t="inlineStr">
        <is>
          <t>图文</t>
        </is>
      </c>
      <c r="H353" t="inlineStr">
        <is>
          <t>手剥虾仁 无冰衣无添加 低脂餐一人食 上班带饭 顺丰包邮 5盒装</t>
        </is>
      </c>
      <c r="I353" t="inlineStr">
        <is>
          <t>694baba01d450d00013662f0</t>
        </is>
      </c>
      <c r="J353" t="inlineStr">
        <is>
          <t/>
        </is>
      </c>
      <c r="K353" t="n">
        <v>0.0</v>
      </c>
      <c r="L353" t="n">
        <v>0.0</v>
      </c>
      <c r="M353" t="n">
        <v>2.0</v>
      </c>
      <c r="N353" t="n">
        <v>0.2222222222222222</v>
      </c>
      <c r="O353" t="n">
        <v>2.0</v>
      </c>
      <c r="P353" t="n">
        <v>0.0</v>
      </c>
      <c r="Q353" t="n">
        <v>0.0</v>
      </c>
      <c r="R353" t="n">
        <v>0.0</v>
      </c>
      <c r="S353" t="n">
        <v>0.0</v>
      </c>
      <c r="T353" t="n">
        <v>0.0</v>
      </c>
      <c r="U353" t="n">
        <v>0.0</v>
      </c>
      <c r="V353" t="n">
        <v>0.0</v>
      </c>
      <c r="W353" t="inlineStr">
        <is>
          <t/>
        </is>
      </c>
      <c r="X353" t="n">
        <v>0.0</v>
      </c>
      <c r="Y353" t="n">
        <v>0.0</v>
      </c>
      <c r="Z353" t="n">
        <v>0.0</v>
      </c>
      <c r="AA353" t="n">
        <v>0.0</v>
      </c>
      <c r="AB353" t="n">
        <v>0.0</v>
      </c>
      <c r="AC353" t="n">
        <v>0.0</v>
      </c>
      <c r="AD353" t="n">
        <v>9.0</v>
      </c>
      <c r="AE353" t="n">
        <v>0.0</v>
      </c>
      <c r="AF353" t="n">
        <v>0.0</v>
      </c>
      <c r="AG353" t="n">
        <v>0.0</v>
      </c>
      <c r="AH353" t="n">
        <v>0.0</v>
      </c>
      <c r="AI353" t="n">
        <v>0.0</v>
      </c>
      <c r="AJ353" t="n">
        <v>0.0</v>
      </c>
      <c r="AK353" t="n">
        <v>14.11111111111111</v>
      </c>
      <c r="AL353" t="inlineStr">
        <is>
          <t/>
        </is>
      </c>
    </row>
    <row r="354">
      <c r="A354" t="inlineStr">
        <is>
          <t>电子支付，让年轻人低估了300多块的购买力</t>
        </is>
      </c>
      <c r="B354" t="inlineStr">
        <is>
          <t>6a0c2e49000000000803c301</t>
        </is>
      </c>
      <c r="C354" s="353" t="n">
        <f>HYPERLINK("https://www.xiaohongshu.com/explore/6a0c2e49000000000803c301?xsec_token=TBM83lsGB1pVe48oYCuJr8OAwtqx2gd1PmjKOiE6BZkgQ=&amp;xsec_source=pc_trdark","https://www.xiaohongshu.com/explore/6a0c2e49000000000803c301?xsec_token=TBM83lsGB1pVe48oYCuJr8OAwtqx2gd1PmjKOiE6BZkgQ=&amp;xsec_source=pc_trdark")</f>
        <v>0.0</v>
      </c>
      <c r="D354" t="inlineStr">
        <is>
          <t>鲜水湾</t>
        </is>
      </c>
      <c r="E354" t="inlineStr">
        <is>
          <t>49316638994</t>
        </is>
      </c>
      <c r="F354" t="inlineStr">
        <is>
          <t>2026-05-19 17:32:57</t>
        </is>
      </c>
      <c r="G354" t="inlineStr">
        <is>
          <t>图文</t>
        </is>
      </c>
      <c r="H354" t="inlineStr">
        <is>
          <t>智利尾端中段整条三文鱼 8斤深海鱼低脂餐囤货一周备菜顺丰包邮</t>
        </is>
      </c>
      <c r="I354" t="inlineStr">
        <is>
          <t>69fab80d64eb410001ece0c0</t>
        </is>
      </c>
      <c r="J354" t="inlineStr">
        <is>
          <t/>
        </is>
      </c>
      <c r="K354" t="n">
        <v>0.0</v>
      </c>
      <c r="L354" t="n">
        <v>0.0</v>
      </c>
      <c r="M354" t="n">
        <v>2.0</v>
      </c>
      <c r="N354" t="n">
        <v>0.2222222222222222</v>
      </c>
      <c r="O354" t="n">
        <v>2.0</v>
      </c>
      <c r="P354" t="n">
        <v>0.0</v>
      </c>
      <c r="Q354" t="n">
        <v>0.0</v>
      </c>
      <c r="R354" t="n">
        <v>0.0</v>
      </c>
      <c r="S354" t="n">
        <v>0.0</v>
      </c>
      <c r="T354" t="n">
        <v>0.0</v>
      </c>
      <c r="U354" t="n">
        <v>0.0</v>
      </c>
      <c r="V354" t="n">
        <v>0.0</v>
      </c>
      <c r="W354" t="inlineStr">
        <is>
          <t/>
        </is>
      </c>
      <c r="X354" t="n">
        <v>0.0</v>
      </c>
      <c r="Y354" t="n">
        <v>0.0</v>
      </c>
      <c r="Z354" t="n">
        <v>2.0</v>
      </c>
      <c r="AA354" t="n">
        <v>0.0</v>
      </c>
      <c r="AB354" t="n">
        <v>0.0</v>
      </c>
      <c r="AC354" t="n">
        <v>0.0</v>
      </c>
      <c r="AD354" t="n">
        <v>9.0</v>
      </c>
      <c r="AE354" t="n">
        <v>0.0</v>
      </c>
      <c r="AF354" t="n">
        <v>0.0</v>
      </c>
      <c r="AG354" t="n">
        <v>0.0</v>
      </c>
      <c r="AH354" t="n">
        <v>0.0</v>
      </c>
      <c r="AI354" t="n">
        <v>0.0</v>
      </c>
      <c r="AJ354" t="n">
        <v>0.0</v>
      </c>
      <c r="AK354" t="n">
        <v>8.555555555555555</v>
      </c>
      <c r="AL354" t="inlineStr">
        <is>
          <t/>
        </is>
      </c>
    </row>
    <row r="355">
      <c r="A355" t="inlineStr">
        <is>
          <t>100多直接囤够了我一周的管理餐</t>
        </is>
      </c>
      <c r="B355" t="inlineStr">
        <is>
          <t>6a02e0e5000000000702ed78</t>
        </is>
      </c>
      <c r="C355" s="354" t="n">
        <f>HYPERLINK("https://www.xiaohongshu.com/explore/6a02e0e5000000000702ed78?xsec_token=TBPwq-ce0mzGyOoBGbWlmZ4D-I7fHjTAOXNkE1FK6fIAw=&amp;xsec_source=pc_trdark","https://www.xiaohongshu.com/explore/6a02e0e5000000000702ed78?xsec_token=TBPwq-ce0mzGyOoBGbWlmZ4D-I7fHjTAOXNkE1FK6fIAw=&amp;xsec_source=pc_trdark")</f>
        <v>0.0</v>
      </c>
      <c r="D355" t="inlineStr">
        <is>
          <t>鲜水湾</t>
        </is>
      </c>
      <c r="E355" t="inlineStr">
        <is>
          <t>49316638994</t>
        </is>
      </c>
      <c r="F355" t="inlineStr">
        <is>
          <t>2026-05-12 16:12:21</t>
        </is>
      </c>
      <c r="G355" t="inlineStr">
        <is>
          <t>图文</t>
        </is>
      </c>
      <c r="H355" t="inlineStr">
        <is>
          <t>智利尾端中段整条三文鱼 8斤深海鱼低脂餐囤货一周备菜顺丰包邮</t>
        </is>
      </c>
      <c r="I355" t="inlineStr">
        <is>
          <t>69fab80d64eb410001ece0c0</t>
        </is>
      </c>
      <c r="J355" t="inlineStr">
        <is>
          <t/>
        </is>
      </c>
      <c r="K355" t="n">
        <v>0.0</v>
      </c>
      <c r="L355" t="n">
        <v>0.0</v>
      </c>
      <c r="M355" t="n">
        <v>0.0</v>
      </c>
      <c r="N355" t="n">
        <v>0.0</v>
      </c>
      <c r="O355" t="n">
        <v>0.0</v>
      </c>
      <c r="P355" t="n">
        <v>0.0</v>
      </c>
      <c r="Q355" t="inlineStr">
        <is>
          <t/>
        </is>
      </c>
      <c r="R355" t="inlineStr">
        <is>
          <t/>
        </is>
      </c>
      <c r="S355" t="n">
        <v>0.0</v>
      </c>
      <c r="T355" t="n">
        <v>0.0</v>
      </c>
      <c r="U355" t="n">
        <v>0.0</v>
      </c>
      <c r="V355" t="n">
        <v>0.0</v>
      </c>
      <c r="W355" t="inlineStr">
        <is>
          <t/>
        </is>
      </c>
      <c r="X355" t="n">
        <v>0.0</v>
      </c>
      <c r="Y355" t="n">
        <v>0.0</v>
      </c>
      <c r="Z355" t="n">
        <v>0.0</v>
      </c>
      <c r="AA355" t="n">
        <v>0.0</v>
      </c>
      <c r="AB355" t="n">
        <v>0.0</v>
      </c>
      <c r="AC355" t="n">
        <v>0.0</v>
      </c>
      <c r="AD355" t="n">
        <v>9.0</v>
      </c>
      <c r="AE355" t="n">
        <v>0.0</v>
      </c>
      <c r="AF355" t="n">
        <v>0.0</v>
      </c>
      <c r="AG355" t="n">
        <v>0.0</v>
      </c>
      <c r="AH355" t="n">
        <v>0.0</v>
      </c>
      <c r="AI355" t="n">
        <v>0.0</v>
      </c>
      <c r="AJ355" t="n">
        <v>0.0</v>
      </c>
      <c r="AK355" t="n">
        <v>6.222222222222222</v>
      </c>
      <c r="AL355" t="inlineStr">
        <is>
          <t/>
        </is>
      </c>
    </row>
    <row r="356">
      <c r="A356" t="inlineStr">
        <is>
          <t>今年最成功的消费降级！</t>
        </is>
      </c>
      <c r="B356" t="inlineStr">
        <is>
          <t>69f813eb0000000022028acb</t>
        </is>
      </c>
      <c r="C356" s="355" t="n">
        <f>HYPERLINK("https://www.xiaohongshu.com/explore/69f813eb0000000022028acb?xsec_token=TBkBA6XU0_IUqvxj9keWfnfzn0vw_LoonFF3vzCiHIB8E=&amp;xsec_source=pc_trdark","https://www.xiaohongshu.com/explore/69f813eb0000000022028acb?xsec_token=TBkBA6XU0_IUqvxj9keWfnfzn0vw_LoonFF3vzCiHIB8E=&amp;xsec_source=pc_trdark")</f>
        <v>0.0</v>
      </c>
      <c r="D356" t="inlineStr">
        <is>
          <t>菲菲上班吃什么</t>
        </is>
      </c>
      <c r="E356" t="inlineStr">
        <is>
          <t>49936530607</t>
        </is>
      </c>
      <c r="F356" t="inlineStr">
        <is>
          <t>2026-05-04 11:35:07</t>
        </is>
      </c>
      <c r="G356" t="inlineStr">
        <is>
          <t>图文</t>
        </is>
      </c>
      <c r="H356" t="inlineStr">
        <is>
          <t>手剥虾仁 无冰衣无添加 低脂餐一人食 上班带饭 顺丰包邮 5盒装</t>
        </is>
      </c>
      <c r="I356" t="inlineStr">
        <is>
          <t>694baba01d450d00013662f0</t>
        </is>
      </c>
      <c r="J356" t="inlineStr">
        <is>
          <t/>
        </is>
      </c>
      <c r="K356" t="n">
        <v>0.0</v>
      </c>
      <c r="L356" t="n">
        <v>0.0</v>
      </c>
      <c r="M356" t="n">
        <v>0.0</v>
      </c>
      <c r="N356" t="n">
        <v>0.0</v>
      </c>
      <c r="O356" t="n">
        <v>0.0</v>
      </c>
      <c r="P356" t="n">
        <v>0.0</v>
      </c>
      <c r="Q356" t="inlineStr">
        <is>
          <t/>
        </is>
      </c>
      <c r="R356" t="inlineStr">
        <is>
          <t/>
        </is>
      </c>
      <c r="S356" t="n">
        <v>0.0</v>
      </c>
      <c r="T356" t="n">
        <v>0.0</v>
      </c>
      <c r="U356" t="n">
        <v>0.0</v>
      </c>
      <c r="V356" t="n">
        <v>0.0</v>
      </c>
      <c r="W356" t="inlineStr">
        <is>
          <t/>
        </is>
      </c>
      <c r="X356" t="n">
        <v>0.0</v>
      </c>
      <c r="Y356" t="n">
        <v>0.0</v>
      </c>
      <c r="Z356" t="n">
        <v>0.0</v>
      </c>
      <c r="AA356" t="n">
        <v>0.0</v>
      </c>
      <c r="AB356" t="n">
        <v>0.0</v>
      </c>
      <c r="AC356" t="n">
        <v>0.0</v>
      </c>
      <c r="AD356" t="n">
        <v>9.0</v>
      </c>
      <c r="AE356" t="n">
        <v>0.0</v>
      </c>
      <c r="AF356" t="n">
        <v>0.0</v>
      </c>
      <c r="AG356" t="n">
        <v>0.0</v>
      </c>
      <c r="AH356" t="n">
        <v>0.0</v>
      </c>
      <c r="AI356" t="n">
        <v>0.0</v>
      </c>
      <c r="AJ356" t="n">
        <v>0.0</v>
      </c>
      <c r="AK356" t="n">
        <v>24.0</v>
      </c>
      <c r="AL356" t="inlineStr">
        <is>
          <t/>
        </is>
      </c>
    </row>
    <row r="357">
      <c r="A357" t="inlineStr">
        <is>
          <t>给孩子做的三文鱼健康餐</t>
        </is>
      </c>
      <c r="B357" t="inlineStr">
        <is>
          <t>69eb1244000000001b023c12</t>
        </is>
      </c>
      <c r="C357" s="356" t="n">
        <f>HYPERLINK("https://www.xiaohongshu.com/explore/69eb1244000000001b023c12?xsec_token=TBKYxphePGFVFgSUNcsuIbTToUDBbl4PWWQTdviRIvegY=&amp;xsec_source=pc_trdark","https://www.xiaohongshu.com/explore/69eb1244000000001b023c12?xsec_token=TBKYxphePGFVFgSUNcsuIbTToUDBbl4PWWQTdviRIvegY=&amp;xsec_source=pc_trdark")</f>
        <v>0.0</v>
      </c>
      <c r="D357" t="inlineStr">
        <is>
          <t>鲜水湾</t>
        </is>
      </c>
      <c r="E357" t="inlineStr">
        <is>
          <t>49316638994</t>
        </is>
      </c>
      <c r="F357" t="inlineStr">
        <is>
          <t>2026-04-24 14:48:37</t>
        </is>
      </c>
      <c r="G357" t="inlineStr">
        <is>
          <t>图文</t>
        </is>
      </c>
      <c r="H357" t="inlineStr">
        <is>
          <t>智利三文鱼切块·整条三文鱼·深海鱼一人食健康饮食</t>
        </is>
      </c>
      <c r="I357" t="inlineStr">
        <is>
          <t>691ac562a524ee0001b51d7b</t>
        </is>
      </c>
      <c r="J357" t="inlineStr">
        <is>
          <t/>
        </is>
      </c>
      <c r="K357" t="n">
        <v>0.0</v>
      </c>
      <c r="L357" t="n">
        <v>0.0</v>
      </c>
      <c r="M357" t="n">
        <v>0.0</v>
      </c>
      <c r="N357" t="n">
        <v>0.0</v>
      </c>
      <c r="O357" t="n">
        <v>0.0</v>
      </c>
      <c r="P357" t="n">
        <v>0.0</v>
      </c>
      <c r="Q357" t="inlineStr">
        <is>
          <t/>
        </is>
      </c>
      <c r="R357" t="inlineStr">
        <is>
          <t/>
        </is>
      </c>
      <c r="S357" t="n">
        <v>0.0</v>
      </c>
      <c r="T357" t="n">
        <v>0.0</v>
      </c>
      <c r="U357" t="n">
        <v>0.0</v>
      </c>
      <c r="V357" t="n">
        <v>0.0</v>
      </c>
      <c r="W357" t="inlineStr">
        <is>
          <t/>
        </is>
      </c>
      <c r="X357" t="n">
        <v>0.0</v>
      </c>
      <c r="Y357" t="n">
        <v>0.0</v>
      </c>
      <c r="Z357" t="n">
        <v>0.0</v>
      </c>
      <c r="AA357" t="n">
        <v>0.0</v>
      </c>
      <c r="AB357" t="n">
        <v>0.0</v>
      </c>
      <c r="AC357" t="n">
        <v>0.0</v>
      </c>
      <c r="AD357" t="n">
        <v>9.0</v>
      </c>
      <c r="AE357" t="n">
        <v>0.0</v>
      </c>
      <c r="AF357" t="n">
        <v>0.0</v>
      </c>
      <c r="AG357" t="n">
        <v>0.0</v>
      </c>
      <c r="AH357" t="n">
        <v>0.0</v>
      </c>
      <c r="AI357" t="n">
        <v>0.0</v>
      </c>
      <c r="AJ357" t="n">
        <v>0.0</v>
      </c>
      <c r="AK357" t="n">
        <v>15.555555555555555</v>
      </c>
      <c r="AL357" t="inlineStr">
        <is>
          <t/>
        </is>
      </c>
    </row>
    <row r="358">
      <c r="A358" t="inlineStr">
        <is>
          <t>某姆对不起，小份虾真的回不去了😂</t>
        </is>
      </c>
      <c r="B358" t="inlineStr">
        <is>
          <t>69e98e4a000000001f007dd5</t>
        </is>
      </c>
      <c r="C358" s="357" t="n">
        <f>HYPERLINK("https://www.xiaohongshu.com/explore/69e98e4a000000001f007dd5?xsec_token=TBNkLc7pOHvt_5tNJTpGNllPE6IlNcWblEeV8Y5VJmmeY=&amp;xsec_source=pc_trdark","https://www.xiaohongshu.com/explore/69e98e4a000000001f007dd5?xsec_token=TBNkLc7pOHvt_5tNJTpGNllPE6IlNcWblEeV8Y5VJmmeY=&amp;xsec_source=pc_trdark")</f>
        <v>0.0</v>
      </c>
      <c r="D358" t="inlineStr">
        <is>
          <t>菲菲上班吃什么</t>
        </is>
      </c>
      <c r="E358" t="inlineStr">
        <is>
          <t>49936530607</t>
        </is>
      </c>
      <c r="F358" t="inlineStr">
        <is>
          <t>2026-04-24 08:30:00</t>
        </is>
      </c>
      <c r="G358" t="inlineStr">
        <is>
          <t>图文</t>
        </is>
      </c>
      <c r="H358" t="inlineStr">
        <is>
          <t>手剥虾仁 无冰衣无添加 低脂餐一人食 上班带饭 顺丰包邮 5盒装</t>
        </is>
      </c>
      <c r="I358" t="inlineStr">
        <is>
          <t>694baba01d450d00013662f0</t>
        </is>
      </c>
      <c r="J358" t="inlineStr">
        <is>
          <t/>
        </is>
      </c>
      <c r="K358" t="n">
        <v>0.0</v>
      </c>
      <c r="L358" t="n">
        <v>0.0</v>
      </c>
      <c r="M358" t="n">
        <v>1.0</v>
      </c>
      <c r="N358" t="n">
        <v>0.1111111111111111</v>
      </c>
      <c r="O358" t="n">
        <v>1.0</v>
      </c>
      <c r="P358" t="n">
        <v>0.0</v>
      </c>
      <c r="Q358" t="n">
        <v>0.0</v>
      </c>
      <c r="R358" t="n">
        <v>0.0</v>
      </c>
      <c r="S358" t="n">
        <v>0.0</v>
      </c>
      <c r="T358" t="n">
        <v>0.0</v>
      </c>
      <c r="U358" t="n">
        <v>0.0</v>
      </c>
      <c r="V358" t="n">
        <v>0.0</v>
      </c>
      <c r="W358" t="inlineStr">
        <is>
          <t/>
        </is>
      </c>
      <c r="X358" t="n">
        <v>0.0</v>
      </c>
      <c r="Y358" t="n">
        <v>0.0</v>
      </c>
      <c r="Z358" t="n">
        <v>0.0</v>
      </c>
      <c r="AA358" t="n">
        <v>0.0</v>
      </c>
      <c r="AB358" t="n">
        <v>0.0</v>
      </c>
      <c r="AC358" t="n">
        <v>0.0</v>
      </c>
      <c r="AD358" t="n">
        <v>9.0</v>
      </c>
      <c r="AE358" t="n">
        <v>0.0</v>
      </c>
      <c r="AF358" t="n">
        <v>0.0</v>
      </c>
      <c r="AG358" t="n">
        <v>0.0</v>
      </c>
      <c r="AH358" t="n">
        <v>0.0</v>
      </c>
      <c r="AI358" t="n">
        <v>0.0</v>
      </c>
      <c r="AJ358" t="n">
        <v>0.0</v>
      </c>
      <c r="AK358" t="n">
        <v>6.444444444444445</v>
      </c>
      <c r="AL358" t="inlineStr">
        <is>
          <t/>
        </is>
      </c>
    </row>
    <row r="359">
      <c r="A359" t="inlineStr">
        <is>
          <t>山母对不起，还是小包装更有幸福感</t>
        </is>
      </c>
      <c r="B359" t="inlineStr">
        <is>
          <t>69dcd560000000001f0033a9</t>
        </is>
      </c>
      <c r="C359" s="358" t="n">
        <f>HYPERLINK("https://www.xiaohongshu.com/explore/69dcd560000000001f0033a9?xsec_token=TBe8vKhJyviDCWrA3Jp-irCZeftPOw84xEtYxAZdW61pw=&amp;xsec_source=pc_trdark","https://www.xiaohongshu.com/explore/69dcd560000000001f0033a9?xsec_token=TBe8vKhJyviDCWrA3Jp-irCZeftPOw84xEtYxAZdW61pw=&amp;xsec_source=pc_trdark")</f>
        <v>0.0</v>
      </c>
      <c r="D359" t="inlineStr">
        <is>
          <t>婉婉上班吃什么</t>
        </is>
      </c>
      <c r="E359" t="inlineStr">
        <is>
          <t>11434449706</t>
        </is>
      </c>
      <c r="F359" t="inlineStr">
        <is>
          <t>2026-04-13 19:37:04</t>
        </is>
      </c>
      <c r="G359" t="inlineStr">
        <is>
          <t>图文</t>
        </is>
      </c>
      <c r="H359" t="inlineStr">
        <is>
          <t>手剥虾仁 无冰衣无添加 低脂餐一人食 上班带饭 顺丰包邮 5盒装</t>
        </is>
      </c>
      <c r="I359" t="inlineStr">
        <is>
          <t>694baba01d450d00013662f0</t>
        </is>
      </c>
      <c r="J359" t="inlineStr">
        <is>
          <t/>
        </is>
      </c>
      <c r="K359" t="n">
        <v>0.0</v>
      </c>
      <c r="L359" t="n">
        <v>0.0</v>
      </c>
      <c r="M359" t="n">
        <v>0.0</v>
      </c>
      <c r="N359" t="n">
        <v>0.0</v>
      </c>
      <c r="O359" t="n">
        <v>0.0</v>
      </c>
      <c r="P359" t="n">
        <v>0.0</v>
      </c>
      <c r="Q359" t="inlineStr">
        <is>
          <t/>
        </is>
      </c>
      <c r="R359" t="inlineStr">
        <is>
          <t/>
        </is>
      </c>
      <c r="S359" t="n">
        <v>0.0</v>
      </c>
      <c r="T359" t="n">
        <v>0.0</v>
      </c>
      <c r="U359" t="n">
        <v>0.0</v>
      </c>
      <c r="V359" t="n">
        <v>0.0</v>
      </c>
      <c r="W359" t="inlineStr">
        <is>
          <t/>
        </is>
      </c>
      <c r="X359" t="n">
        <v>0.0</v>
      </c>
      <c r="Y359" t="n">
        <v>0.0</v>
      </c>
      <c r="Z359" t="n">
        <v>0.0</v>
      </c>
      <c r="AA359" t="n">
        <v>0.0</v>
      </c>
      <c r="AB359" t="n">
        <v>0.0</v>
      </c>
      <c r="AC359" t="n">
        <v>0.0</v>
      </c>
      <c r="AD359" t="n">
        <v>9.0</v>
      </c>
      <c r="AE359" t="n">
        <v>0.0</v>
      </c>
      <c r="AF359" t="n">
        <v>0.0</v>
      </c>
      <c r="AG359" t="n">
        <v>0.0</v>
      </c>
      <c r="AH359" t="n">
        <v>0.0</v>
      </c>
      <c r="AI359" t="n">
        <v>0.0</v>
      </c>
      <c r="AJ359" t="n">
        <v>0.0</v>
      </c>
      <c r="AK359" t="n">
        <v>7.666666666666667</v>
      </c>
      <c r="AL359" t="inlineStr">
        <is>
          <t/>
        </is>
      </c>
    </row>
    <row r="360">
      <c r="A360" t="inlineStr">
        <is>
          <t>对不起sam，69块承包了我一周减脂餐</t>
        </is>
      </c>
      <c r="B360" t="inlineStr">
        <is>
          <t>69dba51c000000001f0074b2</t>
        </is>
      </c>
      <c r="C360" s="359" t="n">
        <f>HYPERLINK("https://www.xiaohongshu.com/explore/69dba51c000000001f0074b2?xsec_token=TBv7n0Oy0CPbFvgz473v78kTVH9hKx0rJgCAMsrHsgS-Q=&amp;xsec_source=pc_trdark","https://www.xiaohongshu.com/explore/69dba51c000000001f0074b2?xsec_token=TBv7n0Oy0CPbFvgz473v78kTVH9hKx0rJgCAMsrHsgS-Q=&amp;xsec_source=pc_trdark")</f>
        <v>0.0</v>
      </c>
      <c r="D360" t="inlineStr">
        <is>
          <t>菲菲上班吃什么</t>
        </is>
      </c>
      <c r="E360" t="inlineStr">
        <is>
          <t>49936530607</t>
        </is>
      </c>
      <c r="F360" t="inlineStr">
        <is>
          <t>2026-04-12 21:58:52</t>
        </is>
      </c>
      <c r="G360" t="inlineStr">
        <is>
          <t>图文</t>
        </is>
      </c>
      <c r="H360" t="inlineStr">
        <is>
          <t>手剥虾仁 无冰衣无添加 低脂餐一人食 上班带饭 顺丰包邮 5盒装</t>
        </is>
      </c>
      <c r="I360" t="inlineStr">
        <is>
          <t>694baba01d450d00013662f0</t>
        </is>
      </c>
      <c r="J360" t="inlineStr">
        <is>
          <t/>
        </is>
      </c>
      <c r="K360" t="n">
        <v>0.0</v>
      </c>
      <c r="L360" t="n">
        <v>0.0</v>
      </c>
      <c r="M360" t="n">
        <v>1.0</v>
      </c>
      <c r="N360" t="n">
        <v>0.1111111111111111</v>
      </c>
      <c r="O360" t="n">
        <v>1.0</v>
      </c>
      <c r="P360" t="n">
        <v>0.0</v>
      </c>
      <c r="Q360" t="n">
        <v>0.0</v>
      </c>
      <c r="R360" t="n">
        <v>0.0</v>
      </c>
      <c r="S360" t="n">
        <v>0.0</v>
      </c>
      <c r="T360" t="n">
        <v>0.0</v>
      </c>
      <c r="U360" t="n">
        <v>0.0</v>
      </c>
      <c r="V360" t="n">
        <v>0.0</v>
      </c>
      <c r="W360" t="inlineStr">
        <is>
          <t/>
        </is>
      </c>
      <c r="X360" t="n">
        <v>0.0</v>
      </c>
      <c r="Y360" t="n">
        <v>0.0</v>
      </c>
      <c r="Z360" t="n">
        <v>0.0</v>
      </c>
      <c r="AA360" t="n">
        <v>0.0</v>
      </c>
      <c r="AB360" t="n">
        <v>0.0</v>
      </c>
      <c r="AC360" t="n">
        <v>0.0</v>
      </c>
      <c r="AD360" t="n">
        <v>9.0</v>
      </c>
      <c r="AE360" t="n">
        <v>0.0</v>
      </c>
      <c r="AF360" t="n">
        <v>0.0</v>
      </c>
      <c r="AG360" t="n">
        <v>0.0</v>
      </c>
      <c r="AH360" t="n">
        <v>0.0</v>
      </c>
      <c r="AI360" t="n">
        <v>0.0</v>
      </c>
      <c r="AJ360" t="n">
        <v>0.0</v>
      </c>
      <c r="AK360" t="n">
        <v>9.222222222222221</v>
      </c>
      <c r="AL360" t="inlineStr">
        <is>
          <t/>
        </is>
      </c>
    </row>
    <row r="361">
      <c r="A361" t="inlineStr">
        <is>
          <t>三文鱼要好吃，煎鱼基础，鱼搭子就不基础</t>
        </is>
      </c>
      <c r="B361" t="inlineStr">
        <is>
          <t>694396c2000000001e039870</t>
        </is>
      </c>
      <c r="C361" s="360" t="n">
        <f>HYPERLINK("https://www.xiaohongshu.com/explore/694396c2000000001e039870?xsec_token=TB3ISCGERC3xZFl0ewfdTFyM58d86DCe--zZTX8HivPVY=&amp;xsec_source=pc_trdark","https://www.xiaohongshu.com/explore/694396c2000000001e039870?xsec_token=TB3ISCGERC3xZFl0ewfdTFyM58d86DCe--zZTX8HivPVY=&amp;xsec_source=pc_trdark")</f>
        <v>0.0</v>
      </c>
      <c r="D361" t="inlineStr">
        <is>
          <t>鲜水湾</t>
        </is>
      </c>
      <c r="E361" t="inlineStr">
        <is>
          <t>49316638994</t>
        </is>
      </c>
      <c r="F361" t="inlineStr">
        <is>
          <t>2025-12-18 13:53:06</t>
        </is>
      </c>
      <c r="G361" t="inlineStr">
        <is>
          <t>图文</t>
        </is>
      </c>
      <c r="H361" t="inlineStr">
        <is>
          <t>智利三文鱼切块·整条三文鱼·深海鱼一人食健康饮食</t>
        </is>
      </c>
      <c r="I361" t="inlineStr">
        <is>
          <t>691ac562a524ee0001b51d7b</t>
        </is>
      </c>
      <c r="J361" t="inlineStr">
        <is>
          <t/>
        </is>
      </c>
      <c r="K361" t="n">
        <v>0.0</v>
      </c>
      <c r="L361" t="n">
        <v>0.0</v>
      </c>
      <c r="M361" t="n">
        <v>0.0</v>
      </c>
      <c r="N361" t="n">
        <v>0.0</v>
      </c>
      <c r="O361" t="n">
        <v>0.0</v>
      </c>
      <c r="P361" t="n">
        <v>0.0</v>
      </c>
      <c r="Q361" t="inlineStr">
        <is>
          <t/>
        </is>
      </c>
      <c r="R361" t="inlineStr">
        <is>
          <t/>
        </is>
      </c>
      <c r="S361" t="n">
        <v>0.0</v>
      </c>
      <c r="T361" t="n">
        <v>0.0</v>
      </c>
      <c r="U361" t="n">
        <v>0.0</v>
      </c>
      <c r="V361" t="n">
        <v>0.0</v>
      </c>
      <c r="W361" t="inlineStr">
        <is>
          <t/>
        </is>
      </c>
      <c r="X361" t="n">
        <v>0.0</v>
      </c>
      <c r="Y361" t="n">
        <v>0.0</v>
      </c>
      <c r="Z361" t="n">
        <v>1.0</v>
      </c>
      <c r="AA361" t="n">
        <v>0.0</v>
      </c>
      <c r="AB361" t="n">
        <v>0.0</v>
      </c>
      <c r="AC361" t="n">
        <v>0.0</v>
      </c>
      <c r="AD361" t="n">
        <v>9.0</v>
      </c>
      <c r="AE361" t="n">
        <v>0.0</v>
      </c>
      <c r="AF361" t="n">
        <v>0.0</v>
      </c>
      <c r="AG361" t="n">
        <v>0.0</v>
      </c>
      <c r="AH361" t="n">
        <v>0.0</v>
      </c>
      <c r="AI361" t="n">
        <v>0.0</v>
      </c>
      <c r="AJ361" t="n">
        <v>0.0</v>
      </c>
      <c r="AK361" t="n">
        <v>13.777777777777779</v>
      </c>
      <c r="AL361" t="inlineStr">
        <is>
          <t/>
        </is>
      </c>
    </row>
    <row r="362">
      <c r="A362" t="inlineStr">
        <is>
          <t>同事对于我每天吃一盒虾仁，表示很奢侈</t>
        </is>
      </c>
      <c r="B362" t="inlineStr">
        <is>
          <t>6a5de6ed0000000009035ed9</t>
        </is>
      </c>
      <c r="C362" s="361" t="n">
        <f>HYPERLINK("https://www.xiaohongshu.com/explore/6a5de6ed0000000009035ed9?xsec_token=TBhNPC94_6xvOzlNirloUV2MxRS1fCfLIlH_g6JOkEbnM=&amp;xsec_source=pc_trdark","https://www.xiaohongshu.com/explore/6a5de6ed0000000009035ed9?xsec_token=TBhNPC94_6xvOzlNirloUV2MxRS1fCfLIlH_g6JOkEbnM=&amp;xsec_source=pc_trdark")</f>
        <v>0.0</v>
      </c>
      <c r="D362" t="inlineStr">
        <is>
          <t>婉婉上班吃什么</t>
        </is>
      </c>
      <c r="E362" t="inlineStr">
        <is>
          <t>11434449706</t>
        </is>
      </c>
      <c r="F362" t="inlineStr">
        <is>
          <t>2026-07-20 17:14:21</t>
        </is>
      </c>
      <c r="G362" t="inlineStr">
        <is>
          <t>图文</t>
        </is>
      </c>
      <c r="H362" t="inlineStr">
        <is>
          <t>手剥虾仁 无冰衣无添加 低脂餐一人食 上班带饭 顺丰包邮 5盒装</t>
        </is>
      </c>
      <c r="I362" t="inlineStr">
        <is>
          <t>694baba01d450d00013662f0</t>
        </is>
      </c>
      <c r="J362" t="inlineStr">
        <is>
          <t/>
        </is>
      </c>
      <c r="K362" t="n">
        <v>0.0</v>
      </c>
      <c r="L362" t="n">
        <v>0.0</v>
      </c>
      <c r="M362" t="n">
        <v>1.0</v>
      </c>
      <c r="N362" t="n">
        <v>0.125</v>
      </c>
      <c r="O362" t="n">
        <v>1.0</v>
      </c>
      <c r="P362" t="n">
        <v>0.0</v>
      </c>
      <c r="Q362" t="n">
        <v>0.0</v>
      </c>
      <c r="R362" t="n">
        <v>0.0</v>
      </c>
      <c r="S362" t="n">
        <v>0.0</v>
      </c>
      <c r="T362" t="n">
        <v>0.0</v>
      </c>
      <c r="U362" t="n">
        <v>0.0</v>
      </c>
      <c r="V362" t="n">
        <v>0.0</v>
      </c>
      <c r="W362" t="inlineStr">
        <is>
          <t/>
        </is>
      </c>
      <c r="X362" t="n">
        <v>0.0</v>
      </c>
      <c r="Y362" t="n">
        <v>0.0</v>
      </c>
      <c r="Z362" t="n">
        <v>0.0</v>
      </c>
      <c r="AA362" t="n">
        <v>0.0</v>
      </c>
      <c r="AB362" t="n">
        <v>0.0</v>
      </c>
      <c r="AC362" t="n">
        <v>0.0</v>
      </c>
      <c r="AD362" t="n">
        <v>8.0</v>
      </c>
      <c r="AE362" t="n">
        <v>0.0</v>
      </c>
      <c r="AF362" t="n">
        <v>0.0</v>
      </c>
      <c r="AG362" t="n">
        <v>0.0</v>
      </c>
      <c r="AH362" t="n">
        <v>0.0</v>
      </c>
      <c r="AI362" t="n">
        <v>0.0</v>
      </c>
      <c r="AJ362" t="n">
        <v>0.0</v>
      </c>
      <c r="AK362" t="n">
        <v>5.375</v>
      </c>
      <c r="AL362" t="inlineStr">
        <is>
          <t/>
        </is>
      </c>
    </row>
    <row r="363">
      <c r="A363" t="inlineStr">
        <is>
          <t>区区300多，囤够了我一个月的减脂餐</t>
        </is>
      </c>
      <c r="B363" t="inlineStr">
        <is>
          <t>6a599fb600000000090342c3</t>
        </is>
      </c>
      <c r="C363" s="362" t="n">
        <f>HYPERLINK("https://www.xiaohongshu.com/explore/6a599fb600000000090342c3?xsec_token=TBznzFg2a5AgktvQj-m55hPtHX7cYFfR07XnPUgMc-l3Q=&amp;xsec_source=pc_trdark","https://www.xiaohongshu.com/explore/6a599fb600000000090342c3?xsec_token=TBznzFg2a5AgktvQj-m55hPtHX7cYFfR07XnPUgMc-l3Q=&amp;xsec_source=pc_trdark")</f>
        <v>0.0</v>
      </c>
      <c r="D363" t="inlineStr">
        <is>
          <t>鲜水湾</t>
        </is>
      </c>
      <c r="E363" t="inlineStr">
        <is>
          <t>49316638994</t>
        </is>
      </c>
      <c r="F363" t="inlineStr">
        <is>
          <t>2026-07-17 11:21:26</t>
        </is>
      </c>
      <c r="G363" t="inlineStr">
        <is>
          <t>图文</t>
        </is>
      </c>
      <c r="H363" t="inlineStr">
        <is>
          <t>智利三文鱼切块·整条三文鱼·深海鱼一人食健康饮食</t>
        </is>
      </c>
      <c r="I363" t="inlineStr">
        <is>
          <t>691ac562a524ee0001b51d7b</t>
        </is>
      </c>
      <c r="J363" t="inlineStr">
        <is>
          <t/>
        </is>
      </c>
      <c r="K363" t="n">
        <v>0.0</v>
      </c>
      <c r="L363" t="n">
        <v>0.0</v>
      </c>
      <c r="M363" t="n">
        <v>1.0</v>
      </c>
      <c r="N363" t="n">
        <v>0.125</v>
      </c>
      <c r="O363" t="n">
        <v>1.0</v>
      </c>
      <c r="P363" t="n">
        <v>0.0</v>
      </c>
      <c r="Q363" t="n">
        <v>0.0</v>
      </c>
      <c r="R363" t="n">
        <v>0.0</v>
      </c>
      <c r="S363" t="n">
        <v>0.0</v>
      </c>
      <c r="T363" t="n">
        <v>0.0</v>
      </c>
      <c r="U363" t="n">
        <v>0.0</v>
      </c>
      <c r="V363" t="n">
        <v>0.0</v>
      </c>
      <c r="W363" t="inlineStr">
        <is>
          <t/>
        </is>
      </c>
      <c r="X363" t="n">
        <v>0.0</v>
      </c>
      <c r="Y363" t="n">
        <v>0.0</v>
      </c>
      <c r="Z363" t="n">
        <v>0.0</v>
      </c>
      <c r="AA363" t="n">
        <v>0.0</v>
      </c>
      <c r="AB363" t="n">
        <v>0.0</v>
      </c>
      <c r="AC363" t="n">
        <v>0.0</v>
      </c>
      <c r="AD363" t="n">
        <v>8.0</v>
      </c>
      <c r="AE363" t="n">
        <v>0.0</v>
      </c>
      <c r="AF363" t="n">
        <v>0.0</v>
      </c>
      <c r="AG363" t="n">
        <v>0.0</v>
      </c>
      <c r="AH363" t="n">
        <v>0.0</v>
      </c>
      <c r="AI363" t="n">
        <v>0.0</v>
      </c>
      <c r="AJ363" t="n">
        <v>0.0</v>
      </c>
      <c r="AK363" t="n">
        <v>10.25</v>
      </c>
      <c r="AL363" t="inlineStr">
        <is>
          <t/>
        </is>
      </c>
    </row>
    <row r="364">
      <c r="A364" t="inlineStr">
        <is>
          <t>请全国孕麻麻，宝宝放心吃，没打一点药</t>
        </is>
      </c>
      <c r="B364" t="inlineStr">
        <is>
          <t>6a5308190000000021019882</t>
        </is>
      </c>
      <c r="C364" s="363" t="n">
        <f>HYPERLINK("https://www.xiaohongshu.com/explore/6a5308190000000021019882?xsec_token=TBFK5Se19N-rY8UMGPamuX6agbtMiKopnADS8nXjaBumI=&amp;xsec_source=pc_trdark","https://www.xiaohongshu.com/explore/6a5308190000000021019882?xsec_token=TBFK5Se19N-rY8UMGPamuX6agbtMiKopnADS8nXjaBumI=&amp;xsec_source=pc_trdark")</f>
        <v>0.0</v>
      </c>
      <c r="D364" t="inlineStr">
        <is>
          <t>鲜水湾</t>
        </is>
      </c>
      <c r="E364" t="inlineStr">
        <is>
          <t>49316638994</t>
        </is>
      </c>
      <c r="F364" t="inlineStr">
        <is>
          <t>2026-07-12 11:20:57</t>
        </is>
      </c>
      <c r="G364" t="inlineStr">
        <is>
          <t>图文</t>
        </is>
      </c>
      <c r="H364" t="inlineStr">
        <is>
          <t>手剥虾仁 无冰衣无添加 低脂餐一人食 上班带饭 顺丰包邮 5盒装</t>
        </is>
      </c>
      <c r="I364" t="inlineStr">
        <is>
          <t>694baba01d450d00013662f0</t>
        </is>
      </c>
      <c r="J364" t="inlineStr">
        <is>
          <t/>
        </is>
      </c>
      <c r="K364" t="n">
        <v>0.0</v>
      </c>
      <c r="L364" t="n">
        <v>0.0</v>
      </c>
      <c r="M364" t="n">
        <v>0.0</v>
      </c>
      <c r="N364" t="n">
        <v>0.0</v>
      </c>
      <c r="O364" t="n">
        <v>0.0</v>
      </c>
      <c r="P364" t="n">
        <v>0.0</v>
      </c>
      <c r="Q364" t="inlineStr">
        <is>
          <t/>
        </is>
      </c>
      <c r="R364" t="inlineStr">
        <is>
          <t/>
        </is>
      </c>
      <c r="S364" t="n">
        <v>0.0</v>
      </c>
      <c r="T364" t="n">
        <v>0.0</v>
      </c>
      <c r="U364" t="n">
        <v>0.0</v>
      </c>
      <c r="V364" t="n">
        <v>0.0</v>
      </c>
      <c r="W364" t="inlineStr">
        <is>
          <t/>
        </is>
      </c>
      <c r="X364" t="n">
        <v>0.0</v>
      </c>
      <c r="Y364" t="n">
        <v>0.0</v>
      </c>
      <c r="Z364" t="n">
        <v>0.0</v>
      </c>
      <c r="AA364" t="n">
        <v>0.0</v>
      </c>
      <c r="AB364" t="n">
        <v>0.0</v>
      </c>
      <c r="AC364" t="n">
        <v>0.0</v>
      </c>
      <c r="AD364" t="n">
        <v>8.0</v>
      </c>
      <c r="AE364" t="n">
        <v>0.0</v>
      </c>
      <c r="AF364" t="n">
        <v>0.0</v>
      </c>
      <c r="AG364" t="n">
        <v>0.0</v>
      </c>
      <c r="AH364" t="n">
        <v>0.0</v>
      </c>
      <c r="AI364" t="n">
        <v>0.0</v>
      </c>
      <c r="AJ364" t="n">
        <v>0.0</v>
      </c>
      <c r="AK364" t="n">
        <v>3.5</v>
      </c>
      <c r="AL364" t="inlineStr">
        <is>
          <t/>
        </is>
      </c>
    </row>
    <row r="365">
      <c r="A365" t="inlineStr">
        <is>
          <t>请大家直观感受一下79 块的购买力！！</t>
        </is>
      </c>
      <c r="B365" t="inlineStr">
        <is>
          <t>6a4c590b0000000022008623</t>
        </is>
      </c>
      <c r="C365" s="364" t="n">
        <f>HYPERLINK("https://www.xiaohongshu.com/explore/6a4c590b0000000022008623?xsec_token=TBUTHXond34IOioCHeuH06uYbqfsf55PWUlCXkzsfmNDM=&amp;xsec_source=pc_trdark","https://www.xiaohongshu.com/explore/6a4c590b0000000022008623?xsec_token=TBUTHXond34IOioCHeuH06uYbqfsf55PWUlCXkzsfmNDM=&amp;xsec_source=pc_trdark")</f>
        <v>0.0</v>
      </c>
      <c r="D365" t="inlineStr">
        <is>
          <t>鲜水湾</t>
        </is>
      </c>
      <c r="E365" t="inlineStr">
        <is>
          <t>49316638994</t>
        </is>
      </c>
      <c r="F365" t="inlineStr">
        <is>
          <t>2026-07-07 09:40:27</t>
        </is>
      </c>
      <c r="G365" t="inlineStr">
        <is>
          <t>图文</t>
        </is>
      </c>
      <c r="H365" t="inlineStr">
        <is>
          <t>王牌大虾鲜冻大虾厄瓜多尔白虾盐冻大虾年货过年送礼顺丰包邮</t>
        </is>
      </c>
      <c r="I365" t="inlineStr">
        <is>
          <t>69782738eb0d9a0001cd8a32</t>
        </is>
      </c>
      <c r="J365" t="inlineStr">
        <is>
          <t/>
        </is>
      </c>
      <c r="K365" t="n">
        <v>0.0</v>
      </c>
      <c r="L365" t="n">
        <v>0.0</v>
      </c>
      <c r="M365" t="n">
        <v>1.0</v>
      </c>
      <c r="N365" t="n">
        <v>0.125</v>
      </c>
      <c r="O365" t="n">
        <v>1.0</v>
      </c>
      <c r="P365" t="n">
        <v>0.0</v>
      </c>
      <c r="Q365" t="n">
        <v>0.0</v>
      </c>
      <c r="R365" t="n">
        <v>0.0</v>
      </c>
      <c r="S365" t="n">
        <v>0.0</v>
      </c>
      <c r="T365" t="n">
        <v>0.0</v>
      </c>
      <c r="U365" t="n">
        <v>0.0</v>
      </c>
      <c r="V365" t="n">
        <v>0.0</v>
      </c>
      <c r="W365" t="inlineStr">
        <is>
          <t/>
        </is>
      </c>
      <c r="X365" t="n">
        <v>0.0</v>
      </c>
      <c r="Y365" t="n">
        <v>0.0</v>
      </c>
      <c r="Z365" t="n">
        <v>0.0</v>
      </c>
      <c r="AA365" t="n">
        <v>0.0</v>
      </c>
      <c r="AB365" t="n">
        <v>0.0</v>
      </c>
      <c r="AC365" t="n">
        <v>0.0</v>
      </c>
      <c r="AD365" t="n">
        <v>8.0</v>
      </c>
      <c r="AE365" t="n">
        <v>0.0</v>
      </c>
      <c r="AF365" t="n">
        <v>0.0</v>
      </c>
      <c r="AG365" t="n">
        <v>0.0</v>
      </c>
      <c r="AH365" t="n">
        <v>0.0</v>
      </c>
      <c r="AI365" t="n">
        <v>0.0</v>
      </c>
      <c r="AJ365" t="n">
        <v>0.0</v>
      </c>
      <c r="AK365" t="n">
        <v>11.875</v>
      </c>
      <c r="AL365" t="inlineStr">
        <is>
          <t/>
        </is>
      </c>
    </row>
    <row r="366">
      <c r="A366" t="inlineStr">
        <is>
          <t>和老爸商量了推出独居人单独包装扇贝肉</t>
        </is>
      </c>
      <c r="B366" t="inlineStr">
        <is>
          <t>6a4227210000000007013be8</t>
        </is>
      </c>
      <c r="C366" s="365" t="n">
        <f>HYPERLINK("https://www.xiaohongshu.com/explore/6a4227210000000007013be8?xsec_token=TBuZ9ZXJUs9vOVh3V3slJbLNgWNdMGilKDADxRvFeHCwI=&amp;xsec_source=pc_trdark","https://www.xiaohongshu.com/explore/6a4227210000000007013be8?xsec_token=TBuZ9ZXJUs9vOVh3V3slJbLNgWNdMGilKDADxRvFeHCwI=&amp;xsec_source=pc_trdark")</f>
        <v>0.0</v>
      </c>
      <c r="D366" t="inlineStr">
        <is>
          <t>鲜水湾</t>
        </is>
      </c>
      <c r="E366" t="inlineStr">
        <is>
          <t>49316638994</t>
        </is>
      </c>
      <c r="F366" t="inlineStr">
        <is>
          <t>2026-06-29 16:04:49</t>
        </is>
      </c>
      <c r="G366" t="inlineStr">
        <is>
          <t>图文</t>
        </is>
      </c>
      <c r="H366" t="inlineStr">
        <is>
          <t>冷冻扇贝肉个大饱满鲜嫩水产贝类顺丰包邮</t>
        </is>
      </c>
      <c r="I366" t="inlineStr">
        <is>
          <t>6911b48cfdf50c0001345d0d</t>
        </is>
      </c>
      <c r="J366" t="inlineStr">
        <is>
          <t/>
        </is>
      </c>
      <c r="K366" t="n">
        <v>0.0</v>
      </c>
      <c r="L366" t="n">
        <v>0.0</v>
      </c>
      <c r="M366" t="n">
        <v>3.0</v>
      </c>
      <c r="N366" t="n">
        <v>0.375</v>
      </c>
      <c r="O366" t="n">
        <v>2.0</v>
      </c>
      <c r="P366" t="n">
        <v>0.0</v>
      </c>
      <c r="Q366" t="n">
        <v>0.0</v>
      </c>
      <c r="R366" t="n">
        <v>0.0</v>
      </c>
      <c r="S366" t="n">
        <v>0.0</v>
      </c>
      <c r="T366" t="n">
        <v>0.0</v>
      </c>
      <c r="U366" t="n">
        <v>0.0</v>
      </c>
      <c r="V366" t="n">
        <v>0.0</v>
      </c>
      <c r="W366" t="inlineStr">
        <is>
          <t/>
        </is>
      </c>
      <c r="X366" t="n">
        <v>0.0</v>
      </c>
      <c r="Y366" t="n">
        <v>0.0</v>
      </c>
      <c r="Z366" t="n">
        <v>0.0</v>
      </c>
      <c r="AA366" t="n">
        <v>0.0</v>
      </c>
      <c r="AB366" t="n">
        <v>0.0</v>
      </c>
      <c r="AC366" t="n">
        <v>0.0</v>
      </c>
      <c r="AD366" t="n">
        <v>8.0</v>
      </c>
      <c r="AE366" t="n">
        <v>0.0</v>
      </c>
      <c r="AF366" t="n">
        <v>0.0</v>
      </c>
      <c r="AG366" t="n">
        <v>0.0</v>
      </c>
      <c r="AH366" t="n">
        <v>0.0</v>
      </c>
      <c r="AI366" t="n">
        <v>0.0</v>
      </c>
      <c r="AJ366" t="n">
        <v>0.0</v>
      </c>
      <c r="AK366" t="n">
        <v>13.375</v>
      </c>
      <c r="AL366" t="inlineStr">
        <is>
          <t/>
        </is>
      </c>
    </row>
    <row r="367">
      <c r="A367" t="inlineStr">
        <is>
          <t>刚吃完一条，我妈让我再囤一条！</t>
        </is>
      </c>
      <c r="B367" t="inlineStr">
        <is>
          <t>6a2fabdf0000000007029316</t>
        </is>
      </c>
      <c r="C367" s="366" t="n">
        <f>HYPERLINK("https://www.xiaohongshu.com/explore/6a2fabdf0000000007029316?xsec_token=TBOClpwOvyolzEXhDI3pDx7eD0lRaYyhWWb5nVawt81uQ=&amp;xsec_source=pc_trdark","https://www.xiaohongshu.com/explore/6a2fabdf0000000007029316?xsec_token=TBOClpwOvyolzEXhDI3pDx7eD0lRaYyhWWb5nVawt81uQ=&amp;xsec_source=pc_trdark")</f>
        <v>0.0</v>
      </c>
      <c r="D367" t="inlineStr">
        <is>
          <t>鲜水湾</t>
        </is>
      </c>
      <c r="E367" t="inlineStr">
        <is>
          <t>49316638994</t>
        </is>
      </c>
      <c r="F367" t="inlineStr">
        <is>
          <t>2026-06-15 15:38:07</t>
        </is>
      </c>
      <c r="G367" t="inlineStr">
        <is>
          <t>图文</t>
        </is>
      </c>
      <c r="H367" t="inlineStr">
        <is>
          <t>智利尾端中段整条三文鱼 8斤深海鱼低脂餐囤货一周备菜顺丰包邮</t>
        </is>
      </c>
      <c r="I367" t="inlineStr">
        <is>
          <t>69fab80d64eb410001ece0c0</t>
        </is>
      </c>
      <c r="J367" t="inlineStr">
        <is>
          <t/>
        </is>
      </c>
      <c r="K367" t="n">
        <v>0.0</v>
      </c>
      <c r="L367" t="n">
        <v>0.0</v>
      </c>
      <c r="M367" t="n">
        <v>4.0</v>
      </c>
      <c r="N367" t="n">
        <v>0.5</v>
      </c>
      <c r="O367" t="n">
        <v>4.0</v>
      </c>
      <c r="P367" t="n">
        <v>0.0</v>
      </c>
      <c r="Q367" t="n">
        <v>0.0</v>
      </c>
      <c r="R367" t="n">
        <v>0.0</v>
      </c>
      <c r="S367" t="n">
        <v>0.0</v>
      </c>
      <c r="T367" t="n">
        <v>0.0</v>
      </c>
      <c r="U367" t="n">
        <v>0.0</v>
      </c>
      <c r="V367" t="n">
        <v>0.0</v>
      </c>
      <c r="W367" t="inlineStr">
        <is>
          <t/>
        </is>
      </c>
      <c r="X367" t="n">
        <v>0.0</v>
      </c>
      <c r="Y367" t="n">
        <v>1.0</v>
      </c>
      <c r="Z367" t="n">
        <v>0.0</v>
      </c>
      <c r="AA367" t="n">
        <v>0.0</v>
      </c>
      <c r="AB367" t="n">
        <v>0.0</v>
      </c>
      <c r="AC367" t="n">
        <v>0.0</v>
      </c>
      <c r="AD367" t="n">
        <v>8.0</v>
      </c>
      <c r="AE367" t="n">
        <v>0.0</v>
      </c>
      <c r="AF367" t="n">
        <v>0.0</v>
      </c>
      <c r="AG367" t="n">
        <v>0.0</v>
      </c>
      <c r="AH367" t="n">
        <v>0.0</v>
      </c>
      <c r="AI367" t="n">
        <v>0.0</v>
      </c>
      <c r="AJ367" t="n">
        <v>0.0</v>
      </c>
      <c r="AK367" t="n">
        <v>15.75</v>
      </c>
      <c r="AL367" t="inlineStr">
        <is>
          <t/>
        </is>
      </c>
    </row>
    <row r="368">
      <c r="A368" t="inlineStr">
        <is>
          <t>能控制住血压的人，都有一个饮食特点</t>
        </is>
      </c>
      <c r="B368" t="inlineStr">
        <is>
          <t>6a26384f000000000702b3a6</t>
        </is>
      </c>
      <c r="C368" s="367" t="n">
        <f>HYPERLINK("https://www.xiaohongshu.com/explore/6a26384f000000000702b3a6?xsec_token=TB6Q3z0Jm3jMFQ1Wl1RTAnftVGdvwf5wMEb1qeHTUDLXU=&amp;xsec_source=pc_trdark","https://www.xiaohongshu.com/explore/6a26384f000000000702b3a6?xsec_token=TB6Q3z0Jm3jMFQ1Wl1RTAnftVGdvwf5wMEb1qeHTUDLXU=&amp;xsec_source=pc_trdark")</f>
        <v>0.0</v>
      </c>
      <c r="D368" t="inlineStr">
        <is>
          <t>婉婉上班吃什么</t>
        </is>
      </c>
      <c r="E368" t="inlineStr">
        <is>
          <t>11434449706</t>
        </is>
      </c>
      <c r="F368" t="inlineStr">
        <is>
          <t>2026-06-08 11:34:39</t>
        </is>
      </c>
      <c r="G368" t="inlineStr">
        <is>
          <t>图文</t>
        </is>
      </c>
      <c r="H368" t="inlineStr">
        <is>
          <t>手剥虾仁 无冰衣无添加 低脂餐一人食 上班带饭 顺丰包邮 5盒装</t>
        </is>
      </c>
      <c r="I368" t="inlineStr">
        <is>
          <t>694baba01d450d00013662f0</t>
        </is>
      </c>
      <c r="J368" t="inlineStr">
        <is>
          <t/>
        </is>
      </c>
      <c r="K368" t="n">
        <v>0.0</v>
      </c>
      <c r="L368" t="n">
        <v>0.0</v>
      </c>
      <c r="M368" t="n">
        <v>1.0</v>
      </c>
      <c r="N368" t="n">
        <v>0.125</v>
      </c>
      <c r="O368" t="n">
        <v>1.0</v>
      </c>
      <c r="P368" t="n">
        <v>0.0</v>
      </c>
      <c r="Q368" t="n">
        <v>0.0</v>
      </c>
      <c r="R368" t="n">
        <v>0.0</v>
      </c>
      <c r="S368" t="n">
        <v>0.0</v>
      </c>
      <c r="T368" t="n">
        <v>0.0</v>
      </c>
      <c r="U368" t="n">
        <v>0.0</v>
      </c>
      <c r="V368" t="n">
        <v>0.0</v>
      </c>
      <c r="W368" t="inlineStr">
        <is>
          <t/>
        </is>
      </c>
      <c r="X368" t="n">
        <v>0.0</v>
      </c>
      <c r="Y368" t="n">
        <v>0.0</v>
      </c>
      <c r="Z368" t="n">
        <v>0.0</v>
      </c>
      <c r="AA368" t="n">
        <v>0.0</v>
      </c>
      <c r="AB368" t="n">
        <v>0.0</v>
      </c>
      <c r="AC368" t="n">
        <v>0.0</v>
      </c>
      <c r="AD368" t="n">
        <v>8.0</v>
      </c>
      <c r="AE368" t="n">
        <v>0.0</v>
      </c>
      <c r="AF368" t="n">
        <v>0.0</v>
      </c>
      <c r="AG368" t="n">
        <v>0.0</v>
      </c>
      <c r="AH368" t="n">
        <v>0.0</v>
      </c>
      <c r="AI368" t="n">
        <v>0.0</v>
      </c>
      <c r="AJ368" t="n">
        <v>0.0</v>
      </c>
      <c r="AK368" t="n">
        <v>7.375</v>
      </c>
      <c r="AL368" t="inlineStr">
        <is>
          <t/>
        </is>
      </c>
    </row>
    <row r="369">
      <c r="A369" t="inlineStr">
        <is>
          <t>可以和pxx说拜拜了，300来块整条三文鱼</t>
        </is>
      </c>
      <c r="B369" t="inlineStr">
        <is>
          <t>6a211b71000000000803c7d8</t>
        </is>
      </c>
      <c r="C369" s="368" t="n">
        <f>HYPERLINK("https://www.xiaohongshu.com/explore/6a211b71000000000803c7d8?xsec_token=TBruDoYqydt0gOAY-R5iHU2_FZ4dOsYiRgltsKxKLeEnU=&amp;xsec_source=pc_trdark","https://www.xiaohongshu.com/explore/6a211b71000000000803c7d8?xsec_token=TBruDoYqydt0gOAY-R5iHU2_FZ4dOsYiRgltsKxKLeEnU=&amp;xsec_source=pc_trdark")</f>
        <v>0.0</v>
      </c>
      <c r="D369" t="inlineStr">
        <is>
          <t>鲜水湾</t>
        </is>
      </c>
      <c r="E369" t="inlineStr">
        <is>
          <t>49316638994</t>
        </is>
      </c>
      <c r="F369" t="inlineStr">
        <is>
          <t>2026-06-04 14:30:09</t>
        </is>
      </c>
      <c r="G369" t="inlineStr">
        <is>
          <t>图文</t>
        </is>
      </c>
      <c r="H369" t="inlineStr">
        <is>
          <t>智利三文鱼切块·整条三文鱼·深海鱼一人食健康饮食</t>
        </is>
      </c>
      <c r="I369" t="inlineStr">
        <is>
          <t>691ac562a524ee0001b51d7b</t>
        </is>
      </c>
      <c r="J369" t="inlineStr">
        <is>
          <t/>
        </is>
      </c>
      <c r="K369" t="n">
        <v>0.0</v>
      </c>
      <c r="L369" t="n">
        <v>0.0</v>
      </c>
      <c r="M369" t="n">
        <v>2.0</v>
      </c>
      <c r="N369" t="n">
        <v>0.25</v>
      </c>
      <c r="O369" t="n">
        <v>2.0</v>
      </c>
      <c r="P369" t="n">
        <v>0.0</v>
      </c>
      <c r="Q369" t="n">
        <v>0.0</v>
      </c>
      <c r="R369" t="n">
        <v>0.0</v>
      </c>
      <c r="S369" t="n">
        <v>0.0</v>
      </c>
      <c r="T369" t="n">
        <v>0.0</v>
      </c>
      <c r="U369" t="n">
        <v>0.0</v>
      </c>
      <c r="V369" t="n">
        <v>0.0</v>
      </c>
      <c r="W369" t="inlineStr">
        <is>
          <t/>
        </is>
      </c>
      <c r="X369" t="n">
        <v>0.0</v>
      </c>
      <c r="Y369" t="n">
        <v>0.0</v>
      </c>
      <c r="Z369" t="n">
        <v>0.0</v>
      </c>
      <c r="AA369" t="n">
        <v>0.0</v>
      </c>
      <c r="AB369" t="n">
        <v>0.0</v>
      </c>
      <c r="AC369" t="n">
        <v>0.0</v>
      </c>
      <c r="AD369" t="n">
        <v>8.0</v>
      </c>
      <c r="AE369" t="n">
        <v>0.0</v>
      </c>
      <c r="AF369" t="n">
        <v>0.0</v>
      </c>
      <c r="AG369" t="n">
        <v>0.0</v>
      </c>
      <c r="AH369" t="n">
        <v>0.0</v>
      </c>
      <c r="AI369" t="n">
        <v>0.0</v>
      </c>
      <c r="AJ369" t="n">
        <v>0.0</v>
      </c>
      <c r="AK369" t="n">
        <v>27.5</v>
      </c>
      <c r="AL369" t="inlineStr">
        <is>
          <t/>
        </is>
      </c>
    </row>
    <row r="370">
      <c r="A370" t="inlineStr">
        <is>
          <t>网友嘴巴太严了，空气炸锅就能做......</t>
        </is>
      </c>
      <c r="B370" t="inlineStr">
        <is>
          <t>6a01782e0000000007025391</t>
        </is>
      </c>
      <c r="C370" s="369" t="n">
        <f>HYPERLINK("https://www.xiaohongshu.com/explore/6a01782e0000000007025391?xsec_token=TBbTMdCTPOAzll1S0w5oGNgpLygu1MI2p_CBZVmFZEMT0=&amp;xsec_source=pc_trdark","https://www.xiaohongshu.com/explore/6a01782e0000000007025391?xsec_token=TBbTMdCTPOAzll1S0w5oGNgpLygu1MI2p_CBZVmFZEMT0=&amp;xsec_source=pc_trdark")</f>
        <v>0.0</v>
      </c>
      <c r="D370" t="inlineStr">
        <is>
          <t>婉婉上班吃什么</t>
        </is>
      </c>
      <c r="E370" t="inlineStr">
        <is>
          <t>11434449706</t>
        </is>
      </c>
      <c r="F370" t="inlineStr">
        <is>
          <t>2026-05-11 14:33:19</t>
        </is>
      </c>
      <c r="G370" t="inlineStr">
        <is>
          <t>图文</t>
        </is>
      </c>
      <c r="H370" t="inlineStr">
        <is>
          <t>智利尾端中段整条三文鱼 8斤深海鱼低脂餐囤货一周备菜顺丰包邮</t>
        </is>
      </c>
      <c r="I370" t="inlineStr">
        <is>
          <t>69fab80d64eb410001ece0c0</t>
        </is>
      </c>
      <c r="J370" t="inlineStr">
        <is>
          <t/>
        </is>
      </c>
      <c r="K370" t="n">
        <v>0.0</v>
      </c>
      <c r="L370" t="n">
        <v>0.0</v>
      </c>
      <c r="M370" t="n">
        <v>0.0</v>
      </c>
      <c r="N370" t="n">
        <v>0.0</v>
      </c>
      <c r="O370" t="n">
        <v>0.0</v>
      </c>
      <c r="P370" t="n">
        <v>0.0</v>
      </c>
      <c r="Q370" t="inlineStr">
        <is>
          <t/>
        </is>
      </c>
      <c r="R370" t="inlineStr">
        <is>
          <t/>
        </is>
      </c>
      <c r="S370" t="n">
        <v>0.0</v>
      </c>
      <c r="T370" t="n">
        <v>0.0</v>
      </c>
      <c r="U370" t="n">
        <v>0.0</v>
      </c>
      <c r="V370" t="n">
        <v>0.0</v>
      </c>
      <c r="W370" t="inlineStr">
        <is>
          <t/>
        </is>
      </c>
      <c r="X370" t="n">
        <v>0.0</v>
      </c>
      <c r="Y370" t="n">
        <v>0.0</v>
      </c>
      <c r="Z370" t="n">
        <v>0.0</v>
      </c>
      <c r="AA370" t="n">
        <v>0.0</v>
      </c>
      <c r="AB370" t="n">
        <v>0.0</v>
      </c>
      <c r="AC370" t="n">
        <v>0.0</v>
      </c>
      <c r="AD370" t="n">
        <v>8.0</v>
      </c>
      <c r="AE370" t="n">
        <v>0.0</v>
      </c>
      <c r="AF370" t="n">
        <v>0.0</v>
      </c>
      <c r="AG370" t="n">
        <v>0.0</v>
      </c>
      <c r="AH370" t="n">
        <v>0.0</v>
      </c>
      <c r="AI370" t="n">
        <v>0.0</v>
      </c>
      <c r="AJ370" t="n">
        <v>0.0</v>
      </c>
      <c r="AK370" t="n">
        <v>6.25</v>
      </c>
      <c r="AL370" t="inlineStr">
        <is>
          <t/>
        </is>
      </c>
    </row>
    <row r="371">
      <c r="A371" t="inlineStr">
        <is>
          <t>谁说 300 块不经花❓够我吃一个月三文鱼了</t>
        </is>
      </c>
      <c r="B371" t="inlineStr">
        <is>
          <t>69fe9f1d000000001a02f888</t>
        </is>
      </c>
      <c r="C371" s="370" t="n">
        <f>HYPERLINK("https://www.xiaohongshu.com/explore/69fe9f1d000000001a02f888?xsec_token=TBW_z8KxT9AgMNTeavZZG2U8I9PlglNA-pvSUmfmTUvms=&amp;xsec_source=pc_trdark","https://www.xiaohongshu.com/explore/69fe9f1d000000001a02f888?xsec_token=TBW_z8KxT9AgMNTeavZZG2U8I9PlglNA-pvSUmfmTUvms=&amp;xsec_source=pc_trdark")</f>
        <v>0.0</v>
      </c>
      <c r="D371" t="inlineStr">
        <is>
          <t>婉婉上班吃什么</t>
        </is>
      </c>
      <c r="E371" t="inlineStr">
        <is>
          <t>11434449706</t>
        </is>
      </c>
      <c r="F371" t="inlineStr">
        <is>
          <t>2026-05-09 10:42:37</t>
        </is>
      </c>
      <c r="G371" t="inlineStr">
        <is>
          <t>图文</t>
        </is>
      </c>
      <c r="H371" t="inlineStr">
        <is>
          <t>智利尾端中段整条三文鱼 8斤深海鱼低脂餐囤货一周备菜顺丰包邮</t>
        </is>
      </c>
      <c r="I371" t="inlineStr">
        <is>
          <t>69fab80d64eb410001ece0c0</t>
        </is>
      </c>
      <c r="J371" t="inlineStr">
        <is>
          <t/>
        </is>
      </c>
      <c r="K371" t="n">
        <v>0.0</v>
      </c>
      <c r="L371" t="n">
        <v>0.0</v>
      </c>
      <c r="M371" t="n">
        <v>0.0</v>
      </c>
      <c r="N371" t="n">
        <v>0.0</v>
      </c>
      <c r="O371" t="n">
        <v>0.0</v>
      </c>
      <c r="P371" t="n">
        <v>0.0</v>
      </c>
      <c r="Q371" t="inlineStr">
        <is>
          <t/>
        </is>
      </c>
      <c r="R371" t="inlineStr">
        <is>
          <t/>
        </is>
      </c>
      <c r="S371" t="n">
        <v>0.0</v>
      </c>
      <c r="T371" t="n">
        <v>0.0</v>
      </c>
      <c r="U371" t="n">
        <v>0.0</v>
      </c>
      <c r="V371" t="n">
        <v>0.0</v>
      </c>
      <c r="W371" t="inlineStr">
        <is>
          <t/>
        </is>
      </c>
      <c r="X371" t="n">
        <v>0.0</v>
      </c>
      <c r="Y371" t="n">
        <v>0.0</v>
      </c>
      <c r="Z371" t="n">
        <v>1.0</v>
      </c>
      <c r="AA371" t="n">
        <v>0.0</v>
      </c>
      <c r="AB371" t="n">
        <v>0.0</v>
      </c>
      <c r="AC371" t="n">
        <v>0.0</v>
      </c>
      <c r="AD371" t="n">
        <v>8.0</v>
      </c>
      <c r="AE371" t="n">
        <v>0.0</v>
      </c>
      <c r="AF371" t="n">
        <v>0.0</v>
      </c>
      <c r="AG371" t="n">
        <v>0.0</v>
      </c>
      <c r="AH371" t="n">
        <v>0.0</v>
      </c>
      <c r="AI371" t="n">
        <v>0.0</v>
      </c>
      <c r="AJ371" t="n">
        <v>0.0</v>
      </c>
      <c r="AK371" t="n">
        <v>12.375</v>
      </c>
      <c r="AL371" t="inlineStr">
        <is>
          <t/>
        </is>
      </c>
    </row>
    <row r="372">
      <c r="A372" t="inlineStr">
        <is>
          <t>从青岛发来的整条三文鱼，被爸妈夸了！</t>
        </is>
      </c>
      <c r="B372" t="inlineStr">
        <is>
          <t>69e62a8b0000000023015396</t>
        </is>
      </c>
      <c r="C372" s="371" t="n">
        <f>HYPERLINK("https://www.xiaohongshu.com/explore/69e62a8b0000000023015396?xsec_token=TBXs2O6r9V_Qdtui9pffX9XVcGi7t06LZGv6hgzNY38DE=&amp;xsec_source=pc_trdark","https://www.xiaohongshu.com/explore/69e62a8b0000000023015396?xsec_token=TBXs2O6r9V_Qdtui9pffX9XVcGi7t06LZGv6hgzNY38DE=&amp;xsec_source=pc_trdark")</f>
        <v>0.0</v>
      </c>
      <c r="D372" t="inlineStr">
        <is>
          <t>婉婉上班吃什么</t>
        </is>
      </c>
      <c r="E372" t="inlineStr">
        <is>
          <t>11434449706</t>
        </is>
      </c>
      <c r="F372" t="inlineStr">
        <is>
          <t>2026-04-20 21:30:51</t>
        </is>
      </c>
      <c r="G372" t="inlineStr">
        <is>
          <t>图文</t>
        </is>
      </c>
      <c r="H372" t="inlineStr">
        <is>
          <t>智利尾端中段整条三文鱼 8斤深海鱼低脂餐囤货一周备菜顺丰包邮</t>
        </is>
      </c>
      <c r="I372" t="inlineStr">
        <is>
          <t>69fab80d64eb410001ece0c0</t>
        </is>
      </c>
      <c r="J372" t="inlineStr">
        <is>
          <t/>
        </is>
      </c>
      <c r="K372" t="n">
        <v>0.0</v>
      </c>
      <c r="L372" t="n">
        <v>0.0</v>
      </c>
      <c r="M372" t="n">
        <v>0.0</v>
      </c>
      <c r="N372" t="n">
        <v>0.0</v>
      </c>
      <c r="O372" t="n">
        <v>0.0</v>
      </c>
      <c r="P372" t="n">
        <v>0.0</v>
      </c>
      <c r="Q372" t="inlineStr">
        <is>
          <t/>
        </is>
      </c>
      <c r="R372" t="inlineStr">
        <is>
          <t/>
        </is>
      </c>
      <c r="S372" t="n">
        <v>0.0</v>
      </c>
      <c r="T372" t="n">
        <v>0.0</v>
      </c>
      <c r="U372" t="n">
        <v>0.0</v>
      </c>
      <c r="V372" t="n">
        <v>0.0</v>
      </c>
      <c r="W372" t="inlineStr">
        <is>
          <t/>
        </is>
      </c>
      <c r="X372" t="n">
        <v>0.0</v>
      </c>
      <c r="Y372" t="n">
        <v>0.0</v>
      </c>
      <c r="Z372" t="n">
        <v>0.0</v>
      </c>
      <c r="AA372" t="n">
        <v>0.0</v>
      </c>
      <c r="AB372" t="n">
        <v>0.0</v>
      </c>
      <c r="AC372" t="n">
        <v>0.0</v>
      </c>
      <c r="AD372" t="n">
        <v>8.0</v>
      </c>
      <c r="AE372" t="n">
        <v>0.0</v>
      </c>
      <c r="AF372" t="n">
        <v>0.0</v>
      </c>
      <c r="AG372" t="n">
        <v>0.0</v>
      </c>
      <c r="AH372" t="n">
        <v>0.0</v>
      </c>
      <c r="AI372" t="n">
        <v>0.0</v>
      </c>
      <c r="AJ372" t="n">
        <v>0.0</v>
      </c>
      <c r="AK372" t="n">
        <v>3.625</v>
      </c>
      <c r="AL372" t="inlineStr">
        <is>
          <t/>
        </is>
      </c>
    </row>
    <row r="373">
      <c r="A373" t="inlineStr">
        <is>
          <t>教你一招：3秒辨别好虾仁和差虾仁</t>
        </is>
      </c>
      <c r="B373" t="inlineStr">
        <is>
          <t>69d73c24000000001f0065a9</t>
        </is>
      </c>
      <c r="C373" s="372" t="n">
        <f>HYPERLINK("https://www.xiaohongshu.com/explore/69d73c24000000001f0065a9?xsec_token=TBabSJw1DqF320Z_FWL3yrQ4nh69pz8DnehNqTlHLwXEw=&amp;xsec_source=pc_trdark","https://www.xiaohongshu.com/explore/69d73c24000000001f0065a9?xsec_token=TBabSJw1DqF320Z_FWL3yrQ4nh69pz8DnehNqTlHLwXEw=&amp;xsec_source=pc_trdark")</f>
        <v>0.0</v>
      </c>
      <c r="D373" t="inlineStr">
        <is>
          <t>鲜水湾</t>
        </is>
      </c>
      <c r="E373" t="inlineStr">
        <is>
          <t>49316638994</t>
        </is>
      </c>
      <c r="F373" t="inlineStr">
        <is>
          <t>2026-04-09 13:41:56</t>
        </is>
      </c>
      <c r="G373" t="inlineStr">
        <is>
          <t>图文</t>
        </is>
      </c>
      <c r="H373" t="inlineStr">
        <is>
          <t>手剥虾仁 无冰衣无添加 低脂餐一人食 上班带饭 顺丰包邮 5盒装</t>
        </is>
      </c>
      <c r="I373" t="inlineStr">
        <is>
          <t>694baba01d450d00013662f0</t>
        </is>
      </c>
      <c r="J373" t="inlineStr">
        <is>
          <t/>
        </is>
      </c>
      <c r="K373" t="n">
        <v>0.0</v>
      </c>
      <c r="L373" t="n">
        <v>0.0</v>
      </c>
      <c r="M373" t="n">
        <v>0.0</v>
      </c>
      <c r="N373" t="n">
        <v>0.0</v>
      </c>
      <c r="O373" t="n">
        <v>0.0</v>
      </c>
      <c r="P373" t="n">
        <v>0.0</v>
      </c>
      <c r="Q373" t="inlineStr">
        <is>
          <t/>
        </is>
      </c>
      <c r="R373" t="inlineStr">
        <is>
          <t/>
        </is>
      </c>
      <c r="S373" t="n">
        <v>0.0</v>
      </c>
      <c r="T373" t="n">
        <v>0.0</v>
      </c>
      <c r="U373" t="n">
        <v>0.0</v>
      </c>
      <c r="V373" t="n">
        <v>0.0</v>
      </c>
      <c r="W373" t="inlineStr">
        <is>
          <t/>
        </is>
      </c>
      <c r="X373" t="n">
        <v>0.0</v>
      </c>
      <c r="Y373" t="n">
        <v>0.0</v>
      </c>
      <c r="Z373" t="n">
        <v>2.0</v>
      </c>
      <c r="AA373" t="n">
        <v>0.0</v>
      </c>
      <c r="AB373" t="n">
        <v>0.0</v>
      </c>
      <c r="AC373" t="n">
        <v>0.0</v>
      </c>
      <c r="AD373" t="n">
        <v>8.0</v>
      </c>
      <c r="AE373" t="n">
        <v>0.0</v>
      </c>
      <c r="AF373" t="n">
        <v>0.0</v>
      </c>
      <c r="AG373" t="n">
        <v>0.0</v>
      </c>
      <c r="AH373" t="n">
        <v>0.0</v>
      </c>
      <c r="AI373" t="n">
        <v>0.0</v>
      </c>
      <c r="AJ373" t="n">
        <v>0.0</v>
      </c>
      <c r="AK373" t="n">
        <v>16.5</v>
      </c>
      <c r="AL373" t="inlineStr">
        <is>
          <t/>
        </is>
      </c>
    </row>
    <row r="374">
      <c r="A374" t="inlineStr">
        <is>
          <t>抗炎饮食21天！全靠三文鱼救我</t>
        </is>
      </c>
      <c r="B374" t="inlineStr">
        <is>
          <t>69a11f1d000000001a036323</t>
        </is>
      </c>
      <c r="C374" s="373" t="n">
        <f>HYPERLINK("https://www.xiaohongshu.com/explore/69a11f1d000000001a036323?xsec_token=TBk7Tu9foWGIsieMmGc2tlwiI4JtNYKBk0uiNi6UVC5-k=&amp;xsec_source=pc_trdark","https://www.xiaohongshu.com/explore/69a11f1d000000001a036323?xsec_token=TBk7Tu9foWGIsieMmGc2tlwiI4JtNYKBk0uiNi6UVC5-k=&amp;xsec_source=pc_trdark")</f>
        <v>0.0</v>
      </c>
      <c r="D374" t="inlineStr">
        <is>
          <t>鲜水湾</t>
        </is>
      </c>
      <c r="E374" t="inlineStr">
        <is>
          <t>49316638994</t>
        </is>
      </c>
      <c r="F374" t="inlineStr">
        <is>
          <t>2026-02-27 12:35:41</t>
        </is>
      </c>
      <c r="G374" t="inlineStr">
        <is>
          <t>图文</t>
        </is>
      </c>
      <c r="H374" t="inlineStr">
        <is>
          <t>智利三文鱼切块·整条三文鱼·深海鱼一人食健康饮食</t>
        </is>
      </c>
      <c r="I374" t="inlineStr">
        <is>
          <t>691ac562a524ee0001b51d7b</t>
        </is>
      </c>
      <c r="J374" t="inlineStr">
        <is>
          <t/>
        </is>
      </c>
      <c r="K374" t="n">
        <v>0.0</v>
      </c>
      <c r="L374" t="n">
        <v>0.0</v>
      </c>
      <c r="M374" t="n">
        <v>0.0</v>
      </c>
      <c r="N374" t="n">
        <v>0.0</v>
      </c>
      <c r="O374" t="n">
        <v>0.0</v>
      </c>
      <c r="P374" t="n">
        <v>0.0</v>
      </c>
      <c r="Q374" t="inlineStr">
        <is>
          <t/>
        </is>
      </c>
      <c r="R374" t="inlineStr">
        <is>
          <t/>
        </is>
      </c>
      <c r="S374" t="n">
        <v>0.0</v>
      </c>
      <c r="T374" t="n">
        <v>0.0</v>
      </c>
      <c r="U374" t="n">
        <v>0.0</v>
      </c>
      <c r="V374" t="n">
        <v>0.0</v>
      </c>
      <c r="W374" t="inlineStr">
        <is>
          <t/>
        </is>
      </c>
      <c r="X374" t="n">
        <v>0.0</v>
      </c>
      <c r="Y374" t="n">
        <v>0.0</v>
      </c>
      <c r="Z374" t="n">
        <v>0.0</v>
      </c>
      <c r="AA374" t="n">
        <v>0.0</v>
      </c>
      <c r="AB374" t="n">
        <v>0.0</v>
      </c>
      <c r="AC374" t="n">
        <v>0.0</v>
      </c>
      <c r="AD374" t="n">
        <v>8.0</v>
      </c>
      <c r="AE374" t="n">
        <v>0.0</v>
      </c>
      <c r="AF374" t="n">
        <v>0.0</v>
      </c>
      <c r="AG374" t="n">
        <v>0.0</v>
      </c>
      <c r="AH374" t="n">
        <v>0.0</v>
      </c>
      <c r="AI374" t="n">
        <v>0.0</v>
      </c>
      <c r="AJ374" t="n">
        <v>0.0</v>
      </c>
      <c r="AK374" t="n">
        <v>8.25</v>
      </c>
      <c r="AL374" t="inlineStr">
        <is>
          <t/>
        </is>
      </c>
    </row>
    <row r="375">
      <c r="A375" t="inlineStr">
        <is>
          <t>和老妈商量一下，推出虾仁减脂小包装！</t>
        </is>
      </c>
      <c r="B375" t="inlineStr">
        <is>
          <t>6a6c5aaa0000000032023f99</t>
        </is>
      </c>
      <c r="C375" s="374" t="n">
        <f>HYPERLINK("https://www.xiaohongshu.com/explore/6a6c5aaa0000000032023f99?xsec_token=TBpbsD5cK9v8WYsSJHgrIHr9i-XIZ6brIzp4tjvY4wPJM=&amp;xsec_source=pc_trdark","https://www.xiaohongshu.com/explore/6a6c5aaa0000000032023f99?xsec_token=TBpbsD5cK9v8WYsSJHgrIHr9i-XIZ6brIzp4tjvY4wPJM=&amp;xsec_source=pc_trdark")</f>
        <v>0.0</v>
      </c>
      <c r="D375" t="inlineStr">
        <is>
          <t>鲜水湾甄选</t>
        </is>
      </c>
      <c r="E375" t="inlineStr">
        <is>
          <t>27401929161</t>
        </is>
      </c>
      <c r="F375" t="inlineStr">
        <is>
          <t>2026-07-31 16:19:54</t>
        </is>
      </c>
      <c r="G375" t="inlineStr">
        <is>
          <t>图文</t>
        </is>
      </c>
      <c r="H375" t="inlineStr">
        <is>
          <t>手剥虾仁 无冰衣无添加 低脂餐一人食 上班带饭 顺丰包邮 5盒装</t>
        </is>
      </c>
      <c r="I375" t="inlineStr">
        <is>
          <t>694baba01d450d00013662f0</t>
        </is>
      </c>
      <c r="J375" t="inlineStr">
        <is>
          <t/>
        </is>
      </c>
      <c r="K375" t="n">
        <v>0.0</v>
      </c>
      <c r="L375" t="n">
        <v>0.0</v>
      </c>
      <c r="M375" t="n">
        <v>1.0</v>
      </c>
      <c r="N375" t="inlineStr">
        <is>
          <t>0.14285714285714285</t>
        </is>
      </c>
      <c r="O375" t="n">
        <v>1.0</v>
      </c>
      <c r="P375" t="n">
        <v>0.0</v>
      </c>
      <c r="Q375" t="n">
        <v>0.0</v>
      </c>
      <c r="R375" t="n">
        <v>0.0</v>
      </c>
      <c r="S375" t="n">
        <v>0.0</v>
      </c>
      <c r="T375" t="n">
        <v>0.0</v>
      </c>
      <c r="U375" t="n">
        <v>0.0</v>
      </c>
      <c r="V375" t="n">
        <v>0.0</v>
      </c>
      <c r="W375" t="inlineStr">
        <is>
          <t/>
        </is>
      </c>
      <c r="X375" t="n">
        <v>0.0</v>
      </c>
      <c r="Y375" t="n">
        <v>0.0</v>
      </c>
      <c r="Z375" t="n">
        <v>0.0</v>
      </c>
      <c r="AA375" t="n">
        <v>0.0</v>
      </c>
      <c r="AB375" t="n">
        <v>0.0</v>
      </c>
      <c r="AC375" t="n">
        <v>0.0</v>
      </c>
      <c r="AD375" t="n">
        <v>7.0</v>
      </c>
      <c r="AE375" t="n">
        <v>0.0</v>
      </c>
      <c r="AF375" t="n">
        <v>0.0</v>
      </c>
      <c r="AG375" t="n">
        <v>0.0</v>
      </c>
      <c r="AH375" t="n">
        <v>0.0</v>
      </c>
      <c r="AI375" t="n">
        <v>0.0</v>
      </c>
      <c r="AJ375" t="n">
        <v>0.0</v>
      </c>
      <c r="AK375" t="n">
        <v>11.285714285714286</v>
      </c>
      <c r="AL375" t="inlineStr">
        <is>
          <t/>
        </is>
      </c>
    </row>
    <row r="376">
      <c r="A376" t="inlineStr">
        <is>
          <t>夏天减脂真不贵，区区70够我吃一周了!</t>
        </is>
      </c>
      <c r="B376" t="inlineStr">
        <is>
          <t>6a5edf01000000000c01551e</t>
        </is>
      </c>
      <c r="C376" s="375" t="n">
        <f>HYPERLINK("https://www.xiaohongshu.com/explore/6a5edf01000000000c01551e?xsec_token=TBbojWk_7wqvNRrckRPtQ4WIFrmyCH_rlKVwH_J5S0pKE=&amp;xsec_source=pc_trdark","https://www.xiaohongshu.com/explore/6a5edf01000000000c01551e?xsec_token=TBbojWk_7wqvNRrckRPtQ4WIFrmyCH_rlKVwH_J5S0pKE=&amp;xsec_source=pc_trdark")</f>
        <v>0.0</v>
      </c>
      <c r="D376" t="inlineStr">
        <is>
          <t>婉婉上班吃什么</t>
        </is>
      </c>
      <c r="E376" t="inlineStr">
        <is>
          <t>11434449706</t>
        </is>
      </c>
      <c r="F376" t="inlineStr">
        <is>
          <t>2026-07-21 10:52:49</t>
        </is>
      </c>
      <c r="G376" t="inlineStr">
        <is>
          <t>图文</t>
        </is>
      </c>
      <c r="H376" t="inlineStr">
        <is>
          <t>手剥虾仁 无冰衣无添加 低脂餐一人食 上班带饭 顺丰包邮 5盒装</t>
        </is>
      </c>
      <c r="I376" t="inlineStr">
        <is>
          <t>694baba01d450d00013662f0</t>
        </is>
      </c>
      <c r="J376" t="inlineStr">
        <is>
          <t/>
        </is>
      </c>
      <c r="K376" t="n">
        <v>0.0</v>
      </c>
      <c r="L376" t="n">
        <v>0.0</v>
      </c>
      <c r="M376" t="n">
        <v>0.0</v>
      </c>
      <c r="N376" t="n">
        <v>0.0</v>
      </c>
      <c r="O376" t="n">
        <v>0.0</v>
      </c>
      <c r="P376" t="n">
        <v>0.0</v>
      </c>
      <c r="Q376" t="inlineStr">
        <is>
          <t/>
        </is>
      </c>
      <c r="R376" t="inlineStr">
        <is>
          <t/>
        </is>
      </c>
      <c r="S376" t="n">
        <v>0.0</v>
      </c>
      <c r="T376" t="n">
        <v>0.0</v>
      </c>
      <c r="U376" t="n">
        <v>0.0</v>
      </c>
      <c r="V376" t="n">
        <v>0.0</v>
      </c>
      <c r="W376" t="inlineStr">
        <is>
          <t/>
        </is>
      </c>
      <c r="X376" t="n">
        <v>0.0</v>
      </c>
      <c r="Y376" t="n">
        <v>0.0</v>
      </c>
      <c r="Z376" t="n">
        <v>0.0</v>
      </c>
      <c r="AA376" t="n">
        <v>0.0</v>
      </c>
      <c r="AB376" t="n">
        <v>0.0</v>
      </c>
      <c r="AC376" t="n">
        <v>0.0</v>
      </c>
      <c r="AD376" t="n">
        <v>7.0</v>
      </c>
      <c r="AE376" t="n">
        <v>0.0</v>
      </c>
      <c r="AF376" t="n">
        <v>0.0</v>
      </c>
      <c r="AG376" t="n">
        <v>0.0</v>
      </c>
      <c r="AH376" t="n">
        <v>0.0</v>
      </c>
      <c r="AI376" t="n">
        <v>0.0</v>
      </c>
      <c r="AJ376" t="n">
        <v>0.0</v>
      </c>
      <c r="AK376" t="n">
        <v>3.4285714285714284</v>
      </c>
      <c r="AL376" t="inlineStr">
        <is>
          <t/>
        </is>
      </c>
    </row>
    <row r="377">
      <c r="A377" t="inlineStr">
        <is>
          <t>我也不想吃啊，可它69够我吃一周了😂</t>
        </is>
      </c>
      <c r="B377" t="inlineStr">
        <is>
          <t>6a54ca980000000021016389</t>
        </is>
      </c>
      <c r="C377" s="376" t="n">
        <f>HYPERLINK("https://www.xiaohongshu.com/explore/6a54ca980000000021016389?xsec_token=TBnijnMEPEnSTDzzHBYv-GM4yV6_UC_mj7P366lEixv6Y=&amp;xsec_source=pc_trdark","https://www.xiaohongshu.com/explore/6a54ca980000000021016389?xsec_token=TBnijnMEPEnSTDzzHBYv-GM4yV6_UC_mj7P366lEixv6Y=&amp;xsec_source=pc_trdark")</f>
        <v>0.0</v>
      </c>
      <c r="D377" t="inlineStr">
        <is>
          <t>菲菲上班吃什么</t>
        </is>
      </c>
      <c r="E377" t="inlineStr">
        <is>
          <t>49936530607</t>
        </is>
      </c>
      <c r="F377" t="inlineStr">
        <is>
          <t>2026-07-13 19:23:04</t>
        </is>
      </c>
      <c r="G377" t="inlineStr">
        <is>
          <t>图文</t>
        </is>
      </c>
      <c r="H377" t="inlineStr">
        <is>
          <t>手剥虾仁 无冰衣无添加 低脂餐一人食 上班带饭 顺丰包邮 5盒装</t>
        </is>
      </c>
      <c r="I377" t="inlineStr">
        <is>
          <t>694baba01d450d00013662f0</t>
        </is>
      </c>
      <c r="J377" t="inlineStr">
        <is>
          <t/>
        </is>
      </c>
      <c r="K377" t="n">
        <v>0.0</v>
      </c>
      <c r="L377" t="n">
        <v>0.0</v>
      </c>
      <c r="M377" t="n">
        <v>2.0</v>
      </c>
      <c r="N377" t="n">
        <v>0.2857142857142857</v>
      </c>
      <c r="O377" t="n">
        <v>2.0</v>
      </c>
      <c r="P377" t="n">
        <v>0.0</v>
      </c>
      <c r="Q377" t="n">
        <v>0.0</v>
      </c>
      <c r="R377" t="n">
        <v>0.0</v>
      </c>
      <c r="S377" t="n">
        <v>0.0</v>
      </c>
      <c r="T377" t="n">
        <v>0.0</v>
      </c>
      <c r="U377" t="n">
        <v>0.0</v>
      </c>
      <c r="V377" t="n">
        <v>0.0</v>
      </c>
      <c r="W377" t="inlineStr">
        <is>
          <t/>
        </is>
      </c>
      <c r="X377" t="n">
        <v>0.0</v>
      </c>
      <c r="Y377" t="n">
        <v>0.0</v>
      </c>
      <c r="Z377" t="n">
        <v>0.0</v>
      </c>
      <c r="AA377" t="n">
        <v>0.0</v>
      </c>
      <c r="AB377" t="n">
        <v>0.0</v>
      </c>
      <c r="AC377" t="n">
        <v>0.0</v>
      </c>
      <c r="AD377" t="n">
        <v>7.0</v>
      </c>
      <c r="AE377" t="n">
        <v>0.0</v>
      </c>
      <c r="AF377" t="n">
        <v>0.0</v>
      </c>
      <c r="AG377" t="n">
        <v>0.0</v>
      </c>
      <c r="AH377" t="n">
        <v>0.0</v>
      </c>
      <c r="AI377" t="n">
        <v>0.0</v>
      </c>
      <c r="AJ377" t="n">
        <v>0.0</v>
      </c>
      <c r="AK377" t="n">
        <v>7.285714285714286</v>
      </c>
      <c r="AL377" t="inlineStr">
        <is>
          <t/>
        </is>
      </c>
    </row>
    <row r="378">
      <c r="A378" t="inlineStr">
        <is>
          <t>之所以是瘦女，是有道理的</t>
        </is>
      </c>
      <c r="B378" t="inlineStr">
        <is>
          <t>6a4f58e90000000021017fa7</t>
        </is>
      </c>
      <c r="C378" s="377" t="n">
        <f>HYPERLINK("https://www.xiaohongshu.com/explore/6a4f58e90000000021017fa7?xsec_token=TBFAmOxEStEk-753Ha7GZ-q_7c-PQj5flBzf1GPX6JXBk=&amp;xsec_source=pc_trdark","https://www.xiaohongshu.com/explore/6a4f58e90000000021017fa7?xsec_token=TBFAmOxEStEk-753Ha7GZ-q_7c-PQj5flBzf1GPX6JXBk=&amp;xsec_source=pc_trdark")</f>
        <v>0.0</v>
      </c>
      <c r="D378" t="inlineStr">
        <is>
          <t>婉婉上班吃什么</t>
        </is>
      </c>
      <c r="E378" t="inlineStr">
        <is>
          <t>11434449706</t>
        </is>
      </c>
      <c r="F378" t="inlineStr">
        <is>
          <t>2026-07-09 16:16:42</t>
        </is>
      </c>
      <c r="G378" t="inlineStr">
        <is>
          <t>图文</t>
        </is>
      </c>
      <c r="H378" t="inlineStr">
        <is>
          <t>手剥虾仁 无冰衣无添加 低脂餐一人食 上班带饭 顺丰包邮 5盒装</t>
        </is>
      </c>
      <c r="I378" t="inlineStr">
        <is>
          <t>694baba01d450d00013662f0</t>
        </is>
      </c>
      <c r="J378" t="inlineStr">
        <is>
          <t/>
        </is>
      </c>
      <c r="K378" t="n">
        <v>0.0</v>
      </c>
      <c r="L378" t="n">
        <v>0.0</v>
      </c>
      <c r="M378" t="n">
        <v>0.0</v>
      </c>
      <c r="N378" t="n">
        <v>0.0</v>
      </c>
      <c r="O378" t="n">
        <v>0.0</v>
      </c>
      <c r="P378" t="n">
        <v>0.0</v>
      </c>
      <c r="Q378" t="inlineStr">
        <is>
          <t/>
        </is>
      </c>
      <c r="R378" t="inlineStr">
        <is>
          <t/>
        </is>
      </c>
      <c r="S378" t="n">
        <v>0.0</v>
      </c>
      <c r="T378" t="n">
        <v>0.0</v>
      </c>
      <c r="U378" t="n">
        <v>0.0</v>
      </c>
      <c r="V378" t="n">
        <v>0.0</v>
      </c>
      <c r="W378" t="inlineStr">
        <is>
          <t/>
        </is>
      </c>
      <c r="X378" t="n">
        <v>0.0</v>
      </c>
      <c r="Y378" t="n">
        <v>0.0</v>
      </c>
      <c r="Z378" t="n">
        <v>0.0</v>
      </c>
      <c r="AA378" t="n">
        <v>0.0</v>
      </c>
      <c r="AB378" t="n">
        <v>0.0</v>
      </c>
      <c r="AC378" t="n">
        <v>0.0</v>
      </c>
      <c r="AD378" t="n">
        <v>7.0</v>
      </c>
      <c r="AE378" t="n">
        <v>0.0</v>
      </c>
      <c r="AF378" t="n">
        <v>0.0</v>
      </c>
      <c r="AG378" t="n">
        <v>0.0</v>
      </c>
      <c r="AH378" t="n">
        <v>0.0</v>
      </c>
      <c r="AI378" t="n">
        <v>0.0</v>
      </c>
      <c r="AJ378" t="n">
        <v>0.0</v>
      </c>
      <c r="AK378" t="n">
        <v>4.714285714285714</v>
      </c>
      <c r="AL378" t="inlineStr">
        <is>
          <t/>
        </is>
      </c>
    </row>
    <row r="379">
      <c r="A379" t="inlineStr">
        <is>
          <t>我也不想买啊😭但69够我吃一周虾仁了</t>
        </is>
      </c>
      <c r="B379" t="inlineStr">
        <is>
          <t>6a4e42ed0000000006033160</t>
        </is>
      </c>
      <c r="C379" s="378" t="n">
        <f>HYPERLINK("https://www.xiaohongshu.com/explore/6a4e42ed0000000006033160?xsec_token=TByg8Q0foMV6ZY6QKX3S5GBf_T5dbuIbVWPK6i_KNsNNA=&amp;xsec_source=pc_trdark","https://www.xiaohongshu.com/explore/6a4e42ed0000000006033160?xsec_token=TByg8Q0foMV6ZY6QKX3S5GBf_T5dbuIbVWPK6i_KNsNNA=&amp;xsec_source=pc_trdark")</f>
        <v>0.0</v>
      </c>
      <c r="D379" t="inlineStr">
        <is>
          <t>菲菲上班吃什么</t>
        </is>
      </c>
      <c r="E379" t="inlineStr">
        <is>
          <t>49936530607</t>
        </is>
      </c>
      <c r="F379" t="inlineStr">
        <is>
          <t>2026-07-08 20:30:37</t>
        </is>
      </c>
      <c r="G379" t="inlineStr">
        <is>
          <t>图文</t>
        </is>
      </c>
      <c r="H379" t="inlineStr">
        <is>
          <t>手剥虾仁 无冰衣无添加 低脂餐一人食 上班带饭 顺丰包邮 5盒装</t>
        </is>
      </c>
      <c r="I379" t="inlineStr">
        <is>
          <t>694baba01d450d00013662f0</t>
        </is>
      </c>
      <c r="J379" t="inlineStr">
        <is>
          <t/>
        </is>
      </c>
      <c r="K379" t="n">
        <v>0.0</v>
      </c>
      <c r="L379" t="n">
        <v>0.0</v>
      </c>
      <c r="M379" t="n">
        <v>1.0</v>
      </c>
      <c r="N379" t="inlineStr">
        <is>
          <t>0.14285714285714285</t>
        </is>
      </c>
      <c r="O379" t="n">
        <v>1.0</v>
      </c>
      <c r="P379" t="n">
        <v>0.0</v>
      </c>
      <c r="Q379" t="n">
        <v>0.0</v>
      </c>
      <c r="R379" t="n">
        <v>0.0</v>
      </c>
      <c r="S379" t="n">
        <v>0.0</v>
      </c>
      <c r="T379" t="n">
        <v>0.0</v>
      </c>
      <c r="U379" t="n">
        <v>0.0</v>
      </c>
      <c r="V379" t="n">
        <v>0.0</v>
      </c>
      <c r="W379" t="inlineStr">
        <is>
          <t/>
        </is>
      </c>
      <c r="X379" t="n">
        <v>0.0</v>
      </c>
      <c r="Y379" t="n">
        <v>0.0</v>
      </c>
      <c r="Z379" t="n">
        <v>0.0</v>
      </c>
      <c r="AA379" t="n">
        <v>0.0</v>
      </c>
      <c r="AB379" t="n">
        <v>0.0</v>
      </c>
      <c r="AC379" t="n">
        <v>0.0</v>
      </c>
      <c r="AD379" t="n">
        <v>7.0</v>
      </c>
      <c r="AE379" t="n">
        <v>1.0</v>
      </c>
      <c r="AF379" t="n">
        <v>0.0</v>
      </c>
      <c r="AG379" t="n">
        <v>0.0</v>
      </c>
      <c r="AH379" t="n">
        <v>0.0</v>
      </c>
      <c r="AI379" t="n">
        <v>0.0</v>
      </c>
      <c r="AJ379" t="n">
        <v>0.0</v>
      </c>
      <c r="AK379" t="n">
        <v>9.571428571428571</v>
      </c>
      <c r="AL379" t="inlineStr">
        <is>
          <t/>
        </is>
      </c>
    </row>
    <row r="380">
      <c r="A380" t="inlineStr">
        <is>
          <t>专为学生党推出的一人食三文鱼🤤</t>
        </is>
      </c>
      <c r="B380" t="inlineStr">
        <is>
          <t>6a4c723200000000210202d9</t>
        </is>
      </c>
      <c r="C380" s="379" t="n">
        <f>HYPERLINK("https://www.xiaohongshu.com/explore/6a4c723200000000210202d9?xsec_token=TBUTHXond34IOioCHeuH06uU6ssPiEK41LOtNC63A_oDI=&amp;xsec_source=pc_trdark","https://www.xiaohongshu.com/explore/6a4c723200000000210202d9?xsec_token=TBUTHXond34IOioCHeuH06uU6ssPiEK41LOtNC63A_oDI=&amp;xsec_source=pc_trdark")</f>
        <v>0.0</v>
      </c>
      <c r="D380" t="inlineStr">
        <is>
          <t>鲜水湾</t>
        </is>
      </c>
      <c r="E380" t="inlineStr">
        <is>
          <t>49316638994</t>
        </is>
      </c>
      <c r="F380" t="inlineStr">
        <is>
          <t>2026-07-07 11:27:46</t>
        </is>
      </c>
      <c r="G380" t="inlineStr">
        <is>
          <t>图文</t>
        </is>
      </c>
      <c r="H380" t="inlineStr">
        <is>
          <t>挪威冰鲜三文鱼刺身级食材生鱼片日式火锅食材顺丰包邮</t>
        </is>
      </c>
      <c r="I380" t="inlineStr">
        <is>
          <t>69cced09069e7b000143e726</t>
        </is>
      </c>
      <c r="J380" t="inlineStr">
        <is>
          <t/>
        </is>
      </c>
      <c r="K380" t="n">
        <v>0.0</v>
      </c>
      <c r="L380" t="n">
        <v>0.0</v>
      </c>
      <c r="M380" t="n">
        <v>5.0</v>
      </c>
      <c r="N380" t="n">
        <v>0.7142857142857143</v>
      </c>
      <c r="O380" t="n">
        <v>3.0</v>
      </c>
      <c r="P380" t="n">
        <v>0.0</v>
      </c>
      <c r="Q380" t="n">
        <v>0.0</v>
      </c>
      <c r="R380" t="n">
        <v>0.0</v>
      </c>
      <c r="S380" t="n">
        <v>0.0</v>
      </c>
      <c r="T380" t="n">
        <v>0.0</v>
      </c>
      <c r="U380" t="n">
        <v>0.0</v>
      </c>
      <c r="V380" t="n">
        <v>0.0</v>
      </c>
      <c r="W380" t="inlineStr">
        <is>
          <t/>
        </is>
      </c>
      <c r="X380" t="n">
        <v>0.0</v>
      </c>
      <c r="Y380" t="n">
        <v>0.0</v>
      </c>
      <c r="Z380" t="n">
        <v>10.0</v>
      </c>
      <c r="AA380" t="n">
        <v>0.0</v>
      </c>
      <c r="AB380" t="n">
        <v>0.0</v>
      </c>
      <c r="AC380" t="n">
        <v>0.0</v>
      </c>
      <c r="AD380" t="n">
        <v>7.0</v>
      </c>
      <c r="AE380" t="n">
        <v>1.0</v>
      </c>
      <c r="AF380" t="n">
        <v>0.0</v>
      </c>
      <c r="AG380" t="n">
        <v>0.0</v>
      </c>
      <c r="AH380" t="n">
        <v>0.0</v>
      </c>
      <c r="AI380" t="n">
        <v>0.0</v>
      </c>
      <c r="AJ380" t="n">
        <v>0.0</v>
      </c>
      <c r="AK380" t="n">
        <v>10.714285714285714</v>
      </c>
      <c r="AL380" t="inlineStr">
        <is>
          <t/>
        </is>
      </c>
    </row>
    <row r="381">
      <c r="A381" t="inlineStr">
        <is>
          <t>减脂期打工人午饭，终于不用自己算大卡了</t>
        </is>
      </c>
      <c r="B381" t="inlineStr">
        <is>
          <t>6a4b7b3900000000210148b7</t>
        </is>
      </c>
      <c r="C381" s="380" t="n">
        <f>HYPERLINK("https://www.xiaohongshu.com/explore/6a4b7b3900000000210148b7?xsec_token=TBbJ-JHK-PBbJgek6K72FYkQ6exkChrEtop8bDyfcO9eI=&amp;xsec_source=pc_trdark","https://www.xiaohongshu.com/explore/6a4b7b3900000000210148b7?xsec_token=TBbJ-JHK-PBbJgek6K72FYkQ6exkChrEtop8bDyfcO9eI=&amp;xsec_source=pc_trdark")</f>
        <v>0.0</v>
      </c>
      <c r="D381" t="inlineStr">
        <is>
          <t>菲菲上班吃什么</t>
        </is>
      </c>
      <c r="E381" t="inlineStr">
        <is>
          <t>49936530607</t>
        </is>
      </c>
      <c r="F381" t="inlineStr">
        <is>
          <t>2026-07-06 17:54:01</t>
        </is>
      </c>
      <c r="G381" t="inlineStr">
        <is>
          <t>图文</t>
        </is>
      </c>
      <c r="H381" t="inlineStr">
        <is>
          <t>手剥虾仁 无冰衣无添加 低脂餐一人食 上班带饭 顺丰包邮 5盒装</t>
        </is>
      </c>
      <c r="I381" t="inlineStr">
        <is>
          <t>694baba01d450d00013662f0</t>
        </is>
      </c>
      <c r="J381" t="inlineStr">
        <is>
          <t/>
        </is>
      </c>
      <c r="K381" t="n">
        <v>64.0</v>
      </c>
      <c r="L381" t="n">
        <v>1.0</v>
      </c>
      <c r="M381" t="n">
        <v>0.0</v>
      </c>
      <c r="N381" t="n">
        <v>0.0</v>
      </c>
      <c r="O381" t="n">
        <v>0.0</v>
      </c>
      <c r="P381" t="n">
        <v>1.0</v>
      </c>
      <c r="Q381" t="inlineStr">
        <is>
          <t/>
        </is>
      </c>
      <c r="R381" t="inlineStr">
        <is>
          <t/>
        </is>
      </c>
      <c r="S381" t="n">
        <v>0.0</v>
      </c>
      <c r="T381" t="n">
        <v>0.0</v>
      </c>
      <c r="U381" t="n">
        <v>0.0</v>
      </c>
      <c r="V381" t="n">
        <v>0.0</v>
      </c>
      <c r="W381" t="n">
        <v>0.0</v>
      </c>
      <c r="X381" t="n">
        <v>0.0</v>
      </c>
      <c r="Y381" t="n">
        <v>0.0</v>
      </c>
      <c r="Z381" t="n">
        <v>0.0</v>
      </c>
      <c r="AA381" t="n">
        <v>0.0</v>
      </c>
      <c r="AB381" t="n">
        <v>0.0</v>
      </c>
      <c r="AC381" t="n">
        <v>0.0</v>
      </c>
      <c r="AD381" t="n">
        <v>7.0</v>
      </c>
      <c r="AE381" t="n">
        <v>0.0</v>
      </c>
      <c r="AF381" t="n">
        <v>0.0</v>
      </c>
      <c r="AG381" t="n">
        <v>0.0</v>
      </c>
      <c r="AH381" t="n">
        <v>0.0</v>
      </c>
      <c r="AI381" t="n">
        <v>0.0</v>
      </c>
      <c r="AJ381" t="n">
        <v>0.0</v>
      </c>
      <c r="AK381" t="n">
        <v>4.285714285714286</v>
      </c>
      <c r="AL381" t="inlineStr">
        <is>
          <t/>
        </is>
      </c>
    </row>
    <row r="382">
      <c r="A382" t="inlineStr">
        <is>
          <t>100块吃不了一顿烧烤，但承包我一周减脂餐！</t>
        </is>
      </c>
      <c r="B382" t="inlineStr">
        <is>
          <t>6a42042f000000002100a44f</t>
        </is>
      </c>
      <c r="C382" s="381" t="n">
        <f>HYPERLINK("https://www.xiaohongshu.com/explore/6a42042f000000002100a44f?xsec_token=TBuZ9ZXJUs9vOVh3V3slJbLCIFW3b55eJkdyfwyQIIEU0=&amp;xsec_source=pc_trdark","https://www.xiaohongshu.com/explore/6a42042f000000002100a44f?xsec_token=TBuZ9ZXJUs9vOVh3V3slJbLCIFW3b55eJkdyfwyQIIEU0=&amp;xsec_source=pc_trdark")</f>
        <v>0.0</v>
      </c>
      <c r="D382" t="inlineStr">
        <is>
          <t>菲菲上班吃什么</t>
        </is>
      </c>
      <c r="E382" t="inlineStr">
        <is>
          <t>49936530607</t>
        </is>
      </c>
      <c r="F382" t="inlineStr">
        <is>
          <t>2026-06-29 13:35:43</t>
        </is>
      </c>
      <c r="G382" t="inlineStr">
        <is>
          <t>图文</t>
        </is>
      </c>
      <c r="H382" t="inlineStr">
        <is>
          <t>手剥虾仁 无冰衣无添加 低脂餐一人食 上班带饭 顺丰包邮 5盒装</t>
        </is>
      </c>
      <c r="I382" t="inlineStr">
        <is>
          <t>694baba01d450d00013662f0</t>
        </is>
      </c>
      <c r="J382" t="inlineStr">
        <is>
          <t/>
        </is>
      </c>
      <c r="K382" t="n">
        <v>0.0</v>
      </c>
      <c r="L382" t="n">
        <v>0.0</v>
      </c>
      <c r="M382" t="n">
        <v>1.0</v>
      </c>
      <c r="N382" t="inlineStr">
        <is>
          <t>0.14285714285714285</t>
        </is>
      </c>
      <c r="O382" t="n">
        <v>1.0</v>
      </c>
      <c r="P382" t="n">
        <v>0.0</v>
      </c>
      <c r="Q382" t="n">
        <v>0.0</v>
      </c>
      <c r="R382" t="n">
        <v>0.0</v>
      </c>
      <c r="S382" t="n">
        <v>0.0</v>
      </c>
      <c r="T382" t="n">
        <v>0.0</v>
      </c>
      <c r="U382" t="n">
        <v>0.0</v>
      </c>
      <c r="V382" t="n">
        <v>0.0</v>
      </c>
      <c r="W382" t="inlineStr">
        <is>
          <t/>
        </is>
      </c>
      <c r="X382" t="n">
        <v>0.0</v>
      </c>
      <c r="Y382" t="n">
        <v>0.0</v>
      </c>
      <c r="Z382" t="n">
        <v>0.0</v>
      </c>
      <c r="AA382" t="n">
        <v>0.0</v>
      </c>
      <c r="AB382" t="n">
        <v>0.0</v>
      </c>
      <c r="AC382" t="n">
        <v>0.0</v>
      </c>
      <c r="AD382" t="n">
        <v>7.0</v>
      </c>
      <c r="AE382" t="n">
        <v>0.0</v>
      </c>
      <c r="AF382" t="n">
        <v>0.0</v>
      </c>
      <c r="AG382" t="n">
        <v>0.0</v>
      </c>
      <c r="AH382" t="n">
        <v>0.0</v>
      </c>
      <c r="AI382" t="n">
        <v>0.0</v>
      </c>
      <c r="AJ382" t="n">
        <v>0.0</v>
      </c>
      <c r="AK382" t="n">
        <v>11.285714285714286</v>
      </c>
      <c r="AL382" t="inlineStr">
        <is>
          <t/>
        </is>
      </c>
    </row>
    <row r="383">
      <c r="A383" t="inlineStr">
        <is>
          <t/>
        </is>
      </c>
      <c r="B383" t="inlineStr">
        <is>
          <t>6a3f7e1f000000000702e37e</t>
        </is>
      </c>
      <c r="C383" s="382" t="n">
        <f>HYPERLINK("https://www.xiaohongshu.com/explore/6a3f7e1f000000000702e37e?xsec_token=TB-Xzc_eKrV4y7N7iH5lBvTq_F7LnK1uhBycU2TEVIyZA=&amp;xsec_source=pc_trdark","https://www.xiaohongshu.com/explore/6a3f7e1f000000000702e37e?xsec_token=TB-Xzc_eKrV4y7N7iH5lBvTq_F7LnK1uhBycU2TEVIyZA=&amp;xsec_source=pc_trdark")</f>
        <v>0.0</v>
      </c>
      <c r="D383" t="inlineStr">
        <is>
          <t>婉婉上班吃什么</t>
        </is>
      </c>
      <c r="E383" t="inlineStr">
        <is>
          <t>11434449706</t>
        </is>
      </c>
      <c r="F383" t="inlineStr">
        <is>
          <t>2026-06-27 15:39:11</t>
        </is>
      </c>
      <c r="G383" t="inlineStr">
        <is>
          <t>图文</t>
        </is>
      </c>
      <c r="H383" t="inlineStr">
        <is>
          <t>智利三文鱼切块·整条三文鱼·深海鱼一人食健康饮食</t>
        </is>
      </c>
      <c r="I383" t="inlineStr">
        <is>
          <t>691ac562a524ee0001b51d7b</t>
        </is>
      </c>
      <c r="J383" t="inlineStr">
        <is>
          <t/>
        </is>
      </c>
      <c r="K383" t="n">
        <v>0.0</v>
      </c>
      <c r="L383" t="n">
        <v>0.0</v>
      </c>
      <c r="M383" t="n">
        <v>0.0</v>
      </c>
      <c r="N383" t="n">
        <v>0.0</v>
      </c>
      <c r="O383" t="n">
        <v>0.0</v>
      </c>
      <c r="P383" t="n">
        <v>0.0</v>
      </c>
      <c r="Q383" t="inlineStr">
        <is>
          <t/>
        </is>
      </c>
      <c r="R383" t="inlineStr">
        <is>
          <t/>
        </is>
      </c>
      <c r="S383" t="n">
        <v>0.0</v>
      </c>
      <c r="T383" t="n">
        <v>0.0</v>
      </c>
      <c r="U383" t="n">
        <v>0.0</v>
      </c>
      <c r="V383" t="n">
        <v>0.0</v>
      </c>
      <c r="W383" t="inlineStr">
        <is>
          <t/>
        </is>
      </c>
      <c r="X383" t="n">
        <v>0.0</v>
      </c>
      <c r="Y383" t="n">
        <v>0.0</v>
      </c>
      <c r="Z383" t="n">
        <v>0.0</v>
      </c>
      <c r="AA383" t="n">
        <v>0.0</v>
      </c>
      <c r="AB383" t="n">
        <v>0.0</v>
      </c>
      <c r="AC383" t="n">
        <v>0.0</v>
      </c>
      <c r="AD383" t="n">
        <v>7.0</v>
      </c>
      <c r="AE383" t="n">
        <v>0.0</v>
      </c>
      <c r="AF383" t="n">
        <v>0.0</v>
      </c>
      <c r="AG383" t="n">
        <v>0.0</v>
      </c>
      <c r="AH383" t="n">
        <v>0.0</v>
      </c>
      <c r="AI383" t="n">
        <v>0.0</v>
      </c>
      <c r="AJ383" t="n">
        <v>0.0</v>
      </c>
      <c r="AK383" t="n">
        <v>20.0</v>
      </c>
      <c r="AL383" t="inlineStr">
        <is>
          <t/>
        </is>
      </c>
    </row>
    <row r="384">
      <c r="A384" t="inlineStr">
        <is>
          <t>但凡早点遇见你 谁还点外卖70+的啊🤫</t>
        </is>
      </c>
      <c r="B384" t="inlineStr">
        <is>
          <t>6a3cdbae000000002103edae</t>
        </is>
      </c>
      <c r="C384" s="383" t="n">
        <f>HYPERLINK("https://www.xiaohongshu.com/explore/6a3cdbae000000002103edae?xsec_token=TBQt52IBW7vEIUvgGBbMhHr_ApL7VBjxCPtIfIka_vves=&amp;xsec_source=pc_trdark","https://www.xiaohongshu.com/explore/6a3cdbae000000002103edae?xsec_token=TBQt52IBW7vEIUvgGBbMhHr_ApL7VBjxCPtIfIka_vves=&amp;xsec_source=pc_trdark")</f>
        <v>0.0</v>
      </c>
      <c r="D384" t="inlineStr">
        <is>
          <t>婉婉上班吃什么</t>
        </is>
      </c>
      <c r="E384" t="inlineStr">
        <is>
          <t>11434449706</t>
        </is>
      </c>
      <c r="F384" t="inlineStr">
        <is>
          <t>2026-06-25 15:41:34</t>
        </is>
      </c>
      <c r="G384" t="inlineStr">
        <is>
          <t>图文</t>
        </is>
      </c>
      <c r="H384" t="inlineStr">
        <is>
          <t>智利尾端中段整条三文鱼 8斤深海鱼低脂餐囤货一周备菜顺丰包邮</t>
        </is>
      </c>
      <c r="I384" t="inlineStr">
        <is>
          <t>69fab80d64eb410001ece0c0</t>
        </is>
      </c>
      <c r="J384" t="inlineStr">
        <is>
          <t/>
        </is>
      </c>
      <c r="K384" t="n">
        <v>0.0</v>
      </c>
      <c r="L384" t="n">
        <v>0.0</v>
      </c>
      <c r="M384" t="n">
        <v>1.0</v>
      </c>
      <c r="N384" t="inlineStr">
        <is>
          <t>0.14285714285714285</t>
        </is>
      </c>
      <c r="O384" t="n">
        <v>1.0</v>
      </c>
      <c r="P384" t="n">
        <v>0.0</v>
      </c>
      <c r="Q384" t="n">
        <v>0.0</v>
      </c>
      <c r="R384" t="n">
        <v>0.0</v>
      </c>
      <c r="S384" t="n">
        <v>0.0</v>
      </c>
      <c r="T384" t="n">
        <v>0.0</v>
      </c>
      <c r="U384" t="n">
        <v>0.0</v>
      </c>
      <c r="V384" t="n">
        <v>0.0</v>
      </c>
      <c r="W384" t="inlineStr">
        <is>
          <t/>
        </is>
      </c>
      <c r="X384" t="n">
        <v>0.0</v>
      </c>
      <c r="Y384" t="n">
        <v>0.0</v>
      </c>
      <c r="Z384" t="n">
        <v>0.0</v>
      </c>
      <c r="AA384" t="n">
        <v>0.0</v>
      </c>
      <c r="AB384" t="n">
        <v>0.0</v>
      </c>
      <c r="AC384" t="n">
        <v>0.0</v>
      </c>
      <c r="AD384" t="n">
        <v>7.0</v>
      </c>
      <c r="AE384" t="n">
        <v>0.0</v>
      </c>
      <c r="AF384" t="n">
        <v>0.0</v>
      </c>
      <c r="AG384" t="n">
        <v>0.0</v>
      </c>
      <c r="AH384" t="n">
        <v>0.0</v>
      </c>
      <c r="AI384" t="n">
        <v>0.0</v>
      </c>
      <c r="AJ384" t="n">
        <v>0.0</v>
      </c>
      <c r="AK384" t="n">
        <v>3.2857142857142856</v>
      </c>
      <c r="AL384" t="inlineStr">
        <is>
          <t/>
        </is>
      </c>
    </row>
    <row r="385">
      <c r="A385" t="inlineStr">
        <is>
          <t>同事对于我每天吃一盒虾，表示很奢侈……</t>
        </is>
      </c>
      <c r="B385" t="inlineStr">
        <is>
          <t>6a3b8598000000000803351b</t>
        </is>
      </c>
      <c r="C385" s="384" t="n">
        <f>HYPERLINK("https://www.xiaohongshu.com/explore/6a3b8598000000000803351b?xsec_token=TB5Q_AKgvJfz9cep0BZIf0XSqzKkv_VxygggagxGFW6LI=&amp;xsec_source=pc_trdark","https://www.xiaohongshu.com/explore/6a3b8598000000000803351b?xsec_token=TB5Q_AKgvJfz9cep0BZIf0XSqzKkv_VxygggagxGFW6LI=&amp;xsec_source=pc_trdark")</f>
        <v>0.0</v>
      </c>
      <c r="D385" t="inlineStr">
        <is>
          <t>菲菲上班吃什么</t>
        </is>
      </c>
      <c r="E385" t="inlineStr">
        <is>
          <t>49936530607</t>
        </is>
      </c>
      <c r="F385" t="inlineStr">
        <is>
          <t>2026-06-24 15:22:00</t>
        </is>
      </c>
      <c r="G385" t="inlineStr">
        <is>
          <t>图文</t>
        </is>
      </c>
      <c r="H385" t="inlineStr">
        <is>
          <t>手剥虾仁 无冰衣无添加 低脂餐一人食 上班带饭 顺丰包邮 5盒装</t>
        </is>
      </c>
      <c r="I385" t="inlineStr">
        <is>
          <t>694baba01d450d00013662f0</t>
        </is>
      </c>
      <c r="J385" t="inlineStr">
        <is>
          <t/>
        </is>
      </c>
      <c r="K385" t="n">
        <v>0.0</v>
      </c>
      <c r="L385" t="n">
        <v>0.0</v>
      </c>
      <c r="M385" t="n">
        <v>1.0</v>
      </c>
      <c r="N385" t="inlineStr">
        <is>
          <t>0.14285714285714285</t>
        </is>
      </c>
      <c r="O385" t="n">
        <v>1.0</v>
      </c>
      <c r="P385" t="n">
        <v>0.0</v>
      </c>
      <c r="Q385" t="n">
        <v>0.0</v>
      </c>
      <c r="R385" t="n">
        <v>0.0</v>
      </c>
      <c r="S385" t="n">
        <v>0.0</v>
      </c>
      <c r="T385" t="n">
        <v>0.0</v>
      </c>
      <c r="U385" t="n">
        <v>0.0</v>
      </c>
      <c r="V385" t="n">
        <v>0.0</v>
      </c>
      <c r="W385" t="inlineStr">
        <is>
          <t/>
        </is>
      </c>
      <c r="X385" t="n">
        <v>0.0</v>
      </c>
      <c r="Y385" t="n">
        <v>0.0</v>
      </c>
      <c r="Z385" t="n">
        <v>0.0</v>
      </c>
      <c r="AA385" t="n">
        <v>0.0</v>
      </c>
      <c r="AB385" t="n">
        <v>0.0</v>
      </c>
      <c r="AC385" t="n">
        <v>0.0</v>
      </c>
      <c r="AD385" t="n">
        <v>7.0</v>
      </c>
      <c r="AE385" t="n">
        <v>0.0</v>
      </c>
      <c r="AF385" t="n">
        <v>0.0</v>
      </c>
      <c r="AG385" t="n">
        <v>0.0</v>
      </c>
      <c r="AH385" t="n">
        <v>0.0</v>
      </c>
      <c r="AI385" t="n">
        <v>0.0</v>
      </c>
      <c r="AJ385" t="n">
        <v>0.0</v>
      </c>
      <c r="AK385" t="n">
        <v>8.0</v>
      </c>
      <c r="AL385" t="inlineStr">
        <is>
          <t/>
        </is>
      </c>
    </row>
    <row r="386">
      <c r="A386" t="inlineStr">
        <is>
          <t>减脂期最近反复吃的菲力三文鱼</t>
        </is>
      </c>
      <c r="B386" t="inlineStr">
        <is>
          <t>6a2b6d7e000000000803fce1</t>
        </is>
      </c>
      <c r="C386" s="385" t="n">
        <f>HYPERLINK("https://www.xiaohongshu.com/explore/6a2b6d7e000000000803fce1?xsec_token=TB6z4gaYVtaJENMGYq0Pmb5MDmJ_2YlWJispp8l0Jh2fY=&amp;xsec_source=pc_trdark","https://www.xiaohongshu.com/explore/6a2b6d7e000000000803fce1?xsec_token=TB6z4gaYVtaJENMGYq0Pmb5MDmJ_2YlWJispp8l0Jh2fY=&amp;xsec_source=pc_trdark")</f>
        <v>0.0</v>
      </c>
      <c r="D386" t="inlineStr">
        <is>
          <t>鲜水湾</t>
        </is>
      </c>
      <c r="E386" t="inlineStr">
        <is>
          <t>49316638994</t>
        </is>
      </c>
      <c r="F386" t="inlineStr">
        <is>
          <t>2026-06-12 10:22:54</t>
        </is>
      </c>
      <c r="G386" t="inlineStr">
        <is>
          <t>图文</t>
        </is>
      </c>
      <c r="H386" t="inlineStr">
        <is>
          <t>智利三文鱼切块·整条三文鱼·深海鱼一人食健康饮食</t>
        </is>
      </c>
      <c r="I386" t="inlineStr">
        <is>
          <t>691ac562a524ee0001b51d7b</t>
        </is>
      </c>
      <c r="J386" t="inlineStr">
        <is>
          <t/>
        </is>
      </c>
      <c r="K386" t="n">
        <v>0.0</v>
      </c>
      <c r="L386" t="n">
        <v>0.0</v>
      </c>
      <c r="M386" t="n">
        <v>0.0</v>
      </c>
      <c r="N386" t="n">
        <v>0.0</v>
      </c>
      <c r="O386" t="n">
        <v>0.0</v>
      </c>
      <c r="P386" t="n">
        <v>0.0</v>
      </c>
      <c r="Q386" t="inlineStr">
        <is>
          <t/>
        </is>
      </c>
      <c r="R386" t="inlineStr">
        <is>
          <t/>
        </is>
      </c>
      <c r="S386" t="n">
        <v>0.0</v>
      </c>
      <c r="T386" t="n">
        <v>0.0</v>
      </c>
      <c r="U386" t="n">
        <v>0.0</v>
      </c>
      <c r="V386" t="n">
        <v>0.0</v>
      </c>
      <c r="W386" t="inlineStr">
        <is>
          <t/>
        </is>
      </c>
      <c r="X386" t="n">
        <v>0.0</v>
      </c>
      <c r="Y386" t="n">
        <v>0.0</v>
      </c>
      <c r="Z386" t="n">
        <v>0.0</v>
      </c>
      <c r="AA386" t="n">
        <v>0.0</v>
      </c>
      <c r="AB386" t="n">
        <v>0.0</v>
      </c>
      <c r="AC386" t="n">
        <v>0.0</v>
      </c>
      <c r="AD386" t="n">
        <v>7.0</v>
      </c>
      <c r="AE386" t="n">
        <v>0.0</v>
      </c>
      <c r="AF386" t="n">
        <v>0.0</v>
      </c>
      <c r="AG386" t="n">
        <v>0.0</v>
      </c>
      <c r="AH386" t="n">
        <v>0.0</v>
      </c>
      <c r="AI386" t="n">
        <v>0.0</v>
      </c>
      <c r="AJ386" t="n">
        <v>0.0</v>
      </c>
      <c r="AK386" t="n">
        <v>10.428571428571429</v>
      </c>
      <c r="AL386" t="inlineStr">
        <is>
          <t/>
        </is>
      </c>
    </row>
    <row r="387">
      <c r="A387" t="inlineStr">
        <is>
          <t>脱脂牛马控体餐，瘦都是我应得的！</t>
        </is>
      </c>
      <c r="B387" t="inlineStr">
        <is>
          <t>6a1fc76f0000000006020249</t>
        </is>
      </c>
      <c r="C387" s="386" t="n">
        <f>HYPERLINK("https://www.xiaohongshu.com/explore/6a1fc76f0000000006020249?xsec_token=TB6EZ8Y08PPqC5fHOGEZ2EHiVVVjFznGt5K4AZ3rHJHrI=&amp;xsec_source=pc_trdark","https://www.xiaohongshu.com/explore/6a1fc76f0000000006020249?xsec_token=TB6EZ8Y08PPqC5fHOGEZ2EHiVVVjFznGt5K4AZ3rHJHrI=&amp;xsec_source=pc_trdark")</f>
        <v>0.0</v>
      </c>
      <c r="D387" t="inlineStr">
        <is>
          <t>鲜水湾</t>
        </is>
      </c>
      <c r="E387" t="inlineStr">
        <is>
          <t>49316638994</t>
        </is>
      </c>
      <c r="F387" t="inlineStr">
        <is>
          <t>2026-06-03 14:19:27</t>
        </is>
      </c>
      <c r="G387" t="inlineStr">
        <is>
          <t>图文</t>
        </is>
      </c>
      <c r="H387" t="inlineStr">
        <is>
          <t>智利三文鱼切块·整条三文鱼·深海鱼一人食健康饮食</t>
        </is>
      </c>
      <c r="I387" t="inlineStr">
        <is>
          <t>691ac562a524ee0001b51d7b</t>
        </is>
      </c>
      <c r="J387" t="inlineStr">
        <is>
          <t/>
        </is>
      </c>
      <c r="K387" t="n">
        <v>0.0</v>
      </c>
      <c r="L387" t="n">
        <v>0.0</v>
      </c>
      <c r="M387" t="n">
        <v>1.0</v>
      </c>
      <c r="N387" t="inlineStr">
        <is>
          <t>0.14285714285714285</t>
        </is>
      </c>
      <c r="O387" t="n">
        <v>1.0</v>
      </c>
      <c r="P387" t="n">
        <v>0.0</v>
      </c>
      <c r="Q387" t="n">
        <v>0.0</v>
      </c>
      <c r="R387" t="n">
        <v>0.0</v>
      </c>
      <c r="S387" t="n">
        <v>0.0</v>
      </c>
      <c r="T387" t="n">
        <v>0.0</v>
      </c>
      <c r="U387" t="n">
        <v>0.0</v>
      </c>
      <c r="V387" t="n">
        <v>0.0</v>
      </c>
      <c r="W387" t="inlineStr">
        <is>
          <t/>
        </is>
      </c>
      <c r="X387" t="n">
        <v>0.0</v>
      </c>
      <c r="Y387" t="n">
        <v>0.0</v>
      </c>
      <c r="Z387" t="n">
        <v>0.0</v>
      </c>
      <c r="AA387" t="n">
        <v>0.0</v>
      </c>
      <c r="AB387" t="n">
        <v>0.0</v>
      </c>
      <c r="AC387" t="n">
        <v>0.0</v>
      </c>
      <c r="AD387" t="n">
        <v>7.0</v>
      </c>
      <c r="AE387" t="n">
        <v>0.0</v>
      </c>
      <c r="AF387" t="n">
        <v>0.0</v>
      </c>
      <c r="AG387" t="n">
        <v>0.0</v>
      </c>
      <c r="AH387" t="n">
        <v>0.0</v>
      </c>
      <c r="AI387" t="n">
        <v>0.0</v>
      </c>
      <c r="AJ387" t="n">
        <v>0.0</v>
      </c>
      <c r="AK387" t="n">
        <v>12.571428571428571</v>
      </c>
      <c r="AL387" t="inlineStr">
        <is>
          <t/>
        </is>
      </c>
    </row>
    <row r="388">
      <c r="A388" t="inlineStr">
        <is>
          <t>三文鱼别直接下锅，这样煎才嫩不柴</t>
        </is>
      </c>
      <c r="B388" t="inlineStr">
        <is>
          <t>6a0f0f66000000000701304a</t>
        </is>
      </c>
      <c r="C388" s="387" t="n">
        <f>HYPERLINK("https://www.xiaohongshu.com/explore/6a0f0f66000000000701304a?xsec_token=TBd_B63JN0tjdtncBm9C_ukrNNbPeptGxVgPufibvF2Qc=&amp;xsec_source=pc_trdark","https://www.xiaohongshu.com/explore/6a0f0f66000000000701304a?xsec_token=TBd_B63JN0tjdtncBm9C_ukrNNbPeptGxVgPufibvF2Qc=&amp;xsec_source=pc_trdark")</f>
        <v>0.0</v>
      </c>
      <c r="D388" t="inlineStr">
        <is>
          <t>鲜水湾</t>
        </is>
      </c>
      <c r="E388" t="inlineStr">
        <is>
          <t>49316638994</t>
        </is>
      </c>
      <c r="F388" t="inlineStr">
        <is>
          <t>2026-05-21 21:57:58</t>
        </is>
      </c>
      <c r="G388" t="inlineStr">
        <is>
          <t>图文</t>
        </is>
      </c>
      <c r="H388" t="inlineStr">
        <is>
          <t>智利尾端中段整条三文鱼 8斤深海鱼低脂餐囤货一周备菜顺丰包邮</t>
        </is>
      </c>
      <c r="I388" t="inlineStr">
        <is>
          <t>69fab80d64eb410001ece0c0</t>
        </is>
      </c>
      <c r="J388" t="inlineStr">
        <is>
          <t/>
        </is>
      </c>
      <c r="K388" t="n">
        <v>0.0</v>
      </c>
      <c r="L388" t="n">
        <v>0.0</v>
      </c>
      <c r="M388" t="n">
        <v>0.0</v>
      </c>
      <c r="N388" t="n">
        <v>0.0</v>
      </c>
      <c r="O388" t="n">
        <v>0.0</v>
      </c>
      <c r="P388" t="n">
        <v>0.0</v>
      </c>
      <c r="Q388" t="inlineStr">
        <is>
          <t/>
        </is>
      </c>
      <c r="R388" t="inlineStr">
        <is>
          <t/>
        </is>
      </c>
      <c r="S388" t="n">
        <v>0.0</v>
      </c>
      <c r="T388" t="n">
        <v>0.0</v>
      </c>
      <c r="U388" t="n">
        <v>0.0</v>
      </c>
      <c r="V388" t="n">
        <v>0.0</v>
      </c>
      <c r="W388" t="inlineStr">
        <is>
          <t/>
        </is>
      </c>
      <c r="X388" t="n">
        <v>0.0</v>
      </c>
      <c r="Y388" t="n">
        <v>0.0</v>
      </c>
      <c r="Z388" t="n">
        <v>0.0</v>
      </c>
      <c r="AA388" t="n">
        <v>0.0</v>
      </c>
      <c r="AB388" t="n">
        <v>0.0</v>
      </c>
      <c r="AC388" t="n">
        <v>0.0</v>
      </c>
      <c r="AD388" t="n">
        <v>7.0</v>
      </c>
      <c r="AE388" t="n">
        <v>0.0</v>
      </c>
      <c r="AF388" t="n">
        <v>0.0</v>
      </c>
      <c r="AG388" t="n">
        <v>0.0</v>
      </c>
      <c r="AH388" t="n">
        <v>0.0</v>
      </c>
      <c r="AI388" t="n">
        <v>0.0</v>
      </c>
      <c r="AJ388" t="n">
        <v>0.0</v>
      </c>
      <c r="AK388" t="n">
        <v>9.142857142857142</v>
      </c>
      <c r="AL388" t="inlineStr">
        <is>
          <t/>
        </is>
      </c>
    </row>
    <row r="389">
      <c r="A389" t="inlineStr">
        <is>
          <t>以为69没多少，结果够我一周上班带饭了</t>
        </is>
      </c>
      <c r="B389" t="inlineStr">
        <is>
          <t>6a0e9cd40000000008027b54</t>
        </is>
      </c>
      <c r="C389" s="388" t="n">
        <f>HYPERLINK("https://www.xiaohongshu.com/explore/6a0e9cd40000000008027b54?xsec_token=TBPYckZc_Zeu4ZPU768x1mBqSBGj4WaKS_qsALtkpg7Wg=&amp;xsec_source=pc_trdark","https://www.xiaohongshu.com/explore/6a0e9cd40000000008027b54?xsec_token=TBPYckZc_Zeu4ZPU768x1mBqSBGj4WaKS_qsALtkpg7Wg=&amp;xsec_source=pc_trdark")</f>
        <v>0.0</v>
      </c>
      <c r="D389" t="inlineStr">
        <is>
          <t>婉婉上班吃什么</t>
        </is>
      </c>
      <c r="E389" t="inlineStr">
        <is>
          <t>11434449706</t>
        </is>
      </c>
      <c r="F389" t="inlineStr">
        <is>
          <t>2026-05-21 13:49:08</t>
        </is>
      </c>
      <c r="G389" t="inlineStr">
        <is>
          <t>图文</t>
        </is>
      </c>
      <c r="H389" t="inlineStr">
        <is>
          <t>手剥虾仁 无冰衣无添加 低脂餐一人食 上班带饭 顺丰包邮 5盒装</t>
        </is>
      </c>
      <c r="I389" t="inlineStr">
        <is>
          <t>694baba01d450d00013662f0</t>
        </is>
      </c>
      <c r="J389" t="inlineStr">
        <is>
          <t/>
        </is>
      </c>
      <c r="K389" t="n">
        <v>0.0</v>
      </c>
      <c r="L389" t="n">
        <v>0.0</v>
      </c>
      <c r="M389" t="n">
        <v>0.0</v>
      </c>
      <c r="N389" t="n">
        <v>0.0</v>
      </c>
      <c r="O389" t="n">
        <v>0.0</v>
      </c>
      <c r="P389" t="n">
        <v>0.0</v>
      </c>
      <c r="Q389" t="inlineStr">
        <is>
          <t/>
        </is>
      </c>
      <c r="R389" t="inlineStr">
        <is>
          <t/>
        </is>
      </c>
      <c r="S389" t="n">
        <v>0.0</v>
      </c>
      <c r="T389" t="n">
        <v>0.0</v>
      </c>
      <c r="U389" t="n">
        <v>0.0</v>
      </c>
      <c r="V389" t="n">
        <v>0.0</v>
      </c>
      <c r="W389" t="inlineStr">
        <is>
          <t/>
        </is>
      </c>
      <c r="X389" t="n">
        <v>0.0</v>
      </c>
      <c r="Y389" t="n">
        <v>0.0</v>
      </c>
      <c r="Z389" t="n">
        <v>0.0</v>
      </c>
      <c r="AA389" t="n">
        <v>0.0</v>
      </c>
      <c r="AB389" t="n">
        <v>0.0</v>
      </c>
      <c r="AC389" t="n">
        <v>0.0</v>
      </c>
      <c r="AD389" t="n">
        <v>7.0</v>
      </c>
      <c r="AE389" t="n">
        <v>0.0</v>
      </c>
      <c r="AF389" t="n">
        <v>0.0</v>
      </c>
      <c r="AG389" t="n">
        <v>0.0</v>
      </c>
      <c r="AH389" t="n">
        <v>0.0</v>
      </c>
      <c r="AI389" t="n">
        <v>0.0</v>
      </c>
      <c r="AJ389" t="n">
        <v>0.0</v>
      </c>
      <c r="AK389" t="n">
        <v>6.714285714285714</v>
      </c>
      <c r="AL389" t="inlineStr">
        <is>
          <t/>
        </is>
      </c>
    </row>
    <row r="390">
      <c r="A390" t="inlineStr">
        <is>
          <t>低卡卡美味的三文鱼，管理期也太幸福了</t>
        </is>
      </c>
      <c r="B390" t="inlineStr">
        <is>
          <t>69e5f9c10000000023006df8</t>
        </is>
      </c>
      <c r="C390" s="389" t="n">
        <f>HYPERLINK("https://www.xiaohongshu.com/explore/69e5f9c10000000023006df8?xsec_token=TBRM_4pSbJalcnymykJyoKXewaM1_5Z2-JEAaRmdOPjWw=&amp;xsec_source=pc_trdark","https://www.xiaohongshu.com/explore/69e5f9c10000000023006df8?xsec_token=TBRM_4pSbJalcnymykJyoKXewaM1_5Z2-JEAaRmdOPjWw=&amp;xsec_source=pc_trdark")</f>
        <v>0.0</v>
      </c>
      <c r="D390" t="inlineStr">
        <is>
          <t>婉婉上班吃什么</t>
        </is>
      </c>
      <c r="E390" t="inlineStr">
        <is>
          <t>11434449706</t>
        </is>
      </c>
      <c r="F390" t="inlineStr">
        <is>
          <t>2026-04-20 18:02:41</t>
        </is>
      </c>
      <c r="G390" t="inlineStr">
        <is>
          <t>图文</t>
        </is>
      </c>
      <c r="H390" t="inlineStr">
        <is>
          <t>智利尾端中段整条三文鱼 8斤深海鱼低脂餐囤货一周备菜顺丰包邮</t>
        </is>
      </c>
      <c r="I390" t="inlineStr">
        <is>
          <t>69fab80d64eb410001ece0c0</t>
        </is>
      </c>
      <c r="J390" t="inlineStr">
        <is>
          <t/>
        </is>
      </c>
      <c r="K390" t="n">
        <v>0.0</v>
      </c>
      <c r="L390" t="n">
        <v>0.0</v>
      </c>
      <c r="M390" t="n">
        <v>0.0</v>
      </c>
      <c r="N390" t="n">
        <v>0.0</v>
      </c>
      <c r="O390" t="n">
        <v>0.0</v>
      </c>
      <c r="P390" t="n">
        <v>0.0</v>
      </c>
      <c r="Q390" t="inlineStr">
        <is>
          <t/>
        </is>
      </c>
      <c r="R390" t="inlineStr">
        <is>
          <t/>
        </is>
      </c>
      <c r="S390" t="n">
        <v>0.0</v>
      </c>
      <c r="T390" t="n">
        <v>0.0</v>
      </c>
      <c r="U390" t="n">
        <v>0.0</v>
      </c>
      <c r="V390" t="n">
        <v>0.0</v>
      </c>
      <c r="W390" t="inlineStr">
        <is>
          <t/>
        </is>
      </c>
      <c r="X390" t="n">
        <v>0.0</v>
      </c>
      <c r="Y390" t="n">
        <v>0.0</v>
      </c>
      <c r="Z390" t="n">
        <v>0.0</v>
      </c>
      <c r="AA390" t="n">
        <v>0.0</v>
      </c>
      <c r="AB390" t="n">
        <v>0.0</v>
      </c>
      <c r="AC390" t="n">
        <v>0.0</v>
      </c>
      <c r="AD390" t="n">
        <v>7.0</v>
      </c>
      <c r="AE390" t="n">
        <v>0.0</v>
      </c>
      <c r="AF390" t="n">
        <v>0.0</v>
      </c>
      <c r="AG390" t="n">
        <v>0.0</v>
      </c>
      <c r="AH390" t="n">
        <v>0.0</v>
      </c>
      <c r="AI390" t="n">
        <v>0.0</v>
      </c>
      <c r="AJ390" t="n">
        <v>0.0</v>
      </c>
      <c r="AK390" t="n">
        <v>2.857142857142857</v>
      </c>
      <c r="AL390" t="inlineStr">
        <is>
          <t/>
        </is>
      </c>
    </row>
    <row r="391">
      <c r="A391" t="inlineStr">
        <is>
          <t>听劝…315曝光后我再也不买这种水晶虾仁了</t>
        </is>
      </c>
      <c r="B391" t="inlineStr">
        <is>
          <t>69d89deb000000001a02d24c</t>
        </is>
      </c>
      <c r="C391" s="390" t="n">
        <f>HYPERLINK("https://www.xiaohongshu.com/explore/69d89deb000000001a02d24c?xsec_token=TBaP4Vb_xh4r06-3Gp1C6IePLTETTMwqtYonN5fW1jXAk=&amp;xsec_source=pc_trdark","https://www.xiaohongshu.com/explore/69d89deb000000001a02d24c?xsec_token=TBaP4Vb_xh4r06-3Gp1C6IePLTETTMwqtYonN5fW1jXAk=&amp;xsec_source=pc_trdark")</f>
        <v>0.0</v>
      </c>
      <c r="D391" t="inlineStr">
        <is>
          <t>菲菲上班吃什么</t>
        </is>
      </c>
      <c r="E391" t="inlineStr">
        <is>
          <t>49936530607</t>
        </is>
      </c>
      <c r="F391" t="inlineStr">
        <is>
          <t>2026-04-10 14:51:23</t>
        </is>
      </c>
      <c r="G391" t="inlineStr">
        <is>
          <t>图文</t>
        </is>
      </c>
      <c r="H391" t="inlineStr">
        <is>
          <t>手剥虾仁 无冰衣无添加 低脂餐一人食 上班带饭 顺丰包邮 5盒装</t>
        </is>
      </c>
      <c r="I391" t="inlineStr">
        <is>
          <t>694baba01d450d00013662f0</t>
        </is>
      </c>
      <c r="J391" t="inlineStr">
        <is>
          <t/>
        </is>
      </c>
      <c r="K391" t="n">
        <v>0.0</v>
      </c>
      <c r="L391" t="n">
        <v>0.0</v>
      </c>
      <c r="M391" t="n">
        <v>0.0</v>
      </c>
      <c r="N391" t="n">
        <v>0.0</v>
      </c>
      <c r="O391" t="n">
        <v>0.0</v>
      </c>
      <c r="P391" t="n">
        <v>0.0</v>
      </c>
      <c r="Q391" t="inlineStr">
        <is>
          <t/>
        </is>
      </c>
      <c r="R391" t="inlineStr">
        <is>
          <t/>
        </is>
      </c>
      <c r="S391" t="n">
        <v>0.0</v>
      </c>
      <c r="T391" t="n">
        <v>0.0</v>
      </c>
      <c r="U391" t="n">
        <v>0.0</v>
      </c>
      <c r="V391" t="n">
        <v>0.0</v>
      </c>
      <c r="W391" t="inlineStr">
        <is>
          <t/>
        </is>
      </c>
      <c r="X391" t="n">
        <v>0.0</v>
      </c>
      <c r="Y391" t="n">
        <v>0.0</v>
      </c>
      <c r="Z391" t="n">
        <v>0.0</v>
      </c>
      <c r="AA391" t="n">
        <v>0.0</v>
      </c>
      <c r="AB391" t="n">
        <v>0.0</v>
      </c>
      <c r="AC391" t="n">
        <v>0.0</v>
      </c>
      <c r="AD391" t="n">
        <v>7.0</v>
      </c>
      <c r="AE391" t="n">
        <v>0.0</v>
      </c>
      <c r="AF391" t="n">
        <v>0.0</v>
      </c>
      <c r="AG391" t="n">
        <v>0.0</v>
      </c>
      <c r="AH391" t="n">
        <v>0.0</v>
      </c>
      <c r="AI391" t="n">
        <v>0.0</v>
      </c>
      <c r="AJ391" t="n">
        <v>0.0</v>
      </c>
      <c r="AK391" t="n">
        <v>6.0</v>
      </c>
      <c r="AL391" t="inlineStr">
        <is>
          <t/>
        </is>
      </c>
    </row>
    <row r="392">
      <c r="A392" t="inlineStr">
        <is>
          <t>某姆的虾仁好吃，但大包装真的劝退</t>
        </is>
      </c>
      <c r="B392" t="inlineStr">
        <is>
          <t>69d77bfe000000001a037d57</t>
        </is>
      </c>
      <c r="C392" s="391" t="n">
        <f>HYPERLINK("https://www.xiaohongshu.com/explore/69d77bfe000000001a037d57?xsec_token=TBabSJw1DqF320Z_FWL3yrQ25-9t126h9fbKSMey9tXmY=&amp;xsec_source=pc_trdark","https://www.xiaohongshu.com/explore/69d77bfe000000001a037d57?xsec_token=TBabSJw1DqF320Z_FWL3yrQ25-9t126h9fbKSMey9tXmY=&amp;xsec_source=pc_trdark")</f>
        <v>0.0</v>
      </c>
      <c r="D392" t="inlineStr">
        <is>
          <t>鲜水湾</t>
        </is>
      </c>
      <c r="E392" t="inlineStr">
        <is>
          <t>49316638994</t>
        </is>
      </c>
      <c r="F392" t="inlineStr">
        <is>
          <t>2026-04-09 18:14:22</t>
        </is>
      </c>
      <c r="G392" t="inlineStr">
        <is>
          <t>图文</t>
        </is>
      </c>
      <c r="H392" t="inlineStr">
        <is>
          <t>手剥虾仁 无冰衣无添加 低脂餐一人食 上班带饭 顺丰包邮 5盒装</t>
        </is>
      </c>
      <c r="I392" t="inlineStr">
        <is>
          <t>694baba01d450d00013662f0</t>
        </is>
      </c>
      <c r="J392" t="inlineStr">
        <is>
          <t/>
        </is>
      </c>
      <c r="K392" t="n">
        <v>0.0</v>
      </c>
      <c r="L392" t="n">
        <v>0.0</v>
      </c>
      <c r="M392" t="n">
        <v>0.0</v>
      </c>
      <c r="N392" t="n">
        <v>0.0</v>
      </c>
      <c r="O392" t="n">
        <v>0.0</v>
      </c>
      <c r="P392" t="n">
        <v>0.0</v>
      </c>
      <c r="Q392" t="inlineStr">
        <is>
          <t/>
        </is>
      </c>
      <c r="R392" t="inlineStr">
        <is>
          <t/>
        </is>
      </c>
      <c r="S392" t="n">
        <v>0.0</v>
      </c>
      <c r="T392" t="n">
        <v>0.0</v>
      </c>
      <c r="U392" t="n">
        <v>0.0</v>
      </c>
      <c r="V392" t="n">
        <v>0.0</v>
      </c>
      <c r="W392" t="inlineStr">
        <is>
          <t/>
        </is>
      </c>
      <c r="X392" t="n">
        <v>0.0</v>
      </c>
      <c r="Y392" t="n">
        <v>0.0</v>
      </c>
      <c r="Z392" t="n">
        <v>0.0</v>
      </c>
      <c r="AA392" t="n">
        <v>0.0</v>
      </c>
      <c r="AB392" t="n">
        <v>0.0</v>
      </c>
      <c r="AC392" t="n">
        <v>0.0</v>
      </c>
      <c r="AD392" t="n">
        <v>7.0</v>
      </c>
      <c r="AE392" t="n">
        <v>0.0</v>
      </c>
      <c r="AF392" t="n">
        <v>0.0</v>
      </c>
      <c r="AG392" t="n">
        <v>0.0</v>
      </c>
      <c r="AH392" t="n">
        <v>0.0</v>
      </c>
      <c r="AI392" t="n">
        <v>0.0</v>
      </c>
      <c r="AJ392" t="n">
        <v>0.0</v>
      </c>
      <c r="AK392" t="n">
        <v>5.142857142857143</v>
      </c>
      <c r="AL392" t="inlineStr">
        <is>
          <t/>
        </is>
      </c>
    </row>
    <row r="393">
      <c r="A393" t="inlineStr">
        <is>
          <t>真心建议孕妈妈试试我家这种无保水虾仁</t>
        </is>
      </c>
      <c r="B393" t="inlineStr">
        <is>
          <t>69cb9556000000001e00efd8</t>
        </is>
      </c>
      <c r="C393" s="392" t="n">
        <f>HYPERLINK("https://www.xiaohongshu.com/explore/69cb9556000000001e00efd8?xsec_token=TBNvk7eB588c7ey-qUUMF7OXz--O4N9Fntg0McP9rX97g=&amp;xsec_source=pc_trdark","https://www.xiaohongshu.com/explore/69cb9556000000001e00efd8?xsec_token=TBNvk7eB588c7ey-qUUMF7OXz--O4N9Fntg0McP9rX97g=&amp;xsec_source=pc_trdark")</f>
        <v>0.0</v>
      </c>
      <c r="D393" t="inlineStr">
        <is>
          <t>鲜水湾</t>
        </is>
      </c>
      <c r="E393" t="inlineStr">
        <is>
          <t>49316638994</t>
        </is>
      </c>
      <c r="F393" t="inlineStr">
        <is>
          <t>2026-03-31 17:35:18</t>
        </is>
      </c>
      <c r="G393" t="inlineStr">
        <is>
          <t>图文</t>
        </is>
      </c>
      <c r="H393" t="inlineStr">
        <is>
          <t>手剥虾仁 无冰衣无添加 低脂餐一人食 上班带饭 顺丰包邮 5盒装</t>
        </is>
      </c>
      <c r="I393" t="inlineStr">
        <is>
          <t>694baba01d450d00013662f0</t>
        </is>
      </c>
      <c r="J393" t="inlineStr">
        <is>
          <t/>
        </is>
      </c>
      <c r="K393" t="n">
        <v>0.0</v>
      </c>
      <c r="L393" t="n">
        <v>0.0</v>
      </c>
      <c r="M393" t="n">
        <v>0.0</v>
      </c>
      <c r="N393" t="n">
        <v>0.0</v>
      </c>
      <c r="O393" t="n">
        <v>0.0</v>
      </c>
      <c r="P393" t="n">
        <v>0.0</v>
      </c>
      <c r="Q393" t="inlineStr">
        <is>
          <t/>
        </is>
      </c>
      <c r="R393" t="inlineStr">
        <is>
          <t/>
        </is>
      </c>
      <c r="S393" t="n">
        <v>0.0</v>
      </c>
      <c r="T393" t="n">
        <v>0.0</v>
      </c>
      <c r="U393" t="n">
        <v>0.0</v>
      </c>
      <c r="V393" t="n">
        <v>0.0</v>
      </c>
      <c r="W393" t="inlineStr">
        <is>
          <t/>
        </is>
      </c>
      <c r="X393" t="n">
        <v>0.0</v>
      </c>
      <c r="Y393" t="n">
        <v>0.0</v>
      </c>
      <c r="Z393" t="n">
        <v>0.0</v>
      </c>
      <c r="AA393" t="n">
        <v>0.0</v>
      </c>
      <c r="AB393" t="n">
        <v>0.0</v>
      </c>
      <c r="AC393" t="n">
        <v>0.0</v>
      </c>
      <c r="AD393" t="n">
        <v>7.0</v>
      </c>
      <c r="AE393" t="n">
        <v>0.0</v>
      </c>
      <c r="AF393" t="n">
        <v>0.0</v>
      </c>
      <c r="AG393" t="n">
        <v>0.0</v>
      </c>
      <c r="AH393" t="n">
        <v>0.0</v>
      </c>
      <c r="AI393" t="n">
        <v>0.0</v>
      </c>
      <c r="AJ393" t="n">
        <v>0.0</v>
      </c>
      <c r="AK393" t="n">
        <v>2.142857142857143</v>
      </c>
      <c r="AL393" t="inlineStr">
        <is>
          <t/>
        </is>
      </c>
    </row>
    <row r="394">
      <c r="A394" t="inlineStr">
        <is>
          <t>我的食欲稳定两件套：</t>
        </is>
      </c>
      <c r="B394" t="inlineStr">
        <is>
          <t>699eed440000000028022ad0</t>
        </is>
      </c>
      <c r="C394" s="393" t="n">
        <f>HYPERLINK("https://www.xiaohongshu.com/explore/699eed440000000028022ad0?xsec_token=TBggKgSP0tIUAtqBAPfP3mLRnR-ofEUadYG6kjNx4-7bA=&amp;xsec_source=pc_trdark","https://www.xiaohongshu.com/explore/699eed440000000028022ad0?xsec_token=TBggKgSP0tIUAtqBAPfP3mLRnR-ofEUadYG6kjNx4-7bA=&amp;xsec_source=pc_trdark")</f>
        <v>0.0</v>
      </c>
      <c r="D394" t="inlineStr">
        <is>
          <t>鲜水湾</t>
        </is>
      </c>
      <c r="E394" t="inlineStr">
        <is>
          <t>49316638994</t>
        </is>
      </c>
      <c r="F394" t="inlineStr">
        <is>
          <t>2026-02-25 20:38:28</t>
        </is>
      </c>
      <c r="G394" t="inlineStr">
        <is>
          <t>图文</t>
        </is>
      </c>
      <c r="H394" t="inlineStr">
        <is>
          <t>智利三文鱼切块·整条三文鱼·深海鱼一人食健康饮食</t>
        </is>
      </c>
      <c r="I394" t="inlineStr">
        <is>
          <t>691ac562a524ee0001b51d7b</t>
        </is>
      </c>
      <c r="J394" t="inlineStr">
        <is>
          <t/>
        </is>
      </c>
      <c r="K394" t="n">
        <v>0.0</v>
      </c>
      <c r="L394" t="n">
        <v>0.0</v>
      </c>
      <c r="M394" t="n">
        <v>1.0</v>
      </c>
      <c r="N394" t="inlineStr">
        <is>
          <t>0.14285714285714285</t>
        </is>
      </c>
      <c r="O394" t="n">
        <v>1.0</v>
      </c>
      <c r="P394" t="n">
        <v>0.0</v>
      </c>
      <c r="Q394" t="n">
        <v>0.0</v>
      </c>
      <c r="R394" t="n">
        <v>0.0</v>
      </c>
      <c r="S394" t="n">
        <v>0.0</v>
      </c>
      <c r="T394" t="n">
        <v>0.0</v>
      </c>
      <c r="U394" t="n">
        <v>0.0</v>
      </c>
      <c r="V394" t="n">
        <v>0.0</v>
      </c>
      <c r="W394" t="inlineStr">
        <is>
          <t/>
        </is>
      </c>
      <c r="X394" t="n">
        <v>0.0</v>
      </c>
      <c r="Y394" t="n">
        <v>0.0</v>
      </c>
      <c r="Z394" t="n">
        <v>0.0</v>
      </c>
      <c r="AA394" t="n">
        <v>0.0</v>
      </c>
      <c r="AB394" t="n">
        <v>0.0</v>
      </c>
      <c r="AC394" t="n">
        <v>0.0</v>
      </c>
      <c r="AD394" t="n">
        <v>7.0</v>
      </c>
      <c r="AE394" t="n">
        <v>0.0</v>
      </c>
      <c r="AF394" t="n">
        <v>0.0</v>
      </c>
      <c r="AG394" t="n">
        <v>0.0</v>
      </c>
      <c r="AH394" t="n">
        <v>0.0</v>
      </c>
      <c r="AI394" t="n">
        <v>0.0</v>
      </c>
      <c r="AJ394" t="n">
        <v>0.0</v>
      </c>
      <c r="AK394" t="n">
        <v>14.428571428571429</v>
      </c>
      <c r="AL394" t="inlineStr">
        <is>
          <t/>
        </is>
      </c>
    </row>
    <row r="395">
      <c r="A395" t="inlineStr">
        <is>
          <t>以为 100💰没多少，结果够我吃半拉月减脂餐✅</t>
        </is>
      </c>
      <c r="B395" t="inlineStr">
        <is>
          <t>6a86b747000000002800921a</t>
        </is>
      </c>
      <c r="C395" s="394" t="n">
        <f>HYPERLINK("https://www.xiaohongshu.com/explore/6a86b747000000002800921a?xsec_token=TBOKfF9C1kDAd3xaVoQEFGZcR58olOT1AdBN5yRLsVORw=&amp;xsec_source=pc_trdark","https://www.xiaohongshu.com/explore/6a86b747000000002800921a?xsec_token=TBOKfF9C1kDAd3xaVoQEFGZcR58olOT1AdBN5yRLsVORw=&amp;xsec_source=pc_trdark")</f>
        <v>0.0</v>
      </c>
      <c r="D395" t="inlineStr">
        <is>
          <t>婉婉上班吃什么</t>
        </is>
      </c>
      <c r="E395" t="inlineStr">
        <is>
          <t>11434449706</t>
        </is>
      </c>
      <c r="F395" t="inlineStr">
        <is>
          <t>2026-08-20 16:13:59</t>
        </is>
      </c>
      <c r="G395" t="inlineStr">
        <is>
          <t>图文</t>
        </is>
      </c>
      <c r="H395" t="inlineStr">
        <is>
          <t>智利三文鱼切块·整条三文鱼·深海鱼一人食健康饮食</t>
        </is>
      </c>
      <c r="I395" t="inlineStr">
        <is>
          <t>691ac562a524ee0001b51d7b</t>
        </is>
      </c>
      <c r="J395" t="inlineStr">
        <is>
          <t/>
        </is>
      </c>
      <c r="K395" t="n">
        <v>0.0</v>
      </c>
      <c r="L395" t="n">
        <v>0.0</v>
      </c>
      <c r="M395" t="n">
        <v>0.0</v>
      </c>
      <c r="N395" t="n">
        <v>0.0</v>
      </c>
      <c r="O395" t="n">
        <v>0.0</v>
      </c>
      <c r="P395" t="n">
        <v>0.0</v>
      </c>
      <c r="Q395" t="inlineStr">
        <is>
          <t/>
        </is>
      </c>
      <c r="R395" t="inlineStr">
        <is>
          <t/>
        </is>
      </c>
      <c r="S395" t="n">
        <v>0.0</v>
      </c>
      <c r="T395" t="n">
        <v>0.0</v>
      </c>
      <c r="U395" t="n">
        <v>0.0</v>
      </c>
      <c r="V395" t="n">
        <v>0.0</v>
      </c>
      <c r="W395" t="inlineStr">
        <is>
          <t/>
        </is>
      </c>
      <c r="X395" t="n">
        <v>0.0</v>
      </c>
      <c r="Y395" t="n">
        <v>0.0</v>
      </c>
      <c r="Z395" t="n">
        <v>0.0</v>
      </c>
      <c r="AA395" t="n">
        <v>0.0</v>
      </c>
      <c r="AB395" t="n">
        <v>0.0</v>
      </c>
      <c r="AC395" t="n">
        <v>0.0</v>
      </c>
      <c r="AD395" t="n">
        <v>6.0</v>
      </c>
      <c r="AE395" t="n">
        <v>0.0</v>
      </c>
      <c r="AF395" t="n">
        <v>0.0</v>
      </c>
      <c r="AG395" t="n">
        <v>0.0</v>
      </c>
      <c r="AH395" t="n">
        <v>1.0</v>
      </c>
      <c r="AI395" t="n">
        <v>0.0</v>
      </c>
      <c r="AJ395" t="n">
        <v>0.0</v>
      </c>
      <c r="AK395" t="n">
        <v>8.833333333333334</v>
      </c>
      <c r="AL395" t="inlineStr">
        <is>
          <t/>
        </is>
      </c>
    </row>
    <row r="396">
      <c r="A396" t="inlineStr">
        <is>
          <t>打工人别再说减脂贵了！69块够吃一周！</t>
        </is>
      </c>
      <c r="B396" t="inlineStr">
        <is>
          <t>6a61bf02000000001c00c601</t>
        </is>
      </c>
      <c r="C396" s="395" t="n">
        <f>HYPERLINK("https://www.xiaohongshu.com/explore/6a61bf02000000001c00c601?xsec_token=TB-QSBNGI3fwo1dWDP7LsEqkhRZLM9QIZA9uLDhh8ljWU=&amp;xsec_source=pc_trdark","https://www.xiaohongshu.com/explore/6a61bf02000000001c00c601?xsec_token=TB-QSBNGI3fwo1dWDP7LsEqkhRZLM9QIZA9uLDhh8ljWU=&amp;xsec_source=pc_trdark")</f>
        <v>0.0</v>
      </c>
      <c r="D396" t="inlineStr">
        <is>
          <t>鲜水湾</t>
        </is>
      </c>
      <c r="E396" t="inlineStr">
        <is>
          <t>49316638994</t>
        </is>
      </c>
      <c r="F396" t="inlineStr">
        <is>
          <t>2026-07-23 15:13:06</t>
        </is>
      </c>
      <c r="G396" t="inlineStr">
        <is>
          <t>图文</t>
        </is>
      </c>
      <c r="H396" t="inlineStr">
        <is>
          <t>手剥虾仁 无冰衣无添加 低脂餐一人食 上班带饭 顺丰包邮 5盒装</t>
        </is>
      </c>
      <c r="I396" t="inlineStr">
        <is>
          <t>694baba01d450d00013662f0</t>
        </is>
      </c>
      <c r="J396" t="inlineStr">
        <is>
          <t/>
        </is>
      </c>
      <c r="K396" t="n">
        <v>0.0</v>
      </c>
      <c r="L396" t="n">
        <v>0.0</v>
      </c>
      <c r="M396" t="n">
        <v>0.0</v>
      </c>
      <c r="N396" t="n">
        <v>0.0</v>
      </c>
      <c r="O396" t="n">
        <v>0.0</v>
      </c>
      <c r="P396" t="n">
        <v>0.0</v>
      </c>
      <c r="Q396" t="inlineStr">
        <is>
          <t/>
        </is>
      </c>
      <c r="R396" t="inlineStr">
        <is>
          <t/>
        </is>
      </c>
      <c r="S396" t="n">
        <v>0.0</v>
      </c>
      <c r="T396" t="n">
        <v>0.0</v>
      </c>
      <c r="U396" t="n">
        <v>0.0</v>
      </c>
      <c r="V396" t="n">
        <v>0.0</v>
      </c>
      <c r="W396" t="inlineStr">
        <is>
          <t/>
        </is>
      </c>
      <c r="X396" t="n">
        <v>0.0</v>
      </c>
      <c r="Y396" t="n">
        <v>0.0</v>
      </c>
      <c r="Z396" t="n">
        <v>0.0</v>
      </c>
      <c r="AA396" t="n">
        <v>0.0</v>
      </c>
      <c r="AB396" t="n">
        <v>0.0</v>
      </c>
      <c r="AC396" t="n">
        <v>0.0</v>
      </c>
      <c r="AD396" t="n">
        <v>6.0</v>
      </c>
      <c r="AE396" t="n">
        <v>0.0</v>
      </c>
      <c r="AF396" t="n">
        <v>0.0</v>
      </c>
      <c r="AG396" t="n">
        <v>0.0</v>
      </c>
      <c r="AH396" t="n">
        <v>0.0</v>
      </c>
      <c r="AI396" t="n">
        <v>0.0</v>
      </c>
      <c r="AJ396" t="n">
        <v>0.0</v>
      </c>
      <c r="AK396" t="n">
        <v>4.0</v>
      </c>
      <c r="AL396" t="inlineStr">
        <is>
          <t/>
        </is>
      </c>
    </row>
    <row r="397">
      <c r="A397" t="inlineStr">
        <is>
          <t>老实人来说真话！自律期吃三文鱼真没负担</t>
        </is>
      </c>
      <c r="B397" t="inlineStr">
        <is>
          <t>6a583b38000000001f01c230</t>
        </is>
      </c>
      <c r="C397" s="396" t="n">
        <f>HYPERLINK("https://www.xiaohongshu.com/explore/6a583b38000000001f01c230?xsec_token=TBvlNKL7oOw9geyiSau-qu9QV1Gqh7saKCfNCWePeRaFo=&amp;xsec_source=pc_trdark","https://www.xiaohongshu.com/explore/6a583b38000000001f01c230?xsec_token=TBvlNKL7oOw9geyiSau-qu9QV1Gqh7saKCfNCWePeRaFo=&amp;xsec_source=pc_trdark")</f>
        <v>0.0</v>
      </c>
      <c r="D397" t="inlineStr">
        <is>
          <t>婉婉上班吃什么</t>
        </is>
      </c>
      <c r="E397" t="inlineStr">
        <is>
          <t>11434449706</t>
        </is>
      </c>
      <c r="F397" t="inlineStr">
        <is>
          <t>2026-07-16 10:00:24</t>
        </is>
      </c>
      <c r="G397" t="inlineStr">
        <is>
          <t>图文</t>
        </is>
      </c>
      <c r="H397" t="inlineStr">
        <is>
          <t>智利三文鱼切块·整条三文鱼·深海鱼一人食健康饮食</t>
        </is>
      </c>
      <c r="I397" t="inlineStr">
        <is>
          <t>691ac562a524ee0001b51d7b</t>
        </is>
      </c>
      <c r="J397" t="inlineStr">
        <is>
          <t/>
        </is>
      </c>
      <c r="K397" t="n">
        <v>0.0</v>
      </c>
      <c r="L397" t="n">
        <v>0.0</v>
      </c>
      <c r="M397" t="n">
        <v>1.0</v>
      </c>
      <c r="N397" t="inlineStr">
        <is>
          <t>0.16666666666666666</t>
        </is>
      </c>
      <c r="O397" t="n">
        <v>1.0</v>
      </c>
      <c r="P397" t="n">
        <v>0.0</v>
      </c>
      <c r="Q397" t="n">
        <v>0.0</v>
      </c>
      <c r="R397" t="n">
        <v>0.0</v>
      </c>
      <c r="S397" t="n">
        <v>0.0</v>
      </c>
      <c r="T397" t="n">
        <v>0.0</v>
      </c>
      <c r="U397" t="n">
        <v>0.0</v>
      </c>
      <c r="V397" t="n">
        <v>0.0</v>
      </c>
      <c r="W397" t="inlineStr">
        <is>
          <t/>
        </is>
      </c>
      <c r="X397" t="n">
        <v>0.0</v>
      </c>
      <c r="Y397" t="n">
        <v>0.0</v>
      </c>
      <c r="Z397" t="n">
        <v>0.0</v>
      </c>
      <c r="AA397" t="n">
        <v>0.0</v>
      </c>
      <c r="AB397" t="n">
        <v>0.0</v>
      </c>
      <c r="AC397" t="n">
        <v>0.0</v>
      </c>
      <c r="AD397" t="n">
        <v>6.0</v>
      </c>
      <c r="AE397" t="n">
        <v>0.0</v>
      </c>
      <c r="AF397" t="n">
        <v>0.0</v>
      </c>
      <c r="AG397" t="n">
        <v>0.0</v>
      </c>
      <c r="AH397" t="n">
        <v>0.0</v>
      </c>
      <c r="AI397" t="n">
        <v>0.0</v>
      </c>
      <c r="AJ397" t="n">
        <v>0.0</v>
      </c>
      <c r="AK397" t="n">
        <v>15.666666666666666</v>
      </c>
      <c r="AL397" t="inlineStr">
        <is>
          <t/>
        </is>
      </c>
    </row>
    <row r="398">
      <c r="A398" t="inlineStr">
        <is>
          <t>300多看着贵，摊到一个月真香</t>
        </is>
      </c>
      <c r="B398" t="inlineStr">
        <is>
          <t>6a55f55200000000080027e1</t>
        </is>
      </c>
      <c r="C398" s="397" t="n">
        <f>HYPERLINK("https://www.xiaohongshu.com/explore/6a55f55200000000080027e1?xsec_token=TBtjT0D3LpwTfPk27zCmXZxVo7ySVvjNWHsKAEvXGXFxE=&amp;xsec_source=pc_trdark","https://www.xiaohongshu.com/explore/6a55f55200000000080027e1?xsec_token=TBtjT0D3LpwTfPk27zCmXZxVo7ySVvjNWHsKAEvXGXFxE=&amp;xsec_source=pc_trdark")</f>
        <v>0.0</v>
      </c>
      <c r="D398" t="inlineStr">
        <is>
          <t>婉婉上班吃什么</t>
        </is>
      </c>
      <c r="E398" t="inlineStr">
        <is>
          <t>11434449706</t>
        </is>
      </c>
      <c r="F398" t="inlineStr">
        <is>
          <t>2026-07-14 16:37:38</t>
        </is>
      </c>
      <c r="G398" t="inlineStr">
        <is>
          <t>图文</t>
        </is>
      </c>
      <c r="H398" t="inlineStr">
        <is>
          <t>智利尾端中段整条三文鱼 8斤深海鱼低脂餐囤货一周备菜顺丰包邮</t>
        </is>
      </c>
      <c r="I398" t="inlineStr">
        <is>
          <t>69fab80d64eb410001ece0c0</t>
        </is>
      </c>
      <c r="J398" t="inlineStr">
        <is>
          <t/>
        </is>
      </c>
      <c r="K398" t="n">
        <v>0.0</v>
      </c>
      <c r="L398" t="n">
        <v>0.0</v>
      </c>
      <c r="M398" t="n">
        <v>0.0</v>
      </c>
      <c r="N398" t="n">
        <v>0.0</v>
      </c>
      <c r="O398" t="n">
        <v>0.0</v>
      </c>
      <c r="P398" t="n">
        <v>0.0</v>
      </c>
      <c r="Q398" t="inlineStr">
        <is>
          <t/>
        </is>
      </c>
      <c r="R398" t="inlineStr">
        <is>
          <t/>
        </is>
      </c>
      <c r="S398" t="n">
        <v>0.0</v>
      </c>
      <c r="T398" t="n">
        <v>0.0</v>
      </c>
      <c r="U398" t="n">
        <v>0.0</v>
      </c>
      <c r="V398" t="n">
        <v>0.0</v>
      </c>
      <c r="W398" t="inlineStr">
        <is>
          <t/>
        </is>
      </c>
      <c r="X398" t="n">
        <v>0.0</v>
      </c>
      <c r="Y398" t="n">
        <v>0.0</v>
      </c>
      <c r="Z398" t="n">
        <v>0.0</v>
      </c>
      <c r="AA398" t="n">
        <v>0.0</v>
      </c>
      <c r="AB398" t="n">
        <v>0.0</v>
      </c>
      <c r="AC398" t="n">
        <v>0.0</v>
      </c>
      <c r="AD398" t="n">
        <v>6.0</v>
      </c>
      <c r="AE398" t="n">
        <v>0.0</v>
      </c>
      <c r="AF398" t="n">
        <v>0.0</v>
      </c>
      <c r="AG398" t="n">
        <v>0.0</v>
      </c>
      <c r="AH398" t="n">
        <v>0.0</v>
      </c>
      <c r="AI398" t="n">
        <v>0.0</v>
      </c>
      <c r="AJ398" t="n">
        <v>0.0</v>
      </c>
      <c r="AK398" t="n">
        <v>3.8333333333333335</v>
      </c>
      <c r="AL398" t="inlineStr">
        <is>
          <t/>
        </is>
      </c>
    </row>
    <row r="399">
      <c r="A399" t="inlineStr">
        <is>
          <t>以为69没多少，真的够我吃一周减脂餐！！！！</t>
        </is>
      </c>
      <c r="B399" t="inlineStr">
        <is>
          <t>6a491edd0000000007028bdb</t>
        </is>
      </c>
      <c r="C399" s="398" t="n">
        <f>HYPERLINK("https://www.xiaohongshu.com/explore/6a491edd0000000007028bdb?xsec_token=TBdy3WzTYpUaCubN7g4FIBOxKXSPkY75Is6Zbr3Q4d378=&amp;xsec_source=pc_trdark","https://www.xiaohongshu.com/explore/6a491edd0000000007028bdb?xsec_token=TBdy3WzTYpUaCubN7g4FIBOxKXSPkY75Is6Zbr3Q4d378=&amp;xsec_source=pc_trdark")</f>
        <v>0.0</v>
      </c>
      <c r="D399" t="inlineStr">
        <is>
          <t>菲菲上班吃什么</t>
        </is>
      </c>
      <c r="E399" t="inlineStr">
        <is>
          <t>49936530607</t>
        </is>
      </c>
      <c r="F399" t="inlineStr">
        <is>
          <t>2026-07-04 22:55:25</t>
        </is>
      </c>
      <c r="G399" t="inlineStr">
        <is>
          <t>图文</t>
        </is>
      </c>
      <c r="H399" t="inlineStr">
        <is>
          <t>手剥虾仁 无冰衣无添加 低脂餐一人食 上班带饭 顺丰包邮 5盒装</t>
        </is>
      </c>
      <c r="I399" t="inlineStr">
        <is>
          <t>694baba01d450d00013662f0</t>
        </is>
      </c>
      <c r="J399" t="inlineStr">
        <is>
          <t/>
        </is>
      </c>
      <c r="K399" t="n">
        <v>0.0</v>
      </c>
      <c r="L399" t="n">
        <v>0.0</v>
      </c>
      <c r="M399" t="n">
        <v>1.0</v>
      </c>
      <c r="N399" t="inlineStr">
        <is>
          <t>0.16666666666666666</t>
        </is>
      </c>
      <c r="O399" t="n">
        <v>1.0</v>
      </c>
      <c r="P399" t="n">
        <v>0.0</v>
      </c>
      <c r="Q399" t="n">
        <v>0.0</v>
      </c>
      <c r="R399" t="n">
        <v>0.0</v>
      </c>
      <c r="S399" t="n">
        <v>0.0</v>
      </c>
      <c r="T399" t="n">
        <v>0.0</v>
      </c>
      <c r="U399" t="n">
        <v>0.0</v>
      </c>
      <c r="V399" t="n">
        <v>0.0</v>
      </c>
      <c r="W399" t="inlineStr">
        <is>
          <t/>
        </is>
      </c>
      <c r="X399" t="n">
        <v>0.0</v>
      </c>
      <c r="Y399" t="n">
        <v>0.0</v>
      </c>
      <c r="Z399" t="n">
        <v>0.0</v>
      </c>
      <c r="AA399" t="n">
        <v>0.0</v>
      </c>
      <c r="AB399" t="n">
        <v>0.0</v>
      </c>
      <c r="AC399" t="n">
        <v>0.0</v>
      </c>
      <c r="AD399" t="n">
        <v>6.0</v>
      </c>
      <c r="AE399" t="n">
        <v>0.0</v>
      </c>
      <c r="AF399" t="n">
        <v>0.0</v>
      </c>
      <c r="AG399" t="n">
        <v>0.0</v>
      </c>
      <c r="AH399" t="n">
        <v>0.0</v>
      </c>
      <c r="AI399" t="n">
        <v>0.0</v>
      </c>
      <c r="AJ399" t="n">
        <v>0.0</v>
      </c>
      <c r="AK399" t="n">
        <v>4.0</v>
      </c>
      <c r="AL399" t="inlineStr">
        <is>
          <t/>
        </is>
      </c>
    </row>
    <row r="400">
      <c r="A400" t="inlineStr">
        <is>
          <t>打工人午餐靠独立小包装虾仁，一餐一包！！</t>
        </is>
      </c>
      <c r="B400" t="inlineStr">
        <is>
          <t>6a486a3700000000110167b0</t>
        </is>
      </c>
      <c r="C400" s="399" t="n">
        <f>HYPERLINK("https://www.xiaohongshu.com/explore/6a486a3700000000110167b0?xsec_token=TBXcQ3yr16tRF4vODUHcKAuZB8ZtQYvENYx1k5r60-XwU=&amp;xsec_source=pc_trdark","https://www.xiaohongshu.com/explore/6a486a3700000000110167b0?xsec_token=TBXcQ3yr16tRF4vODUHcKAuZB8ZtQYvENYx1k5r60-XwU=&amp;xsec_source=pc_trdark")</f>
        <v>0.0</v>
      </c>
      <c r="D400" t="inlineStr">
        <is>
          <t>鲜水湾甄选</t>
        </is>
      </c>
      <c r="E400" t="inlineStr">
        <is>
          <t>27401929161</t>
        </is>
      </c>
      <c r="F400" t="inlineStr">
        <is>
          <t>2026-07-04 10:04:39</t>
        </is>
      </c>
      <c r="G400" t="inlineStr">
        <is>
          <t>图文</t>
        </is>
      </c>
      <c r="H400" t="inlineStr">
        <is>
          <t>手剥虾仁 无冰衣无添加 低脂餐一人食 上班带饭 顺丰包邮 5盒装</t>
        </is>
      </c>
      <c r="I400" t="inlineStr">
        <is>
          <t>694baba01d450d00013662f0</t>
        </is>
      </c>
      <c r="J400" t="inlineStr">
        <is>
          <t/>
        </is>
      </c>
      <c r="K400" t="n">
        <v>0.0</v>
      </c>
      <c r="L400" t="n">
        <v>0.0</v>
      </c>
      <c r="M400" t="n">
        <v>3.0</v>
      </c>
      <c r="N400" t="n">
        <v>0.5</v>
      </c>
      <c r="O400" t="n">
        <v>2.0</v>
      </c>
      <c r="P400" t="n">
        <v>0.0</v>
      </c>
      <c r="Q400" t="n">
        <v>0.0</v>
      </c>
      <c r="R400" t="n">
        <v>0.0</v>
      </c>
      <c r="S400" t="n">
        <v>0.0</v>
      </c>
      <c r="T400" t="n">
        <v>0.0</v>
      </c>
      <c r="U400" t="n">
        <v>0.0</v>
      </c>
      <c r="V400" t="n">
        <v>0.0</v>
      </c>
      <c r="W400" t="inlineStr">
        <is>
          <t/>
        </is>
      </c>
      <c r="X400" t="n">
        <v>0.0</v>
      </c>
      <c r="Y400" t="n">
        <v>1.0</v>
      </c>
      <c r="Z400" t="n">
        <v>0.0</v>
      </c>
      <c r="AA400" t="n">
        <v>0.0</v>
      </c>
      <c r="AB400" t="n">
        <v>0.0</v>
      </c>
      <c r="AC400" t="n">
        <v>0.0</v>
      </c>
      <c r="AD400" t="n">
        <v>6.0</v>
      </c>
      <c r="AE400" t="n">
        <v>0.0</v>
      </c>
      <c r="AF400" t="n">
        <v>0.0</v>
      </c>
      <c r="AG400" t="n">
        <v>0.0</v>
      </c>
      <c r="AH400" t="n">
        <v>0.0</v>
      </c>
      <c r="AI400" t="n">
        <v>0.0</v>
      </c>
      <c r="AJ400" t="n">
        <v>0.0</v>
      </c>
      <c r="AK400" t="n">
        <v>20.833333333333332</v>
      </c>
      <c r="AL400" t="inlineStr">
        <is>
          <t/>
        </is>
      </c>
    </row>
    <row r="401">
      <c r="A401" t="inlineStr">
        <is>
          <t>三文鱼太适合上班带饭了</t>
        </is>
      </c>
      <c r="B401" t="inlineStr">
        <is>
          <t>6a478bb70000000008030e4e</t>
        </is>
      </c>
      <c r="C401" s="400" t="n">
        <f>HYPERLINK("https://www.xiaohongshu.com/explore/6a478bb70000000008030e4e?xsec_token=TBfioABv3EUaNcb0n3V9sKZlVsnVR7aUR2_iADHZgw9A0=&amp;xsec_source=pc_trdark","https://www.xiaohongshu.com/explore/6a478bb70000000008030e4e?xsec_token=TBfioABv3EUaNcb0n3V9sKZlVsnVR7aUR2_iADHZgw9A0=&amp;xsec_source=pc_trdark")</f>
        <v>0.0</v>
      </c>
      <c r="D401" t="inlineStr">
        <is>
          <t>鲜水湾</t>
        </is>
      </c>
      <c r="E401" t="inlineStr">
        <is>
          <t>49316638994</t>
        </is>
      </c>
      <c r="F401" t="inlineStr">
        <is>
          <t>2026-07-03 18:15:19</t>
        </is>
      </c>
      <c r="G401" t="inlineStr">
        <is>
          <t>图文</t>
        </is>
      </c>
      <c r="H401" t="inlineStr">
        <is>
          <t>智利三文鱼切块·整条三文鱼·深海鱼一人食健康饮食</t>
        </is>
      </c>
      <c r="I401" t="inlineStr">
        <is>
          <t>691ac562a524ee0001b51d7b</t>
        </is>
      </c>
      <c r="J401" t="inlineStr">
        <is>
          <t/>
        </is>
      </c>
      <c r="K401" t="n">
        <v>0.0</v>
      </c>
      <c r="L401" t="n">
        <v>0.0</v>
      </c>
      <c r="M401" t="n">
        <v>0.0</v>
      </c>
      <c r="N401" t="n">
        <v>0.0</v>
      </c>
      <c r="O401" t="n">
        <v>0.0</v>
      </c>
      <c r="P401" t="n">
        <v>0.0</v>
      </c>
      <c r="Q401" t="inlineStr">
        <is>
          <t/>
        </is>
      </c>
      <c r="R401" t="inlineStr">
        <is>
          <t/>
        </is>
      </c>
      <c r="S401" t="n">
        <v>0.0</v>
      </c>
      <c r="T401" t="n">
        <v>0.0</v>
      </c>
      <c r="U401" t="n">
        <v>0.0</v>
      </c>
      <c r="V401" t="n">
        <v>0.0</v>
      </c>
      <c r="W401" t="inlineStr">
        <is>
          <t/>
        </is>
      </c>
      <c r="X401" t="n">
        <v>0.0</v>
      </c>
      <c r="Y401" t="n">
        <v>0.0</v>
      </c>
      <c r="Z401" t="n">
        <v>0.0</v>
      </c>
      <c r="AA401" t="n">
        <v>0.0</v>
      </c>
      <c r="AB401" t="n">
        <v>0.0</v>
      </c>
      <c r="AC401" t="n">
        <v>0.0</v>
      </c>
      <c r="AD401" t="n">
        <v>6.0</v>
      </c>
      <c r="AE401" t="n">
        <v>0.0</v>
      </c>
      <c r="AF401" t="n">
        <v>0.0</v>
      </c>
      <c r="AG401" t="n">
        <v>0.0</v>
      </c>
      <c r="AH401" t="n">
        <v>0.0</v>
      </c>
      <c r="AI401" t="n">
        <v>0.0</v>
      </c>
      <c r="AJ401" t="n">
        <v>0.0</v>
      </c>
      <c r="AK401" t="n">
        <v>11.666666666666666</v>
      </c>
      <c r="AL401" t="inlineStr">
        <is>
          <t/>
        </is>
      </c>
    </row>
    <row r="402">
      <c r="A402" t="inlineStr">
        <is>
          <t>救命！这一餐一包太适合控体期了！！</t>
        </is>
      </c>
      <c r="B402" t="inlineStr">
        <is>
          <t>6a44c6eb000000000702cfda</t>
        </is>
      </c>
      <c r="C402" s="401" t="n">
        <f>HYPERLINK("https://www.xiaohongshu.com/explore/6a44c6eb000000000702cfda?xsec_token=TBsNLvvwxdidvAFeSxmUSQxTc0pSOek9Vgt9Bd80Zc7wU=&amp;xsec_source=pc_trdark","https://www.xiaohongshu.com/explore/6a44c6eb000000000702cfda?xsec_token=TBsNLvvwxdidvAFeSxmUSQxTc0pSOek9Vgt9Bd80Zc7wU=&amp;xsec_source=pc_trdark")</f>
        <v>0.0</v>
      </c>
      <c r="D402" t="inlineStr">
        <is>
          <t>菲菲上班吃什么</t>
        </is>
      </c>
      <c r="E402" t="inlineStr">
        <is>
          <t>49936530607</t>
        </is>
      </c>
      <c r="F402" t="inlineStr">
        <is>
          <t>2026-07-01 15:51:07</t>
        </is>
      </c>
      <c r="G402" t="inlineStr">
        <is>
          <t>图文</t>
        </is>
      </c>
      <c r="H402" t="inlineStr">
        <is>
          <t>手剥虾仁 无冰衣无添加 低脂餐一人食 上班带饭 顺丰包邮 5盒装</t>
        </is>
      </c>
      <c r="I402" t="inlineStr">
        <is>
          <t>694baba01d450d00013662f0</t>
        </is>
      </c>
      <c r="J402" t="inlineStr">
        <is>
          <t/>
        </is>
      </c>
      <c r="K402" t="n">
        <v>0.0</v>
      </c>
      <c r="L402" t="n">
        <v>0.0</v>
      </c>
      <c r="M402" t="n">
        <v>0.0</v>
      </c>
      <c r="N402" t="n">
        <v>0.0</v>
      </c>
      <c r="O402" t="n">
        <v>0.0</v>
      </c>
      <c r="P402" t="n">
        <v>0.0</v>
      </c>
      <c r="Q402" t="inlineStr">
        <is>
          <t/>
        </is>
      </c>
      <c r="R402" t="inlineStr">
        <is>
          <t/>
        </is>
      </c>
      <c r="S402" t="n">
        <v>0.0</v>
      </c>
      <c r="T402" t="n">
        <v>0.0</v>
      </c>
      <c r="U402" t="n">
        <v>0.0</v>
      </c>
      <c r="V402" t="n">
        <v>0.0</v>
      </c>
      <c r="W402" t="inlineStr">
        <is>
          <t/>
        </is>
      </c>
      <c r="X402" t="n">
        <v>0.0</v>
      </c>
      <c r="Y402" t="n">
        <v>0.0</v>
      </c>
      <c r="Z402" t="n">
        <v>0.0</v>
      </c>
      <c r="AA402" t="n">
        <v>0.0</v>
      </c>
      <c r="AB402" t="n">
        <v>0.0</v>
      </c>
      <c r="AC402" t="n">
        <v>0.0</v>
      </c>
      <c r="AD402" t="n">
        <v>6.0</v>
      </c>
      <c r="AE402" t="n">
        <v>0.0</v>
      </c>
      <c r="AF402" t="n">
        <v>0.0</v>
      </c>
      <c r="AG402" t="n">
        <v>0.0</v>
      </c>
      <c r="AH402" t="n">
        <v>0.0</v>
      </c>
      <c r="AI402" t="n">
        <v>0.0</v>
      </c>
      <c r="AJ402" t="n">
        <v>0.0</v>
      </c>
      <c r="AK402" t="n">
        <v>10.166666666666666</v>
      </c>
      <c r="AL402" t="inlineStr">
        <is>
          <t/>
        </is>
      </c>
    </row>
    <row r="403">
      <c r="A403" t="inlineStr">
        <is>
          <t>瘦干螂饮食！我就说网上能学到好东西…</t>
        </is>
      </c>
      <c r="B403" t="inlineStr">
        <is>
          <t>6a43c59f000000000702f550</t>
        </is>
      </c>
      <c r="C403" s="402" t="n">
        <f>HYPERLINK("https://www.xiaohongshu.com/explore/6a43c59f000000000702f550?xsec_token=TBHlcLEn6fokKWIeUTfT7NlSTNI1ifpruZzuszlNYpFAo=&amp;xsec_source=pc_trdark","https://www.xiaohongshu.com/explore/6a43c59f000000000702f550?xsec_token=TBHlcLEn6fokKWIeUTfT7NlSTNI1ifpruZzuszlNYpFAo=&amp;xsec_source=pc_trdark")</f>
        <v>0.0</v>
      </c>
      <c r="D403" t="inlineStr">
        <is>
          <t>菲菲上班吃什么</t>
        </is>
      </c>
      <c r="E403" t="inlineStr">
        <is>
          <t>49936530607</t>
        </is>
      </c>
      <c r="F403" t="inlineStr">
        <is>
          <t>2026-06-30 21:33:19</t>
        </is>
      </c>
      <c r="G403" t="inlineStr">
        <is>
          <t>图文</t>
        </is>
      </c>
      <c r="H403" t="inlineStr">
        <is>
          <t>手剥虾仁 无冰衣无添加 低脂餐一人食 上班带饭 顺丰包邮 5盒装</t>
        </is>
      </c>
      <c r="I403" t="inlineStr">
        <is>
          <t>694baba01d450d00013662f0</t>
        </is>
      </c>
      <c r="J403" t="inlineStr">
        <is>
          <t/>
        </is>
      </c>
      <c r="K403" t="n">
        <v>0.0</v>
      </c>
      <c r="L403" t="n">
        <v>0.0</v>
      </c>
      <c r="M403" t="n">
        <v>0.0</v>
      </c>
      <c r="N403" t="n">
        <v>0.0</v>
      </c>
      <c r="O403" t="n">
        <v>0.0</v>
      </c>
      <c r="P403" t="n">
        <v>0.0</v>
      </c>
      <c r="Q403" t="inlineStr">
        <is>
          <t/>
        </is>
      </c>
      <c r="R403" t="inlineStr">
        <is>
          <t/>
        </is>
      </c>
      <c r="S403" t="n">
        <v>0.0</v>
      </c>
      <c r="T403" t="n">
        <v>0.0</v>
      </c>
      <c r="U403" t="n">
        <v>0.0</v>
      </c>
      <c r="V403" t="n">
        <v>0.0</v>
      </c>
      <c r="W403" t="inlineStr">
        <is>
          <t/>
        </is>
      </c>
      <c r="X403" t="n">
        <v>0.0</v>
      </c>
      <c r="Y403" t="n">
        <v>0.0</v>
      </c>
      <c r="Z403" t="n">
        <v>0.0</v>
      </c>
      <c r="AA403" t="n">
        <v>0.0</v>
      </c>
      <c r="AB403" t="n">
        <v>0.0</v>
      </c>
      <c r="AC403" t="n">
        <v>0.0</v>
      </c>
      <c r="AD403" t="n">
        <v>6.0</v>
      </c>
      <c r="AE403" t="n">
        <v>0.0</v>
      </c>
      <c r="AF403" t="n">
        <v>0.0</v>
      </c>
      <c r="AG403" t="n">
        <v>0.0</v>
      </c>
      <c r="AH403" t="n">
        <v>0.0</v>
      </c>
      <c r="AI403" t="n">
        <v>0.0</v>
      </c>
      <c r="AJ403" t="n">
        <v>0.0</v>
      </c>
      <c r="AK403" t="n">
        <v>2.8333333333333335</v>
      </c>
      <c r="AL403" t="inlineStr">
        <is>
          <t/>
        </is>
      </c>
    </row>
    <row r="404">
      <c r="A404" t="inlineStr">
        <is>
          <t>善良使我定价300块一整条，我爸说还得包邮</t>
        </is>
      </c>
      <c r="B404" t="inlineStr">
        <is>
          <t>6a3f76ed0000000007013f70</t>
        </is>
      </c>
      <c r="C404" s="403" t="n">
        <f>HYPERLINK("https://www.xiaohongshu.com/explore/6a3f76ed0000000007013f70?xsec_token=TB-Xzc_eKrV4y7N7iH5lBvTvoYEdYxvMs8O9PwOaHqLHM=&amp;xsec_source=pc_trdark","https://www.xiaohongshu.com/explore/6a3f76ed0000000007013f70?xsec_token=TB-Xzc_eKrV4y7N7iH5lBvTvoYEdYxvMs8O9PwOaHqLHM=&amp;xsec_source=pc_trdark")</f>
        <v>0.0</v>
      </c>
      <c r="D404" t="inlineStr">
        <is>
          <t>鲜水湾</t>
        </is>
      </c>
      <c r="E404" t="inlineStr">
        <is>
          <t>49316638994</t>
        </is>
      </c>
      <c r="F404" t="inlineStr">
        <is>
          <t>2026-06-27 15:08:29</t>
        </is>
      </c>
      <c r="G404" t="inlineStr">
        <is>
          <t>图文</t>
        </is>
      </c>
      <c r="H404" t="inlineStr">
        <is>
          <t>智利尾端中段整条三文鱼 8斤深海鱼低脂餐囤货一周备菜顺丰包邮</t>
        </is>
      </c>
      <c r="I404" t="inlineStr">
        <is>
          <t>69fab80d64eb410001ece0c0</t>
        </is>
      </c>
      <c r="J404" t="inlineStr">
        <is>
          <t/>
        </is>
      </c>
      <c r="K404" t="n">
        <v>0.0</v>
      </c>
      <c r="L404" t="n">
        <v>0.0</v>
      </c>
      <c r="M404" t="n">
        <v>5.0</v>
      </c>
      <c r="N404" t="n">
        <v>0.8333333333333334</v>
      </c>
      <c r="O404" t="n">
        <v>4.0</v>
      </c>
      <c r="P404" t="n">
        <v>0.0</v>
      </c>
      <c r="Q404" t="n">
        <v>0.0</v>
      </c>
      <c r="R404" t="n">
        <v>0.0</v>
      </c>
      <c r="S404" t="n">
        <v>0.0</v>
      </c>
      <c r="T404" t="n">
        <v>0.0</v>
      </c>
      <c r="U404" t="n">
        <v>0.0</v>
      </c>
      <c r="V404" t="n">
        <v>0.0</v>
      </c>
      <c r="W404" t="inlineStr">
        <is>
          <t/>
        </is>
      </c>
      <c r="X404" t="n">
        <v>0.0</v>
      </c>
      <c r="Y404" t="n">
        <v>0.0</v>
      </c>
      <c r="Z404" t="n">
        <v>0.0</v>
      </c>
      <c r="AA404" t="n">
        <v>0.0</v>
      </c>
      <c r="AB404" t="n">
        <v>0.0</v>
      </c>
      <c r="AC404" t="n">
        <v>0.0</v>
      </c>
      <c r="AD404" t="n">
        <v>6.0</v>
      </c>
      <c r="AE404" t="n">
        <v>0.0</v>
      </c>
      <c r="AF404" t="n">
        <v>0.0</v>
      </c>
      <c r="AG404" t="n">
        <v>0.0</v>
      </c>
      <c r="AH404" t="n">
        <v>0.0</v>
      </c>
      <c r="AI404" t="n">
        <v>0.0</v>
      </c>
      <c r="AJ404" t="n">
        <v>0.0</v>
      </c>
      <c r="AK404" t="n">
        <v>40.5</v>
      </c>
      <c r="AL404" t="inlineStr">
        <is>
          <t/>
        </is>
      </c>
    </row>
    <row r="405">
      <c r="A405" t="inlineStr">
        <is>
          <t>大家似乎对300块的购买力越来越没啥概念了</t>
        </is>
      </c>
      <c r="B405" t="inlineStr">
        <is>
          <t>6a3a54020000000008026544</t>
        </is>
      </c>
      <c r="C405" s="404" t="n">
        <f>HYPERLINK("https://www.xiaohongshu.com/explore/6a3a54020000000008026544?xsec_token=TB6JLlH-I5wyeOIL4LxmWU3v3_yDcOSiRc__bIxxWhgUc=&amp;xsec_source=pc_trdark","https://www.xiaohongshu.com/explore/6a3a54020000000008026544?xsec_token=TB6JLlH-I5wyeOIL4LxmWU3v3_yDcOSiRc__bIxxWhgUc=&amp;xsec_source=pc_trdark")</f>
        <v>0.0</v>
      </c>
      <c r="D405" t="inlineStr">
        <is>
          <t>婉婉上班吃什么</t>
        </is>
      </c>
      <c r="E405" t="inlineStr">
        <is>
          <t>11434449706</t>
        </is>
      </c>
      <c r="F405" t="inlineStr">
        <is>
          <t>2026-06-23 17:38:10</t>
        </is>
      </c>
      <c r="G405" t="inlineStr">
        <is>
          <t>图文</t>
        </is>
      </c>
      <c r="H405" t="inlineStr">
        <is>
          <t>智利尾端中段整条三文鱼 8斤深海鱼低脂餐囤货一周备菜顺丰包邮</t>
        </is>
      </c>
      <c r="I405" t="inlineStr">
        <is>
          <t>69fab80d64eb410001ece0c0</t>
        </is>
      </c>
      <c r="J405" t="inlineStr">
        <is>
          <t/>
        </is>
      </c>
      <c r="K405" t="n">
        <v>0.0</v>
      </c>
      <c r="L405" t="n">
        <v>0.0</v>
      </c>
      <c r="M405" t="n">
        <v>1.0</v>
      </c>
      <c r="N405" t="inlineStr">
        <is>
          <t>0.16666666666666666</t>
        </is>
      </c>
      <c r="O405" t="n">
        <v>1.0</v>
      </c>
      <c r="P405" t="n">
        <v>0.0</v>
      </c>
      <c r="Q405" t="n">
        <v>0.0</v>
      </c>
      <c r="R405" t="n">
        <v>0.0</v>
      </c>
      <c r="S405" t="n">
        <v>0.0</v>
      </c>
      <c r="T405" t="n">
        <v>0.0</v>
      </c>
      <c r="U405" t="n">
        <v>0.0</v>
      </c>
      <c r="V405" t="n">
        <v>0.0</v>
      </c>
      <c r="W405" t="inlineStr">
        <is>
          <t/>
        </is>
      </c>
      <c r="X405" t="n">
        <v>0.0</v>
      </c>
      <c r="Y405" t="n">
        <v>0.0</v>
      </c>
      <c r="Z405" t="n">
        <v>0.0</v>
      </c>
      <c r="AA405" t="n">
        <v>0.0</v>
      </c>
      <c r="AB405" t="n">
        <v>0.0</v>
      </c>
      <c r="AC405" t="n">
        <v>0.0</v>
      </c>
      <c r="AD405" t="n">
        <v>6.0</v>
      </c>
      <c r="AE405" t="n">
        <v>0.0</v>
      </c>
      <c r="AF405" t="n">
        <v>0.0</v>
      </c>
      <c r="AG405" t="n">
        <v>0.0</v>
      </c>
      <c r="AH405" t="n">
        <v>0.0</v>
      </c>
      <c r="AI405" t="n">
        <v>0.0</v>
      </c>
      <c r="AJ405" t="n">
        <v>0.0</v>
      </c>
      <c r="AK405" t="n">
        <v>15.166666666666666</v>
      </c>
      <c r="AL405" t="inlineStr">
        <is>
          <t/>
        </is>
      </c>
    </row>
    <row r="406">
      <c r="A406" t="inlineStr">
        <is>
          <t>当你还在质疑三文鱼的时候，别人已吃到爽</t>
        </is>
      </c>
      <c r="B406" t="inlineStr">
        <is>
          <t>6a3a3d8f0000000006036fc7</t>
        </is>
      </c>
      <c r="C406" s="405" t="n">
        <f>HYPERLINK("https://www.xiaohongshu.com/explore/6a3a3d8f0000000006036fc7?xsec_token=TB6JLlH-I5wyeOIL4LxmWU3mAvo0EpEzNMbcYq5XCX5o8=&amp;xsec_source=pc_trdark","https://www.xiaohongshu.com/explore/6a3a3d8f0000000006036fc7?xsec_token=TB6JLlH-I5wyeOIL4LxmWU3mAvo0EpEzNMbcYq5XCX5o8=&amp;xsec_source=pc_trdark")</f>
        <v>0.0</v>
      </c>
      <c r="D406" t="inlineStr">
        <is>
          <t>鲜水湾</t>
        </is>
      </c>
      <c r="E406" t="inlineStr">
        <is>
          <t>49316638994</t>
        </is>
      </c>
      <c r="F406" t="inlineStr">
        <is>
          <t>2026-06-23 16:02:23</t>
        </is>
      </c>
      <c r="G406" t="inlineStr">
        <is>
          <t>图文</t>
        </is>
      </c>
      <c r="H406" t="inlineStr">
        <is>
          <t>智利尾端中段整条三文鱼 8斤深海鱼低脂餐囤货一周备菜顺丰包邮</t>
        </is>
      </c>
      <c r="I406" t="inlineStr">
        <is>
          <t>69fab80d64eb410001ece0c0</t>
        </is>
      </c>
      <c r="J406" t="inlineStr">
        <is>
          <t/>
        </is>
      </c>
      <c r="K406" t="n">
        <v>0.0</v>
      </c>
      <c r="L406" t="n">
        <v>0.0</v>
      </c>
      <c r="M406" t="n">
        <v>2.0</v>
      </c>
      <c r="N406" t="n">
        <v>0.3333333333333333</v>
      </c>
      <c r="O406" t="n">
        <v>2.0</v>
      </c>
      <c r="P406" t="n">
        <v>0.0</v>
      </c>
      <c r="Q406" t="n">
        <v>0.0</v>
      </c>
      <c r="R406" t="n">
        <v>0.0</v>
      </c>
      <c r="S406" t="n">
        <v>0.0</v>
      </c>
      <c r="T406" t="n">
        <v>0.0</v>
      </c>
      <c r="U406" t="n">
        <v>0.0</v>
      </c>
      <c r="V406" t="n">
        <v>0.0</v>
      </c>
      <c r="W406" t="inlineStr">
        <is>
          <t/>
        </is>
      </c>
      <c r="X406" t="n">
        <v>0.0</v>
      </c>
      <c r="Y406" t="n">
        <v>0.0</v>
      </c>
      <c r="Z406" t="n">
        <v>0.0</v>
      </c>
      <c r="AA406" t="n">
        <v>0.0</v>
      </c>
      <c r="AB406" t="n">
        <v>0.0</v>
      </c>
      <c r="AC406" t="n">
        <v>0.0</v>
      </c>
      <c r="AD406" t="n">
        <v>6.0</v>
      </c>
      <c r="AE406" t="n">
        <v>0.0</v>
      </c>
      <c r="AF406" t="n">
        <v>0.0</v>
      </c>
      <c r="AG406" t="n">
        <v>0.0</v>
      </c>
      <c r="AH406" t="n">
        <v>0.0</v>
      </c>
      <c r="AI406" t="n">
        <v>0.0</v>
      </c>
      <c r="AJ406" t="n">
        <v>0.0</v>
      </c>
      <c r="AK406" t="n">
        <v>13.5</v>
      </c>
      <c r="AL406" t="inlineStr">
        <is>
          <t/>
        </is>
      </c>
    </row>
    <row r="407">
      <c r="A407" t="inlineStr">
        <is>
          <t>减脂期不是虾仁便宜，是外卖太离谱…</t>
        </is>
      </c>
      <c r="B407" t="inlineStr">
        <is>
          <t>6a3503510000000007023455</t>
        </is>
      </c>
      <c r="C407" s="406" t="n">
        <f>HYPERLINK("https://www.xiaohongshu.com/explore/6a3503510000000007023455?xsec_token=TB1bf8Ny1FwqE1zeGfH_TuGEm--qqHW1AbmQI_Zg_PP9Q=&amp;xsec_source=pc_trdark","https://www.xiaohongshu.com/explore/6a3503510000000007023455?xsec_token=TB1bf8Ny1FwqE1zeGfH_TuGEm--qqHW1AbmQI_Zg_PP9Q=&amp;xsec_source=pc_trdark")</f>
        <v>0.0</v>
      </c>
      <c r="D407" t="inlineStr">
        <is>
          <t>菲菲上班吃什么</t>
        </is>
      </c>
      <c r="E407" t="inlineStr">
        <is>
          <t>49936530607</t>
        </is>
      </c>
      <c r="F407" t="inlineStr">
        <is>
          <t>2026-06-19 16:52:34</t>
        </is>
      </c>
      <c r="G407" t="inlineStr">
        <is>
          <t>图文</t>
        </is>
      </c>
      <c r="H407" t="inlineStr">
        <is>
          <t>手剥虾仁 无冰衣无添加 低脂餐一人食 上班带饭 顺丰包邮 5盒装</t>
        </is>
      </c>
      <c r="I407" t="inlineStr">
        <is>
          <t>694baba01d450d00013662f0</t>
        </is>
      </c>
      <c r="J407" t="inlineStr">
        <is>
          <t/>
        </is>
      </c>
      <c r="K407" t="n">
        <v>0.0</v>
      </c>
      <c r="L407" t="n">
        <v>0.0</v>
      </c>
      <c r="M407" t="n">
        <v>0.0</v>
      </c>
      <c r="N407" t="n">
        <v>0.0</v>
      </c>
      <c r="O407" t="n">
        <v>0.0</v>
      </c>
      <c r="P407" t="n">
        <v>0.0</v>
      </c>
      <c r="Q407" t="inlineStr">
        <is>
          <t/>
        </is>
      </c>
      <c r="R407" t="inlineStr">
        <is>
          <t/>
        </is>
      </c>
      <c r="S407" t="n">
        <v>0.0</v>
      </c>
      <c r="T407" t="n">
        <v>0.0</v>
      </c>
      <c r="U407" t="n">
        <v>0.0</v>
      </c>
      <c r="V407" t="n">
        <v>0.0</v>
      </c>
      <c r="W407" t="inlineStr">
        <is>
          <t/>
        </is>
      </c>
      <c r="X407" t="n">
        <v>0.0</v>
      </c>
      <c r="Y407" t="n">
        <v>0.0</v>
      </c>
      <c r="Z407" t="n">
        <v>1.0</v>
      </c>
      <c r="AA407" t="n">
        <v>0.0</v>
      </c>
      <c r="AB407" t="n">
        <v>0.0</v>
      </c>
      <c r="AC407" t="n">
        <v>0.0</v>
      </c>
      <c r="AD407" t="n">
        <v>6.0</v>
      </c>
      <c r="AE407" t="n">
        <v>0.0</v>
      </c>
      <c r="AF407" t="n">
        <v>0.0</v>
      </c>
      <c r="AG407" t="n">
        <v>0.0</v>
      </c>
      <c r="AH407" t="n">
        <v>0.0</v>
      </c>
      <c r="AI407" t="n">
        <v>0.0</v>
      </c>
      <c r="AJ407" t="n">
        <v>0.0</v>
      </c>
      <c r="AK407" t="n">
        <v>7.0</v>
      </c>
      <c r="AL407" t="inlineStr">
        <is>
          <t/>
        </is>
      </c>
    </row>
    <row r="408">
      <c r="A408" t="inlineStr">
        <is>
          <t>区区 300 块承包我一个月的减脂餐</t>
        </is>
      </c>
      <c r="B408" t="inlineStr">
        <is>
          <t>6a326e740000000007029549</t>
        </is>
      </c>
      <c r="C408" s="407" t="n">
        <f>HYPERLINK("https://www.xiaohongshu.com/explore/6a326e740000000007029549?xsec_token=TBgwqICxjpF4PaPju8orzP43h5AiqNicNqrr_WSCyf3E4=&amp;xsec_source=pc_trdark","https://www.xiaohongshu.com/explore/6a326e740000000007029549?xsec_token=TBgwqICxjpF4PaPju8orzP43h5AiqNicNqrr_WSCyf3E4=&amp;xsec_source=pc_trdark")</f>
        <v>0.0</v>
      </c>
      <c r="D408" t="inlineStr">
        <is>
          <t>鲜水湾</t>
        </is>
      </c>
      <c r="E408" t="inlineStr">
        <is>
          <t>49316638994</t>
        </is>
      </c>
      <c r="F408" t="inlineStr">
        <is>
          <t>2026-06-17 17:52:52</t>
        </is>
      </c>
      <c r="G408" t="inlineStr">
        <is>
          <t>图文</t>
        </is>
      </c>
      <c r="H408" t="inlineStr">
        <is>
          <t>智利尾端中段整条三文鱼 8斤深海鱼低脂餐囤货一周备菜顺丰包邮</t>
        </is>
      </c>
      <c r="I408" t="inlineStr">
        <is>
          <t>69fab80d64eb410001ece0c0</t>
        </is>
      </c>
      <c r="J408" t="inlineStr">
        <is>
          <t/>
        </is>
      </c>
      <c r="K408" t="n">
        <v>0.0</v>
      </c>
      <c r="L408" t="n">
        <v>0.0</v>
      </c>
      <c r="M408" t="n">
        <v>0.0</v>
      </c>
      <c r="N408" t="n">
        <v>0.0</v>
      </c>
      <c r="O408" t="n">
        <v>0.0</v>
      </c>
      <c r="P408" t="n">
        <v>0.0</v>
      </c>
      <c r="Q408" t="inlineStr">
        <is>
          <t/>
        </is>
      </c>
      <c r="R408" t="inlineStr">
        <is>
          <t/>
        </is>
      </c>
      <c r="S408" t="n">
        <v>0.0</v>
      </c>
      <c r="T408" t="n">
        <v>0.0</v>
      </c>
      <c r="U408" t="n">
        <v>0.0</v>
      </c>
      <c r="V408" t="n">
        <v>0.0</v>
      </c>
      <c r="W408" t="inlineStr">
        <is>
          <t/>
        </is>
      </c>
      <c r="X408" t="n">
        <v>0.0</v>
      </c>
      <c r="Y408" t="n">
        <v>0.0</v>
      </c>
      <c r="Z408" t="n">
        <v>0.0</v>
      </c>
      <c r="AA408" t="n">
        <v>0.0</v>
      </c>
      <c r="AB408" t="n">
        <v>0.0</v>
      </c>
      <c r="AC408" t="n">
        <v>0.0</v>
      </c>
      <c r="AD408" t="n">
        <v>6.0</v>
      </c>
      <c r="AE408" t="n">
        <v>0.0</v>
      </c>
      <c r="AF408" t="n">
        <v>0.0</v>
      </c>
      <c r="AG408" t="n">
        <v>0.0</v>
      </c>
      <c r="AH408" t="n">
        <v>0.0</v>
      </c>
      <c r="AI408" t="n">
        <v>0.0</v>
      </c>
      <c r="AJ408" t="n">
        <v>0.0</v>
      </c>
      <c r="AK408" t="n">
        <v>4.5</v>
      </c>
      <c r="AL408" t="inlineStr">
        <is>
          <t/>
        </is>
      </c>
    </row>
    <row r="409">
      <c r="A409" t="inlineStr">
        <is>
          <t>控体天花板，一周才花了 69 元</t>
        </is>
      </c>
      <c r="B409" t="inlineStr">
        <is>
          <t>6a311fec0000000006022f66</t>
        </is>
      </c>
      <c r="C409" s="408" t="n">
        <f>HYPERLINK("https://www.xiaohongshu.com/explore/6a311fec0000000006022f66?xsec_token=TBaa4H6FkKlwOz1o5Y9J_FFSalGoddgD1QgkYCOuzzMic=&amp;xsec_source=pc_trdark","https://www.xiaohongshu.com/explore/6a311fec0000000006022f66?xsec_token=TBaa4H6FkKlwOz1o5Y9J_FFSalGoddgD1QgkYCOuzzMic=&amp;xsec_source=pc_trdark")</f>
        <v>0.0</v>
      </c>
      <c r="D409" t="inlineStr">
        <is>
          <t>婉婉上班吃什么</t>
        </is>
      </c>
      <c r="E409" t="inlineStr">
        <is>
          <t>11434449706</t>
        </is>
      </c>
      <c r="F409" t="inlineStr">
        <is>
          <t>2026-06-16 18:05:32</t>
        </is>
      </c>
      <c r="G409" t="inlineStr">
        <is>
          <t>图文</t>
        </is>
      </c>
      <c r="H409" t="inlineStr">
        <is>
          <t>手剥虾仁 无冰衣无添加 低脂餐一人食 上班带饭 顺丰包邮 5盒装</t>
        </is>
      </c>
      <c r="I409" t="inlineStr">
        <is>
          <t>694baba01d450d00013662f0</t>
        </is>
      </c>
      <c r="J409" t="inlineStr">
        <is>
          <t/>
        </is>
      </c>
      <c r="K409" t="n">
        <v>0.0</v>
      </c>
      <c r="L409" t="n">
        <v>0.0</v>
      </c>
      <c r="M409" t="n">
        <v>1.0</v>
      </c>
      <c r="N409" t="inlineStr">
        <is>
          <t>0.16666666666666666</t>
        </is>
      </c>
      <c r="O409" t="n">
        <v>1.0</v>
      </c>
      <c r="P409" t="n">
        <v>0.0</v>
      </c>
      <c r="Q409" t="n">
        <v>0.0</v>
      </c>
      <c r="R409" t="n">
        <v>0.0</v>
      </c>
      <c r="S409" t="n">
        <v>0.0</v>
      </c>
      <c r="T409" t="n">
        <v>0.0</v>
      </c>
      <c r="U409" t="n">
        <v>0.0</v>
      </c>
      <c r="V409" t="n">
        <v>0.0</v>
      </c>
      <c r="W409" t="inlineStr">
        <is>
          <t/>
        </is>
      </c>
      <c r="X409" t="n">
        <v>0.0</v>
      </c>
      <c r="Y409" t="n">
        <v>0.0</v>
      </c>
      <c r="Z409" t="n">
        <v>0.0</v>
      </c>
      <c r="AA409" t="n">
        <v>0.0</v>
      </c>
      <c r="AB409" t="n">
        <v>0.0</v>
      </c>
      <c r="AC409" t="n">
        <v>0.0</v>
      </c>
      <c r="AD409" t="n">
        <v>6.0</v>
      </c>
      <c r="AE409" t="n">
        <v>0.0</v>
      </c>
      <c r="AF409" t="n">
        <v>0.0</v>
      </c>
      <c r="AG409" t="n">
        <v>0.0</v>
      </c>
      <c r="AH409" t="n">
        <v>0.0</v>
      </c>
      <c r="AI409" t="n">
        <v>0.0</v>
      </c>
      <c r="AJ409" t="n">
        <v>0.0</v>
      </c>
      <c r="AK409" t="n">
        <v>6.333333333333333</v>
      </c>
      <c r="AL409" t="inlineStr">
        <is>
          <t/>
        </is>
      </c>
    </row>
    <row r="410">
      <c r="A410" t="inlineStr">
        <is>
          <t>挖到宝！减脂期吃虾仁也太合适了吧！！！</t>
        </is>
      </c>
      <c r="B410" t="inlineStr">
        <is>
          <t>6a2f90960000000021019371</t>
        </is>
      </c>
      <c r="C410" s="409" t="n">
        <f>HYPERLINK("https://www.xiaohongshu.com/explore/6a2f90960000000021019371?xsec_token=TBOClpwOvyolzEXhDI3pDx7fVTlnGb11mWprX3GgAMqXY=&amp;xsec_source=pc_trdark","https://www.xiaohongshu.com/explore/6a2f90960000000021019371?xsec_token=TBOClpwOvyolzEXhDI3pDx7fVTlnGb11mWprX3GgAMqXY=&amp;xsec_source=pc_trdark")</f>
        <v>0.0</v>
      </c>
      <c r="D410" t="inlineStr">
        <is>
          <t>菲菲上班吃什么</t>
        </is>
      </c>
      <c r="E410" t="inlineStr">
        <is>
          <t>49936530607</t>
        </is>
      </c>
      <c r="F410" t="inlineStr">
        <is>
          <t>2026-06-15 13:41:42</t>
        </is>
      </c>
      <c r="G410" t="inlineStr">
        <is>
          <t>图文</t>
        </is>
      </c>
      <c r="H410" t="inlineStr">
        <is>
          <t>手剥虾仁 无冰衣无添加 低脂餐一人食 上班带饭 顺丰包邮 5盒装</t>
        </is>
      </c>
      <c r="I410" t="inlineStr">
        <is>
          <t>694baba01d450d00013662f0</t>
        </is>
      </c>
      <c r="J410" t="inlineStr">
        <is>
          <t/>
        </is>
      </c>
      <c r="K410" t="n">
        <v>0.0</v>
      </c>
      <c r="L410" t="n">
        <v>0.0</v>
      </c>
      <c r="M410" t="n">
        <v>1.0</v>
      </c>
      <c r="N410" t="inlineStr">
        <is>
          <t>0.16666666666666666</t>
        </is>
      </c>
      <c r="O410" t="n">
        <v>1.0</v>
      </c>
      <c r="P410" t="n">
        <v>0.0</v>
      </c>
      <c r="Q410" t="n">
        <v>0.0</v>
      </c>
      <c r="R410" t="n">
        <v>0.0</v>
      </c>
      <c r="S410" t="n">
        <v>0.0</v>
      </c>
      <c r="T410" t="n">
        <v>0.0</v>
      </c>
      <c r="U410" t="n">
        <v>0.0</v>
      </c>
      <c r="V410" t="n">
        <v>0.0</v>
      </c>
      <c r="W410" t="inlineStr">
        <is>
          <t/>
        </is>
      </c>
      <c r="X410" t="n">
        <v>0.0</v>
      </c>
      <c r="Y410" t="n">
        <v>1.0</v>
      </c>
      <c r="Z410" t="n">
        <v>0.0</v>
      </c>
      <c r="AA410" t="n">
        <v>0.0</v>
      </c>
      <c r="AB410" t="n">
        <v>0.0</v>
      </c>
      <c r="AC410" t="n">
        <v>0.0</v>
      </c>
      <c r="AD410" t="n">
        <v>6.0</v>
      </c>
      <c r="AE410" t="n">
        <v>0.0</v>
      </c>
      <c r="AF410" t="n">
        <v>1.0</v>
      </c>
      <c r="AG410" t="n">
        <v>0.0</v>
      </c>
      <c r="AH410" t="n">
        <v>0.0</v>
      </c>
      <c r="AI410" t="n">
        <v>0.0</v>
      </c>
      <c r="AJ410" t="n">
        <v>0.0</v>
      </c>
      <c r="AK410" t="n">
        <v>5.0</v>
      </c>
      <c r="AL410" t="inlineStr">
        <is>
          <t/>
        </is>
      </c>
    </row>
    <row r="411">
      <c r="A411" t="inlineStr">
        <is>
          <t>刚吃完一箱，我妈催着再囤一箱</t>
        </is>
      </c>
      <c r="B411" t="inlineStr">
        <is>
          <t>6a1e6a83000000000803fc2c</t>
        </is>
      </c>
      <c r="C411" s="410" t="n">
        <f>HYPERLINK("https://www.xiaohongshu.com/explore/6a1e6a83000000000803fc2c?xsec_token=TB-3bUuyjb2g56J4RSha7EmjOAy45jIA-JZnQH3weEAKE=&amp;xsec_source=pc_trdark","https://www.xiaohongshu.com/explore/6a1e6a83000000000803fc2c?xsec_token=TB-3bUuyjb2g56J4RSha7EmjOAy45jIA-JZnQH3weEAKE=&amp;xsec_source=pc_trdark")</f>
        <v>0.0</v>
      </c>
      <c r="D411" t="inlineStr">
        <is>
          <t>婉婉上班吃什么</t>
        </is>
      </c>
      <c r="E411" t="inlineStr">
        <is>
          <t>11434449706</t>
        </is>
      </c>
      <c r="F411" t="inlineStr">
        <is>
          <t>2026-06-02 13:30:44</t>
        </is>
      </c>
      <c r="G411" t="inlineStr">
        <is>
          <t>图文</t>
        </is>
      </c>
      <c r="H411" t="inlineStr">
        <is>
          <t>手剥虾仁 无冰衣无添加 低脂餐一人食 上班带饭 顺丰包邮 5盒装</t>
        </is>
      </c>
      <c r="I411" t="inlineStr">
        <is>
          <t>694baba01d450d00013662f0</t>
        </is>
      </c>
      <c r="J411" t="inlineStr">
        <is>
          <t/>
        </is>
      </c>
      <c r="K411" t="n">
        <v>0.0</v>
      </c>
      <c r="L411" t="n">
        <v>0.0</v>
      </c>
      <c r="M411" t="n">
        <v>1.0</v>
      </c>
      <c r="N411" t="inlineStr">
        <is>
          <t>0.16666666666666666</t>
        </is>
      </c>
      <c r="O411" t="n">
        <v>1.0</v>
      </c>
      <c r="P411" t="n">
        <v>0.0</v>
      </c>
      <c r="Q411" t="n">
        <v>0.0</v>
      </c>
      <c r="R411" t="n">
        <v>0.0</v>
      </c>
      <c r="S411" t="n">
        <v>0.0</v>
      </c>
      <c r="T411" t="n">
        <v>0.0</v>
      </c>
      <c r="U411" t="n">
        <v>0.0</v>
      </c>
      <c r="V411" t="n">
        <v>0.0</v>
      </c>
      <c r="W411" t="inlineStr">
        <is>
          <t/>
        </is>
      </c>
      <c r="X411" t="n">
        <v>0.0</v>
      </c>
      <c r="Y411" t="n">
        <v>0.0</v>
      </c>
      <c r="Z411" t="n">
        <v>1.0</v>
      </c>
      <c r="AA411" t="n">
        <v>0.0</v>
      </c>
      <c r="AB411" t="n">
        <v>0.0</v>
      </c>
      <c r="AC411" t="n">
        <v>0.0</v>
      </c>
      <c r="AD411" t="n">
        <v>6.0</v>
      </c>
      <c r="AE411" t="n">
        <v>0.0</v>
      </c>
      <c r="AF411" t="n">
        <v>0.0</v>
      </c>
      <c r="AG411" t="n">
        <v>0.0</v>
      </c>
      <c r="AH411" t="n">
        <v>0.0</v>
      </c>
      <c r="AI411" t="n">
        <v>0.0</v>
      </c>
      <c r="AJ411" t="n">
        <v>0.0</v>
      </c>
      <c r="AK411" t="n">
        <v>11.666666666666666</v>
      </c>
      <c r="AL411" t="inlineStr">
        <is>
          <t/>
        </is>
      </c>
    </row>
    <row r="412">
      <c r="A412" t="inlineStr">
        <is>
          <t>以为剥虾很麻烦，结果开袋就能直接下锅</t>
        </is>
      </c>
      <c r="B412" t="inlineStr">
        <is>
          <t>6a1e50fe000000002200acd3</t>
        </is>
      </c>
      <c r="C412" s="411" t="n">
        <f>HYPERLINK("https://www.xiaohongshu.com/explore/6a1e50fe000000002200acd3?xsec_token=TB-3bUuyjb2g56J4RSha7Emtr2keCsvILiot2sCnA2Iug=&amp;xsec_source=pc_trdark","https://www.xiaohongshu.com/explore/6a1e50fe000000002200acd3?xsec_token=TB-3bUuyjb2g56J4RSha7Emtr2keCsvILiot2sCnA2Iug=&amp;xsec_source=pc_trdark")</f>
        <v>0.0</v>
      </c>
      <c r="D412" t="inlineStr">
        <is>
          <t>婉婉上班吃什么</t>
        </is>
      </c>
      <c r="E412" t="inlineStr">
        <is>
          <t>11434449706</t>
        </is>
      </c>
      <c r="F412" t="inlineStr">
        <is>
          <t>2026-06-02 11:41:50</t>
        </is>
      </c>
      <c r="G412" t="inlineStr">
        <is>
          <t>图文</t>
        </is>
      </c>
      <c r="H412" t="inlineStr">
        <is>
          <t>手剥虾仁 无冰衣无添加 低脂餐一人食 上班带饭 顺丰包邮 5盒装</t>
        </is>
      </c>
      <c r="I412" t="inlineStr">
        <is>
          <t>694baba01d450d00013662f0</t>
        </is>
      </c>
      <c r="J412" t="inlineStr">
        <is>
          <t/>
        </is>
      </c>
      <c r="K412" t="n">
        <v>0.0</v>
      </c>
      <c r="L412" t="n">
        <v>0.0</v>
      </c>
      <c r="M412" t="n">
        <v>1.0</v>
      </c>
      <c r="N412" t="inlineStr">
        <is>
          <t>0.16666666666666666</t>
        </is>
      </c>
      <c r="O412" t="n">
        <v>1.0</v>
      </c>
      <c r="P412" t="n">
        <v>0.0</v>
      </c>
      <c r="Q412" t="n">
        <v>0.0</v>
      </c>
      <c r="R412" t="n">
        <v>0.0</v>
      </c>
      <c r="S412" t="n">
        <v>0.0</v>
      </c>
      <c r="T412" t="n">
        <v>0.0</v>
      </c>
      <c r="U412" t="n">
        <v>0.0</v>
      </c>
      <c r="V412" t="n">
        <v>0.0</v>
      </c>
      <c r="W412" t="inlineStr">
        <is>
          <t/>
        </is>
      </c>
      <c r="X412" t="n">
        <v>0.0</v>
      </c>
      <c r="Y412" t="n">
        <v>0.0</v>
      </c>
      <c r="Z412" t="n">
        <v>0.0</v>
      </c>
      <c r="AA412" t="n">
        <v>0.0</v>
      </c>
      <c r="AB412" t="n">
        <v>0.0</v>
      </c>
      <c r="AC412" t="n">
        <v>0.0</v>
      </c>
      <c r="AD412" t="n">
        <v>6.0</v>
      </c>
      <c r="AE412" t="n">
        <v>0.0</v>
      </c>
      <c r="AF412" t="n">
        <v>0.0</v>
      </c>
      <c r="AG412" t="n">
        <v>0.0</v>
      </c>
      <c r="AH412" t="n">
        <v>0.0</v>
      </c>
      <c r="AI412" t="n">
        <v>0.0</v>
      </c>
      <c r="AJ412" t="n">
        <v>0.0</v>
      </c>
      <c r="AK412" t="n">
        <v>7.5</v>
      </c>
      <c r="AL412" t="inlineStr">
        <is>
          <t/>
        </is>
      </c>
    </row>
    <row r="413">
      <c r="A413" t="inlineStr">
        <is>
          <t>今年坠成功的消费降级，300块实现三文自由</t>
        </is>
      </c>
      <c r="B413" t="inlineStr">
        <is>
          <t>6a1bf68f000000000803e458</t>
        </is>
      </c>
      <c r="C413" s="412" t="n">
        <f>HYPERLINK("https://www.xiaohongshu.com/explore/6a1bf68f000000000803e458?xsec_token=TBF7t7Ss6PcQwfvVd_HEa4BMp-IQ-N42BOgkFlool-J8k=&amp;xsec_source=pc_trdark","https://www.xiaohongshu.com/explore/6a1bf68f000000000803e458?xsec_token=TBF7t7Ss6PcQwfvVd_HEa4BMp-IQ-N42BOgkFlool-J8k=&amp;xsec_source=pc_trdark")</f>
        <v>0.0</v>
      </c>
      <c r="D413" t="inlineStr">
        <is>
          <t>鲜水湾</t>
        </is>
      </c>
      <c r="E413" t="inlineStr">
        <is>
          <t>49316638994</t>
        </is>
      </c>
      <c r="F413" t="inlineStr">
        <is>
          <t>2026-05-31 16:51:27</t>
        </is>
      </c>
      <c r="G413" t="inlineStr">
        <is>
          <t>图文</t>
        </is>
      </c>
      <c r="H413" t="inlineStr">
        <is>
          <t>智利尾端中段整条三文鱼 8斤深海鱼低脂餐囤货一周备菜顺丰包邮</t>
        </is>
      </c>
      <c r="I413" t="inlineStr">
        <is>
          <t>69fab80d64eb410001ece0c0</t>
        </is>
      </c>
      <c r="J413" t="inlineStr">
        <is>
          <t/>
        </is>
      </c>
      <c r="K413" t="n">
        <v>0.0</v>
      </c>
      <c r="L413" t="n">
        <v>0.0</v>
      </c>
      <c r="M413" t="n">
        <v>1.0</v>
      </c>
      <c r="N413" t="inlineStr">
        <is>
          <t>0.16666666666666666</t>
        </is>
      </c>
      <c r="O413" t="n">
        <v>1.0</v>
      </c>
      <c r="P413" t="n">
        <v>0.0</v>
      </c>
      <c r="Q413" t="n">
        <v>0.0</v>
      </c>
      <c r="R413" t="n">
        <v>0.0</v>
      </c>
      <c r="S413" t="n">
        <v>0.0</v>
      </c>
      <c r="T413" t="n">
        <v>0.0</v>
      </c>
      <c r="U413" t="n">
        <v>0.0</v>
      </c>
      <c r="V413" t="n">
        <v>0.0</v>
      </c>
      <c r="W413" t="inlineStr">
        <is>
          <t/>
        </is>
      </c>
      <c r="X413" t="n">
        <v>0.0</v>
      </c>
      <c r="Y413" t="n">
        <v>1.0</v>
      </c>
      <c r="Z413" t="n">
        <v>0.0</v>
      </c>
      <c r="AA413" t="n">
        <v>0.0</v>
      </c>
      <c r="AB413" t="n">
        <v>0.0</v>
      </c>
      <c r="AC413" t="n">
        <v>0.0</v>
      </c>
      <c r="AD413" t="n">
        <v>6.0</v>
      </c>
      <c r="AE413" t="n">
        <v>0.0</v>
      </c>
      <c r="AF413" t="n">
        <v>0.0</v>
      </c>
      <c r="AG413" t="n">
        <v>0.0</v>
      </c>
      <c r="AH413" t="n">
        <v>0.0</v>
      </c>
      <c r="AI413" t="n">
        <v>0.0</v>
      </c>
      <c r="AJ413" t="n">
        <v>0.0</v>
      </c>
      <c r="AK413" t="n">
        <v>7.333333333333333</v>
      </c>
      <c r="AL413" t="inlineStr">
        <is>
          <t/>
        </is>
      </c>
    </row>
    <row r="414">
      <c r="A414" t="inlineStr">
        <is>
          <t>敞开吃吧，减脂期吃三文鱼真的夯爆了</t>
        </is>
      </c>
      <c r="B414" t="inlineStr">
        <is>
          <t>6a1946fc000000000803c362</t>
        </is>
      </c>
      <c r="C414" s="413" t="n">
        <f>HYPERLINK("https://www.xiaohongshu.com/explore/6a1946fc000000000803c362?xsec_token=TBk6CyYxmYlnK3hnLTdNsVfKV92FQo6mGDwkCjS62RQjI=&amp;xsec_source=pc_trdark","https://www.xiaohongshu.com/explore/6a1946fc000000000803c362?xsec_token=TBk6CyYxmYlnK3hnLTdNsVfKV92FQo6mGDwkCjS62RQjI=&amp;xsec_source=pc_trdark")</f>
        <v>0.0</v>
      </c>
      <c r="D414" t="inlineStr">
        <is>
          <t>鲜水湾</t>
        </is>
      </c>
      <c r="E414" t="inlineStr">
        <is>
          <t>49316638994</t>
        </is>
      </c>
      <c r="F414" t="inlineStr">
        <is>
          <t>2026-05-29 15:57:48</t>
        </is>
      </c>
      <c r="G414" t="inlineStr">
        <is>
          <t>图文</t>
        </is>
      </c>
      <c r="H414" t="inlineStr">
        <is>
          <t>智利三文鱼切块·整条三文鱼·深海鱼一人食健康饮食</t>
        </is>
      </c>
      <c r="I414" t="inlineStr">
        <is>
          <t>691ac562a524ee0001b51d7b</t>
        </is>
      </c>
      <c r="J414" t="inlineStr">
        <is>
          <t/>
        </is>
      </c>
      <c r="K414" t="n">
        <v>0.0</v>
      </c>
      <c r="L414" t="n">
        <v>0.0</v>
      </c>
      <c r="M414" t="n">
        <v>1.0</v>
      </c>
      <c r="N414" t="inlineStr">
        <is>
          <t>0.16666666666666666</t>
        </is>
      </c>
      <c r="O414" t="n">
        <v>1.0</v>
      </c>
      <c r="P414" t="n">
        <v>0.0</v>
      </c>
      <c r="Q414" t="n">
        <v>0.0</v>
      </c>
      <c r="R414" t="n">
        <v>0.0</v>
      </c>
      <c r="S414" t="n">
        <v>0.0</v>
      </c>
      <c r="T414" t="n">
        <v>0.0</v>
      </c>
      <c r="U414" t="n">
        <v>0.0</v>
      </c>
      <c r="V414" t="n">
        <v>0.0</v>
      </c>
      <c r="W414" t="inlineStr">
        <is>
          <t/>
        </is>
      </c>
      <c r="X414" t="n">
        <v>0.0</v>
      </c>
      <c r="Y414" t="n">
        <v>0.0</v>
      </c>
      <c r="Z414" t="n">
        <v>0.0</v>
      </c>
      <c r="AA414" t="n">
        <v>0.0</v>
      </c>
      <c r="AB414" t="n">
        <v>0.0</v>
      </c>
      <c r="AC414" t="n">
        <v>0.0</v>
      </c>
      <c r="AD414" t="n">
        <v>6.0</v>
      </c>
      <c r="AE414" t="n">
        <v>0.0</v>
      </c>
      <c r="AF414" t="n">
        <v>0.0</v>
      </c>
      <c r="AG414" t="n">
        <v>0.0</v>
      </c>
      <c r="AH414" t="n">
        <v>0.0</v>
      </c>
      <c r="AI414" t="n">
        <v>0.0</v>
      </c>
      <c r="AJ414" t="n">
        <v>0.0</v>
      </c>
      <c r="AK414" t="n">
        <v>9.833333333333334</v>
      </c>
      <c r="AL414" t="inlineStr">
        <is>
          <t/>
        </is>
      </c>
    </row>
    <row r="415">
      <c r="A415" t="inlineStr">
        <is>
          <t>爸妈商量了一下，决定300来块一整条，50份</t>
        </is>
      </c>
      <c r="B415" t="inlineStr">
        <is>
          <t>6a0fee350000000007020d41</t>
        </is>
      </c>
      <c r="C415" s="414" t="n">
        <f>HYPERLINK("https://www.xiaohongshu.com/explore/6a0fee350000000007020d41?xsec_token=TBd_B63JN0tjdtncBm9C_ukgvGc3VmwSJF_7PTRKGn6iA=&amp;xsec_source=pc_trdark","https://www.xiaohongshu.com/explore/6a0fee350000000007020d41?xsec_token=TBd_B63JN0tjdtncBm9C_ukgvGc3VmwSJF_7PTRKGn6iA=&amp;xsec_source=pc_trdark")</f>
        <v>0.0</v>
      </c>
      <c r="D415" t="inlineStr">
        <is>
          <t>鲜水湾</t>
        </is>
      </c>
      <c r="E415" t="inlineStr">
        <is>
          <t>49316638994</t>
        </is>
      </c>
      <c r="F415" t="inlineStr">
        <is>
          <t>2026-05-22 13:48:37</t>
        </is>
      </c>
      <c r="G415" t="inlineStr">
        <is>
          <t>图文</t>
        </is>
      </c>
      <c r="H415" t="inlineStr">
        <is>
          <t>智利尾端中段整条三文鱼 8斤深海鱼低脂餐囤货一周备菜顺丰包邮</t>
        </is>
      </c>
      <c r="I415" t="inlineStr">
        <is>
          <t>69fab80d64eb410001ece0c0</t>
        </is>
      </c>
      <c r="J415" t="inlineStr">
        <is>
          <t/>
        </is>
      </c>
      <c r="K415" t="n">
        <v>0.0</v>
      </c>
      <c r="L415" t="n">
        <v>0.0</v>
      </c>
      <c r="M415" t="n">
        <v>0.0</v>
      </c>
      <c r="N415" t="n">
        <v>0.0</v>
      </c>
      <c r="O415" t="n">
        <v>0.0</v>
      </c>
      <c r="P415" t="n">
        <v>0.0</v>
      </c>
      <c r="Q415" t="inlineStr">
        <is>
          <t/>
        </is>
      </c>
      <c r="R415" t="inlineStr">
        <is>
          <t/>
        </is>
      </c>
      <c r="S415" t="n">
        <v>0.0</v>
      </c>
      <c r="T415" t="n">
        <v>0.0</v>
      </c>
      <c r="U415" t="n">
        <v>0.0</v>
      </c>
      <c r="V415" t="n">
        <v>0.0</v>
      </c>
      <c r="W415" t="inlineStr">
        <is>
          <t/>
        </is>
      </c>
      <c r="X415" t="n">
        <v>0.0</v>
      </c>
      <c r="Y415" t="n">
        <v>0.0</v>
      </c>
      <c r="Z415" t="n">
        <v>0.0</v>
      </c>
      <c r="AA415" t="n">
        <v>0.0</v>
      </c>
      <c r="AB415" t="n">
        <v>0.0</v>
      </c>
      <c r="AC415" t="n">
        <v>0.0</v>
      </c>
      <c r="AD415" t="n">
        <v>6.0</v>
      </c>
      <c r="AE415" t="n">
        <v>0.0</v>
      </c>
      <c r="AF415" t="n">
        <v>0.0</v>
      </c>
      <c r="AG415" t="n">
        <v>0.0</v>
      </c>
      <c r="AH415" t="n">
        <v>0.0</v>
      </c>
      <c r="AI415" t="n">
        <v>0.0</v>
      </c>
      <c r="AJ415" t="n">
        <v>0.0</v>
      </c>
      <c r="AK415" t="n">
        <v>14.0</v>
      </c>
      <c r="AL415" t="inlineStr">
        <is>
          <t/>
        </is>
      </c>
    </row>
    <row r="416">
      <c r="A416" t="inlineStr">
        <is>
          <t>抱歉了某马!我找到了更划算好品质的虾仁啦</t>
        </is>
      </c>
      <c r="B416" t="inlineStr">
        <is>
          <t>6a052f66000000000802574a</t>
        </is>
      </c>
      <c r="C416" s="415" t="n">
        <f>HYPERLINK("https://www.xiaohongshu.com/explore/6a052f66000000000802574a?xsec_token=TB5fIXEADm3ztd3cFmDO51aG3v2dQEgdHD8Rl7lb8cYNg=&amp;xsec_source=pc_trdark","https://www.xiaohongshu.com/explore/6a052f66000000000802574a?xsec_token=TB5fIXEADm3ztd3cFmDO51aG3v2dQEgdHD8Rl7lb8cYNg=&amp;xsec_source=pc_trdark")</f>
        <v>0.0</v>
      </c>
      <c r="D416" t="inlineStr">
        <is>
          <t>婉婉上班吃什么</t>
        </is>
      </c>
      <c r="E416" t="inlineStr">
        <is>
          <t>11434449706</t>
        </is>
      </c>
      <c r="F416" t="inlineStr">
        <is>
          <t>2026-05-14 10:11:50</t>
        </is>
      </c>
      <c r="G416" t="inlineStr">
        <is>
          <t>图文</t>
        </is>
      </c>
      <c r="H416" t="inlineStr">
        <is>
          <t>手剥虾仁 无冰衣无添加 低脂餐一人食 上班带饭 顺丰包邮 5盒装</t>
        </is>
      </c>
      <c r="I416" t="inlineStr">
        <is>
          <t>694baba01d450d00013662f0</t>
        </is>
      </c>
      <c r="J416" t="inlineStr">
        <is>
          <t/>
        </is>
      </c>
      <c r="K416" t="n">
        <v>0.0</v>
      </c>
      <c r="L416" t="n">
        <v>0.0</v>
      </c>
      <c r="M416" t="n">
        <v>0.0</v>
      </c>
      <c r="N416" t="n">
        <v>0.0</v>
      </c>
      <c r="O416" t="n">
        <v>0.0</v>
      </c>
      <c r="P416" t="n">
        <v>0.0</v>
      </c>
      <c r="Q416" t="inlineStr">
        <is>
          <t/>
        </is>
      </c>
      <c r="R416" t="inlineStr">
        <is>
          <t/>
        </is>
      </c>
      <c r="S416" t="n">
        <v>0.0</v>
      </c>
      <c r="T416" t="n">
        <v>0.0</v>
      </c>
      <c r="U416" t="n">
        <v>0.0</v>
      </c>
      <c r="V416" t="n">
        <v>0.0</v>
      </c>
      <c r="W416" t="inlineStr">
        <is>
          <t/>
        </is>
      </c>
      <c r="X416" t="n">
        <v>0.0</v>
      </c>
      <c r="Y416" t="n">
        <v>0.0</v>
      </c>
      <c r="Z416" t="n">
        <v>2.0</v>
      </c>
      <c r="AA416" t="n">
        <v>0.0</v>
      </c>
      <c r="AB416" t="n">
        <v>0.0</v>
      </c>
      <c r="AC416" t="n">
        <v>0.0</v>
      </c>
      <c r="AD416" t="n">
        <v>6.0</v>
      </c>
      <c r="AE416" t="n">
        <v>1.0</v>
      </c>
      <c r="AF416" t="n">
        <v>0.0</v>
      </c>
      <c r="AG416" t="n">
        <v>0.0</v>
      </c>
      <c r="AH416" t="n">
        <v>0.0</v>
      </c>
      <c r="AI416" t="n">
        <v>0.0</v>
      </c>
      <c r="AJ416" t="n">
        <v>0.0</v>
      </c>
      <c r="AK416" t="n">
        <v>5.166666666666667</v>
      </c>
      <c r="AL416" t="inlineStr">
        <is>
          <t/>
        </is>
      </c>
    </row>
    <row r="417">
      <c r="A417" t="inlineStr">
        <is>
          <t>终于理解为什么那么多人囤虾仁了……</t>
        </is>
      </c>
      <c r="B417" t="inlineStr">
        <is>
          <t>6a02f1ce0000000008026842</t>
        </is>
      </c>
      <c r="C417" s="416" t="n">
        <f>HYPERLINK("https://www.xiaohongshu.com/explore/6a02f1ce0000000008026842?xsec_token=TBPwq-ce0mzGyOoBGbWlmZ4KUgLY0aAzuP33eZMjYIka4=&amp;xsec_source=pc_trdark","https://www.xiaohongshu.com/explore/6a02f1ce0000000008026842?xsec_token=TBPwq-ce0mzGyOoBGbWlmZ4KUgLY0aAzuP33eZMjYIka4=&amp;xsec_source=pc_trdark")</f>
        <v>0.0</v>
      </c>
      <c r="D417" t="inlineStr">
        <is>
          <t>菲菲上班吃什么</t>
        </is>
      </c>
      <c r="E417" t="inlineStr">
        <is>
          <t>49936530607</t>
        </is>
      </c>
      <c r="F417" t="inlineStr">
        <is>
          <t>2026-05-12 20:24:00</t>
        </is>
      </c>
      <c r="G417" t="inlineStr">
        <is>
          <t>图文</t>
        </is>
      </c>
      <c r="H417" t="inlineStr">
        <is>
          <t>手剥虾仁 无冰衣无添加 低脂餐一人食 上班带饭 顺丰包邮 5盒装</t>
        </is>
      </c>
      <c r="I417" t="inlineStr">
        <is>
          <t>694baba01d450d00013662f0</t>
        </is>
      </c>
      <c r="J417" t="inlineStr">
        <is>
          <t/>
        </is>
      </c>
      <c r="K417" t="n">
        <v>0.0</v>
      </c>
      <c r="L417" t="n">
        <v>0.0</v>
      </c>
      <c r="M417" t="n">
        <v>1.0</v>
      </c>
      <c r="N417" t="inlineStr">
        <is>
          <t>0.16666666666666666</t>
        </is>
      </c>
      <c r="O417" t="n">
        <v>1.0</v>
      </c>
      <c r="P417" t="n">
        <v>0.0</v>
      </c>
      <c r="Q417" t="n">
        <v>0.0</v>
      </c>
      <c r="R417" t="n">
        <v>0.0</v>
      </c>
      <c r="S417" t="n">
        <v>0.0</v>
      </c>
      <c r="T417" t="n">
        <v>0.0</v>
      </c>
      <c r="U417" t="n">
        <v>0.0</v>
      </c>
      <c r="V417" t="n">
        <v>0.0</v>
      </c>
      <c r="W417" t="inlineStr">
        <is>
          <t/>
        </is>
      </c>
      <c r="X417" t="n">
        <v>0.0</v>
      </c>
      <c r="Y417" t="n">
        <v>0.0</v>
      </c>
      <c r="Z417" t="n">
        <v>1.0</v>
      </c>
      <c r="AA417" t="n">
        <v>0.0</v>
      </c>
      <c r="AB417" t="n">
        <v>0.0</v>
      </c>
      <c r="AC417" t="n">
        <v>0.0</v>
      </c>
      <c r="AD417" t="n">
        <v>6.0</v>
      </c>
      <c r="AE417" t="n">
        <v>0.0</v>
      </c>
      <c r="AF417" t="n">
        <v>0.0</v>
      </c>
      <c r="AG417" t="n">
        <v>0.0</v>
      </c>
      <c r="AH417" t="n">
        <v>0.0</v>
      </c>
      <c r="AI417" t="n">
        <v>0.0</v>
      </c>
      <c r="AJ417" t="n">
        <v>0.0</v>
      </c>
      <c r="AK417" t="n">
        <v>4.166666666666667</v>
      </c>
      <c r="AL417" t="inlineStr">
        <is>
          <t/>
        </is>
      </c>
    </row>
    <row r="418">
      <c r="A418" t="inlineStr">
        <is>
          <t>真的不要低估 300 来块的购买力😂</t>
        </is>
      </c>
      <c r="B418" t="inlineStr">
        <is>
          <t>69f04f71000000001a035fc4</t>
        </is>
      </c>
      <c r="C418" s="417" t="n">
        <f>HYPERLINK("https://www.xiaohongshu.com/explore/69f04f71000000001a035fc4?xsec_token=TBvHxiGmj2CedfPdQHdLJBmF_EHvvWOauiAg5RJ105Tvg=&amp;xsec_source=pc_trdark","https://www.xiaohongshu.com/explore/69f04f71000000001a035fc4?xsec_token=TBvHxiGmj2CedfPdQHdLJBmF_EHvvWOauiAg5RJ105Tvg=&amp;xsec_source=pc_trdark")</f>
        <v>0.0</v>
      </c>
      <c r="D418" t="inlineStr">
        <is>
          <t>婉婉上班吃什么</t>
        </is>
      </c>
      <c r="E418" t="inlineStr">
        <is>
          <t>11434449706</t>
        </is>
      </c>
      <c r="F418" t="inlineStr">
        <is>
          <t>2026-04-28 14:10:58</t>
        </is>
      </c>
      <c r="G418" t="inlineStr">
        <is>
          <t>图文</t>
        </is>
      </c>
      <c r="H418" t="inlineStr">
        <is>
          <t>智利尾端中段整条三文鱼 8斤深海鱼低脂餐囤货一周备菜顺丰包邮</t>
        </is>
      </c>
      <c r="I418" t="inlineStr">
        <is>
          <t>69fab80d64eb410001ece0c0</t>
        </is>
      </c>
      <c r="J418" t="inlineStr">
        <is>
          <t/>
        </is>
      </c>
      <c r="K418" t="n">
        <v>0.0</v>
      </c>
      <c r="L418" t="n">
        <v>0.0</v>
      </c>
      <c r="M418" t="n">
        <v>0.0</v>
      </c>
      <c r="N418" t="n">
        <v>0.0</v>
      </c>
      <c r="O418" t="n">
        <v>0.0</v>
      </c>
      <c r="P418" t="n">
        <v>0.0</v>
      </c>
      <c r="Q418" t="inlineStr">
        <is>
          <t/>
        </is>
      </c>
      <c r="R418" t="inlineStr">
        <is>
          <t/>
        </is>
      </c>
      <c r="S418" t="n">
        <v>0.0</v>
      </c>
      <c r="T418" t="n">
        <v>0.0</v>
      </c>
      <c r="U418" t="n">
        <v>0.0</v>
      </c>
      <c r="V418" t="n">
        <v>0.0</v>
      </c>
      <c r="W418" t="inlineStr">
        <is>
          <t/>
        </is>
      </c>
      <c r="X418" t="n">
        <v>0.0</v>
      </c>
      <c r="Y418" t="n">
        <v>0.0</v>
      </c>
      <c r="Z418" t="n">
        <v>0.0</v>
      </c>
      <c r="AA418" t="n">
        <v>0.0</v>
      </c>
      <c r="AB418" t="n">
        <v>0.0</v>
      </c>
      <c r="AC418" t="n">
        <v>0.0</v>
      </c>
      <c r="AD418" t="n">
        <v>6.0</v>
      </c>
      <c r="AE418" t="n">
        <v>0.0</v>
      </c>
      <c r="AF418" t="n">
        <v>0.0</v>
      </c>
      <c r="AG418" t="n">
        <v>0.0</v>
      </c>
      <c r="AH418" t="n">
        <v>0.0</v>
      </c>
      <c r="AI418" t="n">
        <v>0.0</v>
      </c>
      <c r="AJ418" t="n">
        <v>0.0</v>
      </c>
      <c r="AK418" t="n">
        <v>22.666666666666668</v>
      </c>
      <c r="AL418" t="inlineStr">
        <is>
          <t/>
        </is>
      </c>
    </row>
    <row r="419">
      <c r="A419" t="inlineStr">
        <is>
          <t>奉劝年轻人不要低估了100来块的购买力</t>
        </is>
      </c>
      <c r="B419" t="inlineStr">
        <is>
          <t>69d1d073000000001f003503</t>
        </is>
      </c>
      <c r="C419" s="418" t="n">
        <f>HYPERLINK("https://www.xiaohongshu.com/explore/69d1d073000000001f003503?xsec_token=TBT5TAUGV3LcD_GYbSvfENi6IlzTehmG7mk_h3ONlDvKM=&amp;xsec_source=pc_trdark","https://www.xiaohongshu.com/explore/69d1d073000000001f003503?xsec_token=TBT5TAUGV3LcD_GYbSvfENi6IlzTehmG7mk_h3ONlDvKM=&amp;xsec_source=pc_trdark")</f>
        <v>0.0</v>
      </c>
      <c r="D419" t="inlineStr">
        <is>
          <t>鲜水湾</t>
        </is>
      </c>
      <c r="E419" t="inlineStr">
        <is>
          <t>49316638994</t>
        </is>
      </c>
      <c r="F419" t="inlineStr">
        <is>
          <t>2026-04-05 11:01:07</t>
        </is>
      </c>
      <c r="G419" t="inlineStr">
        <is>
          <t>图文</t>
        </is>
      </c>
      <c r="H419" t="inlineStr">
        <is>
          <t>手剥虾仁 无冰衣无添加 低脂餐一人食 上班带饭 顺丰包邮 5盒装</t>
        </is>
      </c>
      <c r="I419" t="inlineStr">
        <is>
          <t>694baba01d450d00013662f0</t>
        </is>
      </c>
      <c r="J419" t="inlineStr">
        <is>
          <t/>
        </is>
      </c>
      <c r="K419" t="n">
        <v>0.0</v>
      </c>
      <c r="L419" t="n">
        <v>0.0</v>
      </c>
      <c r="M419" t="n">
        <v>2.0</v>
      </c>
      <c r="N419" t="n">
        <v>0.3333333333333333</v>
      </c>
      <c r="O419" t="n">
        <v>1.0</v>
      </c>
      <c r="P419" t="n">
        <v>0.0</v>
      </c>
      <c r="Q419" t="n">
        <v>0.0</v>
      </c>
      <c r="R419" t="n">
        <v>0.0</v>
      </c>
      <c r="S419" t="n">
        <v>0.0</v>
      </c>
      <c r="T419" t="n">
        <v>0.0</v>
      </c>
      <c r="U419" t="n">
        <v>0.0</v>
      </c>
      <c r="V419" t="n">
        <v>0.0</v>
      </c>
      <c r="W419" t="inlineStr">
        <is>
          <t/>
        </is>
      </c>
      <c r="X419" t="n">
        <v>0.0</v>
      </c>
      <c r="Y419" t="n">
        <v>1.0</v>
      </c>
      <c r="Z419" t="n">
        <v>0.0</v>
      </c>
      <c r="AA419" t="n">
        <v>0.0</v>
      </c>
      <c r="AB419" t="n">
        <v>0.0</v>
      </c>
      <c r="AC419" t="n">
        <v>0.0</v>
      </c>
      <c r="AD419" t="n">
        <v>6.0</v>
      </c>
      <c r="AE419" t="n">
        <v>0.0</v>
      </c>
      <c r="AF419" t="n">
        <v>0.0</v>
      </c>
      <c r="AG419" t="n">
        <v>0.0</v>
      </c>
      <c r="AH419" t="n">
        <v>0.0</v>
      </c>
      <c r="AI419" t="n">
        <v>0.0</v>
      </c>
      <c r="AJ419" t="n">
        <v>0.0</v>
      </c>
      <c r="AK419" t="n">
        <v>27.166666666666668</v>
      </c>
      <c r="AL419" t="inlineStr">
        <is>
          <t/>
        </is>
      </c>
    </row>
    <row r="420">
      <c r="A420" t="inlineStr">
        <is>
          <t>减脂期姐妹听我的，都去吃这个！真的超饱腹！</t>
        </is>
      </c>
      <c r="B420" t="inlineStr">
        <is>
          <t>69c8d773000000001f0005b2</t>
        </is>
      </c>
      <c r="C420" s="419" t="n">
        <f>HYPERLINK("https://www.xiaohongshu.com/explore/69c8d773000000001f0005b2?xsec_token=TBSs0bsvi6YGXB042lLCz_JEHHYVRRl_YW01WgkIFg0U4=&amp;xsec_source=pc_trdark","https://www.xiaohongshu.com/explore/69c8d773000000001f0005b2?xsec_token=TBSs0bsvi6YGXB042lLCz_JEHHYVRRl_YW01WgkIFg0U4=&amp;xsec_source=pc_trdark")</f>
        <v>0.0</v>
      </c>
      <c r="D420" t="inlineStr">
        <is>
          <t>婉婉上班吃什么</t>
        </is>
      </c>
      <c r="E420" t="inlineStr">
        <is>
          <t>11434449706</t>
        </is>
      </c>
      <c r="F420" t="inlineStr">
        <is>
          <t>2026-03-29 15:40:35</t>
        </is>
      </c>
      <c r="G420" t="inlineStr">
        <is>
          <t>图文</t>
        </is>
      </c>
      <c r="H420" t="inlineStr">
        <is>
          <t>手剥虾仁 无冰衣无添加 低脂餐一人食 上班带饭 顺丰包邮 5盒装</t>
        </is>
      </c>
      <c r="I420" t="inlineStr">
        <is>
          <t>694baba01d450d00013662f0</t>
        </is>
      </c>
      <c r="J420" t="inlineStr">
        <is>
          <t/>
        </is>
      </c>
      <c r="K420" t="n">
        <v>0.0</v>
      </c>
      <c r="L420" t="n">
        <v>0.0</v>
      </c>
      <c r="M420" t="n">
        <v>0.0</v>
      </c>
      <c r="N420" t="n">
        <v>0.0</v>
      </c>
      <c r="O420" t="n">
        <v>0.0</v>
      </c>
      <c r="P420" t="n">
        <v>0.0</v>
      </c>
      <c r="Q420" t="inlineStr">
        <is>
          <t/>
        </is>
      </c>
      <c r="R420" t="inlineStr">
        <is>
          <t/>
        </is>
      </c>
      <c r="S420" t="n">
        <v>0.0</v>
      </c>
      <c r="T420" t="n">
        <v>0.0</v>
      </c>
      <c r="U420" t="n">
        <v>0.0</v>
      </c>
      <c r="V420" t="n">
        <v>0.0</v>
      </c>
      <c r="W420" t="inlineStr">
        <is>
          <t/>
        </is>
      </c>
      <c r="X420" t="n">
        <v>0.0</v>
      </c>
      <c r="Y420" t="n">
        <v>0.0</v>
      </c>
      <c r="Z420" t="n">
        <v>0.0</v>
      </c>
      <c r="AA420" t="n">
        <v>0.0</v>
      </c>
      <c r="AB420" t="n">
        <v>0.0</v>
      </c>
      <c r="AC420" t="n">
        <v>0.0</v>
      </c>
      <c r="AD420" t="n">
        <v>6.0</v>
      </c>
      <c r="AE420" t="n">
        <v>0.0</v>
      </c>
      <c r="AF420" t="n">
        <v>0.0</v>
      </c>
      <c r="AG420" t="n">
        <v>0.0</v>
      </c>
      <c r="AH420" t="n">
        <v>0.0</v>
      </c>
      <c r="AI420" t="n">
        <v>0.0</v>
      </c>
      <c r="AJ420" t="n">
        <v>0.0</v>
      </c>
      <c r="AK420" t="n">
        <v>6.0</v>
      </c>
      <c r="AL420" t="inlineStr">
        <is>
          <t/>
        </is>
      </c>
    </row>
    <row r="421">
      <c r="A421" t="inlineStr">
        <is>
          <t>同事问我为什么每天带饭都是虾</t>
        </is>
      </c>
      <c r="B421" t="inlineStr">
        <is>
          <t>69c0e495000000002202795b</t>
        </is>
      </c>
      <c r="C421" s="420" t="n">
        <f>HYPERLINK("https://www.xiaohongshu.com/explore/69c0e495000000002202795b?xsec_token=TBlSRAgxB_sBYkF02kEEKO5-KAm0BC9Xe8MDqrFMwZelU=&amp;xsec_source=pc_trdark","https://www.xiaohongshu.com/explore/69c0e495000000002202795b?xsec_token=TBlSRAgxB_sBYkF02kEEKO5-KAm0BC9Xe8MDqrFMwZelU=&amp;xsec_source=pc_trdark")</f>
        <v>0.0</v>
      </c>
      <c r="D421" t="inlineStr">
        <is>
          <t>婉婉上班吃什么</t>
        </is>
      </c>
      <c r="E421" t="inlineStr">
        <is>
          <t>11434449706</t>
        </is>
      </c>
      <c r="F421" t="inlineStr">
        <is>
          <t>2026-03-23 14:58:29</t>
        </is>
      </c>
      <c r="G421" t="inlineStr">
        <is>
          <t>图文</t>
        </is>
      </c>
      <c r="H421" t="inlineStr">
        <is>
          <t>手剥虾仁 无冰衣无添加 低脂餐一人食 上班带饭 顺丰包邮 5盒装</t>
        </is>
      </c>
      <c r="I421" t="inlineStr">
        <is>
          <t>694baba01d450d00013662f0</t>
        </is>
      </c>
      <c r="J421" t="inlineStr">
        <is>
          <t/>
        </is>
      </c>
      <c r="K421" t="n">
        <v>0.0</v>
      </c>
      <c r="L421" t="n">
        <v>0.0</v>
      </c>
      <c r="M421" t="n">
        <v>1.0</v>
      </c>
      <c r="N421" t="inlineStr">
        <is>
          <t>0.16666666666666666</t>
        </is>
      </c>
      <c r="O421" t="n">
        <v>1.0</v>
      </c>
      <c r="P421" t="n">
        <v>0.0</v>
      </c>
      <c r="Q421" t="n">
        <v>0.0</v>
      </c>
      <c r="R421" t="n">
        <v>0.0</v>
      </c>
      <c r="S421" t="n">
        <v>0.0</v>
      </c>
      <c r="T421" t="n">
        <v>0.0</v>
      </c>
      <c r="U421" t="n">
        <v>0.0</v>
      </c>
      <c r="V421" t="n">
        <v>0.0</v>
      </c>
      <c r="W421" t="inlineStr">
        <is>
          <t/>
        </is>
      </c>
      <c r="X421" t="n">
        <v>0.0</v>
      </c>
      <c r="Y421" t="n">
        <v>0.0</v>
      </c>
      <c r="Z421" t="n">
        <v>0.0</v>
      </c>
      <c r="AA421" t="n">
        <v>0.0</v>
      </c>
      <c r="AB421" t="n">
        <v>0.0</v>
      </c>
      <c r="AC421" t="n">
        <v>0.0</v>
      </c>
      <c r="AD421" t="n">
        <v>6.0</v>
      </c>
      <c r="AE421" t="n">
        <v>0.0</v>
      </c>
      <c r="AF421" t="n">
        <v>0.0</v>
      </c>
      <c r="AG421" t="n">
        <v>0.0</v>
      </c>
      <c r="AH421" t="n">
        <v>0.0</v>
      </c>
      <c r="AI421" t="n">
        <v>0.0</v>
      </c>
      <c r="AJ421" t="n">
        <v>0.0</v>
      </c>
      <c r="AK421" t="n">
        <v>11.666666666666666</v>
      </c>
      <c r="AL421" t="inlineStr">
        <is>
          <t/>
        </is>
      </c>
    </row>
    <row r="422">
      <c r="A422" t="inlineStr">
        <is>
          <t>我健身教练推荐的！</t>
        </is>
      </c>
      <c r="B422" t="inlineStr">
        <is>
          <t>69ac454e0000000026031715</t>
        </is>
      </c>
      <c r="C422" s="421" t="n">
        <f>HYPERLINK("https://www.xiaohongshu.com/explore/69ac454e0000000026031715?xsec_token=TBJgc9C9Zxv_xTZMGIz7T6c_EZdIaTkv6_MYR7JOIkPGI=&amp;xsec_source=pc_trdark","https://www.xiaohongshu.com/explore/69ac454e0000000026031715?xsec_token=TBJgc9C9Zxv_xTZMGIz7T6c_EZdIaTkv6_MYR7JOIkPGI=&amp;xsec_source=pc_trdark")</f>
        <v>0.0</v>
      </c>
      <c r="D422" t="inlineStr">
        <is>
          <t>鲜水湾甄选</t>
        </is>
      </c>
      <c r="E422" t="inlineStr">
        <is>
          <t>27401929161</t>
        </is>
      </c>
      <c r="F422" t="inlineStr">
        <is>
          <t>2026-03-07 23:33:34</t>
        </is>
      </c>
      <c r="G422" t="inlineStr">
        <is>
          <t>图文</t>
        </is>
      </c>
      <c r="H422" t="inlineStr">
        <is>
          <t>智利三文鱼切块·整条三文鱼·深海鱼一人食健康饮食</t>
        </is>
      </c>
      <c r="I422" t="inlineStr">
        <is>
          <t>691ac562a524ee0001b51d7b</t>
        </is>
      </c>
      <c r="J422" t="inlineStr">
        <is>
          <t/>
        </is>
      </c>
      <c r="K422" t="n">
        <v>0.0</v>
      </c>
      <c r="L422" t="n">
        <v>0.0</v>
      </c>
      <c r="M422" t="n">
        <v>1.0</v>
      </c>
      <c r="N422" t="inlineStr">
        <is>
          <t>0.16666666666666666</t>
        </is>
      </c>
      <c r="O422" t="n">
        <v>1.0</v>
      </c>
      <c r="P422" t="n">
        <v>0.0</v>
      </c>
      <c r="Q422" t="n">
        <v>0.0</v>
      </c>
      <c r="R422" t="n">
        <v>0.0</v>
      </c>
      <c r="S422" t="n">
        <v>0.0</v>
      </c>
      <c r="T422" t="n">
        <v>0.0</v>
      </c>
      <c r="U422" t="n">
        <v>0.0</v>
      </c>
      <c r="V422" t="n">
        <v>0.0</v>
      </c>
      <c r="W422" t="inlineStr">
        <is>
          <t/>
        </is>
      </c>
      <c r="X422" t="n">
        <v>0.0</v>
      </c>
      <c r="Y422" t="n">
        <v>0.0</v>
      </c>
      <c r="Z422" t="n">
        <v>0.0</v>
      </c>
      <c r="AA422" t="n">
        <v>0.0</v>
      </c>
      <c r="AB422" t="n">
        <v>0.0</v>
      </c>
      <c r="AC422" t="n">
        <v>0.0</v>
      </c>
      <c r="AD422" t="n">
        <v>6.0</v>
      </c>
      <c r="AE422" t="n">
        <v>0.0</v>
      </c>
      <c r="AF422" t="n">
        <v>0.0</v>
      </c>
      <c r="AG422" t="n">
        <v>0.0</v>
      </c>
      <c r="AH422" t="n">
        <v>0.0</v>
      </c>
      <c r="AI422" t="n">
        <v>0.0</v>
      </c>
      <c r="AJ422" t="n">
        <v>0.0</v>
      </c>
      <c r="AK422" t="n">
        <v>3.1666666666666665</v>
      </c>
      <c r="AL422" t="inlineStr">
        <is>
          <t/>
        </is>
      </c>
    </row>
    <row r="423">
      <c r="A423" t="inlineStr">
        <is>
          <t>5分钟搞定!香煎三文鱼0失败教程</t>
        </is>
      </c>
      <c r="B423" t="inlineStr">
        <is>
          <t>69830046000000002802359e</t>
        </is>
      </c>
      <c r="C423" s="422" t="n">
        <f>HYPERLINK("https://www.xiaohongshu.com/explore/69830046000000002802359e?xsec_token=TBHM0ni7GCKw8SLk8lnMVR2vzoswijjoZ_8GfLU4VJNGY=&amp;xsec_source=pc_trdark","https://www.xiaohongshu.com/explore/69830046000000002802359e?xsec_token=TBHM0ni7GCKw8SLk8lnMVR2vzoswijjoZ_8GfLU4VJNGY=&amp;xsec_source=pc_trdark")</f>
        <v>0.0</v>
      </c>
      <c r="D423" t="inlineStr">
        <is>
          <t>鲜水湾</t>
        </is>
      </c>
      <c r="E423" t="inlineStr">
        <is>
          <t>49316638994</t>
        </is>
      </c>
      <c r="F423" t="inlineStr">
        <is>
          <t>2026-02-04 16:16:06</t>
        </is>
      </c>
      <c r="G423" t="inlineStr">
        <is>
          <t>图文</t>
        </is>
      </c>
      <c r="H423" t="inlineStr">
        <is>
          <t>智利三文鱼切块·整条三文鱼·深海鱼一人食健康饮食</t>
        </is>
      </c>
      <c r="I423" t="inlineStr">
        <is>
          <t>691ac562a524ee0001b51d7b</t>
        </is>
      </c>
      <c r="J423" t="inlineStr">
        <is>
          <t/>
        </is>
      </c>
      <c r="K423" t="n">
        <v>0.0</v>
      </c>
      <c r="L423" t="n">
        <v>0.0</v>
      </c>
      <c r="M423" t="n">
        <v>0.0</v>
      </c>
      <c r="N423" t="n">
        <v>0.0</v>
      </c>
      <c r="O423" t="n">
        <v>0.0</v>
      </c>
      <c r="P423" t="n">
        <v>0.0</v>
      </c>
      <c r="Q423" t="inlineStr">
        <is>
          <t/>
        </is>
      </c>
      <c r="R423" t="inlineStr">
        <is>
          <t/>
        </is>
      </c>
      <c r="S423" t="n">
        <v>0.0</v>
      </c>
      <c r="T423" t="n">
        <v>0.0</v>
      </c>
      <c r="U423" t="n">
        <v>0.0</v>
      </c>
      <c r="V423" t="n">
        <v>0.0</v>
      </c>
      <c r="W423" t="inlineStr">
        <is>
          <t/>
        </is>
      </c>
      <c r="X423" t="n">
        <v>0.0</v>
      </c>
      <c r="Y423" t="n">
        <v>0.0</v>
      </c>
      <c r="Z423" t="n">
        <v>0.0</v>
      </c>
      <c r="AA423" t="n">
        <v>0.0</v>
      </c>
      <c r="AB423" t="n">
        <v>0.0</v>
      </c>
      <c r="AC423" t="n">
        <v>0.0</v>
      </c>
      <c r="AD423" t="n">
        <v>6.0</v>
      </c>
      <c r="AE423" t="n">
        <v>0.0</v>
      </c>
      <c r="AF423" t="n">
        <v>0.0</v>
      </c>
      <c r="AG423" t="n">
        <v>0.0</v>
      </c>
      <c r="AH423" t="n">
        <v>0.0</v>
      </c>
      <c r="AI423" t="n">
        <v>0.0</v>
      </c>
      <c r="AJ423" t="n">
        <v>0.0</v>
      </c>
      <c r="AK423" t="n">
        <v>20.0</v>
      </c>
      <c r="AL423" t="inlineStr">
        <is>
          <t/>
        </is>
      </c>
    </row>
    <row r="424">
      <c r="A424" t="inlineStr">
        <is>
          <t>孕妈妈可以放心吃的野生深海虾🦐</t>
        </is>
      </c>
      <c r="B424" t="inlineStr">
        <is>
          <t>696d8f8c000000000b008465</t>
        </is>
      </c>
      <c r="C424" s="423" t="n">
        <f>HYPERLINK("https://www.xiaohongshu.com/explore/696d8f8c000000000b008465?xsec_token=TBhBdCGGh1NnVPomuS6-J4Hz1XU76oCrEKAxts5lHzLJg=&amp;xsec_source=pc_trdark","https://www.xiaohongshu.com/explore/696d8f8c000000000b008465?xsec_token=TBhBdCGGh1NnVPomuS6-J4Hz1XU76oCrEKAxts5lHzLJg=&amp;xsec_source=pc_trdark")</f>
        <v>0.0</v>
      </c>
      <c r="D424" t="inlineStr">
        <is>
          <t>鲜水湾甄选</t>
        </is>
      </c>
      <c r="E424" t="inlineStr">
        <is>
          <t>27401929161</t>
        </is>
      </c>
      <c r="F424" t="inlineStr">
        <is>
          <t>2026-01-19 09:57:32</t>
        </is>
      </c>
      <c r="G424" t="inlineStr">
        <is>
          <t>视频</t>
        </is>
      </c>
      <c r="H424" t="inlineStr">
        <is>
          <t>北极甜虾头籽甜虾元宝虾北极熊冰虾孕妈妈宝宝辅食顺丰</t>
        </is>
      </c>
      <c r="I424" t="inlineStr">
        <is>
          <t>6953717eb8f0bb000115158d</t>
        </is>
      </c>
      <c r="J424" t="n">
        <v>38.0</v>
      </c>
      <c r="K424" t="n">
        <v>0.0</v>
      </c>
      <c r="L424" t="n">
        <v>0.0</v>
      </c>
      <c r="M424" t="n">
        <v>2.0</v>
      </c>
      <c r="N424" t="n">
        <v>0.3333333333333333</v>
      </c>
      <c r="O424" t="n">
        <v>1.0</v>
      </c>
      <c r="P424" t="n">
        <v>0.0</v>
      </c>
      <c r="Q424" t="n">
        <v>0.0</v>
      </c>
      <c r="R424" t="n">
        <v>0.0</v>
      </c>
      <c r="S424" t="n">
        <v>0.0</v>
      </c>
      <c r="T424" t="n">
        <v>0.0</v>
      </c>
      <c r="U424" t="n">
        <v>0.0</v>
      </c>
      <c r="V424" t="n">
        <v>0.0</v>
      </c>
      <c r="W424" t="inlineStr">
        <is>
          <t/>
        </is>
      </c>
      <c r="X424" t="n">
        <v>0.0</v>
      </c>
      <c r="Y424" t="n">
        <v>1.0</v>
      </c>
      <c r="Z424" t="n">
        <v>0.0</v>
      </c>
      <c r="AA424" t="n">
        <v>0.0</v>
      </c>
      <c r="AB424" t="n">
        <v>0.0</v>
      </c>
      <c r="AC424" t="n">
        <v>0.0</v>
      </c>
      <c r="AD424" t="n">
        <v>6.0</v>
      </c>
      <c r="AE424" t="n">
        <v>0.0</v>
      </c>
      <c r="AF424" t="n">
        <v>0.0</v>
      </c>
      <c r="AG424" t="n">
        <v>0.0</v>
      </c>
      <c r="AH424" t="n">
        <v>0.0</v>
      </c>
      <c r="AI424" t="n">
        <v>0.0</v>
      </c>
      <c r="AJ424" t="n">
        <v>0.0</v>
      </c>
      <c r="AK424" t="n">
        <v>8.0</v>
      </c>
      <c r="AL424" t="n">
        <v>0.0</v>
      </c>
    </row>
    <row r="425">
      <c r="A425" t="inlineStr">
        <is>
          <t>59.9r到手5斤，大小一个价，喜欢的来尝尝</t>
        </is>
      </c>
      <c r="B425" t="inlineStr">
        <is>
          <t>69255a3e000000001e02599d</t>
        </is>
      </c>
      <c r="C425" s="424" t="n">
        <f>HYPERLINK("https://www.xiaohongshu.com/explore/69255a3e000000001e02599d?xsec_token=TBVx22ZAFho_bBgysCIliGP2XtefPNSKlizIM-CsqTrj0=&amp;xsec_source=pc_trdark","https://www.xiaohongshu.com/explore/69255a3e000000001e02599d?xsec_token=TBVx22ZAFho_bBgysCIliGP2XtefPNSKlizIM-CsqTrj0=&amp;xsec_source=pc_trdark")</f>
        <v>0.0</v>
      </c>
      <c r="D425" t="inlineStr">
        <is>
          <t>婉婉上班吃什么</t>
        </is>
      </c>
      <c r="E425" t="inlineStr">
        <is>
          <t>11434449706</t>
        </is>
      </c>
      <c r="F425" t="inlineStr">
        <is>
          <t>2025-11-25 15:26:54</t>
        </is>
      </c>
      <c r="G425" t="inlineStr">
        <is>
          <t>视频</t>
        </is>
      </c>
      <c r="H425" t="inlineStr">
        <is>
          <t>生蚝乳山生蚝海蛎子顺丰包邮</t>
        </is>
      </c>
      <c r="I425" t="inlineStr">
        <is>
          <t>690c70971b787900010866cc</t>
        </is>
      </c>
      <c r="J425" t="n">
        <v>28.0</v>
      </c>
      <c r="K425" t="n">
        <v>0.0</v>
      </c>
      <c r="L425" t="n">
        <v>0.0</v>
      </c>
      <c r="M425" t="n">
        <v>0.0</v>
      </c>
      <c r="N425" t="n">
        <v>0.0</v>
      </c>
      <c r="O425" t="n">
        <v>0.0</v>
      </c>
      <c r="P425" t="n">
        <v>0.0</v>
      </c>
      <c r="Q425" t="inlineStr">
        <is>
          <t/>
        </is>
      </c>
      <c r="R425" t="inlineStr">
        <is>
          <t/>
        </is>
      </c>
      <c r="S425" t="n">
        <v>0.0</v>
      </c>
      <c r="T425" t="n">
        <v>0.0</v>
      </c>
      <c r="U425" t="n">
        <v>0.0</v>
      </c>
      <c r="V425" t="n">
        <v>0.0</v>
      </c>
      <c r="W425" t="inlineStr">
        <is>
          <t/>
        </is>
      </c>
      <c r="X425" t="n">
        <v>0.0</v>
      </c>
      <c r="Y425" t="n">
        <v>0.0</v>
      </c>
      <c r="Z425" t="n">
        <v>0.0</v>
      </c>
      <c r="AA425" t="n">
        <v>0.0</v>
      </c>
      <c r="AB425" t="n">
        <v>0.0</v>
      </c>
      <c r="AC425" t="n">
        <v>0.0</v>
      </c>
      <c r="AD425" t="n">
        <v>6.0</v>
      </c>
      <c r="AE425" t="n">
        <v>0.0</v>
      </c>
      <c r="AF425" t="n">
        <v>0.0</v>
      </c>
      <c r="AG425" t="n">
        <v>0.0</v>
      </c>
      <c r="AH425" t="n">
        <v>0.0</v>
      </c>
      <c r="AI425" t="n">
        <v>0.0</v>
      </c>
      <c r="AJ425" t="n">
        <v>0.0</v>
      </c>
      <c r="AK425" t="n">
        <v>9.166666666666666</v>
      </c>
      <c r="AL425" t="inlineStr">
        <is>
          <t>0.16666666666666666</t>
        </is>
      </c>
    </row>
    <row r="426">
      <c r="A426" t="inlineStr">
        <is>
          <t>办公室午饭被追着问，全靠这减脂餐虾仁</t>
        </is>
      </c>
      <c r="B426" t="inlineStr">
        <is>
          <t>6a6c31430000000026035732</t>
        </is>
      </c>
      <c r="C426" s="425" t="n">
        <f>HYPERLINK("https://www.xiaohongshu.com/explore/6a6c31430000000026035732?xsec_token=TBpbsD5cK9v8WYsSJHgrIHr7bNPGs6EocpoUvzzNeNoyw=&amp;xsec_source=pc_trdark","https://www.xiaohongshu.com/explore/6a6c31430000000026035732?xsec_token=TBpbsD5cK9v8WYsSJHgrIHr7bNPGs6EocpoUvzzNeNoyw=&amp;xsec_source=pc_trdark")</f>
        <v>0.0</v>
      </c>
      <c r="D426" t="inlineStr">
        <is>
          <t>鲜水湾甄选</t>
        </is>
      </c>
      <c r="E426" t="inlineStr">
        <is>
          <t>27401929161</t>
        </is>
      </c>
      <c r="F426" t="inlineStr">
        <is>
          <t>2026-07-31 13:23:15</t>
        </is>
      </c>
      <c r="G426" t="inlineStr">
        <is>
          <t>图文</t>
        </is>
      </c>
      <c r="H426" t="inlineStr">
        <is>
          <t>手剥虾仁 无冰衣无添加 低脂餐一人食 上班带饭 顺丰包邮 5盒装</t>
        </is>
      </c>
      <c r="I426" t="inlineStr">
        <is>
          <t>694baba01d450d00013662f0</t>
        </is>
      </c>
      <c r="J426" t="inlineStr">
        <is>
          <t/>
        </is>
      </c>
      <c r="K426" t="n">
        <v>0.0</v>
      </c>
      <c r="L426" t="n">
        <v>0.0</v>
      </c>
      <c r="M426" t="n">
        <v>2.0</v>
      </c>
      <c r="N426" t="n">
        <v>0.4</v>
      </c>
      <c r="O426" t="n">
        <v>2.0</v>
      </c>
      <c r="P426" t="n">
        <v>0.0</v>
      </c>
      <c r="Q426" t="n">
        <v>0.0</v>
      </c>
      <c r="R426" t="n">
        <v>0.0</v>
      </c>
      <c r="S426" t="n">
        <v>0.0</v>
      </c>
      <c r="T426" t="n">
        <v>0.0</v>
      </c>
      <c r="U426" t="n">
        <v>0.0</v>
      </c>
      <c r="V426" t="n">
        <v>0.0</v>
      </c>
      <c r="W426" t="inlineStr">
        <is>
          <t/>
        </is>
      </c>
      <c r="X426" t="n">
        <v>0.0</v>
      </c>
      <c r="Y426" t="n">
        <v>0.0</v>
      </c>
      <c r="Z426" t="n">
        <v>0.0</v>
      </c>
      <c r="AA426" t="n">
        <v>0.0</v>
      </c>
      <c r="AB426" t="n">
        <v>0.0</v>
      </c>
      <c r="AC426" t="n">
        <v>0.0</v>
      </c>
      <c r="AD426" t="n">
        <v>5.0</v>
      </c>
      <c r="AE426" t="n">
        <v>0.0</v>
      </c>
      <c r="AF426" t="n">
        <v>0.0</v>
      </c>
      <c r="AG426" t="n">
        <v>0.0</v>
      </c>
      <c r="AH426" t="n">
        <v>0.0</v>
      </c>
      <c r="AI426" t="n">
        <v>0.0</v>
      </c>
      <c r="AJ426" t="n">
        <v>0.0</v>
      </c>
      <c r="AK426" t="n">
        <v>17.8</v>
      </c>
      <c r="AL426" t="inlineStr">
        <is>
          <t/>
        </is>
      </c>
    </row>
    <row r="427">
      <c r="A427" t="inlineStr">
        <is>
          <t>教练说：女孩子多吃蛋白质的含金量还在上升…</t>
        </is>
      </c>
      <c r="B427" t="inlineStr">
        <is>
          <t>6a69937e000000001101986c</t>
        </is>
      </c>
      <c r="C427" s="426" t="n">
        <f>HYPERLINK("https://www.xiaohongshu.com/explore/6a69937e000000001101986c?xsec_token=TBJ6ASIbBevmLmI2amyjDnmUmt9pCqche0IK684_W5ubM=&amp;xsec_source=pc_trdark","https://www.xiaohongshu.com/explore/6a69937e000000001101986c?xsec_token=TBJ6ASIbBevmLmI2amyjDnmUmt9pCqche0IK684_W5ubM=&amp;xsec_source=pc_trdark")</f>
        <v>0.0</v>
      </c>
      <c r="D427" t="inlineStr">
        <is>
          <t>鲜水湾甄选</t>
        </is>
      </c>
      <c r="E427" t="inlineStr">
        <is>
          <t>27401929161</t>
        </is>
      </c>
      <c r="F427" t="inlineStr">
        <is>
          <t>2026-07-29 13:45:34</t>
        </is>
      </c>
      <c r="G427" t="inlineStr">
        <is>
          <t>图文</t>
        </is>
      </c>
      <c r="H427" t="inlineStr">
        <is>
          <t>手剥虾仁 无冰衣无添加 低脂餐一人食 上班带饭 顺丰包邮 5盒装</t>
        </is>
      </c>
      <c r="I427" t="inlineStr">
        <is>
          <t>694baba01d450d00013662f0</t>
        </is>
      </c>
      <c r="J427" t="inlineStr">
        <is>
          <t/>
        </is>
      </c>
      <c r="K427" t="n">
        <v>0.0</v>
      </c>
      <c r="L427" t="n">
        <v>0.0</v>
      </c>
      <c r="M427" t="n">
        <v>0.0</v>
      </c>
      <c r="N427" t="n">
        <v>0.0</v>
      </c>
      <c r="O427" t="n">
        <v>0.0</v>
      </c>
      <c r="P427" t="n">
        <v>0.0</v>
      </c>
      <c r="Q427" t="inlineStr">
        <is>
          <t/>
        </is>
      </c>
      <c r="R427" t="inlineStr">
        <is>
          <t/>
        </is>
      </c>
      <c r="S427" t="n">
        <v>0.0</v>
      </c>
      <c r="T427" t="n">
        <v>0.0</v>
      </c>
      <c r="U427" t="n">
        <v>0.0</v>
      </c>
      <c r="V427" t="n">
        <v>0.0</v>
      </c>
      <c r="W427" t="inlineStr">
        <is>
          <t/>
        </is>
      </c>
      <c r="X427" t="n">
        <v>0.0</v>
      </c>
      <c r="Y427" t="n">
        <v>0.0</v>
      </c>
      <c r="Z427" t="n">
        <v>0.0</v>
      </c>
      <c r="AA427" t="n">
        <v>0.0</v>
      </c>
      <c r="AB427" t="n">
        <v>0.0</v>
      </c>
      <c r="AC427" t="n">
        <v>0.0</v>
      </c>
      <c r="AD427" t="n">
        <v>5.0</v>
      </c>
      <c r="AE427" t="n">
        <v>0.0</v>
      </c>
      <c r="AF427" t="n">
        <v>0.0</v>
      </c>
      <c r="AG427" t="n">
        <v>0.0</v>
      </c>
      <c r="AH427" t="n">
        <v>0.0</v>
      </c>
      <c r="AI427" t="n">
        <v>0.0</v>
      </c>
      <c r="AJ427" t="n">
        <v>0.0</v>
      </c>
      <c r="AK427" t="n">
        <v>2.0</v>
      </c>
      <c r="AL427" t="inlineStr">
        <is>
          <t/>
        </is>
      </c>
    </row>
    <row r="428">
      <c r="A428" t="inlineStr">
        <is>
          <t>请大数据推给减脂的姐妹，吃的干净真的会瘦</t>
        </is>
      </c>
      <c r="B428" t="inlineStr">
        <is>
          <t>6a65fa70000000000c015876</t>
        </is>
      </c>
      <c r="C428" s="427" t="n">
        <f>HYPERLINK("https://www.xiaohongshu.com/explore/6a65fa70000000000c015876?xsec_token=TB58XJIgbz5sDQhjTMNqitzDubP3b4PmyidzWkCJzf8K0=&amp;xsec_source=pc_trdark","https://www.xiaohongshu.com/explore/6a65fa70000000000c015876?xsec_token=TB58XJIgbz5sDQhjTMNqitzDubP3b4PmyidzWkCJzf8K0=&amp;xsec_source=pc_trdark")</f>
        <v>0.0</v>
      </c>
      <c r="D428" t="inlineStr">
        <is>
          <t>婉婉上班吃什么</t>
        </is>
      </c>
      <c r="E428" t="inlineStr">
        <is>
          <t>11434449706</t>
        </is>
      </c>
      <c r="F428" t="inlineStr">
        <is>
          <t>2026-07-26 20:15:44</t>
        </is>
      </c>
      <c r="G428" t="inlineStr">
        <is>
          <t>图文</t>
        </is>
      </c>
      <c r="H428" t="inlineStr">
        <is>
          <t>手剥虾仁 无冰衣无添加 低脂餐一人食 上班带饭 顺丰包邮 5盒装</t>
        </is>
      </c>
      <c r="I428" t="inlineStr">
        <is>
          <t>694baba01d450d00013662f0</t>
        </is>
      </c>
      <c r="J428" t="inlineStr">
        <is>
          <t/>
        </is>
      </c>
      <c r="K428" t="n">
        <v>0.0</v>
      </c>
      <c r="L428" t="n">
        <v>0.0</v>
      </c>
      <c r="M428" t="n">
        <v>0.0</v>
      </c>
      <c r="N428" t="n">
        <v>0.0</v>
      </c>
      <c r="O428" t="n">
        <v>0.0</v>
      </c>
      <c r="P428" t="n">
        <v>0.0</v>
      </c>
      <c r="Q428" t="inlineStr">
        <is>
          <t/>
        </is>
      </c>
      <c r="R428" t="inlineStr">
        <is>
          <t/>
        </is>
      </c>
      <c r="S428" t="n">
        <v>0.0</v>
      </c>
      <c r="T428" t="n">
        <v>0.0</v>
      </c>
      <c r="U428" t="n">
        <v>0.0</v>
      </c>
      <c r="V428" t="n">
        <v>0.0</v>
      </c>
      <c r="W428" t="inlineStr">
        <is>
          <t/>
        </is>
      </c>
      <c r="X428" t="n">
        <v>0.0</v>
      </c>
      <c r="Y428" t="n">
        <v>0.0</v>
      </c>
      <c r="Z428" t="n">
        <v>0.0</v>
      </c>
      <c r="AA428" t="n">
        <v>0.0</v>
      </c>
      <c r="AB428" t="n">
        <v>0.0</v>
      </c>
      <c r="AC428" t="n">
        <v>0.0</v>
      </c>
      <c r="AD428" t="n">
        <v>5.0</v>
      </c>
      <c r="AE428" t="n">
        <v>0.0</v>
      </c>
      <c r="AF428" t="n">
        <v>0.0</v>
      </c>
      <c r="AG428" t="n">
        <v>0.0</v>
      </c>
      <c r="AH428" t="n">
        <v>0.0</v>
      </c>
      <c r="AI428" t="n">
        <v>0.0</v>
      </c>
      <c r="AJ428" t="n">
        <v>0.0</v>
      </c>
      <c r="AK428" t="n">
        <v>12.4</v>
      </c>
      <c r="AL428" t="inlineStr">
        <is>
          <t/>
        </is>
      </c>
    </row>
    <row r="429">
      <c r="A429" t="inlineStr">
        <is>
          <t>不是，这谁还去日料店啊</t>
        </is>
      </c>
      <c r="B429" t="inlineStr">
        <is>
          <t>6a5f41d6000000001f01e6a4</t>
        </is>
      </c>
      <c r="C429" s="428" t="n">
        <f>HYPERLINK("https://www.xiaohongshu.com/explore/6a5f41d6000000001f01e6a4?xsec_token=TBNiP87dDl0mbMa3fu0C81MX8rcWUuylgR0yFcVQOoEHE=&amp;xsec_source=pc_trdark","https://www.xiaohongshu.com/explore/6a5f41d6000000001f01e6a4?xsec_token=TBNiP87dDl0mbMa3fu0C81MX8rcWUuylgR0yFcVQOoEHE=&amp;xsec_source=pc_trdark")</f>
        <v>0.0</v>
      </c>
      <c r="D429" t="inlineStr">
        <is>
          <t>婉婉上班吃什么</t>
        </is>
      </c>
      <c r="E429" t="inlineStr">
        <is>
          <t>11434449706</t>
        </is>
      </c>
      <c r="F429" t="inlineStr">
        <is>
          <t>2026-07-21 17:54:30</t>
        </is>
      </c>
      <c r="G429" t="inlineStr">
        <is>
          <t>图文</t>
        </is>
      </c>
      <c r="H429" t="inlineStr">
        <is>
          <t>智利三文鱼切块·整条三文鱼·深海鱼一人食健康饮食</t>
        </is>
      </c>
      <c r="I429" t="inlineStr">
        <is>
          <t>691ac562a524ee0001b51d7b</t>
        </is>
      </c>
      <c r="J429" t="inlineStr">
        <is>
          <t/>
        </is>
      </c>
      <c r="K429" t="n">
        <v>0.0</v>
      </c>
      <c r="L429" t="n">
        <v>0.0</v>
      </c>
      <c r="M429" t="n">
        <v>1.0</v>
      </c>
      <c r="N429" t="n">
        <v>0.2</v>
      </c>
      <c r="O429" t="n">
        <v>1.0</v>
      </c>
      <c r="P429" t="n">
        <v>0.0</v>
      </c>
      <c r="Q429" t="n">
        <v>0.0</v>
      </c>
      <c r="R429" t="n">
        <v>0.0</v>
      </c>
      <c r="S429" t="n">
        <v>0.0</v>
      </c>
      <c r="T429" t="n">
        <v>0.0</v>
      </c>
      <c r="U429" t="n">
        <v>0.0</v>
      </c>
      <c r="V429" t="n">
        <v>0.0</v>
      </c>
      <c r="W429" t="inlineStr">
        <is>
          <t/>
        </is>
      </c>
      <c r="X429" t="n">
        <v>0.0</v>
      </c>
      <c r="Y429" t="n">
        <v>0.0</v>
      </c>
      <c r="Z429" t="n">
        <v>1.0</v>
      </c>
      <c r="AA429" t="n">
        <v>0.0</v>
      </c>
      <c r="AB429" t="n">
        <v>0.0</v>
      </c>
      <c r="AC429" t="n">
        <v>0.0</v>
      </c>
      <c r="AD429" t="n">
        <v>5.0</v>
      </c>
      <c r="AE429" t="n">
        <v>0.0</v>
      </c>
      <c r="AF429" t="n">
        <v>0.0</v>
      </c>
      <c r="AG429" t="n">
        <v>0.0</v>
      </c>
      <c r="AH429" t="n">
        <v>0.0</v>
      </c>
      <c r="AI429" t="n">
        <v>0.0</v>
      </c>
      <c r="AJ429" t="n">
        <v>0.0</v>
      </c>
      <c r="AK429" t="n">
        <v>24.0</v>
      </c>
      <c r="AL429" t="inlineStr">
        <is>
          <t/>
        </is>
      </c>
    </row>
    <row r="430">
      <c r="A430" t="inlineStr">
        <is>
          <t>应粉丝要求，推出了减脂期虾仁独立小包装！</t>
        </is>
      </c>
      <c r="B430" t="inlineStr">
        <is>
          <t>6a5edf71000000000c0156a4</t>
        </is>
      </c>
      <c r="C430" s="429" t="n">
        <f>HYPERLINK("https://www.xiaohongshu.com/explore/6a5edf71000000000c0156a4?xsec_token=TBbojWk_7wqvNRrckRPtQ4WE0LAwECUL43OQNXJIGQ4Sw=&amp;xsec_source=pc_trdark","https://www.xiaohongshu.com/explore/6a5edf71000000000c0156a4?xsec_token=TBbojWk_7wqvNRrckRPtQ4WE0LAwECUL43OQNXJIGQ4Sw=&amp;xsec_source=pc_trdark")</f>
        <v>0.0</v>
      </c>
      <c r="D430" t="inlineStr">
        <is>
          <t>菲菲上班吃什么</t>
        </is>
      </c>
      <c r="E430" t="inlineStr">
        <is>
          <t>49936530607</t>
        </is>
      </c>
      <c r="F430" t="inlineStr">
        <is>
          <t>2026-07-21 10:54:41</t>
        </is>
      </c>
      <c r="G430" t="inlineStr">
        <is>
          <t>图文</t>
        </is>
      </c>
      <c r="H430" t="inlineStr">
        <is>
          <t>手剥虾仁 无冰衣无添加 低脂餐一人食 上班带饭 顺丰包邮 5盒装</t>
        </is>
      </c>
      <c r="I430" t="inlineStr">
        <is>
          <t>694baba01d450d00013662f0</t>
        </is>
      </c>
      <c r="J430" t="inlineStr">
        <is>
          <t/>
        </is>
      </c>
      <c r="K430" t="n">
        <v>0.0</v>
      </c>
      <c r="L430" t="n">
        <v>0.0</v>
      </c>
      <c r="M430" t="n">
        <v>1.0</v>
      </c>
      <c r="N430" t="n">
        <v>0.2</v>
      </c>
      <c r="O430" t="n">
        <v>1.0</v>
      </c>
      <c r="P430" t="n">
        <v>0.0</v>
      </c>
      <c r="Q430" t="n">
        <v>0.0</v>
      </c>
      <c r="R430" t="n">
        <v>0.0</v>
      </c>
      <c r="S430" t="n">
        <v>0.0</v>
      </c>
      <c r="T430" t="n">
        <v>0.0</v>
      </c>
      <c r="U430" t="n">
        <v>0.0</v>
      </c>
      <c r="V430" t="n">
        <v>0.0</v>
      </c>
      <c r="W430" t="inlineStr">
        <is>
          <t/>
        </is>
      </c>
      <c r="X430" t="n">
        <v>0.0</v>
      </c>
      <c r="Y430" t="n">
        <v>1.0</v>
      </c>
      <c r="Z430" t="n">
        <v>4.0</v>
      </c>
      <c r="AA430" t="n">
        <v>0.0</v>
      </c>
      <c r="AB430" t="n">
        <v>0.0</v>
      </c>
      <c r="AC430" t="n">
        <v>0.0</v>
      </c>
      <c r="AD430" t="n">
        <v>5.0</v>
      </c>
      <c r="AE430" t="n">
        <v>0.0</v>
      </c>
      <c r="AF430" t="n">
        <v>0.0</v>
      </c>
      <c r="AG430" t="n">
        <v>0.0</v>
      </c>
      <c r="AH430" t="n">
        <v>0.0</v>
      </c>
      <c r="AI430" t="n">
        <v>0.0</v>
      </c>
      <c r="AJ430" t="n">
        <v>0.0</v>
      </c>
      <c r="AK430" t="n">
        <v>3.2</v>
      </c>
      <c r="AL430" t="inlineStr">
        <is>
          <t/>
        </is>
      </c>
    </row>
    <row r="431">
      <c r="A431" t="inlineStr">
        <is>
          <t>区区300块，囤够了我一个月的减脂餐</t>
        </is>
      </c>
      <c r="B431" t="inlineStr">
        <is>
          <t>6a5af000000000000903455b</t>
        </is>
      </c>
      <c r="C431" s="430" t="n">
        <f>HYPERLINK("https://www.xiaohongshu.com/explore/6a5af000000000000903455b?xsec_token=TB4snoxz_tGrT0swQwZBXFqtDF6Ttautr8TsWIrX_3UR8=&amp;xsec_source=pc_trdark","https://www.xiaohongshu.com/explore/6a5af000000000000903455b?xsec_token=TB4snoxz_tGrT0swQwZBXFqtDF6Ttautr8TsWIrX_3UR8=&amp;xsec_source=pc_trdark")</f>
        <v>0.0</v>
      </c>
      <c r="D431" t="inlineStr">
        <is>
          <t>婉婉上班吃什么</t>
        </is>
      </c>
      <c r="E431" t="inlineStr">
        <is>
          <t>11434449706</t>
        </is>
      </c>
      <c r="F431" t="inlineStr">
        <is>
          <t>2026-07-18 11:16:16</t>
        </is>
      </c>
      <c r="G431" t="inlineStr">
        <is>
          <t>图文</t>
        </is>
      </c>
      <c r="H431" t="inlineStr">
        <is>
          <t>智利尾端中段整条三文鱼 8斤深海鱼低脂餐囤货一周备菜顺丰包邮</t>
        </is>
      </c>
      <c r="I431" t="inlineStr">
        <is>
          <t>69fab80d64eb410001ece0c0</t>
        </is>
      </c>
      <c r="J431" t="inlineStr">
        <is>
          <t/>
        </is>
      </c>
      <c r="K431" t="n">
        <v>0.0</v>
      </c>
      <c r="L431" t="n">
        <v>0.0</v>
      </c>
      <c r="M431" t="n">
        <v>2.0</v>
      </c>
      <c r="N431" t="n">
        <v>0.4</v>
      </c>
      <c r="O431" t="n">
        <v>2.0</v>
      </c>
      <c r="P431" t="n">
        <v>0.0</v>
      </c>
      <c r="Q431" t="n">
        <v>0.0</v>
      </c>
      <c r="R431" t="n">
        <v>0.0</v>
      </c>
      <c r="S431" t="n">
        <v>0.0</v>
      </c>
      <c r="T431" t="n">
        <v>0.0</v>
      </c>
      <c r="U431" t="n">
        <v>0.0</v>
      </c>
      <c r="V431" t="n">
        <v>0.0</v>
      </c>
      <c r="W431" t="inlineStr">
        <is>
          <t/>
        </is>
      </c>
      <c r="X431" t="n">
        <v>0.0</v>
      </c>
      <c r="Y431" t="n">
        <v>0.0</v>
      </c>
      <c r="Z431" t="n">
        <v>0.0</v>
      </c>
      <c r="AA431" t="n">
        <v>0.0</v>
      </c>
      <c r="AB431" t="n">
        <v>0.0</v>
      </c>
      <c r="AC431" t="n">
        <v>0.0</v>
      </c>
      <c r="AD431" t="n">
        <v>5.0</v>
      </c>
      <c r="AE431" t="n">
        <v>0.0</v>
      </c>
      <c r="AF431" t="n">
        <v>0.0</v>
      </c>
      <c r="AG431" t="n">
        <v>0.0</v>
      </c>
      <c r="AH431" t="n">
        <v>0.0</v>
      </c>
      <c r="AI431" t="n">
        <v>0.0</v>
      </c>
      <c r="AJ431" t="n">
        <v>0.0</v>
      </c>
      <c r="AK431" t="n">
        <v>35.8</v>
      </c>
      <c r="AL431" t="inlineStr">
        <is>
          <t/>
        </is>
      </c>
    </row>
    <row r="432">
      <c r="A432" t="inlineStr">
        <is>
          <t>全家控体期，虾仁就没断过货</t>
        </is>
      </c>
      <c r="B432" t="inlineStr">
        <is>
          <t>6a588693000000001302425e</t>
        </is>
      </c>
      <c r="C432" s="431" t="n">
        <f>HYPERLINK("https://www.xiaohongshu.com/explore/6a588693000000001302425e?xsec_token=TBvlNKL7oOw9geyiSau-qu9RhibzMZxns4rv-ueVd5wpw=&amp;xsec_source=pc_trdark","https://www.xiaohongshu.com/explore/6a588693000000001302425e?xsec_token=TBvlNKL7oOw9geyiSau-qu9RhibzMZxns4rv-ueVd5wpw=&amp;xsec_source=pc_trdark")</f>
        <v>0.0</v>
      </c>
      <c r="D432" t="inlineStr">
        <is>
          <t>婉婉上班吃什么</t>
        </is>
      </c>
      <c r="E432" t="inlineStr">
        <is>
          <t>11434449706</t>
        </is>
      </c>
      <c r="F432" t="inlineStr">
        <is>
          <t>2026-07-16 15:21:55</t>
        </is>
      </c>
      <c r="G432" t="inlineStr">
        <is>
          <t>图文</t>
        </is>
      </c>
      <c r="H432" t="inlineStr">
        <is>
          <t>手剥虾仁 无冰衣无添加 低脂餐一人食 上班带饭 顺丰包邮 5盒装</t>
        </is>
      </c>
      <c r="I432" t="inlineStr">
        <is>
          <t>694baba01d450d00013662f0</t>
        </is>
      </c>
      <c r="J432" t="inlineStr">
        <is>
          <t/>
        </is>
      </c>
      <c r="K432" t="n">
        <v>0.0</v>
      </c>
      <c r="L432" t="n">
        <v>0.0</v>
      </c>
      <c r="M432" t="n">
        <v>0.0</v>
      </c>
      <c r="N432" t="n">
        <v>0.0</v>
      </c>
      <c r="O432" t="n">
        <v>0.0</v>
      </c>
      <c r="P432" t="n">
        <v>0.0</v>
      </c>
      <c r="Q432" t="inlineStr">
        <is>
          <t/>
        </is>
      </c>
      <c r="R432" t="inlineStr">
        <is>
          <t/>
        </is>
      </c>
      <c r="S432" t="n">
        <v>0.0</v>
      </c>
      <c r="T432" t="n">
        <v>0.0</v>
      </c>
      <c r="U432" t="n">
        <v>0.0</v>
      </c>
      <c r="V432" t="n">
        <v>0.0</v>
      </c>
      <c r="W432" t="inlineStr">
        <is>
          <t/>
        </is>
      </c>
      <c r="X432" t="n">
        <v>0.0</v>
      </c>
      <c r="Y432" t="n">
        <v>0.0</v>
      </c>
      <c r="Z432" t="n">
        <v>0.0</v>
      </c>
      <c r="AA432" t="n">
        <v>0.0</v>
      </c>
      <c r="AB432" t="n">
        <v>0.0</v>
      </c>
      <c r="AC432" t="n">
        <v>0.0</v>
      </c>
      <c r="AD432" t="n">
        <v>5.0</v>
      </c>
      <c r="AE432" t="n">
        <v>0.0</v>
      </c>
      <c r="AF432" t="n">
        <v>0.0</v>
      </c>
      <c r="AG432" t="n">
        <v>0.0</v>
      </c>
      <c r="AH432" t="n">
        <v>0.0</v>
      </c>
      <c r="AI432" t="n">
        <v>0.0</v>
      </c>
      <c r="AJ432" t="n">
        <v>0.0</v>
      </c>
      <c r="AK432" t="n">
        <v>8.6</v>
      </c>
      <c r="AL432" t="inlineStr">
        <is>
          <t/>
        </is>
      </c>
    </row>
    <row r="433">
      <c r="A433" t="inlineStr">
        <is>
          <t>听粉丝的话，我们把虾仁做成了一顿一袋</t>
        </is>
      </c>
      <c r="B433" t="inlineStr">
        <is>
          <t>6a548b62000000002003b763</t>
        </is>
      </c>
      <c r="C433" s="432" t="n">
        <f>HYPERLINK("https://www.xiaohongshu.com/explore/6a548b62000000002003b763?xsec_token=TBnijnMEPEnSTDzzHBYv-GM2q9FzBXvRDyh8usPxE5PrM=&amp;xsec_source=pc_trdark","https://www.xiaohongshu.com/explore/6a548b62000000002003b763?xsec_token=TBnijnMEPEnSTDzzHBYv-GM2q9FzBXvRDyh8usPxE5PrM=&amp;xsec_source=pc_trdark")</f>
        <v>0.0</v>
      </c>
      <c r="D433" t="inlineStr">
        <is>
          <t>鲜水湾</t>
        </is>
      </c>
      <c r="E433" t="inlineStr">
        <is>
          <t>49316638994</t>
        </is>
      </c>
      <c r="F433" t="inlineStr">
        <is>
          <t>2026-07-13 14:53:22</t>
        </is>
      </c>
      <c r="G433" t="inlineStr">
        <is>
          <t>图文</t>
        </is>
      </c>
      <c r="H433" t="inlineStr">
        <is>
          <t>手剥虾仁 无冰衣无添加 低脂餐一人食 上班带饭 顺丰包邮 5盒装</t>
        </is>
      </c>
      <c r="I433" t="inlineStr">
        <is>
          <t>694baba01d450d00013662f0</t>
        </is>
      </c>
      <c r="J433" t="inlineStr">
        <is>
          <t/>
        </is>
      </c>
      <c r="K433" t="n">
        <v>0.0</v>
      </c>
      <c r="L433" t="n">
        <v>0.0</v>
      </c>
      <c r="M433" t="n">
        <v>0.0</v>
      </c>
      <c r="N433" t="n">
        <v>0.0</v>
      </c>
      <c r="O433" t="n">
        <v>0.0</v>
      </c>
      <c r="P433" t="n">
        <v>0.0</v>
      </c>
      <c r="Q433" t="inlineStr">
        <is>
          <t/>
        </is>
      </c>
      <c r="R433" t="inlineStr">
        <is>
          <t/>
        </is>
      </c>
      <c r="S433" t="n">
        <v>0.0</v>
      </c>
      <c r="T433" t="n">
        <v>0.0</v>
      </c>
      <c r="U433" t="n">
        <v>0.0</v>
      </c>
      <c r="V433" t="n">
        <v>0.0</v>
      </c>
      <c r="W433" t="inlineStr">
        <is>
          <t/>
        </is>
      </c>
      <c r="X433" t="n">
        <v>0.0</v>
      </c>
      <c r="Y433" t="n">
        <v>0.0</v>
      </c>
      <c r="Z433" t="n">
        <v>0.0</v>
      </c>
      <c r="AA433" t="n">
        <v>0.0</v>
      </c>
      <c r="AB433" t="n">
        <v>0.0</v>
      </c>
      <c r="AC433" t="n">
        <v>0.0</v>
      </c>
      <c r="AD433" t="n">
        <v>5.0</v>
      </c>
      <c r="AE433" t="n">
        <v>0.0</v>
      </c>
      <c r="AF433" t="n">
        <v>0.0</v>
      </c>
      <c r="AG433" t="n">
        <v>0.0</v>
      </c>
      <c r="AH433" t="n">
        <v>0.0</v>
      </c>
      <c r="AI433" t="n">
        <v>0.0</v>
      </c>
      <c r="AJ433" t="n">
        <v>0.0</v>
      </c>
      <c r="AK433" t="n">
        <v>8.6</v>
      </c>
      <c r="AL433" t="inlineStr">
        <is>
          <t/>
        </is>
      </c>
    </row>
    <row r="434">
      <c r="A434" t="inlineStr">
        <is>
          <t>直观展示一下100元的购买力！</t>
        </is>
      </c>
      <c r="B434" t="inlineStr">
        <is>
          <t>6a5240c2000000002100aa78</t>
        </is>
      </c>
      <c r="C434" s="433" t="n">
        <f>HYPERLINK("https://www.xiaohongshu.com/explore/6a5240c2000000002100aa78?xsec_token=TBmSeK3veO5WpVML9vpw2EHH68knL96eRPIcPJPgg-z20=&amp;xsec_source=pc_trdark","https://www.xiaohongshu.com/explore/6a5240c2000000002100aa78?xsec_token=TBmSeK3veO5WpVML9vpw2EHH68knL96eRPIcPJPgg-z20=&amp;xsec_source=pc_trdark")</f>
        <v>0.0</v>
      </c>
      <c r="D434" t="inlineStr">
        <is>
          <t>菲菲上班吃什么</t>
        </is>
      </c>
      <c r="E434" t="inlineStr">
        <is>
          <t>49936530607</t>
        </is>
      </c>
      <c r="F434" t="inlineStr">
        <is>
          <t>2026-07-11 21:10:26</t>
        </is>
      </c>
      <c r="G434" t="inlineStr">
        <is>
          <t>图文</t>
        </is>
      </c>
      <c r="H434" t="inlineStr">
        <is>
          <t>手剥虾仁 无冰衣无添加 低脂餐一人食 上班带饭 顺丰包邮 5盒装</t>
        </is>
      </c>
      <c r="I434" t="inlineStr">
        <is>
          <t>694baba01d450d00013662f0</t>
        </is>
      </c>
      <c r="J434" t="inlineStr">
        <is>
          <t/>
        </is>
      </c>
      <c r="K434" t="n">
        <v>0.0</v>
      </c>
      <c r="L434" t="n">
        <v>0.0</v>
      </c>
      <c r="M434" t="n">
        <v>1.0</v>
      </c>
      <c r="N434" t="n">
        <v>0.2</v>
      </c>
      <c r="O434" t="n">
        <v>1.0</v>
      </c>
      <c r="P434" t="n">
        <v>0.0</v>
      </c>
      <c r="Q434" t="n">
        <v>0.0</v>
      </c>
      <c r="R434" t="n">
        <v>0.0</v>
      </c>
      <c r="S434" t="n">
        <v>0.0</v>
      </c>
      <c r="T434" t="n">
        <v>0.0</v>
      </c>
      <c r="U434" t="n">
        <v>0.0</v>
      </c>
      <c r="V434" t="n">
        <v>0.0</v>
      </c>
      <c r="W434" t="inlineStr">
        <is>
          <t/>
        </is>
      </c>
      <c r="X434" t="n">
        <v>0.0</v>
      </c>
      <c r="Y434" t="n">
        <v>0.0</v>
      </c>
      <c r="Z434" t="n">
        <v>0.0</v>
      </c>
      <c r="AA434" t="n">
        <v>0.0</v>
      </c>
      <c r="AB434" t="n">
        <v>0.0</v>
      </c>
      <c r="AC434" t="n">
        <v>0.0</v>
      </c>
      <c r="AD434" t="n">
        <v>5.0</v>
      </c>
      <c r="AE434" t="n">
        <v>0.0</v>
      </c>
      <c r="AF434" t="n">
        <v>0.0</v>
      </c>
      <c r="AG434" t="n">
        <v>0.0</v>
      </c>
      <c r="AH434" t="n">
        <v>0.0</v>
      </c>
      <c r="AI434" t="n">
        <v>0.0</v>
      </c>
      <c r="AJ434" t="n">
        <v>0.0</v>
      </c>
      <c r="AK434" t="n">
        <v>8.0</v>
      </c>
      <c r="AL434" t="inlineStr">
        <is>
          <t/>
        </is>
      </c>
    </row>
    <row r="435">
      <c r="A435" t="inlineStr">
        <is>
          <t>我爸说了，60块吃一周让你冰箱多点安全感</t>
        </is>
      </c>
      <c r="B435" t="inlineStr">
        <is>
          <t>6a4ba78b0000000021015e15</t>
        </is>
      </c>
      <c r="C435" s="434" t="n">
        <f>HYPERLINK("https://www.xiaohongshu.com/explore/6a4ba78b0000000021015e15?xsec_token=TBbJ-JHK-PBbJgek6K72FYkX14IwEKGmVsIVwtn_qVrUw=&amp;xsec_source=pc_trdark","https://www.xiaohongshu.com/explore/6a4ba78b0000000021015e15?xsec_token=TBbJ-JHK-PBbJgek6K72FYkX14IwEKGmVsIVwtn_qVrUw=&amp;xsec_source=pc_trdark")</f>
        <v>0.0</v>
      </c>
      <c r="D435" t="inlineStr">
        <is>
          <t>菲菲上班吃什么</t>
        </is>
      </c>
      <c r="E435" t="inlineStr">
        <is>
          <t>49936530607</t>
        </is>
      </c>
      <c r="F435" t="inlineStr">
        <is>
          <t>2026-07-06 21:03:07</t>
        </is>
      </c>
      <c r="G435" t="inlineStr">
        <is>
          <t>图文</t>
        </is>
      </c>
      <c r="H435" t="inlineStr">
        <is>
          <t>手剥虾仁 无冰衣无添加 低脂餐一人食 上班带饭 顺丰包邮 5盒装</t>
        </is>
      </c>
      <c r="I435" t="inlineStr">
        <is>
          <t>694baba01d450d00013662f0</t>
        </is>
      </c>
      <c r="J435" t="inlineStr">
        <is>
          <t/>
        </is>
      </c>
      <c r="K435" t="n">
        <v>0.0</v>
      </c>
      <c r="L435" t="n">
        <v>0.0</v>
      </c>
      <c r="M435" t="n">
        <v>0.0</v>
      </c>
      <c r="N435" t="n">
        <v>0.0</v>
      </c>
      <c r="O435" t="n">
        <v>0.0</v>
      </c>
      <c r="P435" t="n">
        <v>0.0</v>
      </c>
      <c r="Q435" t="inlineStr">
        <is>
          <t/>
        </is>
      </c>
      <c r="R435" t="inlineStr">
        <is>
          <t/>
        </is>
      </c>
      <c r="S435" t="n">
        <v>0.0</v>
      </c>
      <c r="T435" t="n">
        <v>0.0</v>
      </c>
      <c r="U435" t="n">
        <v>0.0</v>
      </c>
      <c r="V435" t="n">
        <v>0.0</v>
      </c>
      <c r="W435" t="inlineStr">
        <is>
          <t/>
        </is>
      </c>
      <c r="X435" t="n">
        <v>0.0</v>
      </c>
      <c r="Y435" t="n">
        <v>0.0</v>
      </c>
      <c r="Z435" t="n">
        <v>0.0</v>
      </c>
      <c r="AA435" t="n">
        <v>0.0</v>
      </c>
      <c r="AB435" t="n">
        <v>0.0</v>
      </c>
      <c r="AC435" t="n">
        <v>0.0</v>
      </c>
      <c r="AD435" t="n">
        <v>5.0</v>
      </c>
      <c r="AE435" t="n">
        <v>0.0</v>
      </c>
      <c r="AF435" t="n">
        <v>0.0</v>
      </c>
      <c r="AG435" t="n">
        <v>0.0</v>
      </c>
      <c r="AH435" t="n">
        <v>0.0</v>
      </c>
      <c r="AI435" t="n">
        <v>0.0</v>
      </c>
      <c r="AJ435" t="n">
        <v>0.0</v>
      </c>
      <c r="AK435" t="n">
        <v>4.0</v>
      </c>
      <c r="AL435" t="inlineStr">
        <is>
          <t/>
        </is>
      </c>
    </row>
    <row r="436">
      <c r="A436" t="inlineStr">
        <is>
          <t>100块吃不了一顿烧烤，但承包我一周减脂餐！</t>
        </is>
      </c>
      <c r="B436" t="inlineStr">
        <is>
          <t>6a44e46c0000000008026424</t>
        </is>
      </c>
      <c r="C436" s="435" t="n">
        <f>HYPERLINK("https://www.xiaohongshu.com/explore/6a44e46c0000000008026424?xsec_token=TBsNLvvwxdidvAFeSxmUSQxXR7XCsA40jenq0-VpWRyp8=&amp;xsec_source=pc_trdark","https://www.xiaohongshu.com/explore/6a44e46c0000000008026424?xsec_token=TBsNLvvwxdidvAFeSxmUSQxXR7XCsA40jenq0-VpWRyp8=&amp;xsec_source=pc_trdark")</f>
        <v>0.0</v>
      </c>
      <c r="D436" t="inlineStr">
        <is>
          <t>菲菲上班吃什么</t>
        </is>
      </c>
      <c r="E436" t="inlineStr">
        <is>
          <t>49936530607</t>
        </is>
      </c>
      <c r="F436" t="inlineStr">
        <is>
          <t>2026-07-01 17:57:00</t>
        </is>
      </c>
      <c r="G436" t="inlineStr">
        <is>
          <t>图文</t>
        </is>
      </c>
      <c r="H436" t="inlineStr">
        <is>
          <t>手剥虾仁 无冰衣无添加 低脂餐一人食 上班带饭 顺丰包邮 5盒装</t>
        </is>
      </c>
      <c r="I436" t="inlineStr">
        <is>
          <t>694baba01d450d00013662f0</t>
        </is>
      </c>
      <c r="J436" t="inlineStr">
        <is>
          <t/>
        </is>
      </c>
      <c r="K436" t="n">
        <v>0.0</v>
      </c>
      <c r="L436" t="n">
        <v>0.0</v>
      </c>
      <c r="M436" t="n">
        <v>1.0</v>
      </c>
      <c r="N436" t="n">
        <v>0.2</v>
      </c>
      <c r="O436" t="n">
        <v>1.0</v>
      </c>
      <c r="P436" t="n">
        <v>0.0</v>
      </c>
      <c r="Q436" t="n">
        <v>0.0</v>
      </c>
      <c r="R436" t="n">
        <v>0.0</v>
      </c>
      <c r="S436" t="n">
        <v>0.0</v>
      </c>
      <c r="T436" t="n">
        <v>0.0</v>
      </c>
      <c r="U436" t="n">
        <v>0.0</v>
      </c>
      <c r="V436" t="n">
        <v>0.0</v>
      </c>
      <c r="W436" t="inlineStr">
        <is>
          <t/>
        </is>
      </c>
      <c r="X436" t="n">
        <v>0.0</v>
      </c>
      <c r="Y436" t="n">
        <v>0.0</v>
      </c>
      <c r="Z436" t="n">
        <v>0.0</v>
      </c>
      <c r="AA436" t="n">
        <v>0.0</v>
      </c>
      <c r="AB436" t="n">
        <v>0.0</v>
      </c>
      <c r="AC436" t="n">
        <v>0.0</v>
      </c>
      <c r="AD436" t="n">
        <v>5.0</v>
      </c>
      <c r="AE436" t="n">
        <v>0.0</v>
      </c>
      <c r="AF436" t="n">
        <v>0.0</v>
      </c>
      <c r="AG436" t="n">
        <v>0.0</v>
      </c>
      <c r="AH436" t="n">
        <v>0.0</v>
      </c>
      <c r="AI436" t="n">
        <v>0.0</v>
      </c>
      <c r="AJ436" t="n">
        <v>0.0</v>
      </c>
      <c r="AK436" t="n">
        <v>11.2</v>
      </c>
      <c r="AL436" t="inlineStr">
        <is>
          <t/>
        </is>
      </c>
    </row>
    <row r="437">
      <c r="A437" t="inlineStr">
        <is>
          <t>控体期一人食！连着吃裤子都要换码了…</t>
        </is>
      </c>
      <c r="B437" t="inlineStr">
        <is>
          <t>6a44780400000000220083da</t>
        </is>
      </c>
      <c r="C437" s="436" t="n">
        <f>HYPERLINK("https://www.xiaohongshu.com/explore/6a44780400000000220083da?xsec_token=TBsNLvvwxdidvAFeSxmUSQxTRLg80tnU_J0XrwKjYKzAE=&amp;xsec_source=pc_trdark","https://www.xiaohongshu.com/explore/6a44780400000000220083da?xsec_token=TBsNLvvwxdidvAFeSxmUSQxTRLg80tnU_J0XrwKjYKzAE=&amp;xsec_source=pc_trdark")</f>
        <v>0.0</v>
      </c>
      <c r="D437" t="inlineStr">
        <is>
          <t>婉婉上班吃什么</t>
        </is>
      </c>
      <c r="E437" t="inlineStr">
        <is>
          <t>11434449706</t>
        </is>
      </c>
      <c r="F437" t="inlineStr">
        <is>
          <t>2026-07-01 10:14:28</t>
        </is>
      </c>
      <c r="G437" t="inlineStr">
        <is>
          <t>图文</t>
        </is>
      </c>
      <c r="H437" t="inlineStr">
        <is>
          <t>手剥虾仁 无冰衣无添加 低脂餐一人食 上班带饭 顺丰包邮 5盒装</t>
        </is>
      </c>
      <c r="I437" t="inlineStr">
        <is>
          <t>694baba01d450d00013662f0</t>
        </is>
      </c>
      <c r="J437" t="inlineStr">
        <is>
          <t/>
        </is>
      </c>
      <c r="K437" t="n">
        <v>0.0</v>
      </c>
      <c r="L437" t="n">
        <v>0.0</v>
      </c>
      <c r="M437" t="n">
        <v>0.0</v>
      </c>
      <c r="N437" t="n">
        <v>0.0</v>
      </c>
      <c r="O437" t="n">
        <v>0.0</v>
      </c>
      <c r="P437" t="n">
        <v>0.0</v>
      </c>
      <c r="Q437" t="inlineStr">
        <is>
          <t/>
        </is>
      </c>
      <c r="R437" t="inlineStr">
        <is>
          <t/>
        </is>
      </c>
      <c r="S437" t="n">
        <v>0.0</v>
      </c>
      <c r="T437" t="n">
        <v>0.0</v>
      </c>
      <c r="U437" t="n">
        <v>0.0</v>
      </c>
      <c r="V437" t="n">
        <v>0.0</v>
      </c>
      <c r="W437" t="inlineStr">
        <is>
          <t/>
        </is>
      </c>
      <c r="X437" t="n">
        <v>0.0</v>
      </c>
      <c r="Y437" t="n">
        <v>0.0</v>
      </c>
      <c r="Z437" t="n">
        <v>0.0</v>
      </c>
      <c r="AA437" t="n">
        <v>0.0</v>
      </c>
      <c r="AB437" t="n">
        <v>0.0</v>
      </c>
      <c r="AC437" t="n">
        <v>0.0</v>
      </c>
      <c r="AD437" t="n">
        <v>5.0</v>
      </c>
      <c r="AE437" t="n">
        <v>0.0</v>
      </c>
      <c r="AF437" t="n">
        <v>0.0</v>
      </c>
      <c r="AG437" t="n">
        <v>0.0</v>
      </c>
      <c r="AH437" t="n">
        <v>0.0</v>
      </c>
      <c r="AI437" t="n">
        <v>0.0</v>
      </c>
      <c r="AJ437" t="n">
        <v>0.0</v>
      </c>
      <c r="AK437" t="n">
        <v>15.4</v>
      </c>
      <c r="AL437" t="inlineStr">
        <is>
          <t/>
        </is>
      </c>
    </row>
    <row r="438">
      <c r="A438" t="inlineStr">
        <is>
          <t>发现人减脂根本花不了几个钱…</t>
        </is>
      </c>
      <c r="B438" t="inlineStr">
        <is>
          <t>6a3dfb10000000000702cb9c</t>
        </is>
      </c>
      <c r="C438" s="437" t="n">
        <f>HYPERLINK("https://www.xiaohongshu.com/explore/6a3dfb10000000000702cb9c?xsec_token=TB86hQ-xkUBjAY90uToPmFjb4szOV41DgL5IqaVSlkmk0=&amp;xsec_source=pc_trdark","https://www.xiaohongshu.com/explore/6a3dfb10000000000702cb9c?xsec_token=TB86hQ-xkUBjAY90uToPmFjb4szOV41DgL5IqaVSlkmk0=&amp;xsec_source=pc_trdark")</f>
        <v>0.0</v>
      </c>
      <c r="D438" t="inlineStr">
        <is>
          <t>菲菲上班吃什么</t>
        </is>
      </c>
      <c r="E438" t="inlineStr">
        <is>
          <t>49936530607</t>
        </is>
      </c>
      <c r="F438" t="inlineStr">
        <is>
          <t>2026-06-26 12:07:44</t>
        </is>
      </c>
      <c r="G438" t="inlineStr">
        <is>
          <t>图文</t>
        </is>
      </c>
      <c r="H438" t="inlineStr">
        <is>
          <t>手剥虾仁 无冰衣无添加 低脂餐一人食 上班带饭 顺丰包邮 5盒装</t>
        </is>
      </c>
      <c r="I438" t="inlineStr">
        <is>
          <t>694baba01d450d00013662f0</t>
        </is>
      </c>
      <c r="J438" t="inlineStr">
        <is>
          <t/>
        </is>
      </c>
      <c r="K438" t="n">
        <v>0.0</v>
      </c>
      <c r="L438" t="n">
        <v>0.0</v>
      </c>
      <c r="M438" t="n">
        <v>0.0</v>
      </c>
      <c r="N438" t="n">
        <v>0.0</v>
      </c>
      <c r="O438" t="n">
        <v>0.0</v>
      </c>
      <c r="P438" t="n">
        <v>0.0</v>
      </c>
      <c r="Q438" t="inlineStr">
        <is>
          <t/>
        </is>
      </c>
      <c r="R438" t="inlineStr">
        <is>
          <t/>
        </is>
      </c>
      <c r="S438" t="n">
        <v>0.0</v>
      </c>
      <c r="T438" t="n">
        <v>0.0</v>
      </c>
      <c r="U438" t="n">
        <v>0.0</v>
      </c>
      <c r="V438" t="n">
        <v>0.0</v>
      </c>
      <c r="W438" t="inlineStr">
        <is>
          <t/>
        </is>
      </c>
      <c r="X438" t="n">
        <v>0.0</v>
      </c>
      <c r="Y438" t="n">
        <v>0.0</v>
      </c>
      <c r="Z438" t="n">
        <v>0.0</v>
      </c>
      <c r="AA438" t="n">
        <v>0.0</v>
      </c>
      <c r="AB438" t="n">
        <v>0.0</v>
      </c>
      <c r="AC438" t="n">
        <v>0.0</v>
      </c>
      <c r="AD438" t="n">
        <v>5.0</v>
      </c>
      <c r="AE438" t="n">
        <v>0.0</v>
      </c>
      <c r="AF438" t="n">
        <v>0.0</v>
      </c>
      <c r="AG438" t="n">
        <v>0.0</v>
      </c>
      <c r="AH438" t="n">
        <v>0.0</v>
      </c>
      <c r="AI438" t="n">
        <v>0.0</v>
      </c>
      <c r="AJ438" t="n">
        <v>0.0</v>
      </c>
      <c r="AK438" t="n">
        <v>9.0</v>
      </c>
      <c r="AL438" t="inlineStr">
        <is>
          <t/>
        </is>
      </c>
    </row>
    <row r="439">
      <c r="A439" t="inlineStr">
        <is>
          <t>5分钟搞定！减脂期的万能凉拌虾仁🦐</t>
        </is>
      </c>
      <c r="B439" t="inlineStr">
        <is>
          <t>6a3d02b6000000001101652f</t>
        </is>
      </c>
      <c r="C439" s="438" t="n">
        <f>HYPERLINK("https://www.xiaohongshu.com/explore/6a3d02b6000000001101652f?xsec_token=TB86hQ-xkUBjAY90uToPmFjZmF3HGpIYqc4jaX9LtjyNg=&amp;xsec_source=pc_trdark","https://www.xiaohongshu.com/explore/6a3d02b6000000001101652f?xsec_token=TB86hQ-xkUBjAY90uToPmFjZmF3HGpIYqc4jaX9LtjyNg=&amp;xsec_source=pc_trdark")</f>
        <v>0.0</v>
      </c>
      <c r="D439" t="inlineStr">
        <is>
          <t>鲜水湾甄选</t>
        </is>
      </c>
      <c r="E439" t="inlineStr">
        <is>
          <t>27401929161</t>
        </is>
      </c>
      <c r="F439" t="inlineStr">
        <is>
          <t>2026-06-25 18:28:06</t>
        </is>
      </c>
      <c r="G439" t="inlineStr">
        <is>
          <t>图文</t>
        </is>
      </c>
      <c r="H439" t="inlineStr">
        <is>
          <t>手剥虾仁 无冰衣无添加 低脂餐一人食 上班带饭 顺丰包邮 5盒装</t>
        </is>
      </c>
      <c r="I439" t="inlineStr">
        <is>
          <t>694baba01d450d00013662f0</t>
        </is>
      </c>
      <c r="J439" t="inlineStr">
        <is>
          <t/>
        </is>
      </c>
      <c r="K439" t="n">
        <v>0.0</v>
      </c>
      <c r="L439" t="n">
        <v>0.0</v>
      </c>
      <c r="M439" t="n">
        <v>0.0</v>
      </c>
      <c r="N439" t="n">
        <v>0.0</v>
      </c>
      <c r="O439" t="n">
        <v>0.0</v>
      </c>
      <c r="P439" t="n">
        <v>0.0</v>
      </c>
      <c r="Q439" t="inlineStr">
        <is>
          <t/>
        </is>
      </c>
      <c r="R439" t="inlineStr">
        <is>
          <t/>
        </is>
      </c>
      <c r="S439" t="n">
        <v>0.0</v>
      </c>
      <c r="T439" t="n">
        <v>0.0</v>
      </c>
      <c r="U439" t="n">
        <v>0.0</v>
      </c>
      <c r="V439" t="n">
        <v>0.0</v>
      </c>
      <c r="W439" t="inlineStr">
        <is>
          <t/>
        </is>
      </c>
      <c r="X439" t="n">
        <v>0.0</v>
      </c>
      <c r="Y439" t="n">
        <v>0.0</v>
      </c>
      <c r="Z439" t="n">
        <v>0.0</v>
      </c>
      <c r="AA439" t="n">
        <v>0.0</v>
      </c>
      <c r="AB439" t="n">
        <v>0.0</v>
      </c>
      <c r="AC439" t="n">
        <v>0.0</v>
      </c>
      <c r="AD439" t="n">
        <v>5.0</v>
      </c>
      <c r="AE439" t="n">
        <v>0.0</v>
      </c>
      <c r="AF439" t="n">
        <v>0.0</v>
      </c>
      <c r="AG439" t="n">
        <v>0.0</v>
      </c>
      <c r="AH439" t="n">
        <v>0.0</v>
      </c>
      <c r="AI439" t="n">
        <v>0.0</v>
      </c>
      <c r="AJ439" t="n">
        <v>0.0</v>
      </c>
      <c r="AK439" t="n">
        <v>15.6</v>
      </c>
      <c r="AL439" t="inlineStr">
        <is>
          <t/>
        </is>
      </c>
    </row>
    <row r="440">
      <c r="A440" t="inlineStr">
        <is>
          <t>本人带饭已经next level了……</t>
        </is>
      </c>
      <c r="B440" t="inlineStr">
        <is>
          <t>6a3a37940000000021019d37</t>
        </is>
      </c>
      <c r="C440" s="439" t="n">
        <f>HYPERLINK("https://www.xiaohongshu.com/explore/6a3a37940000000021019d37?xsec_token=TB6JLlH-I5wyeOIL4LxmWU3pU_YCGL7RihtB1a_byC-Ss=&amp;xsec_source=pc_trdark","https://www.xiaohongshu.com/explore/6a3a37940000000021019d37?xsec_token=TB6JLlH-I5wyeOIL4LxmWU3pU_YCGL7RihtB1a_byC-Ss=&amp;xsec_source=pc_trdark")</f>
        <v>0.0</v>
      </c>
      <c r="D440" t="inlineStr">
        <is>
          <t>菲菲上班吃什么</t>
        </is>
      </c>
      <c r="E440" t="inlineStr">
        <is>
          <t>49936530607</t>
        </is>
      </c>
      <c r="F440" t="inlineStr">
        <is>
          <t>2026-06-23 15:36:52</t>
        </is>
      </c>
      <c r="G440" t="inlineStr">
        <is>
          <t>图文</t>
        </is>
      </c>
      <c r="H440" t="inlineStr">
        <is>
          <t>手剥虾仁 无冰衣无添加 低脂餐一人食 上班带饭 顺丰包邮 5盒装</t>
        </is>
      </c>
      <c r="I440" t="inlineStr">
        <is>
          <t>694baba01d450d00013662f0</t>
        </is>
      </c>
      <c r="J440" t="inlineStr">
        <is>
          <t/>
        </is>
      </c>
      <c r="K440" t="n">
        <v>0.0</v>
      </c>
      <c r="L440" t="n">
        <v>0.0</v>
      </c>
      <c r="M440" t="n">
        <v>0.0</v>
      </c>
      <c r="N440" t="n">
        <v>0.0</v>
      </c>
      <c r="O440" t="n">
        <v>0.0</v>
      </c>
      <c r="P440" t="n">
        <v>0.0</v>
      </c>
      <c r="Q440" t="inlineStr">
        <is>
          <t/>
        </is>
      </c>
      <c r="R440" t="inlineStr">
        <is>
          <t/>
        </is>
      </c>
      <c r="S440" t="n">
        <v>0.0</v>
      </c>
      <c r="T440" t="n">
        <v>0.0</v>
      </c>
      <c r="U440" t="n">
        <v>0.0</v>
      </c>
      <c r="V440" t="n">
        <v>0.0</v>
      </c>
      <c r="W440" t="inlineStr">
        <is>
          <t/>
        </is>
      </c>
      <c r="X440" t="n">
        <v>0.0</v>
      </c>
      <c r="Y440" t="n">
        <v>0.0</v>
      </c>
      <c r="Z440" t="n">
        <v>0.0</v>
      </c>
      <c r="AA440" t="n">
        <v>0.0</v>
      </c>
      <c r="AB440" t="n">
        <v>0.0</v>
      </c>
      <c r="AC440" t="n">
        <v>0.0</v>
      </c>
      <c r="AD440" t="n">
        <v>5.0</v>
      </c>
      <c r="AE440" t="n">
        <v>0.0</v>
      </c>
      <c r="AF440" t="n">
        <v>0.0</v>
      </c>
      <c r="AG440" t="n">
        <v>0.0</v>
      </c>
      <c r="AH440" t="n">
        <v>0.0</v>
      </c>
      <c r="AI440" t="n">
        <v>0.0</v>
      </c>
      <c r="AJ440" t="n">
        <v>0.0</v>
      </c>
      <c r="AK440" t="n">
        <v>5.8</v>
      </c>
      <c r="AL440" t="inlineStr">
        <is>
          <t/>
        </is>
      </c>
    </row>
    <row r="441">
      <c r="A441" t="inlineStr">
        <is>
          <t>早上带饭来不及...还好有小包虾仁</t>
        </is>
      </c>
      <c r="B441" t="inlineStr">
        <is>
          <t>6a33fa070000000007020b12</t>
        </is>
      </c>
      <c r="C441" s="440" t="n">
        <f>HYPERLINK("https://www.xiaohongshu.com/explore/6a33fa070000000007020b12?xsec_token=TBLOmNlJwiJ1B1XpWxIXpNmWcvkEIZDIkmoJIvYvWzDUE=&amp;xsec_source=pc_trdark","https://www.xiaohongshu.com/explore/6a33fa070000000007020b12?xsec_token=TBLOmNlJwiJ1B1XpWxIXpNmWcvkEIZDIkmoJIvYvWzDUE=&amp;xsec_source=pc_trdark")</f>
        <v>0.0</v>
      </c>
      <c r="D441" t="inlineStr">
        <is>
          <t>婉婉上班吃什么</t>
        </is>
      </c>
      <c r="E441" t="inlineStr">
        <is>
          <t>11434449706</t>
        </is>
      </c>
      <c r="F441" t="inlineStr">
        <is>
          <t>2026-06-18 22:00:39</t>
        </is>
      </c>
      <c r="G441" t="inlineStr">
        <is>
          <t>图文</t>
        </is>
      </c>
      <c r="H441" t="inlineStr">
        <is>
          <t>手剥虾仁 无冰衣无添加 低脂餐一人食 上班带饭 顺丰包邮 5盒装</t>
        </is>
      </c>
      <c r="I441" t="inlineStr">
        <is>
          <t>694baba01d450d00013662f0</t>
        </is>
      </c>
      <c r="J441" t="inlineStr">
        <is>
          <t/>
        </is>
      </c>
      <c r="K441" t="n">
        <v>0.0</v>
      </c>
      <c r="L441" t="n">
        <v>0.0</v>
      </c>
      <c r="M441" t="n">
        <v>0.0</v>
      </c>
      <c r="N441" t="n">
        <v>0.0</v>
      </c>
      <c r="O441" t="n">
        <v>0.0</v>
      </c>
      <c r="P441" t="n">
        <v>0.0</v>
      </c>
      <c r="Q441" t="inlineStr">
        <is>
          <t/>
        </is>
      </c>
      <c r="R441" t="inlineStr">
        <is>
          <t/>
        </is>
      </c>
      <c r="S441" t="n">
        <v>0.0</v>
      </c>
      <c r="T441" t="n">
        <v>0.0</v>
      </c>
      <c r="U441" t="n">
        <v>0.0</v>
      </c>
      <c r="V441" t="n">
        <v>0.0</v>
      </c>
      <c r="W441" t="inlineStr">
        <is>
          <t/>
        </is>
      </c>
      <c r="X441" t="n">
        <v>0.0</v>
      </c>
      <c r="Y441" t="n">
        <v>0.0</v>
      </c>
      <c r="Z441" t="n">
        <v>0.0</v>
      </c>
      <c r="AA441" t="n">
        <v>0.0</v>
      </c>
      <c r="AB441" t="n">
        <v>0.0</v>
      </c>
      <c r="AC441" t="n">
        <v>0.0</v>
      </c>
      <c r="AD441" t="n">
        <v>5.0</v>
      </c>
      <c r="AE441" t="n">
        <v>0.0</v>
      </c>
      <c r="AF441" t="n">
        <v>0.0</v>
      </c>
      <c r="AG441" t="n">
        <v>0.0</v>
      </c>
      <c r="AH441" t="n">
        <v>0.0</v>
      </c>
      <c r="AI441" t="n">
        <v>0.0</v>
      </c>
      <c r="AJ441" t="n">
        <v>0.0</v>
      </c>
      <c r="AK441" t="n">
        <v>4.2</v>
      </c>
      <c r="AL441" t="inlineStr">
        <is>
          <t/>
        </is>
      </c>
    </row>
    <row r="442">
      <c r="A442" t="inlineStr">
        <is>
          <t>这下见识到300多的三文鱼购买力了！</t>
        </is>
      </c>
      <c r="B442" t="inlineStr">
        <is>
          <t>6a33be8d0000000007025407</t>
        </is>
      </c>
      <c r="C442" s="441" t="n">
        <f>HYPERLINK("https://www.xiaohongshu.com/explore/6a33be8d0000000007025407?xsec_token=TBLOmNlJwiJ1B1XpWxIXpNmXaOmylmVDqxw0DCJTKxy04=&amp;xsec_source=pc_trdark","https://www.xiaohongshu.com/explore/6a33be8d0000000007025407?xsec_token=TBLOmNlJwiJ1B1XpWxIXpNmXaOmylmVDqxw0DCJTKxy04=&amp;xsec_source=pc_trdark")</f>
        <v>0.0</v>
      </c>
      <c r="D442" t="inlineStr">
        <is>
          <t>鲜水湾</t>
        </is>
      </c>
      <c r="E442" t="inlineStr">
        <is>
          <t>49316638994</t>
        </is>
      </c>
      <c r="F442" t="inlineStr">
        <is>
          <t>2026-06-18 17:46:53</t>
        </is>
      </c>
      <c r="G442" t="inlineStr">
        <is>
          <t>图文</t>
        </is>
      </c>
      <c r="H442" t="inlineStr">
        <is>
          <t>智利尾端中段整条三文鱼 8斤深海鱼低脂餐囤货一周备菜顺丰包邮</t>
        </is>
      </c>
      <c r="I442" t="inlineStr">
        <is>
          <t>69fab80d64eb410001ece0c0</t>
        </is>
      </c>
      <c r="J442" t="inlineStr">
        <is>
          <t/>
        </is>
      </c>
      <c r="K442" t="n">
        <v>0.0</v>
      </c>
      <c r="L442" t="n">
        <v>0.0</v>
      </c>
      <c r="M442" t="n">
        <v>0.0</v>
      </c>
      <c r="N442" t="n">
        <v>0.0</v>
      </c>
      <c r="O442" t="n">
        <v>0.0</v>
      </c>
      <c r="P442" t="n">
        <v>0.0</v>
      </c>
      <c r="Q442" t="inlineStr">
        <is>
          <t/>
        </is>
      </c>
      <c r="R442" t="inlineStr">
        <is>
          <t/>
        </is>
      </c>
      <c r="S442" t="n">
        <v>0.0</v>
      </c>
      <c r="T442" t="n">
        <v>0.0</v>
      </c>
      <c r="U442" t="n">
        <v>0.0</v>
      </c>
      <c r="V442" t="n">
        <v>0.0</v>
      </c>
      <c r="W442" t="inlineStr">
        <is>
          <t/>
        </is>
      </c>
      <c r="X442" t="n">
        <v>0.0</v>
      </c>
      <c r="Y442" t="n">
        <v>0.0</v>
      </c>
      <c r="Z442" t="n">
        <v>0.0</v>
      </c>
      <c r="AA442" t="n">
        <v>0.0</v>
      </c>
      <c r="AB442" t="n">
        <v>0.0</v>
      </c>
      <c r="AC442" t="n">
        <v>0.0</v>
      </c>
      <c r="AD442" t="n">
        <v>5.0</v>
      </c>
      <c r="AE442" t="n">
        <v>0.0</v>
      </c>
      <c r="AF442" t="n">
        <v>0.0</v>
      </c>
      <c r="AG442" t="n">
        <v>0.0</v>
      </c>
      <c r="AH442" t="n">
        <v>0.0</v>
      </c>
      <c r="AI442" t="n">
        <v>0.0</v>
      </c>
      <c r="AJ442" t="n">
        <v>0.0</v>
      </c>
      <c r="AK442" t="n">
        <v>5.8</v>
      </c>
      <c r="AL442" t="inlineStr">
        <is>
          <t/>
        </is>
      </c>
    </row>
    <row r="443">
      <c r="A443" t="inlineStr">
        <is>
          <t>自己赚钱后才发现，减脂期吃虾仁原来真不贵</t>
        </is>
      </c>
      <c r="B443" t="inlineStr">
        <is>
          <t>6a2ff3f2000000000802784b</t>
        </is>
      </c>
      <c r="C443" s="442" t="n">
        <f>HYPERLINK("https://www.xiaohongshu.com/explore/6a2ff3f2000000000802784b?xsec_token=TBOClpwOvyolzEXhDI3pDx7SwRz6r9vW16R-JYUpCLkK0=&amp;xsec_source=pc_trdark","https://www.xiaohongshu.com/explore/6a2ff3f2000000000802784b?xsec_token=TBOClpwOvyolzEXhDI3pDx7SwRz6r9vW16R-JYUpCLkK0=&amp;xsec_source=pc_trdark")</f>
        <v>0.0</v>
      </c>
      <c r="D443" t="inlineStr">
        <is>
          <t>菲菲上班吃什么</t>
        </is>
      </c>
      <c r="E443" t="inlineStr">
        <is>
          <t>49936530607</t>
        </is>
      </c>
      <c r="F443" t="inlineStr">
        <is>
          <t>2026-06-15 20:45:38</t>
        </is>
      </c>
      <c r="G443" t="inlineStr">
        <is>
          <t>图文</t>
        </is>
      </c>
      <c r="H443" t="inlineStr">
        <is>
          <t>手剥虾仁 无冰衣无添加 低脂餐一人食 上班带饭 顺丰包邮 5盒装</t>
        </is>
      </c>
      <c r="I443" t="inlineStr">
        <is>
          <t>694baba01d450d00013662f0</t>
        </is>
      </c>
      <c r="J443" t="inlineStr">
        <is>
          <t/>
        </is>
      </c>
      <c r="K443" t="n">
        <v>0.0</v>
      </c>
      <c r="L443" t="n">
        <v>0.0</v>
      </c>
      <c r="M443" t="n">
        <v>0.0</v>
      </c>
      <c r="N443" t="n">
        <v>0.0</v>
      </c>
      <c r="O443" t="n">
        <v>0.0</v>
      </c>
      <c r="P443" t="n">
        <v>0.0</v>
      </c>
      <c r="Q443" t="inlineStr">
        <is>
          <t/>
        </is>
      </c>
      <c r="R443" t="inlineStr">
        <is>
          <t/>
        </is>
      </c>
      <c r="S443" t="n">
        <v>0.0</v>
      </c>
      <c r="T443" t="n">
        <v>0.0</v>
      </c>
      <c r="U443" t="n">
        <v>0.0</v>
      </c>
      <c r="V443" t="n">
        <v>0.0</v>
      </c>
      <c r="W443" t="inlineStr">
        <is>
          <t/>
        </is>
      </c>
      <c r="X443" t="n">
        <v>0.0</v>
      </c>
      <c r="Y443" t="n">
        <v>0.0</v>
      </c>
      <c r="Z443" t="n">
        <v>0.0</v>
      </c>
      <c r="AA443" t="n">
        <v>0.0</v>
      </c>
      <c r="AB443" t="n">
        <v>0.0</v>
      </c>
      <c r="AC443" t="n">
        <v>0.0</v>
      </c>
      <c r="AD443" t="n">
        <v>5.0</v>
      </c>
      <c r="AE443" t="n">
        <v>0.0</v>
      </c>
      <c r="AF443" t="n">
        <v>0.0</v>
      </c>
      <c r="AG443" t="n">
        <v>0.0</v>
      </c>
      <c r="AH443" t="n">
        <v>0.0</v>
      </c>
      <c r="AI443" t="n">
        <v>0.0</v>
      </c>
      <c r="AJ443" t="n">
        <v>0.0</v>
      </c>
      <c r="AK443" t="n">
        <v>7.2</v>
      </c>
      <c r="AL443" t="inlineStr">
        <is>
          <t/>
        </is>
      </c>
    </row>
    <row r="444">
      <c r="A444" t="inlineStr">
        <is>
          <t>买三文鱼鱼块，中段和尾段怎么选？</t>
        </is>
      </c>
      <c r="B444" t="inlineStr">
        <is>
          <t>6a27cea20000000008027b44</t>
        </is>
      </c>
      <c r="C444" s="443" t="n">
        <f>HYPERLINK("https://www.xiaohongshu.com/explore/6a27cea20000000008027b44?xsec_token=TBvEjGJgk05ohH1lyk129F5ZODIamfL4ovxz3x7D-QJlU=&amp;xsec_source=pc_trdark","https://www.xiaohongshu.com/explore/6a27cea20000000008027b44?xsec_token=TBvEjGJgk05ohH1lyk129F5ZODIamfL4ovxz3x7D-QJlU=&amp;xsec_source=pc_trdark")</f>
        <v>0.0</v>
      </c>
      <c r="D444" t="inlineStr">
        <is>
          <t>鲜水湾</t>
        </is>
      </c>
      <c r="E444" t="inlineStr">
        <is>
          <t>49316638994</t>
        </is>
      </c>
      <c r="F444" t="inlineStr">
        <is>
          <t>2026-06-09 16:28:18</t>
        </is>
      </c>
      <c r="G444" t="inlineStr">
        <is>
          <t>图文</t>
        </is>
      </c>
      <c r="H444" t="inlineStr">
        <is>
          <t>智利尾端中段整条三文鱼 8斤深海鱼低脂餐囤货一周备菜顺丰包邮</t>
        </is>
      </c>
      <c r="I444" t="inlineStr">
        <is>
          <t>69fab80d64eb410001ece0c0</t>
        </is>
      </c>
      <c r="J444" t="inlineStr">
        <is>
          <t/>
        </is>
      </c>
      <c r="K444" t="n">
        <v>0.0</v>
      </c>
      <c r="L444" t="n">
        <v>0.0</v>
      </c>
      <c r="M444" t="n">
        <v>0.0</v>
      </c>
      <c r="N444" t="n">
        <v>0.0</v>
      </c>
      <c r="O444" t="n">
        <v>0.0</v>
      </c>
      <c r="P444" t="n">
        <v>0.0</v>
      </c>
      <c r="Q444" t="inlineStr">
        <is>
          <t/>
        </is>
      </c>
      <c r="R444" t="inlineStr">
        <is>
          <t/>
        </is>
      </c>
      <c r="S444" t="n">
        <v>0.0</v>
      </c>
      <c r="T444" t="n">
        <v>0.0</v>
      </c>
      <c r="U444" t="n">
        <v>0.0</v>
      </c>
      <c r="V444" t="n">
        <v>0.0</v>
      </c>
      <c r="W444" t="inlineStr">
        <is>
          <t/>
        </is>
      </c>
      <c r="X444" t="n">
        <v>0.0</v>
      </c>
      <c r="Y444" t="n">
        <v>0.0</v>
      </c>
      <c r="Z444" t="n">
        <v>0.0</v>
      </c>
      <c r="AA444" t="n">
        <v>0.0</v>
      </c>
      <c r="AB444" t="n">
        <v>0.0</v>
      </c>
      <c r="AC444" t="n">
        <v>0.0</v>
      </c>
      <c r="AD444" t="n">
        <v>5.0</v>
      </c>
      <c r="AE444" t="n">
        <v>0.0</v>
      </c>
      <c r="AF444" t="n">
        <v>0.0</v>
      </c>
      <c r="AG444" t="n">
        <v>0.0</v>
      </c>
      <c r="AH444" t="n">
        <v>0.0</v>
      </c>
      <c r="AI444" t="n">
        <v>0.0</v>
      </c>
      <c r="AJ444" t="n">
        <v>0.0</v>
      </c>
      <c r="AK444" t="n">
        <v>10.0</v>
      </c>
      <c r="AL444" t="inlineStr">
        <is>
          <t/>
        </is>
      </c>
    </row>
    <row r="445">
      <c r="A445" t="inlineStr">
        <is>
          <t>不夸张，已经连吃两周了，真的不腻！</t>
        </is>
      </c>
      <c r="B445" t="inlineStr">
        <is>
          <t>6a2670450000000008031e58</t>
        </is>
      </c>
      <c r="C445" s="444" t="n">
        <f>HYPERLINK("https://www.xiaohongshu.com/explore/6a2670450000000008031e58?xsec_token=TB6Q3z0Jm3jMFQ1Wl1RTAnfmFnjsV2GU73oRW0qc9Ujy0=&amp;xsec_source=pc_trdark","https://www.xiaohongshu.com/explore/6a2670450000000008031e58?xsec_token=TB6Q3z0Jm3jMFQ1Wl1RTAnfmFnjsV2GU73oRW0qc9Ujy0=&amp;xsec_source=pc_trdark")</f>
        <v>0.0</v>
      </c>
      <c r="D445" t="inlineStr">
        <is>
          <t>婉婉上班吃什么</t>
        </is>
      </c>
      <c r="E445" t="inlineStr">
        <is>
          <t>11434449706</t>
        </is>
      </c>
      <c r="F445" t="inlineStr">
        <is>
          <t>2026-06-08 15:33:25</t>
        </is>
      </c>
      <c r="G445" t="inlineStr">
        <is>
          <t>图文</t>
        </is>
      </c>
      <c r="H445" t="inlineStr">
        <is>
          <t>手剥虾仁 无冰衣无添加 低脂餐一人食 上班带饭 顺丰包邮 5盒装</t>
        </is>
      </c>
      <c r="I445" t="inlineStr">
        <is>
          <t>694baba01d450d00013662f0</t>
        </is>
      </c>
      <c r="J445" t="inlineStr">
        <is>
          <t/>
        </is>
      </c>
      <c r="K445" t="n">
        <v>0.0</v>
      </c>
      <c r="L445" t="n">
        <v>0.0</v>
      </c>
      <c r="M445" t="n">
        <v>0.0</v>
      </c>
      <c r="N445" t="n">
        <v>0.0</v>
      </c>
      <c r="O445" t="n">
        <v>0.0</v>
      </c>
      <c r="P445" t="n">
        <v>0.0</v>
      </c>
      <c r="Q445" t="inlineStr">
        <is>
          <t/>
        </is>
      </c>
      <c r="R445" t="inlineStr">
        <is>
          <t/>
        </is>
      </c>
      <c r="S445" t="n">
        <v>0.0</v>
      </c>
      <c r="T445" t="n">
        <v>0.0</v>
      </c>
      <c r="U445" t="n">
        <v>0.0</v>
      </c>
      <c r="V445" t="n">
        <v>0.0</v>
      </c>
      <c r="W445" t="inlineStr">
        <is>
          <t/>
        </is>
      </c>
      <c r="X445" t="n">
        <v>0.0</v>
      </c>
      <c r="Y445" t="n">
        <v>0.0</v>
      </c>
      <c r="Z445" t="n">
        <v>0.0</v>
      </c>
      <c r="AA445" t="n">
        <v>0.0</v>
      </c>
      <c r="AB445" t="n">
        <v>0.0</v>
      </c>
      <c r="AC445" t="n">
        <v>0.0</v>
      </c>
      <c r="AD445" t="n">
        <v>5.0</v>
      </c>
      <c r="AE445" t="n">
        <v>0.0</v>
      </c>
      <c r="AF445" t="n">
        <v>0.0</v>
      </c>
      <c r="AG445" t="n">
        <v>0.0</v>
      </c>
      <c r="AH445" t="n">
        <v>0.0</v>
      </c>
      <c r="AI445" t="n">
        <v>0.0</v>
      </c>
      <c r="AJ445" t="n">
        <v>0.0</v>
      </c>
      <c r="AK445" t="n">
        <v>5.0</v>
      </c>
      <c r="AL445" t="inlineStr">
        <is>
          <t/>
        </is>
      </c>
    </row>
    <row r="446">
      <c r="A446" t="inlineStr">
        <is>
          <t>奉劝大家不要低估 69 块的购买力！！！</t>
        </is>
      </c>
      <c r="B446" t="inlineStr">
        <is>
          <t>6a1d3c4c0000000036000bb5</t>
        </is>
      </c>
      <c r="C446" s="445" t="n">
        <f>HYPERLINK("https://www.xiaohongshu.com/explore/6a1d3c4c0000000036000bb5?xsec_token=TB9kCrU1OKj1OYrarOG6c5h35YySwyP_EKMU1M12kDGuM=&amp;xsec_source=pc_trdark","https://www.xiaohongshu.com/explore/6a1d3c4c0000000036000bb5?xsec_token=TB9kCrU1OKj1OYrarOG6c5h35YySwyP_EKMU1M12kDGuM=&amp;xsec_source=pc_trdark")</f>
        <v>0.0</v>
      </c>
      <c r="D446" t="inlineStr">
        <is>
          <t>鲜水湾甄选</t>
        </is>
      </c>
      <c r="E446" t="inlineStr">
        <is>
          <t>27401929161</t>
        </is>
      </c>
      <c r="F446" t="inlineStr">
        <is>
          <t>2026-06-01 16:01:16</t>
        </is>
      </c>
      <c r="G446" t="inlineStr">
        <is>
          <t>图文</t>
        </is>
      </c>
      <c r="H446" t="inlineStr">
        <is>
          <t>手剥虾仁 无冰衣无添加 低脂餐一人食 上班带饭 顺丰包邮 5盒装</t>
        </is>
      </c>
      <c r="I446" t="inlineStr">
        <is>
          <t>694baba01d450d00013662f0</t>
        </is>
      </c>
      <c r="J446" t="inlineStr">
        <is>
          <t/>
        </is>
      </c>
      <c r="K446" t="n">
        <v>0.0</v>
      </c>
      <c r="L446" t="n">
        <v>0.0</v>
      </c>
      <c r="M446" t="n">
        <v>0.0</v>
      </c>
      <c r="N446" t="n">
        <v>0.0</v>
      </c>
      <c r="O446" t="n">
        <v>0.0</v>
      </c>
      <c r="P446" t="n">
        <v>0.0</v>
      </c>
      <c r="Q446" t="inlineStr">
        <is>
          <t/>
        </is>
      </c>
      <c r="R446" t="inlineStr">
        <is>
          <t/>
        </is>
      </c>
      <c r="S446" t="n">
        <v>0.0</v>
      </c>
      <c r="T446" t="n">
        <v>0.0</v>
      </c>
      <c r="U446" t="n">
        <v>0.0</v>
      </c>
      <c r="V446" t="n">
        <v>0.0</v>
      </c>
      <c r="W446" t="inlineStr">
        <is>
          <t/>
        </is>
      </c>
      <c r="X446" t="n">
        <v>0.0</v>
      </c>
      <c r="Y446" t="n">
        <v>0.0</v>
      </c>
      <c r="Z446" t="n">
        <v>0.0</v>
      </c>
      <c r="AA446" t="n">
        <v>0.0</v>
      </c>
      <c r="AB446" t="n">
        <v>0.0</v>
      </c>
      <c r="AC446" t="n">
        <v>0.0</v>
      </c>
      <c r="AD446" t="n">
        <v>5.0</v>
      </c>
      <c r="AE446" t="n">
        <v>0.0</v>
      </c>
      <c r="AF446" t="n">
        <v>0.0</v>
      </c>
      <c r="AG446" t="n">
        <v>0.0</v>
      </c>
      <c r="AH446" t="n">
        <v>0.0</v>
      </c>
      <c r="AI446" t="n">
        <v>0.0</v>
      </c>
      <c r="AJ446" t="n">
        <v>0.0</v>
      </c>
      <c r="AK446" t="n">
        <v>3.0</v>
      </c>
      <c r="AL446" t="inlineStr">
        <is>
          <t/>
        </is>
      </c>
    </row>
    <row r="447">
      <c r="A447" t="inlineStr">
        <is>
          <t>连吃了7天虾仁，感受到它的威力了</t>
        </is>
      </c>
      <c r="B447" t="inlineStr">
        <is>
          <t>6a19447c00000000080241c1</t>
        </is>
      </c>
      <c r="C447" s="446" t="n">
        <f>HYPERLINK("https://www.xiaohongshu.com/explore/6a19447c00000000080241c1?xsec_token=TBk6CyYxmYlnK3hnLTdNsVfDZhpL4y3Rrqzc5Bd6SKwqA=&amp;xsec_source=pc_trdark","https://www.xiaohongshu.com/explore/6a19447c00000000080241c1?xsec_token=TBk6CyYxmYlnK3hnLTdNsVfDZhpL4y3Rrqzc5Bd6SKwqA=&amp;xsec_source=pc_trdark")</f>
        <v>0.0</v>
      </c>
      <c r="D447" t="inlineStr">
        <is>
          <t>婉婉上班吃什么</t>
        </is>
      </c>
      <c r="E447" t="inlineStr">
        <is>
          <t>11434449706</t>
        </is>
      </c>
      <c r="F447" t="inlineStr">
        <is>
          <t>2026-05-29 15:47:08</t>
        </is>
      </c>
      <c r="G447" t="inlineStr">
        <is>
          <t>图文</t>
        </is>
      </c>
      <c r="H447" t="inlineStr">
        <is>
          <t>手剥虾仁 无冰衣无添加 低脂餐一人食 上班带饭 顺丰包邮 5盒装</t>
        </is>
      </c>
      <c r="I447" t="inlineStr">
        <is>
          <t>694baba01d450d00013662f0</t>
        </is>
      </c>
      <c r="J447" t="inlineStr">
        <is>
          <t/>
        </is>
      </c>
      <c r="K447" t="n">
        <v>0.0</v>
      </c>
      <c r="L447" t="n">
        <v>0.0</v>
      </c>
      <c r="M447" t="n">
        <v>0.0</v>
      </c>
      <c r="N447" t="n">
        <v>0.0</v>
      </c>
      <c r="O447" t="n">
        <v>0.0</v>
      </c>
      <c r="P447" t="n">
        <v>0.0</v>
      </c>
      <c r="Q447" t="inlineStr">
        <is>
          <t/>
        </is>
      </c>
      <c r="R447" t="inlineStr">
        <is>
          <t/>
        </is>
      </c>
      <c r="S447" t="n">
        <v>0.0</v>
      </c>
      <c r="T447" t="n">
        <v>0.0</v>
      </c>
      <c r="U447" t="n">
        <v>0.0</v>
      </c>
      <c r="V447" t="n">
        <v>0.0</v>
      </c>
      <c r="W447" t="inlineStr">
        <is>
          <t/>
        </is>
      </c>
      <c r="X447" t="n">
        <v>0.0</v>
      </c>
      <c r="Y447" t="n">
        <v>0.0</v>
      </c>
      <c r="Z447" t="n">
        <v>0.0</v>
      </c>
      <c r="AA447" t="n">
        <v>0.0</v>
      </c>
      <c r="AB447" t="n">
        <v>0.0</v>
      </c>
      <c r="AC447" t="n">
        <v>0.0</v>
      </c>
      <c r="AD447" t="n">
        <v>5.0</v>
      </c>
      <c r="AE447" t="n">
        <v>0.0</v>
      </c>
      <c r="AF447" t="n">
        <v>0.0</v>
      </c>
      <c r="AG447" t="n">
        <v>0.0</v>
      </c>
      <c r="AH447" t="n">
        <v>0.0</v>
      </c>
      <c r="AI447" t="n">
        <v>0.0</v>
      </c>
      <c r="AJ447" t="n">
        <v>0.0</v>
      </c>
      <c r="AK447" t="n">
        <v>11.6</v>
      </c>
      <c r="AL447" t="inlineStr">
        <is>
          <t/>
        </is>
      </c>
    </row>
    <row r="448">
      <c r="A448" t="inlineStr">
        <is>
          <t>网上买的冷冻虾仁这样做好吃又减脂❗️</t>
        </is>
      </c>
      <c r="B448" t="inlineStr">
        <is>
          <t>6a155357000000000802597b</t>
        </is>
      </c>
      <c r="C448" s="447" t="n">
        <f>HYPERLINK("https://www.xiaohongshu.com/explore/6a155357000000000802597b?xsec_token=TB-9iWPr9Mx2NrjMC4lGPdgFPzogPEAlP0Tn-Zmzy3EFQ=&amp;xsec_source=pc_trdark","https://www.xiaohongshu.com/explore/6a155357000000000802597b?xsec_token=TB-9iWPr9Mx2NrjMC4lGPdgFPzogPEAlP0Tn-Zmzy3EFQ=&amp;xsec_source=pc_trdark")</f>
        <v>0.0</v>
      </c>
      <c r="D448" t="inlineStr">
        <is>
          <t>婉婉上班吃什么</t>
        </is>
      </c>
      <c r="E448" t="inlineStr">
        <is>
          <t>11434449706</t>
        </is>
      </c>
      <c r="F448" t="inlineStr">
        <is>
          <t>2026-05-26 16:01:28</t>
        </is>
      </c>
      <c r="G448" t="inlineStr">
        <is>
          <t>图文</t>
        </is>
      </c>
      <c r="H448" t="inlineStr">
        <is>
          <t>手剥虾仁 无冰衣无添加 低脂餐一人食 上班带饭 顺丰包邮 5盒装</t>
        </is>
      </c>
      <c r="I448" t="inlineStr">
        <is>
          <t>694baba01d450d00013662f0</t>
        </is>
      </c>
      <c r="J448" t="inlineStr">
        <is>
          <t/>
        </is>
      </c>
      <c r="K448" t="n">
        <v>0.0</v>
      </c>
      <c r="L448" t="n">
        <v>0.0</v>
      </c>
      <c r="M448" t="n">
        <v>0.0</v>
      </c>
      <c r="N448" t="n">
        <v>0.0</v>
      </c>
      <c r="O448" t="n">
        <v>0.0</v>
      </c>
      <c r="P448" t="n">
        <v>0.0</v>
      </c>
      <c r="Q448" t="inlineStr">
        <is>
          <t/>
        </is>
      </c>
      <c r="R448" t="inlineStr">
        <is>
          <t/>
        </is>
      </c>
      <c r="S448" t="n">
        <v>0.0</v>
      </c>
      <c r="T448" t="n">
        <v>0.0</v>
      </c>
      <c r="U448" t="n">
        <v>0.0</v>
      </c>
      <c r="V448" t="n">
        <v>0.0</v>
      </c>
      <c r="W448" t="inlineStr">
        <is>
          <t/>
        </is>
      </c>
      <c r="X448" t="n">
        <v>0.0</v>
      </c>
      <c r="Y448" t="n">
        <v>0.0</v>
      </c>
      <c r="Z448" t="n">
        <v>0.0</v>
      </c>
      <c r="AA448" t="n">
        <v>0.0</v>
      </c>
      <c r="AB448" t="n">
        <v>0.0</v>
      </c>
      <c r="AC448" t="n">
        <v>0.0</v>
      </c>
      <c r="AD448" t="n">
        <v>5.0</v>
      </c>
      <c r="AE448" t="n">
        <v>0.0</v>
      </c>
      <c r="AF448" t="n">
        <v>0.0</v>
      </c>
      <c r="AG448" t="n">
        <v>0.0</v>
      </c>
      <c r="AH448" t="n">
        <v>0.0</v>
      </c>
      <c r="AI448" t="n">
        <v>0.0</v>
      </c>
      <c r="AJ448" t="n">
        <v>0.0</v>
      </c>
      <c r="AK448" t="n">
        <v>9.4</v>
      </c>
      <c r="AL448" t="inlineStr">
        <is>
          <t/>
        </is>
      </c>
    </row>
    <row r="449">
      <c r="A449" t="inlineStr">
        <is>
          <t>😭上班带虾仁，被说“炫富”！</t>
        </is>
      </c>
      <c r="B449" t="inlineStr">
        <is>
          <t>6a1409550000000007021ae4</t>
        </is>
      </c>
      <c r="C449" s="448" t="n">
        <f>HYPERLINK("https://www.xiaohongshu.com/explore/6a1409550000000007021ae4?xsec_token=TBdfojEJvP070MP2_Av4MrTCJXequR8NAf_t36jD7PRgA=&amp;xsec_source=pc_trdark","https://www.xiaohongshu.com/explore/6a1409550000000007021ae4?xsec_token=TBdfojEJvP070MP2_Av4MrTCJXequR8NAf_t36jD7PRgA=&amp;xsec_source=pc_trdark")</f>
        <v>0.0</v>
      </c>
      <c r="D449" t="inlineStr">
        <is>
          <t>菲菲上班吃什么</t>
        </is>
      </c>
      <c r="E449" t="inlineStr">
        <is>
          <t>49936530607</t>
        </is>
      </c>
      <c r="F449" t="inlineStr">
        <is>
          <t>2026-05-25 17:59:00</t>
        </is>
      </c>
      <c r="G449" t="inlineStr">
        <is>
          <t>图文</t>
        </is>
      </c>
      <c r="H449" t="inlineStr">
        <is>
          <t>手剥虾仁 无冰衣无添加 低脂餐一人食 上班带饭 顺丰包邮 5盒装</t>
        </is>
      </c>
      <c r="I449" t="inlineStr">
        <is>
          <t>694baba01d450d00013662f0</t>
        </is>
      </c>
      <c r="J449" t="inlineStr">
        <is>
          <t/>
        </is>
      </c>
      <c r="K449" t="n">
        <v>0.0</v>
      </c>
      <c r="L449" t="n">
        <v>0.0</v>
      </c>
      <c r="M449" t="n">
        <v>0.0</v>
      </c>
      <c r="N449" t="n">
        <v>0.0</v>
      </c>
      <c r="O449" t="n">
        <v>0.0</v>
      </c>
      <c r="P449" t="n">
        <v>0.0</v>
      </c>
      <c r="Q449" t="inlineStr">
        <is>
          <t/>
        </is>
      </c>
      <c r="R449" t="inlineStr">
        <is>
          <t/>
        </is>
      </c>
      <c r="S449" t="n">
        <v>0.0</v>
      </c>
      <c r="T449" t="n">
        <v>0.0</v>
      </c>
      <c r="U449" t="n">
        <v>0.0</v>
      </c>
      <c r="V449" t="n">
        <v>0.0</v>
      </c>
      <c r="W449" t="inlineStr">
        <is>
          <t/>
        </is>
      </c>
      <c r="X449" t="n">
        <v>0.0</v>
      </c>
      <c r="Y449" t="n">
        <v>0.0</v>
      </c>
      <c r="Z449" t="n">
        <v>0.0</v>
      </c>
      <c r="AA449" t="n">
        <v>0.0</v>
      </c>
      <c r="AB449" t="n">
        <v>0.0</v>
      </c>
      <c r="AC449" t="n">
        <v>0.0</v>
      </c>
      <c r="AD449" t="n">
        <v>5.0</v>
      </c>
      <c r="AE449" t="n">
        <v>0.0</v>
      </c>
      <c r="AF449" t="n">
        <v>0.0</v>
      </c>
      <c r="AG449" t="n">
        <v>0.0</v>
      </c>
      <c r="AH449" t="n">
        <v>0.0</v>
      </c>
      <c r="AI449" t="n">
        <v>0.0</v>
      </c>
      <c r="AJ449" t="n">
        <v>0.0</v>
      </c>
      <c r="AK449" t="n">
        <v>2.0</v>
      </c>
      <c r="AL449" t="inlineStr">
        <is>
          <t/>
        </is>
      </c>
    </row>
    <row r="450">
      <c r="A450" t="inlineStr">
        <is>
          <t>‼️长期吃虾的代价就是⚡️⚡️⚡️</t>
        </is>
      </c>
      <c r="B450" t="inlineStr">
        <is>
          <t>6a013a23000000003502e022</t>
        </is>
      </c>
      <c r="C450" s="449" t="n">
        <f>HYPERLINK("https://www.xiaohongshu.com/explore/6a013a23000000003502e022?xsec_token=TBbTMdCTPOAzll1S0w5oGNgowvlAPaoVDbBzbvG4_BKbU=&amp;xsec_source=pc_trdark","https://www.xiaohongshu.com/explore/6a013a23000000003502e022?xsec_token=TBbTMdCTPOAzll1S0w5oGNgowvlAPaoVDbBzbvG4_BKbU=&amp;xsec_source=pc_trdark")</f>
        <v>0.0</v>
      </c>
      <c r="D450" t="inlineStr">
        <is>
          <t>鲜水湾甄选</t>
        </is>
      </c>
      <c r="E450" t="inlineStr">
        <is>
          <t>27401929161</t>
        </is>
      </c>
      <c r="F450" t="inlineStr">
        <is>
          <t>2026-05-11 10:08:36</t>
        </is>
      </c>
      <c r="G450" t="inlineStr">
        <is>
          <t>图文</t>
        </is>
      </c>
      <c r="H450" t="inlineStr">
        <is>
          <t>手剥虾仁 无冰衣无添加 低脂餐一人食 上班带饭 顺丰包邮 5盒装</t>
        </is>
      </c>
      <c r="I450" t="inlineStr">
        <is>
          <t>694baba01d450d00013662f0</t>
        </is>
      </c>
      <c r="J450" t="inlineStr">
        <is>
          <t/>
        </is>
      </c>
      <c r="K450" t="n">
        <v>0.0</v>
      </c>
      <c r="L450" t="n">
        <v>0.0</v>
      </c>
      <c r="M450" t="n">
        <v>1.0</v>
      </c>
      <c r="N450" t="n">
        <v>0.2</v>
      </c>
      <c r="O450" t="n">
        <v>1.0</v>
      </c>
      <c r="P450" t="n">
        <v>0.0</v>
      </c>
      <c r="Q450" t="n">
        <v>0.0</v>
      </c>
      <c r="R450" t="n">
        <v>0.0</v>
      </c>
      <c r="S450" t="n">
        <v>0.0</v>
      </c>
      <c r="T450" t="n">
        <v>0.0</v>
      </c>
      <c r="U450" t="n">
        <v>0.0</v>
      </c>
      <c r="V450" t="n">
        <v>0.0</v>
      </c>
      <c r="W450" t="inlineStr">
        <is>
          <t/>
        </is>
      </c>
      <c r="X450" t="n">
        <v>0.0</v>
      </c>
      <c r="Y450" t="n">
        <v>1.0</v>
      </c>
      <c r="Z450" t="n">
        <v>0.0</v>
      </c>
      <c r="AA450" t="n">
        <v>0.0</v>
      </c>
      <c r="AB450" t="n">
        <v>0.0</v>
      </c>
      <c r="AC450" t="n">
        <v>0.0</v>
      </c>
      <c r="AD450" t="n">
        <v>5.0</v>
      </c>
      <c r="AE450" t="n">
        <v>0.0</v>
      </c>
      <c r="AF450" t="n">
        <v>0.0</v>
      </c>
      <c r="AG450" t="n">
        <v>0.0</v>
      </c>
      <c r="AH450" t="n">
        <v>0.0</v>
      </c>
      <c r="AI450" t="n">
        <v>0.0</v>
      </c>
      <c r="AJ450" t="n">
        <v>0.0</v>
      </c>
      <c r="AK450" t="n">
        <v>6.0</v>
      </c>
      <c r="AL450" t="inlineStr">
        <is>
          <t/>
        </is>
      </c>
    </row>
    <row r="451">
      <c r="A451" t="inlineStr">
        <is>
          <t>区区300块够吃半个月三文鱼了</t>
        </is>
      </c>
      <c r="B451" t="inlineStr">
        <is>
          <t>69eefd7b000000001b021cad</t>
        </is>
      </c>
      <c r="C451" s="450" t="n">
        <f>HYPERLINK("https://www.xiaohongshu.com/explore/69eefd7b000000001b021cad?xsec_token=TB3JCI8OO3ItJ5gw9_OIE0bOZq6jA5OP-eklZQA-7S2WM=&amp;xsec_source=pc_trdark","https://www.xiaohongshu.com/explore/69eefd7b000000001b021cad?xsec_token=TB3JCI8OO3ItJ5gw9_OIE0bOZq6jA5OP-eklZQA-7S2WM=&amp;xsec_source=pc_trdark")</f>
        <v>0.0</v>
      </c>
      <c r="D451" t="inlineStr">
        <is>
          <t>鲜水湾</t>
        </is>
      </c>
      <c r="E451" t="inlineStr">
        <is>
          <t>49316638994</t>
        </is>
      </c>
      <c r="F451" t="inlineStr">
        <is>
          <t>2026-04-27 14:08:59</t>
        </is>
      </c>
      <c r="G451" t="inlineStr">
        <is>
          <t>图文</t>
        </is>
      </c>
      <c r="H451" t="inlineStr">
        <is>
          <t>智利尾端中段整条三文鱼 8斤深海鱼低脂餐囤货一周备菜顺丰包邮</t>
        </is>
      </c>
      <c r="I451" t="inlineStr">
        <is>
          <t>69fab80d64eb410001ece0c0</t>
        </is>
      </c>
      <c r="J451" t="inlineStr">
        <is>
          <t/>
        </is>
      </c>
      <c r="K451" t="n">
        <v>0.0</v>
      </c>
      <c r="L451" t="n">
        <v>0.0</v>
      </c>
      <c r="M451" t="n">
        <v>1.0</v>
      </c>
      <c r="N451" t="n">
        <v>0.2</v>
      </c>
      <c r="O451" t="n">
        <v>1.0</v>
      </c>
      <c r="P451" t="n">
        <v>0.0</v>
      </c>
      <c r="Q451" t="n">
        <v>0.0</v>
      </c>
      <c r="R451" t="n">
        <v>0.0</v>
      </c>
      <c r="S451" t="n">
        <v>0.0</v>
      </c>
      <c r="T451" t="n">
        <v>0.0</v>
      </c>
      <c r="U451" t="n">
        <v>0.0</v>
      </c>
      <c r="V451" t="n">
        <v>0.0</v>
      </c>
      <c r="W451" t="inlineStr">
        <is>
          <t/>
        </is>
      </c>
      <c r="X451" t="n">
        <v>0.0</v>
      </c>
      <c r="Y451" t="n">
        <v>0.0</v>
      </c>
      <c r="Z451" t="n">
        <v>0.0</v>
      </c>
      <c r="AA451" t="n">
        <v>0.0</v>
      </c>
      <c r="AB451" t="n">
        <v>0.0</v>
      </c>
      <c r="AC451" t="n">
        <v>0.0</v>
      </c>
      <c r="AD451" t="n">
        <v>5.0</v>
      </c>
      <c r="AE451" t="n">
        <v>0.0</v>
      </c>
      <c r="AF451" t="n">
        <v>0.0</v>
      </c>
      <c r="AG451" t="n">
        <v>0.0</v>
      </c>
      <c r="AH451" t="n">
        <v>0.0</v>
      </c>
      <c r="AI451" t="n">
        <v>0.0</v>
      </c>
      <c r="AJ451" t="n">
        <v>0.0</v>
      </c>
      <c r="AK451" t="n">
        <v>17.8</v>
      </c>
      <c r="AL451" t="inlineStr">
        <is>
          <t/>
        </is>
      </c>
    </row>
    <row r="452">
      <c r="A452" t="inlineStr">
        <is>
          <t>区区 300 块，承包我一个月的快乐😉</t>
        </is>
      </c>
      <c r="B452" t="inlineStr">
        <is>
          <t>69ead6db000000001f007ba4</t>
        </is>
      </c>
      <c r="C452" s="451" t="n">
        <f>HYPERLINK("https://www.xiaohongshu.com/explore/69ead6db000000001f007ba4?xsec_token=TBG-QeNbMbkltVw6gL-GSmoX-VvpBrmu85pzJTx-fx4Wo=&amp;xsec_source=pc_trdark","https://www.xiaohongshu.com/explore/69ead6db000000001f007ba4?xsec_token=TBG-QeNbMbkltVw6gL-GSmoX-VvpBrmu85pzJTx-fx4Wo=&amp;xsec_source=pc_trdark")</f>
        <v>0.0</v>
      </c>
      <c r="D452" t="inlineStr">
        <is>
          <t>婉婉上班吃什么</t>
        </is>
      </c>
      <c r="E452" t="inlineStr">
        <is>
          <t>11434449706</t>
        </is>
      </c>
      <c r="F452" t="inlineStr">
        <is>
          <t>2026-04-24 10:35:07</t>
        </is>
      </c>
      <c r="G452" t="inlineStr">
        <is>
          <t>图文</t>
        </is>
      </c>
      <c r="H452" t="inlineStr">
        <is>
          <t>智利三文鱼切块·整条三文鱼·深海鱼一人食健康饮食</t>
        </is>
      </c>
      <c r="I452" t="inlineStr">
        <is>
          <t>691ac562a524ee0001b51d7b</t>
        </is>
      </c>
      <c r="J452" t="inlineStr">
        <is>
          <t/>
        </is>
      </c>
      <c r="K452" t="n">
        <v>0.0</v>
      </c>
      <c r="L452" t="n">
        <v>0.0</v>
      </c>
      <c r="M452" t="n">
        <v>0.0</v>
      </c>
      <c r="N452" t="n">
        <v>0.0</v>
      </c>
      <c r="O452" t="n">
        <v>0.0</v>
      </c>
      <c r="P452" t="n">
        <v>0.0</v>
      </c>
      <c r="Q452" t="inlineStr">
        <is>
          <t/>
        </is>
      </c>
      <c r="R452" t="inlineStr">
        <is>
          <t/>
        </is>
      </c>
      <c r="S452" t="n">
        <v>0.0</v>
      </c>
      <c r="T452" t="n">
        <v>0.0</v>
      </c>
      <c r="U452" t="n">
        <v>0.0</v>
      </c>
      <c r="V452" t="n">
        <v>0.0</v>
      </c>
      <c r="W452" t="inlineStr">
        <is>
          <t/>
        </is>
      </c>
      <c r="X452" t="n">
        <v>0.0</v>
      </c>
      <c r="Y452" t="n">
        <v>0.0</v>
      </c>
      <c r="Z452" t="n">
        <v>0.0</v>
      </c>
      <c r="AA452" t="n">
        <v>0.0</v>
      </c>
      <c r="AB452" t="n">
        <v>0.0</v>
      </c>
      <c r="AC452" t="n">
        <v>0.0</v>
      </c>
      <c r="AD452" t="n">
        <v>5.0</v>
      </c>
      <c r="AE452" t="n">
        <v>0.0</v>
      </c>
      <c r="AF452" t="n">
        <v>0.0</v>
      </c>
      <c r="AG452" t="n">
        <v>0.0</v>
      </c>
      <c r="AH452" t="n">
        <v>0.0</v>
      </c>
      <c r="AI452" t="n">
        <v>0.0</v>
      </c>
      <c r="AJ452" t="n">
        <v>0.0</v>
      </c>
      <c r="AK452" t="n">
        <v>22.0</v>
      </c>
      <c r="AL452" t="inlineStr">
        <is>
          <t/>
        </is>
      </c>
    </row>
    <row r="453">
      <c r="A453" t="inlineStr">
        <is>
          <t>第一次对爬坡后吃快碳起了敬意…</t>
        </is>
      </c>
      <c r="B453" t="inlineStr">
        <is>
          <t>69e70f13000000002302708a</t>
        </is>
      </c>
      <c r="C453" s="452" t="n">
        <f>HYPERLINK("https://www.xiaohongshu.com/explore/69e70f13000000002302708a?xsec_token=TBxJD1S06w8M0Ib6UdHEwWiLZMKGgrz0wZOGSXxfAMzP4=&amp;xsec_source=pc_trdark","https://www.xiaohongshu.com/explore/69e70f13000000002302708a?xsec_token=TBxJD1S06w8M0Ib6UdHEwWiLZMKGgrz0wZOGSXxfAMzP4=&amp;xsec_source=pc_trdark")</f>
        <v>0.0</v>
      </c>
      <c r="D453" t="inlineStr">
        <is>
          <t>鲜水湾甄选</t>
        </is>
      </c>
      <c r="E453" t="inlineStr">
        <is>
          <t>27401929161</t>
        </is>
      </c>
      <c r="F453" t="inlineStr">
        <is>
          <t>2026-04-21 15:30:00</t>
        </is>
      </c>
      <c r="G453" t="inlineStr">
        <is>
          <t>图文</t>
        </is>
      </c>
      <c r="H453" t="inlineStr">
        <is>
          <t>手剥虾仁 无冰衣无添加 低脂餐一人食 上班带饭 顺丰包邮 5盒装</t>
        </is>
      </c>
      <c r="I453" t="inlineStr">
        <is>
          <t>694baba01d450d00013662f0</t>
        </is>
      </c>
      <c r="J453" t="inlineStr">
        <is>
          <t/>
        </is>
      </c>
      <c r="K453" t="n">
        <v>0.0</v>
      </c>
      <c r="L453" t="n">
        <v>0.0</v>
      </c>
      <c r="M453" t="n">
        <v>0.0</v>
      </c>
      <c r="N453" t="n">
        <v>0.0</v>
      </c>
      <c r="O453" t="n">
        <v>0.0</v>
      </c>
      <c r="P453" t="n">
        <v>0.0</v>
      </c>
      <c r="Q453" t="inlineStr">
        <is>
          <t/>
        </is>
      </c>
      <c r="R453" t="inlineStr">
        <is>
          <t/>
        </is>
      </c>
      <c r="S453" t="n">
        <v>0.0</v>
      </c>
      <c r="T453" t="n">
        <v>0.0</v>
      </c>
      <c r="U453" t="n">
        <v>0.0</v>
      </c>
      <c r="V453" t="n">
        <v>0.0</v>
      </c>
      <c r="W453" t="inlineStr">
        <is>
          <t/>
        </is>
      </c>
      <c r="X453" t="n">
        <v>0.0</v>
      </c>
      <c r="Y453" t="n">
        <v>0.0</v>
      </c>
      <c r="Z453" t="n">
        <v>0.0</v>
      </c>
      <c r="AA453" t="n">
        <v>0.0</v>
      </c>
      <c r="AB453" t="n">
        <v>0.0</v>
      </c>
      <c r="AC453" t="n">
        <v>0.0</v>
      </c>
      <c r="AD453" t="n">
        <v>5.0</v>
      </c>
      <c r="AE453" t="n">
        <v>0.0</v>
      </c>
      <c r="AF453" t="n">
        <v>0.0</v>
      </c>
      <c r="AG453" t="n">
        <v>0.0</v>
      </c>
      <c r="AH453" t="n">
        <v>0.0</v>
      </c>
      <c r="AI453" t="n">
        <v>0.0</v>
      </c>
      <c r="AJ453" t="n">
        <v>0.0</v>
      </c>
      <c r="AK453" t="n">
        <v>5.0</v>
      </c>
      <c r="AL453" t="inlineStr">
        <is>
          <t/>
        </is>
      </c>
    </row>
    <row r="454">
      <c r="A454" t="inlineStr">
        <is>
          <t>误以为很贵的整条三文鱼。。。</t>
        </is>
      </c>
      <c r="B454" t="inlineStr">
        <is>
          <t>69e2197f000000001a02e97e</t>
        </is>
      </c>
      <c r="C454" s="453" t="n">
        <f>HYPERLINK("https://www.xiaohongshu.com/explore/69e2197f000000001a02e97e?xsec_token=TBOpzZAuw0pnbuw-toVufuL5EcCcZpn6wOpcmm0Z4AkEo=&amp;xsec_source=pc_trdark","https://www.xiaohongshu.com/explore/69e2197f000000001a02e97e?xsec_token=TBOpzZAuw0pnbuw-toVufuL5EcCcZpn6wOpcmm0Z4AkEo=&amp;xsec_source=pc_trdark")</f>
        <v>0.0</v>
      </c>
      <c r="D454" t="inlineStr">
        <is>
          <t>菲菲上班吃什么</t>
        </is>
      </c>
      <c r="E454" t="inlineStr">
        <is>
          <t>49936530607</t>
        </is>
      </c>
      <c r="F454" t="inlineStr">
        <is>
          <t>2026-04-17 19:29:03</t>
        </is>
      </c>
      <c r="G454" t="inlineStr">
        <is>
          <t>图文</t>
        </is>
      </c>
      <c r="H454" t="inlineStr">
        <is>
          <t>智利三文鱼切块·整条三文鱼·深海鱼一人食健康饮食</t>
        </is>
      </c>
      <c r="I454" t="inlineStr">
        <is>
          <t>691ac562a524ee0001b51d7b</t>
        </is>
      </c>
      <c r="J454" t="inlineStr">
        <is>
          <t/>
        </is>
      </c>
      <c r="K454" t="n">
        <v>0.0</v>
      </c>
      <c r="L454" t="n">
        <v>0.0</v>
      </c>
      <c r="M454" t="n">
        <v>0.0</v>
      </c>
      <c r="N454" t="n">
        <v>0.0</v>
      </c>
      <c r="O454" t="n">
        <v>0.0</v>
      </c>
      <c r="P454" t="n">
        <v>0.0</v>
      </c>
      <c r="Q454" t="inlineStr">
        <is>
          <t/>
        </is>
      </c>
      <c r="R454" t="inlineStr">
        <is>
          <t/>
        </is>
      </c>
      <c r="S454" t="n">
        <v>0.0</v>
      </c>
      <c r="T454" t="n">
        <v>0.0</v>
      </c>
      <c r="U454" t="n">
        <v>0.0</v>
      </c>
      <c r="V454" t="n">
        <v>0.0</v>
      </c>
      <c r="W454" t="inlineStr">
        <is>
          <t/>
        </is>
      </c>
      <c r="X454" t="n">
        <v>0.0</v>
      </c>
      <c r="Y454" t="n">
        <v>0.0</v>
      </c>
      <c r="Z454" t="n">
        <v>0.0</v>
      </c>
      <c r="AA454" t="n">
        <v>0.0</v>
      </c>
      <c r="AB454" t="n">
        <v>0.0</v>
      </c>
      <c r="AC454" t="n">
        <v>0.0</v>
      </c>
      <c r="AD454" t="n">
        <v>5.0</v>
      </c>
      <c r="AE454" t="n">
        <v>0.0</v>
      </c>
      <c r="AF454" t="n">
        <v>0.0</v>
      </c>
      <c r="AG454" t="n">
        <v>0.0</v>
      </c>
      <c r="AH454" t="n">
        <v>0.0</v>
      </c>
      <c r="AI454" t="n">
        <v>0.0</v>
      </c>
      <c r="AJ454" t="n">
        <v>0.0</v>
      </c>
      <c r="AK454" t="n">
        <v>10.0</v>
      </c>
      <c r="AL454" t="inlineStr">
        <is>
          <t/>
        </is>
      </c>
    </row>
    <row r="455">
      <c r="A455" t="inlineStr">
        <is>
          <t>翻了3家超市虾仁配料表，默默全放回去了</t>
        </is>
      </c>
      <c r="B455" t="inlineStr">
        <is>
          <t>69df202e000000001f002c54</t>
        </is>
      </c>
      <c r="C455" s="454" t="n">
        <f>HYPERLINK("https://www.xiaohongshu.com/explore/69df202e000000001f002c54?xsec_token=TBbELi6fdmnK2TYKEzYY0fWt9t0FBJ34AwWc_QCcmpd4w=&amp;xsec_source=pc_trdark","https://www.xiaohongshu.com/explore/69df202e000000001f002c54?xsec_token=TBbELi6fdmnK2TYKEzYY0fWt9t0FBJ34AwWc_QCcmpd4w=&amp;xsec_source=pc_trdark")</f>
        <v>0.0</v>
      </c>
      <c r="D455" t="inlineStr">
        <is>
          <t>婉婉上班吃什么</t>
        </is>
      </c>
      <c r="E455" t="inlineStr">
        <is>
          <t>11434449706</t>
        </is>
      </c>
      <c r="F455" t="inlineStr">
        <is>
          <t>2026-04-15 13:20:46</t>
        </is>
      </c>
      <c r="G455" t="inlineStr">
        <is>
          <t>图文</t>
        </is>
      </c>
      <c r="H455" t="inlineStr">
        <is>
          <t>手剥虾仁 无冰衣无添加 低脂餐一人食 上班带饭 顺丰包邮 5盒装</t>
        </is>
      </c>
      <c r="I455" t="inlineStr">
        <is>
          <t>694baba01d450d00013662f0</t>
        </is>
      </c>
      <c r="J455" t="inlineStr">
        <is>
          <t/>
        </is>
      </c>
      <c r="K455" t="n">
        <v>0.0</v>
      </c>
      <c r="L455" t="n">
        <v>0.0</v>
      </c>
      <c r="M455" t="n">
        <v>1.0</v>
      </c>
      <c r="N455" t="n">
        <v>0.2</v>
      </c>
      <c r="O455" t="n">
        <v>1.0</v>
      </c>
      <c r="P455" t="n">
        <v>0.0</v>
      </c>
      <c r="Q455" t="n">
        <v>0.0</v>
      </c>
      <c r="R455" t="n">
        <v>0.0</v>
      </c>
      <c r="S455" t="n">
        <v>0.0</v>
      </c>
      <c r="T455" t="n">
        <v>0.0</v>
      </c>
      <c r="U455" t="n">
        <v>0.0</v>
      </c>
      <c r="V455" t="n">
        <v>0.0</v>
      </c>
      <c r="W455" t="inlineStr">
        <is>
          <t/>
        </is>
      </c>
      <c r="X455" t="n">
        <v>0.0</v>
      </c>
      <c r="Y455" t="n">
        <v>0.0</v>
      </c>
      <c r="Z455" t="n">
        <v>0.0</v>
      </c>
      <c r="AA455" t="n">
        <v>0.0</v>
      </c>
      <c r="AB455" t="n">
        <v>0.0</v>
      </c>
      <c r="AC455" t="n">
        <v>0.0</v>
      </c>
      <c r="AD455" t="n">
        <v>5.0</v>
      </c>
      <c r="AE455" t="n">
        <v>0.0</v>
      </c>
      <c r="AF455" t="n">
        <v>0.0</v>
      </c>
      <c r="AG455" t="n">
        <v>0.0</v>
      </c>
      <c r="AH455" t="n">
        <v>0.0</v>
      </c>
      <c r="AI455" t="n">
        <v>0.0</v>
      </c>
      <c r="AJ455" t="n">
        <v>0.0</v>
      </c>
      <c r="AK455" t="n">
        <v>17.8</v>
      </c>
      <c r="AL455" t="inlineStr">
        <is>
          <t/>
        </is>
      </c>
    </row>
    <row r="456">
      <c r="A456" t="inlineStr">
        <is>
          <t>带饭的尽头…真的是免加热</t>
        </is>
      </c>
      <c r="B456" t="inlineStr">
        <is>
          <t>69bb6a07000000001a02cda7</t>
        </is>
      </c>
      <c r="C456" s="455" t="n">
        <f>HYPERLINK("https://www.xiaohongshu.com/explore/69bb6a07000000001a02cda7?xsec_token=TBbjiHoA30T3IRnkbtYIm1O0hosuIpOuYX2B1olmbPzBU=&amp;xsec_source=pc_trdark","https://www.xiaohongshu.com/explore/69bb6a07000000001a02cda7?xsec_token=TBbjiHoA30T3IRnkbtYIm1O0hosuIpOuYX2B1olmbPzBU=&amp;xsec_source=pc_trdark")</f>
        <v>0.0</v>
      </c>
      <c r="D456" t="inlineStr">
        <is>
          <t>菲菲上班吃什么</t>
        </is>
      </c>
      <c r="E456" t="inlineStr">
        <is>
          <t>49936530607</t>
        </is>
      </c>
      <c r="F456" t="inlineStr">
        <is>
          <t>2026-03-19 11:14:15</t>
        </is>
      </c>
      <c r="G456" t="inlineStr">
        <is>
          <t>图文</t>
        </is>
      </c>
      <c r="H456" t="inlineStr">
        <is>
          <t>手剥虾仁 无冰衣无添加 低脂餐一人食 上班带饭 顺丰包邮 5盒装</t>
        </is>
      </c>
      <c r="I456" t="inlineStr">
        <is>
          <t>694baba01d450d00013662f0</t>
        </is>
      </c>
      <c r="J456" t="inlineStr">
        <is>
          <t/>
        </is>
      </c>
      <c r="K456" t="n">
        <v>0.0</v>
      </c>
      <c r="L456" t="n">
        <v>0.0</v>
      </c>
      <c r="M456" t="n">
        <v>0.0</v>
      </c>
      <c r="N456" t="n">
        <v>0.0</v>
      </c>
      <c r="O456" t="n">
        <v>0.0</v>
      </c>
      <c r="P456" t="n">
        <v>0.0</v>
      </c>
      <c r="Q456" t="inlineStr">
        <is>
          <t/>
        </is>
      </c>
      <c r="R456" t="inlineStr">
        <is>
          <t/>
        </is>
      </c>
      <c r="S456" t="n">
        <v>0.0</v>
      </c>
      <c r="T456" t="n">
        <v>0.0</v>
      </c>
      <c r="U456" t="n">
        <v>0.0</v>
      </c>
      <c r="V456" t="n">
        <v>0.0</v>
      </c>
      <c r="W456" t="inlineStr">
        <is>
          <t/>
        </is>
      </c>
      <c r="X456" t="n">
        <v>0.0</v>
      </c>
      <c r="Y456" t="n">
        <v>0.0</v>
      </c>
      <c r="Z456" t="n">
        <v>0.0</v>
      </c>
      <c r="AA456" t="n">
        <v>0.0</v>
      </c>
      <c r="AB456" t="n">
        <v>0.0</v>
      </c>
      <c r="AC456" t="n">
        <v>0.0</v>
      </c>
      <c r="AD456" t="n">
        <v>5.0</v>
      </c>
      <c r="AE456" t="n">
        <v>0.0</v>
      </c>
      <c r="AF456" t="n">
        <v>0.0</v>
      </c>
      <c r="AG456" t="n">
        <v>0.0</v>
      </c>
      <c r="AH456" t="n">
        <v>0.0</v>
      </c>
      <c r="AI456" t="n">
        <v>0.0</v>
      </c>
      <c r="AJ456" t="n">
        <v>0.0</v>
      </c>
      <c r="AK456" t="n">
        <v>6.4</v>
      </c>
      <c r="AL456" t="inlineStr">
        <is>
          <t/>
        </is>
      </c>
    </row>
    <row r="457">
      <c r="A457" t="inlineStr">
        <is>
          <t>这盘三文鱼餐，承包了我一天的快乐和营养</t>
        </is>
      </c>
      <c r="B457" t="inlineStr">
        <is>
          <t>69ae8868000000002801cdbd</t>
        </is>
      </c>
      <c r="C457" s="456" t="n">
        <f>HYPERLINK("https://www.xiaohongshu.com/explore/69ae8868000000002801cdbd?xsec_token=TBy3i3TfmyKE7XGojG_cT9hZxfO_Yt35ktjtr-38ewnJE=&amp;xsec_source=pc_trdark","https://www.xiaohongshu.com/explore/69ae8868000000002801cdbd?xsec_token=TBy3i3TfmyKE7XGojG_cT9hZxfO_Yt35ktjtr-38ewnJE=&amp;xsec_source=pc_trdark")</f>
        <v>0.0</v>
      </c>
      <c r="D457" t="inlineStr">
        <is>
          <t>鲜水湾</t>
        </is>
      </c>
      <c r="E457" t="inlineStr">
        <is>
          <t>49316638994</t>
        </is>
      </c>
      <c r="F457" t="inlineStr">
        <is>
          <t>2026-03-09 16:44:24</t>
        </is>
      </c>
      <c r="G457" t="inlineStr">
        <is>
          <t>图文</t>
        </is>
      </c>
      <c r="H457" t="inlineStr">
        <is>
          <t>智利三文鱼切块·整条三文鱼·深海鱼一人食健康饮食</t>
        </is>
      </c>
      <c r="I457" t="inlineStr">
        <is>
          <t>691ac562a524ee0001b51d7b</t>
        </is>
      </c>
      <c r="J457" t="inlineStr">
        <is>
          <t/>
        </is>
      </c>
      <c r="K457" t="n">
        <v>0.0</v>
      </c>
      <c r="L457" t="n">
        <v>0.0</v>
      </c>
      <c r="M457" t="n">
        <v>0.0</v>
      </c>
      <c r="N457" t="n">
        <v>0.0</v>
      </c>
      <c r="O457" t="n">
        <v>0.0</v>
      </c>
      <c r="P457" t="n">
        <v>0.0</v>
      </c>
      <c r="Q457" t="inlineStr">
        <is>
          <t/>
        </is>
      </c>
      <c r="R457" t="inlineStr">
        <is>
          <t/>
        </is>
      </c>
      <c r="S457" t="n">
        <v>0.0</v>
      </c>
      <c r="T457" t="n">
        <v>0.0</v>
      </c>
      <c r="U457" t="n">
        <v>0.0</v>
      </c>
      <c r="V457" t="n">
        <v>0.0</v>
      </c>
      <c r="W457" t="inlineStr">
        <is>
          <t/>
        </is>
      </c>
      <c r="X457" t="n">
        <v>0.0</v>
      </c>
      <c r="Y457" t="n">
        <v>0.0</v>
      </c>
      <c r="Z457" t="n">
        <v>0.0</v>
      </c>
      <c r="AA457" t="n">
        <v>0.0</v>
      </c>
      <c r="AB457" t="n">
        <v>0.0</v>
      </c>
      <c r="AC457" t="n">
        <v>0.0</v>
      </c>
      <c r="AD457" t="n">
        <v>5.0</v>
      </c>
      <c r="AE457" t="n">
        <v>0.0</v>
      </c>
      <c r="AF457" t="n">
        <v>0.0</v>
      </c>
      <c r="AG457" t="n">
        <v>0.0</v>
      </c>
      <c r="AH457" t="n">
        <v>0.0</v>
      </c>
      <c r="AI457" t="n">
        <v>0.0</v>
      </c>
      <c r="AJ457" t="n">
        <v>0.0</v>
      </c>
      <c r="AK457" t="n">
        <v>7.6</v>
      </c>
      <c r="AL457" t="inlineStr">
        <is>
          <t/>
        </is>
      </c>
    </row>
    <row r="458">
      <c r="A458" t="inlineStr">
        <is>
          <t>100块解决打工人半个月的轻食餐！</t>
        </is>
      </c>
      <c r="B458" t="inlineStr">
        <is>
          <t>6a6a015000000000110171ed</t>
        </is>
      </c>
      <c r="C458" s="457" t="n">
        <f>HYPERLINK("https://www.xiaohongshu.com/explore/6a6a015000000000110171ed?xsec_token=TBlqVLEFjND1igtxhsDYFb6AnmsEkGnXo4v2NW3rLzksI=&amp;xsec_source=pc_trdark","https://www.xiaohongshu.com/explore/6a6a015000000000110171ed?xsec_token=TBlqVLEFjND1igtxhsDYFb6AnmsEkGnXo4v2NW3rLzksI=&amp;xsec_source=pc_trdark")</f>
        <v>0.0</v>
      </c>
      <c r="D458" t="inlineStr">
        <is>
          <t>鲜水湾甄选</t>
        </is>
      </c>
      <c r="E458" t="inlineStr">
        <is>
          <t>27401929161</t>
        </is>
      </c>
      <c r="F458" t="inlineStr">
        <is>
          <t>2026-07-29 21:34:08</t>
        </is>
      </c>
      <c r="G458" t="inlineStr">
        <is>
          <t>图文</t>
        </is>
      </c>
      <c r="H458" t="inlineStr">
        <is>
          <t>手剥虾仁 无冰衣无添加 低脂餐一人食 上班带饭 顺丰包邮 5盒装</t>
        </is>
      </c>
      <c r="I458" t="inlineStr">
        <is>
          <t>694baba01d450d00013662f0</t>
        </is>
      </c>
      <c r="J458" t="inlineStr">
        <is>
          <t/>
        </is>
      </c>
      <c r="K458" t="n">
        <v>0.0</v>
      </c>
      <c r="L458" t="n">
        <v>0.0</v>
      </c>
      <c r="M458" t="n">
        <v>0.0</v>
      </c>
      <c r="N458" t="n">
        <v>0.0</v>
      </c>
      <c r="O458" t="n">
        <v>0.0</v>
      </c>
      <c r="P458" t="n">
        <v>0.0</v>
      </c>
      <c r="Q458" t="inlineStr">
        <is>
          <t/>
        </is>
      </c>
      <c r="R458" t="inlineStr">
        <is>
          <t/>
        </is>
      </c>
      <c r="S458" t="n">
        <v>0.0</v>
      </c>
      <c r="T458" t="n">
        <v>0.0</v>
      </c>
      <c r="U458" t="n">
        <v>0.0</v>
      </c>
      <c r="V458" t="n">
        <v>0.0</v>
      </c>
      <c r="W458" t="inlineStr">
        <is>
          <t/>
        </is>
      </c>
      <c r="X458" t="n">
        <v>0.0</v>
      </c>
      <c r="Y458" t="n">
        <v>0.0</v>
      </c>
      <c r="Z458" t="n">
        <v>0.0</v>
      </c>
      <c r="AA458" t="n">
        <v>0.0</v>
      </c>
      <c r="AB458" t="n">
        <v>0.0</v>
      </c>
      <c r="AC458" t="n">
        <v>0.0</v>
      </c>
      <c r="AD458" t="n">
        <v>4.0</v>
      </c>
      <c r="AE458" t="n">
        <v>0.0</v>
      </c>
      <c r="AF458" t="n">
        <v>0.0</v>
      </c>
      <c r="AG458" t="n">
        <v>0.0</v>
      </c>
      <c r="AH458" t="n">
        <v>0.0</v>
      </c>
      <c r="AI458" t="n">
        <v>0.0</v>
      </c>
      <c r="AJ458" t="n">
        <v>0.0</v>
      </c>
      <c r="AK458" t="n">
        <v>1.75</v>
      </c>
      <c r="AL458" t="inlineStr">
        <is>
          <t/>
        </is>
      </c>
    </row>
    <row r="459">
      <c r="A459" t="inlineStr">
        <is>
          <t>习惯了高蛋白饮食后……</t>
        </is>
      </c>
      <c r="B459" t="inlineStr">
        <is>
          <t>6a5f90f1000000001c010586</t>
        </is>
      </c>
      <c r="C459" s="458" t="n">
        <f>HYPERLINK("https://www.xiaohongshu.com/explore/6a5f90f1000000001c010586?xsec_token=TBNiP87dDl0mbMa3fu0C81MX3h8WaUGLxVWlV_J6zsR-s=&amp;xsec_source=pc_trdark","https://www.xiaohongshu.com/explore/6a5f90f1000000001c010586?xsec_token=TBNiP87dDl0mbMa3fu0C81MX3h8WaUGLxVWlV_J6zsR-s=&amp;xsec_source=pc_trdark")</f>
        <v>0.0</v>
      </c>
      <c r="D459" t="inlineStr">
        <is>
          <t>鲜水湾</t>
        </is>
      </c>
      <c r="E459" t="inlineStr">
        <is>
          <t>49316638994</t>
        </is>
      </c>
      <c r="F459" t="inlineStr">
        <is>
          <t>2026-07-21 23:32:01</t>
        </is>
      </c>
      <c r="G459" t="inlineStr">
        <is>
          <t>图文</t>
        </is>
      </c>
      <c r="H459" t="inlineStr">
        <is>
          <t>智利三文鱼切块·整条三文鱼·深海鱼一人食健康饮食</t>
        </is>
      </c>
      <c r="I459" t="inlineStr">
        <is>
          <t>691ac562a524ee0001b51d7b</t>
        </is>
      </c>
      <c r="J459" t="inlineStr">
        <is>
          <t/>
        </is>
      </c>
      <c r="K459" t="n">
        <v>0.0</v>
      </c>
      <c r="L459" t="n">
        <v>0.0</v>
      </c>
      <c r="M459" t="n">
        <v>0.0</v>
      </c>
      <c r="N459" t="n">
        <v>0.0</v>
      </c>
      <c r="O459" t="n">
        <v>0.0</v>
      </c>
      <c r="P459" t="n">
        <v>0.0</v>
      </c>
      <c r="Q459" t="inlineStr">
        <is>
          <t/>
        </is>
      </c>
      <c r="R459" t="inlineStr">
        <is>
          <t/>
        </is>
      </c>
      <c r="S459" t="n">
        <v>0.0</v>
      </c>
      <c r="T459" t="n">
        <v>0.0</v>
      </c>
      <c r="U459" t="n">
        <v>0.0</v>
      </c>
      <c r="V459" t="n">
        <v>0.0</v>
      </c>
      <c r="W459" t="inlineStr">
        <is>
          <t/>
        </is>
      </c>
      <c r="X459" t="n">
        <v>0.0</v>
      </c>
      <c r="Y459" t="n">
        <v>0.0</v>
      </c>
      <c r="Z459" t="n">
        <v>0.0</v>
      </c>
      <c r="AA459" t="n">
        <v>0.0</v>
      </c>
      <c r="AB459" t="n">
        <v>0.0</v>
      </c>
      <c r="AC459" t="n">
        <v>0.0</v>
      </c>
      <c r="AD459" t="n">
        <v>4.0</v>
      </c>
      <c r="AE459" t="n">
        <v>0.0</v>
      </c>
      <c r="AF459" t="n">
        <v>0.0</v>
      </c>
      <c r="AG459" t="n">
        <v>0.0</v>
      </c>
      <c r="AH459" t="n">
        <v>0.0</v>
      </c>
      <c r="AI459" t="n">
        <v>0.0</v>
      </c>
      <c r="AJ459" t="n">
        <v>0.0</v>
      </c>
      <c r="AK459" t="n">
        <v>3.5</v>
      </c>
      <c r="AL459" t="inlineStr">
        <is>
          <t/>
        </is>
      </c>
    </row>
    <row r="460">
      <c r="A460" t="inlineStr">
        <is>
          <t>不敢相信😱100块承包了我十顿轻食餐</t>
        </is>
      </c>
      <c r="B460" t="inlineStr">
        <is>
          <t>6a5ce0630000000009036ec8</t>
        </is>
      </c>
      <c r="C460" s="459" t="n">
        <f>HYPERLINK("https://www.xiaohongshu.com/explore/6a5ce0630000000009036ec8?xsec_token=TBcqCuVCCi2LPEDZ4T1AgR0aHOwLijB03x9A_QDVZErEc=&amp;xsec_source=pc_trdark","https://www.xiaohongshu.com/explore/6a5ce0630000000009036ec8?xsec_token=TBcqCuVCCi2LPEDZ4T1AgR0aHOwLijB03x9A_QDVZErEc=&amp;xsec_source=pc_trdark")</f>
        <v>0.0</v>
      </c>
      <c r="D460" t="inlineStr">
        <is>
          <t>菲菲上班吃什么</t>
        </is>
      </c>
      <c r="E460" t="inlineStr">
        <is>
          <t>49936530607</t>
        </is>
      </c>
      <c r="F460" t="inlineStr">
        <is>
          <t>2026-07-19 22:34:11</t>
        </is>
      </c>
      <c r="G460" t="inlineStr">
        <is>
          <t>图文</t>
        </is>
      </c>
      <c r="H460" t="inlineStr">
        <is>
          <t>手剥虾仁 无冰衣无添加 低脂餐一人食 上班带饭 顺丰包邮 5盒装</t>
        </is>
      </c>
      <c r="I460" t="inlineStr">
        <is>
          <t>694baba01d450d00013662f0</t>
        </is>
      </c>
      <c r="J460" t="inlineStr">
        <is>
          <t/>
        </is>
      </c>
      <c r="K460" t="n">
        <v>0.0</v>
      </c>
      <c r="L460" t="n">
        <v>0.0</v>
      </c>
      <c r="M460" t="n">
        <v>0.0</v>
      </c>
      <c r="N460" t="n">
        <v>0.0</v>
      </c>
      <c r="O460" t="n">
        <v>0.0</v>
      </c>
      <c r="P460" t="n">
        <v>0.0</v>
      </c>
      <c r="Q460" t="inlineStr">
        <is>
          <t/>
        </is>
      </c>
      <c r="R460" t="inlineStr">
        <is>
          <t/>
        </is>
      </c>
      <c r="S460" t="n">
        <v>0.0</v>
      </c>
      <c r="T460" t="n">
        <v>0.0</v>
      </c>
      <c r="U460" t="n">
        <v>0.0</v>
      </c>
      <c r="V460" t="n">
        <v>0.0</v>
      </c>
      <c r="W460" t="inlineStr">
        <is>
          <t/>
        </is>
      </c>
      <c r="X460" t="n">
        <v>0.0</v>
      </c>
      <c r="Y460" t="n">
        <v>0.0</v>
      </c>
      <c r="Z460" t="n">
        <v>0.0</v>
      </c>
      <c r="AA460" t="n">
        <v>0.0</v>
      </c>
      <c r="AB460" t="n">
        <v>0.0</v>
      </c>
      <c r="AC460" t="n">
        <v>0.0</v>
      </c>
      <c r="AD460" t="n">
        <v>4.0</v>
      </c>
      <c r="AE460" t="n">
        <v>0.0</v>
      </c>
      <c r="AF460" t="n">
        <v>0.0</v>
      </c>
      <c r="AG460" t="n">
        <v>0.0</v>
      </c>
      <c r="AH460" t="n">
        <v>0.0</v>
      </c>
      <c r="AI460" t="n">
        <v>0.0</v>
      </c>
      <c r="AJ460" t="n">
        <v>0.0</v>
      </c>
      <c r="AK460" t="n">
        <v>9.0</v>
      </c>
      <c r="AL460" t="inlineStr">
        <is>
          <t/>
        </is>
      </c>
    </row>
    <row r="461">
      <c r="A461" t="inlineStr">
        <is>
          <t>健身搭子一句话，我默默回购了很多次</t>
        </is>
      </c>
      <c r="B461" t="inlineStr">
        <is>
          <t>6a5b84fe00000000100286e3</t>
        </is>
      </c>
      <c r="C461" s="460" t="n">
        <f>HYPERLINK("https://www.xiaohongshu.com/explore/6a5b84fe00000000100286e3?xsec_token=TBQiR21gM1WD-mfbMRSFpue_GSTipBdKGSL_pexU3mIoc=&amp;xsec_source=pc_trdark","https://www.xiaohongshu.com/explore/6a5b84fe00000000100286e3?xsec_token=TBQiR21gM1WD-mfbMRSFpue_GSTipBdKGSL_pexU3mIoc=&amp;xsec_source=pc_trdark")</f>
        <v>0.0</v>
      </c>
      <c r="D461" t="inlineStr">
        <is>
          <t>菲菲上班吃什么</t>
        </is>
      </c>
      <c r="E461" t="inlineStr">
        <is>
          <t>49936530607</t>
        </is>
      </c>
      <c r="F461" t="inlineStr">
        <is>
          <t>2026-07-18 21:51:58</t>
        </is>
      </c>
      <c r="G461" t="inlineStr">
        <is>
          <t>图文</t>
        </is>
      </c>
      <c r="H461" t="inlineStr">
        <is>
          <t>手剥虾仁 无冰衣无添加 低脂餐一人食 上班带饭 顺丰包邮 5盒装</t>
        </is>
      </c>
      <c r="I461" t="inlineStr">
        <is>
          <t>694baba01d450d00013662f0</t>
        </is>
      </c>
      <c r="J461" t="inlineStr">
        <is>
          <t/>
        </is>
      </c>
      <c r="K461" t="n">
        <v>0.0</v>
      </c>
      <c r="L461" t="n">
        <v>0.0</v>
      </c>
      <c r="M461" t="n">
        <v>0.0</v>
      </c>
      <c r="N461" t="n">
        <v>0.0</v>
      </c>
      <c r="O461" t="n">
        <v>0.0</v>
      </c>
      <c r="P461" t="n">
        <v>0.0</v>
      </c>
      <c r="Q461" t="inlineStr">
        <is>
          <t/>
        </is>
      </c>
      <c r="R461" t="inlineStr">
        <is>
          <t/>
        </is>
      </c>
      <c r="S461" t="n">
        <v>0.0</v>
      </c>
      <c r="T461" t="n">
        <v>0.0</v>
      </c>
      <c r="U461" t="n">
        <v>0.0</v>
      </c>
      <c r="V461" t="n">
        <v>0.0</v>
      </c>
      <c r="W461" t="inlineStr">
        <is>
          <t/>
        </is>
      </c>
      <c r="X461" t="n">
        <v>0.0</v>
      </c>
      <c r="Y461" t="n">
        <v>0.0</v>
      </c>
      <c r="Z461" t="n">
        <v>1.0</v>
      </c>
      <c r="AA461" t="n">
        <v>0.0</v>
      </c>
      <c r="AB461" t="n">
        <v>0.0</v>
      </c>
      <c r="AC461" t="n">
        <v>0.0</v>
      </c>
      <c r="AD461" t="n">
        <v>4.0</v>
      </c>
      <c r="AE461" t="n">
        <v>0.0</v>
      </c>
      <c r="AF461" t="n">
        <v>0.0</v>
      </c>
      <c r="AG461" t="n">
        <v>0.0</v>
      </c>
      <c r="AH461" t="n">
        <v>0.0</v>
      </c>
      <c r="AI461" t="n">
        <v>0.0</v>
      </c>
      <c r="AJ461" t="n">
        <v>0.0</v>
      </c>
      <c r="AK461" t="n">
        <v>20.5</v>
      </c>
      <c r="AL461" t="inlineStr">
        <is>
          <t/>
        </is>
      </c>
    </row>
    <row r="462">
      <c r="A462" t="inlineStr">
        <is>
          <t>生活化控体日常，水煮虾仁太懂女生了</t>
        </is>
      </c>
      <c r="B462" t="inlineStr">
        <is>
          <t>6a59ea9a00000000060135b8</t>
        </is>
      </c>
      <c r="C462" s="461" t="n">
        <f>HYPERLINK("https://www.xiaohongshu.com/explore/6a59ea9a00000000060135b8?xsec_token=TBznzFg2a5AgktvQj-m55hPoJejlm2Aj7XANknPqQ8MVY=&amp;xsec_source=pc_trdark","https://www.xiaohongshu.com/explore/6a59ea9a00000000060135b8?xsec_token=TBznzFg2a5AgktvQj-m55hPoJejlm2Aj7XANknPqQ8MVY=&amp;xsec_source=pc_trdark")</f>
        <v>0.0</v>
      </c>
      <c r="D462" t="inlineStr">
        <is>
          <t>婉婉上班吃什么</t>
        </is>
      </c>
      <c r="E462" t="inlineStr">
        <is>
          <t>11434449706</t>
        </is>
      </c>
      <c r="F462" t="inlineStr">
        <is>
          <t>2026-07-17 16:40:58</t>
        </is>
      </c>
      <c r="G462" t="inlineStr">
        <is>
          <t>图文</t>
        </is>
      </c>
      <c r="H462" t="inlineStr">
        <is>
          <t>手剥虾仁 无冰衣无添加 低脂餐一人食 上班带饭 顺丰包邮 5盒装</t>
        </is>
      </c>
      <c r="I462" t="inlineStr">
        <is>
          <t>694baba01d450d00013662f0</t>
        </is>
      </c>
      <c r="J462" t="inlineStr">
        <is>
          <t/>
        </is>
      </c>
      <c r="K462" t="n">
        <v>0.0</v>
      </c>
      <c r="L462" t="n">
        <v>0.0</v>
      </c>
      <c r="M462" t="n">
        <v>0.0</v>
      </c>
      <c r="N462" t="n">
        <v>0.0</v>
      </c>
      <c r="O462" t="n">
        <v>0.0</v>
      </c>
      <c r="P462" t="n">
        <v>0.0</v>
      </c>
      <c r="Q462" t="inlineStr">
        <is>
          <t/>
        </is>
      </c>
      <c r="R462" t="inlineStr">
        <is>
          <t/>
        </is>
      </c>
      <c r="S462" t="n">
        <v>0.0</v>
      </c>
      <c r="T462" t="n">
        <v>0.0</v>
      </c>
      <c r="U462" t="n">
        <v>0.0</v>
      </c>
      <c r="V462" t="n">
        <v>0.0</v>
      </c>
      <c r="W462" t="inlineStr">
        <is>
          <t/>
        </is>
      </c>
      <c r="X462" t="n">
        <v>0.0</v>
      </c>
      <c r="Y462" t="n">
        <v>0.0</v>
      </c>
      <c r="Z462" t="n">
        <v>0.0</v>
      </c>
      <c r="AA462" t="n">
        <v>0.0</v>
      </c>
      <c r="AB462" t="n">
        <v>0.0</v>
      </c>
      <c r="AC462" t="n">
        <v>0.0</v>
      </c>
      <c r="AD462" t="n">
        <v>4.0</v>
      </c>
      <c r="AE462" t="n">
        <v>0.0</v>
      </c>
      <c r="AF462" t="n">
        <v>0.0</v>
      </c>
      <c r="AG462" t="n">
        <v>0.0</v>
      </c>
      <c r="AH462" t="n">
        <v>0.0</v>
      </c>
      <c r="AI462" t="n">
        <v>0.0</v>
      </c>
      <c r="AJ462" t="n">
        <v>0.0</v>
      </c>
      <c r="AK462" t="n">
        <v>3.0</v>
      </c>
      <c r="AL462" t="inlineStr">
        <is>
          <t/>
        </is>
      </c>
    </row>
    <row r="463">
      <c r="A463" t="inlineStr">
        <is>
          <t>和老爸商量后，推出早八人独爱的小包装</t>
        </is>
      </c>
      <c r="B463" t="inlineStr">
        <is>
          <t>6a55f514000000001101360e</t>
        </is>
      </c>
      <c r="C463" s="462" t="n">
        <f>HYPERLINK("https://www.xiaohongshu.com/explore/6a55f514000000001101360e?xsec_token=TBtjT0D3LpwTfPk27zCmXZxbnJ_b2vjonNnkGiJrWXLPY=&amp;xsec_source=pc_trdark","https://www.xiaohongshu.com/explore/6a55f514000000001101360e?xsec_token=TBtjT0D3LpwTfPk27zCmXZxbnJ_b2vjonNnkGiJrWXLPY=&amp;xsec_source=pc_trdark")</f>
        <v>0.0</v>
      </c>
      <c r="D463" t="inlineStr">
        <is>
          <t>鲜水湾甄选</t>
        </is>
      </c>
      <c r="E463" t="inlineStr">
        <is>
          <t>27401929161</t>
        </is>
      </c>
      <c r="F463" t="inlineStr">
        <is>
          <t>2026-07-14 16:36:37</t>
        </is>
      </c>
      <c r="G463" t="inlineStr">
        <is>
          <t>图文</t>
        </is>
      </c>
      <c r="H463" t="inlineStr">
        <is>
          <t>手剥虾仁 无冰衣无添加 低脂餐一人食 上班带饭 顺丰包邮 5盒装</t>
        </is>
      </c>
      <c r="I463" t="inlineStr">
        <is>
          <t>694baba01d450d00013662f0</t>
        </is>
      </c>
      <c r="J463" t="inlineStr">
        <is>
          <t/>
        </is>
      </c>
      <c r="K463" t="n">
        <v>0.0</v>
      </c>
      <c r="L463" t="n">
        <v>0.0</v>
      </c>
      <c r="M463" t="n">
        <v>1.0</v>
      </c>
      <c r="N463" t="n">
        <v>0.25</v>
      </c>
      <c r="O463" t="n">
        <v>1.0</v>
      </c>
      <c r="P463" t="n">
        <v>0.0</v>
      </c>
      <c r="Q463" t="n">
        <v>0.0</v>
      </c>
      <c r="R463" t="n">
        <v>0.0</v>
      </c>
      <c r="S463" t="n">
        <v>0.0</v>
      </c>
      <c r="T463" t="n">
        <v>0.0</v>
      </c>
      <c r="U463" t="n">
        <v>0.0</v>
      </c>
      <c r="V463" t="n">
        <v>0.0</v>
      </c>
      <c r="W463" t="inlineStr">
        <is>
          <t/>
        </is>
      </c>
      <c r="X463" t="n">
        <v>0.0</v>
      </c>
      <c r="Y463" t="n">
        <v>0.0</v>
      </c>
      <c r="Z463" t="n">
        <v>0.0</v>
      </c>
      <c r="AA463" t="n">
        <v>0.0</v>
      </c>
      <c r="AB463" t="n">
        <v>0.0</v>
      </c>
      <c r="AC463" t="n">
        <v>0.0</v>
      </c>
      <c r="AD463" t="n">
        <v>4.0</v>
      </c>
      <c r="AE463" t="n">
        <v>0.0</v>
      </c>
      <c r="AF463" t="n">
        <v>0.0</v>
      </c>
      <c r="AG463" t="n">
        <v>0.0</v>
      </c>
      <c r="AH463" t="n">
        <v>0.0</v>
      </c>
      <c r="AI463" t="n">
        <v>0.0</v>
      </c>
      <c r="AJ463" t="n">
        <v>0.0</v>
      </c>
      <c r="AK463" t="n">
        <v>14.25</v>
      </c>
      <c r="AL463" t="inlineStr">
        <is>
          <t/>
        </is>
      </c>
    </row>
    <row r="464">
      <c r="A464" t="inlineStr">
        <is>
          <t>69 块钱居然可以买一周的减脂虾仁</t>
        </is>
      </c>
      <c r="B464" t="inlineStr">
        <is>
          <t>6a47824700000000200396ce</t>
        </is>
      </c>
      <c r="C464" s="463" t="n">
        <f>HYPERLINK("https://www.xiaohongshu.com/explore/6a47824700000000200396ce?xsec_token=TBfioABv3EUaNcb0n3V9sKZqZl_UZZ0F2GS2P87erE3sY=&amp;xsec_source=pc_trdark","https://www.xiaohongshu.com/explore/6a47824700000000200396ce?xsec_token=TBfioABv3EUaNcb0n3V9sKZqZl_UZZ0F2GS2P87erE3sY=&amp;xsec_source=pc_trdark")</f>
        <v>0.0</v>
      </c>
      <c r="D464" t="inlineStr">
        <is>
          <t>鲜水湾</t>
        </is>
      </c>
      <c r="E464" t="inlineStr">
        <is>
          <t>49316638994</t>
        </is>
      </c>
      <c r="F464" t="inlineStr">
        <is>
          <t>2026-07-03 17:35:03</t>
        </is>
      </c>
      <c r="G464" t="inlineStr">
        <is>
          <t>图文</t>
        </is>
      </c>
      <c r="H464" t="inlineStr">
        <is>
          <t>手剥虾仁 无冰衣无添加 低脂餐一人食 上班带饭 顺丰包邮 5盒装</t>
        </is>
      </c>
      <c r="I464" t="inlineStr">
        <is>
          <t>694baba01d450d00013662f0</t>
        </is>
      </c>
      <c r="J464" t="inlineStr">
        <is>
          <t/>
        </is>
      </c>
      <c r="K464" t="n">
        <v>0.0</v>
      </c>
      <c r="L464" t="n">
        <v>0.0</v>
      </c>
      <c r="M464" t="n">
        <v>2.0</v>
      </c>
      <c r="N464" t="n">
        <v>0.5</v>
      </c>
      <c r="O464" t="n">
        <v>2.0</v>
      </c>
      <c r="P464" t="n">
        <v>0.0</v>
      </c>
      <c r="Q464" t="n">
        <v>0.0</v>
      </c>
      <c r="R464" t="n">
        <v>0.0</v>
      </c>
      <c r="S464" t="n">
        <v>0.0</v>
      </c>
      <c r="T464" t="n">
        <v>0.0</v>
      </c>
      <c r="U464" t="n">
        <v>0.0</v>
      </c>
      <c r="V464" t="n">
        <v>0.0</v>
      </c>
      <c r="W464" t="inlineStr">
        <is>
          <t/>
        </is>
      </c>
      <c r="X464" t="n">
        <v>0.0</v>
      </c>
      <c r="Y464" t="n">
        <v>0.0</v>
      </c>
      <c r="Z464" t="n">
        <v>0.0</v>
      </c>
      <c r="AA464" t="n">
        <v>0.0</v>
      </c>
      <c r="AB464" t="n">
        <v>0.0</v>
      </c>
      <c r="AC464" t="n">
        <v>0.0</v>
      </c>
      <c r="AD464" t="n">
        <v>4.0</v>
      </c>
      <c r="AE464" t="n">
        <v>0.0</v>
      </c>
      <c r="AF464" t="n">
        <v>0.0</v>
      </c>
      <c r="AG464" t="n">
        <v>0.0</v>
      </c>
      <c r="AH464" t="n">
        <v>0.0</v>
      </c>
      <c r="AI464" t="n">
        <v>0.0</v>
      </c>
      <c r="AJ464" t="n">
        <v>0.0</v>
      </c>
      <c r="AK464" t="n">
        <v>20.0</v>
      </c>
      <c r="AL464" t="inlineStr">
        <is>
          <t/>
        </is>
      </c>
    </row>
    <row r="465">
      <c r="A465" t="inlineStr">
        <is>
          <t>打工人以为一包不够，结果刚好一餐</t>
        </is>
      </c>
      <c r="B465" t="inlineStr">
        <is>
          <t>6a44f91a000000000702ff1d</t>
        </is>
      </c>
      <c r="C465" s="464" t="n">
        <f>HYPERLINK("https://www.xiaohongshu.com/explore/6a44f91a000000000702ff1d?xsec_token=TBsNLvvwxdidvAFeSxmUSQxYYnu5Miu3JRemyCWM_9g2A=&amp;xsec_source=pc_trdark","https://www.xiaohongshu.com/explore/6a44f91a000000000702ff1d?xsec_token=TBsNLvvwxdidvAFeSxmUSQxYYnu5Miu3JRemyCWM_9g2A=&amp;xsec_source=pc_trdark")</f>
        <v>0.0</v>
      </c>
      <c r="D465" t="inlineStr">
        <is>
          <t>菲菲上班吃什么</t>
        </is>
      </c>
      <c r="E465" t="inlineStr">
        <is>
          <t>49936530607</t>
        </is>
      </c>
      <c r="F465" t="inlineStr">
        <is>
          <t>2026-07-01 19:25:14</t>
        </is>
      </c>
      <c r="G465" t="inlineStr">
        <is>
          <t>图文</t>
        </is>
      </c>
      <c r="H465" t="inlineStr">
        <is>
          <t>手剥虾仁 无冰衣无添加 低脂餐一人食 上班带饭 顺丰包邮 5盒装</t>
        </is>
      </c>
      <c r="I465" t="inlineStr">
        <is>
          <t>694baba01d450d00013662f0</t>
        </is>
      </c>
      <c r="J465" t="inlineStr">
        <is>
          <t/>
        </is>
      </c>
      <c r="K465" t="n">
        <v>0.0</v>
      </c>
      <c r="L465" t="n">
        <v>0.0</v>
      </c>
      <c r="M465" t="n">
        <v>0.0</v>
      </c>
      <c r="N465" t="n">
        <v>0.0</v>
      </c>
      <c r="O465" t="n">
        <v>0.0</v>
      </c>
      <c r="P465" t="n">
        <v>0.0</v>
      </c>
      <c r="Q465" t="inlineStr">
        <is>
          <t/>
        </is>
      </c>
      <c r="R465" t="inlineStr">
        <is>
          <t/>
        </is>
      </c>
      <c r="S465" t="n">
        <v>0.0</v>
      </c>
      <c r="T465" t="n">
        <v>0.0</v>
      </c>
      <c r="U465" t="n">
        <v>0.0</v>
      </c>
      <c r="V465" t="n">
        <v>0.0</v>
      </c>
      <c r="W465" t="inlineStr">
        <is>
          <t/>
        </is>
      </c>
      <c r="X465" t="n">
        <v>0.0</v>
      </c>
      <c r="Y465" t="n">
        <v>0.0</v>
      </c>
      <c r="Z465" t="n">
        <v>0.0</v>
      </c>
      <c r="AA465" t="n">
        <v>0.0</v>
      </c>
      <c r="AB465" t="n">
        <v>0.0</v>
      </c>
      <c r="AC465" t="n">
        <v>0.0</v>
      </c>
      <c r="AD465" t="n">
        <v>4.0</v>
      </c>
      <c r="AE465" t="n">
        <v>0.0</v>
      </c>
      <c r="AF465" t="n">
        <v>0.0</v>
      </c>
      <c r="AG465" t="n">
        <v>0.0</v>
      </c>
      <c r="AH465" t="n">
        <v>0.0</v>
      </c>
      <c r="AI465" t="n">
        <v>0.0</v>
      </c>
      <c r="AJ465" t="n">
        <v>0.0</v>
      </c>
      <c r="AK465" t="n">
        <v>7.25</v>
      </c>
      <c r="AL465" t="inlineStr">
        <is>
          <t/>
        </is>
      </c>
    </row>
    <row r="466">
      <c r="A466" t="inlineStr">
        <is>
          <t>以为100没多少，结果够吃半个月了😂</t>
        </is>
      </c>
      <c r="B466" t="inlineStr">
        <is>
          <t>6a44cfc8000000000f014734</t>
        </is>
      </c>
      <c r="C466" s="465" t="n">
        <f>HYPERLINK("https://www.xiaohongshu.com/explore/6a44cfc8000000000f014734?xsec_token=TBsNLvvwxdidvAFeSxmUSQxWMs9qutDAgTsYHkLzH0u94=&amp;xsec_source=pc_trdark","https://www.xiaohongshu.com/explore/6a44cfc8000000000f014734?xsec_token=TBsNLvvwxdidvAFeSxmUSQxWMs9qutDAgTsYHkLzH0u94=&amp;xsec_source=pc_trdark")</f>
        <v>0.0</v>
      </c>
      <c r="D466" t="inlineStr">
        <is>
          <t>鲜水湾甄选</t>
        </is>
      </c>
      <c r="E466" t="inlineStr">
        <is>
          <t>27401929161</t>
        </is>
      </c>
      <c r="F466" t="inlineStr">
        <is>
          <t>2026-07-01 16:28:56</t>
        </is>
      </c>
      <c r="G466" t="inlineStr">
        <is>
          <t>图文</t>
        </is>
      </c>
      <c r="H466" t="inlineStr">
        <is>
          <t>手剥虾仁 无冰衣无添加 低脂餐一人食 上班带饭 顺丰包邮 5盒装</t>
        </is>
      </c>
      <c r="I466" t="inlineStr">
        <is>
          <t>694baba01d450d00013662f0</t>
        </is>
      </c>
      <c r="J466" t="inlineStr">
        <is>
          <t/>
        </is>
      </c>
      <c r="K466" t="n">
        <v>0.0</v>
      </c>
      <c r="L466" t="n">
        <v>0.0</v>
      </c>
      <c r="M466" t="n">
        <v>1.0</v>
      </c>
      <c r="N466" t="n">
        <v>0.25</v>
      </c>
      <c r="O466" t="n">
        <v>1.0</v>
      </c>
      <c r="P466" t="n">
        <v>0.0</v>
      </c>
      <c r="Q466" t="n">
        <v>0.0</v>
      </c>
      <c r="R466" t="n">
        <v>0.0</v>
      </c>
      <c r="S466" t="n">
        <v>0.0</v>
      </c>
      <c r="T466" t="n">
        <v>0.0</v>
      </c>
      <c r="U466" t="n">
        <v>0.0</v>
      </c>
      <c r="V466" t="n">
        <v>0.0</v>
      </c>
      <c r="W466" t="inlineStr">
        <is>
          <t/>
        </is>
      </c>
      <c r="X466" t="n">
        <v>0.0</v>
      </c>
      <c r="Y466" t="n">
        <v>0.0</v>
      </c>
      <c r="Z466" t="n">
        <v>0.0</v>
      </c>
      <c r="AA466" t="n">
        <v>0.0</v>
      </c>
      <c r="AB466" t="n">
        <v>0.0</v>
      </c>
      <c r="AC466" t="n">
        <v>0.0</v>
      </c>
      <c r="AD466" t="n">
        <v>4.0</v>
      </c>
      <c r="AE466" t="n">
        <v>0.0</v>
      </c>
      <c r="AF466" t="n">
        <v>0.0</v>
      </c>
      <c r="AG466" t="n">
        <v>0.0</v>
      </c>
      <c r="AH466" t="n">
        <v>0.0</v>
      </c>
      <c r="AI466" t="n">
        <v>0.0</v>
      </c>
      <c r="AJ466" t="n">
        <v>0.0</v>
      </c>
      <c r="AK466" t="n">
        <v>10.0</v>
      </c>
      <c r="AL466" t="inlineStr">
        <is>
          <t/>
        </is>
      </c>
    </row>
    <row r="467">
      <c r="A467" t="inlineStr">
        <is>
          <t>减脂期后发现，100块真能吃半个月虾仁</t>
        </is>
      </c>
      <c r="B467" t="inlineStr">
        <is>
          <t>6a3929300000000007029228</t>
        </is>
      </c>
      <c r="C467" s="466" t="n">
        <f>HYPERLINK("https://www.xiaohongshu.com/explore/6a3929300000000007029228?xsec_token=TBkripse3NS7kS6gQvPzXTTZPvgI2cpf0E9vZKUU6w2Ok=&amp;xsec_source=pc_trdark","https://www.xiaohongshu.com/explore/6a3929300000000007029228?xsec_token=TBkripse3NS7kS6gQvPzXTTZPvgI2cpf0E9vZKUU6w2Ok=&amp;xsec_source=pc_trdark")</f>
        <v>0.0</v>
      </c>
      <c r="D467" t="inlineStr">
        <is>
          <t>菲菲上班吃什么</t>
        </is>
      </c>
      <c r="E467" t="inlineStr">
        <is>
          <t>49936530607</t>
        </is>
      </c>
      <c r="F467" t="inlineStr">
        <is>
          <t>2026-06-22 21:10:00</t>
        </is>
      </c>
      <c r="G467" t="inlineStr">
        <is>
          <t>图文</t>
        </is>
      </c>
      <c r="H467" t="inlineStr">
        <is>
          <t>手剥虾仁 无冰衣无添加 低脂餐一人食 上班带饭 顺丰包邮 5盒装</t>
        </is>
      </c>
      <c r="I467" t="inlineStr">
        <is>
          <t>694baba01d450d00013662f0</t>
        </is>
      </c>
      <c r="J467" t="inlineStr">
        <is>
          <t/>
        </is>
      </c>
      <c r="K467" t="n">
        <v>0.0</v>
      </c>
      <c r="L467" t="n">
        <v>0.0</v>
      </c>
      <c r="M467" t="n">
        <v>1.0</v>
      </c>
      <c r="N467" t="n">
        <v>0.25</v>
      </c>
      <c r="O467" t="n">
        <v>1.0</v>
      </c>
      <c r="P467" t="n">
        <v>0.0</v>
      </c>
      <c r="Q467" t="n">
        <v>0.0</v>
      </c>
      <c r="R467" t="n">
        <v>0.0</v>
      </c>
      <c r="S467" t="n">
        <v>0.0</v>
      </c>
      <c r="T467" t="n">
        <v>0.0</v>
      </c>
      <c r="U467" t="n">
        <v>0.0</v>
      </c>
      <c r="V467" t="n">
        <v>0.0</v>
      </c>
      <c r="W467" t="inlineStr">
        <is>
          <t/>
        </is>
      </c>
      <c r="X467" t="n">
        <v>0.0</v>
      </c>
      <c r="Y467" t="n">
        <v>0.0</v>
      </c>
      <c r="Z467" t="n">
        <v>0.0</v>
      </c>
      <c r="AA467" t="n">
        <v>0.0</v>
      </c>
      <c r="AB467" t="n">
        <v>0.0</v>
      </c>
      <c r="AC467" t="n">
        <v>0.0</v>
      </c>
      <c r="AD467" t="n">
        <v>4.0</v>
      </c>
      <c r="AE467" t="n">
        <v>0.0</v>
      </c>
      <c r="AF467" t="n">
        <v>0.0</v>
      </c>
      <c r="AG467" t="n">
        <v>0.0</v>
      </c>
      <c r="AH467" t="n">
        <v>0.0</v>
      </c>
      <c r="AI467" t="n">
        <v>0.0</v>
      </c>
      <c r="AJ467" t="n">
        <v>0.0</v>
      </c>
      <c r="AK467" t="n">
        <v>7.5</v>
      </c>
      <c r="AL467" t="inlineStr">
        <is>
          <t/>
        </is>
      </c>
    </row>
    <row r="468">
      <c r="A468" t="inlineStr">
        <is>
          <t>瘦到90斤的同事每天吃的午饭</t>
        </is>
      </c>
      <c r="B468" t="inlineStr">
        <is>
          <t>6a2cb9e2000000000702c3bb</t>
        </is>
      </c>
      <c r="C468" s="467" t="n">
        <f>HYPERLINK("https://www.xiaohongshu.com/explore/6a2cb9e2000000000702c3bb?xsec_token=TBXfyg70k-fjSy8LCGl6_2cziHlPF_ASFVIswz1MzL78E=&amp;xsec_source=pc_trdark","https://www.xiaohongshu.com/explore/6a2cb9e2000000000702c3bb?xsec_token=TBXfyg70k-fjSy8LCGl6_2cziHlPF_ASFVIswz1MzL78E=&amp;xsec_source=pc_trdark")</f>
        <v>0.0</v>
      </c>
      <c r="D468" t="inlineStr">
        <is>
          <t>婉婉上班吃什么</t>
        </is>
      </c>
      <c r="E468" t="inlineStr">
        <is>
          <t>11434449706</t>
        </is>
      </c>
      <c r="F468" t="inlineStr">
        <is>
          <t>2026-06-13 10:01:06</t>
        </is>
      </c>
      <c r="G468" t="inlineStr">
        <is>
          <t>图文</t>
        </is>
      </c>
      <c r="H468" t="inlineStr">
        <is>
          <t>手剥虾仁 无冰衣无添加 低脂餐一人食 上班带饭 顺丰包邮 5盒装</t>
        </is>
      </c>
      <c r="I468" t="inlineStr">
        <is>
          <t>694baba01d450d00013662f0</t>
        </is>
      </c>
      <c r="J468" t="inlineStr">
        <is>
          <t/>
        </is>
      </c>
      <c r="K468" t="n">
        <v>0.0</v>
      </c>
      <c r="L468" t="n">
        <v>0.0</v>
      </c>
      <c r="M468" t="n">
        <v>0.0</v>
      </c>
      <c r="N468" t="n">
        <v>0.0</v>
      </c>
      <c r="O468" t="n">
        <v>0.0</v>
      </c>
      <c r="P468" t="n">
        <v>0.0</v>
      </c>
      <c r="Q468" t="inlineStr">
        <is>
          <t/>
        </is>
      </c>
      <c r="R468" t="inlineStr">
        <is>
          <t/>
        </is>
      </c>
      <c r="S468" t="n">
        <v>0.0</v>
      </c>
      <c r="T468" t="n">
        <v>0.0</v>
      </c>
      <c r="U468" t="n">
        <v>0.0</v>
      </c>
      <c r="V468" t="n">
        <v>0.0</v>
      </c>
      <c r="W468" t="inlineStr">
        <is>
          <t/>
        </is>
      </c>
      <c r="X468" t="n">
        <v>0.0</v>
      </c>
      <c r="Y468" t="n">
        <v>0.0</v>
      </c>
      <c r="Z468" t="n">
        <v>0.0</v>
      </c>
      <c r="AA468" t="n">
        <v>0.0</v>
      </c>
      <c r="AB468" t="n">
        <v>0.0</v>
      </c>
      <c r="AC468" t="n">
        <v>0.0</v>
      </c>
      <c r="AD468" t="n">
        <v>4.0</v>
      </c>
      <c r="AE468" t="n">
        <v>0.0</v>
      </c>
      <c r="AF468" t="n">
        <v>0.0</v>
      </c>
      <c r="AG468" t="n">
        <v>0.0</v>
      </c>
      <c r="AH468" t="n">
        <v>0.0</v>
      </c>
      <c r="AI468" t="n">
        <v>0.0</v>
      </c>
      <c r="AJ468" t="n">
        <v>0.0</v>
      </c>
      <c r="AK468" t="n">
        <v>2.75</v>
      </c>
      <c r="AL468" t="inlineStr">
        <is>
          <t/>
        </is>
      </c>
    </row>
    <row r="469">
      <c r="A469" t="inlineStr">
        <is>
          <t>一人食！都去炫这个三文鱼墩墩🤤</t>
        </is>
      </c>
      <c r="B469" t="inlineStr">
        <is>
          <t>6a2b9b94000000000702e7d3</t>
        </is>
      </c>
      <c r="C469" s="468" t="n">
        <f>HYPERLINK("https://www.xiaohongshu.com/explore/6a2b9b94000000000702e7d3?xsec_token=TB6z4gaYVtaJENMGYq0Pmb5NPyYBY9BVRwEoA2MD932ko=&amp;xsec_source=pc_trdark","https://www.xiaohongshu.com/explore/6a2b9b94000000000702e7d3?xsec_token=TB6z4gaYVtaJENMGYq0Pmb5NPyYBY9BVRwEoA2MD932ko=&amp;xsec_source=pc_trdark")</f>
        <v>0.0</v>
      </c>
      <c r="D469" t="inlineStr">
        <is>
          <t>鲜水湾</t>
        </is>
      </c>
      <c r="E469" t="inlineStr">
        <is>
          <t>49316638994</t>
        </is>
      </c>
      <c r="F469" t="inlineStr">
        <is>
          <t>2026-06-12 13:39:32</t>
        </is>
      </c>
      <c r="G469" t="inlineStr">
        <is>
          <t>图文</t>
        </is>
      </c>
      <c r="H469" t="inlineStr">
        <is>
          <t>挪威冰鲜三文鱼刺身级食材生鱼片日式火锅食材顺丰包邮</t>
        </is>
      </c>
      <c r="I469" t="inlineStr">
        <is>
          <t>69cced09069e7b000143e726</t>
        </is>
      </c>
      <c r="J469" t="inlineStr">
        <is>
          <t/>
        </is>
      </c>
      <c r="K469" t="n">
        <v>0.0</v>
      </c>
      <c r="L469" t="n">
        <v>0.0</v>
      </c>
      <c r="M469" t="n">
        <v>0.0</v>
      </c>
      <c r="N469" t="n">
        <v>0.0</v>
      </c>
      <c r="O469" t="n">
        <v>0.0</v>
      </c>
      <c r="P469" t="n">
        <v>0.0</v>
      </c>
      <c r="Q469" t="inlineStr">
        <is>
          <t/>
        </is>
      </c>
      <c r="R469" t="inlineStr">
        <is>
          <t/>
        </is>
      </c>
      <c r="S469" t="n">
        <v>0.0</v>
      </c>
      <c r="T469" t="n">
        <v>0.0</v>
      </c>
      <c r="U469" t="n">
        <v>0.0</v>
      </c>
      <c r="V469" t="n">
        <v>0.0</v>
      </c>
      <c r="W469" t="inlineStr">
        <is>
          <t/>
        </is>
      </c>
      <c r="X469" t="n">
        <v>0.0</v>
      </c>
      <c r="Y469" t="n">
        <v>0.0</v>
      </c>
      <c r="Z469" t="n">
        <v>0.0</v>
      </c>
      <c r="AA469" t="n">
        <v>0.0</v>
      </c>
      <c r="AB469" t="n">
        <v>0.0</v>
      </c>
      <c r="AC469" t="n">
        <v>0.0</v>
      </c>
      <c r="AD469" t="n">
        <v>4.0</v>
      </c>
      <c r="AE469" t="n">
        <v>0.0</v>
      </c>
      <c r="AF469" t="n">
        <v>0.0</v>
      </c>
      <c r="AG469" t="n">
        <v>0.0</v>
      </c>
      <c r="AH469" t="n">
        <v>0.0</v>
      </c>
      <c r="AI469" t="n">
        <v>0.0</v>
      </c>
      <c r="AJ469" t="n">
        <v>0.0</v>
      </c>
      <c r="AK469" t="n">
        <v>6.25</v>
      </c>
      <c r="AL469" t="inlineStr">
        <is>
          <t/>
        </is>
      </c>
    </row>
    <row r="470">
      <c r="A470" t="inlineStr">
        <is>
          <t>今年坠成功的消费降级，69吃一周！</t>
        </is>
      </c>
      <c r="B470" t="inlineStr">
        <is>
          <t>6a1c04da0000000007026f40</t>
        </is>
      </c>
      <c r="C470" s="469" t="n">
        <f>HYPERLINK("https://www.xiaohongshu.com/explore/6a1c04da0000000007026f40?xsec_token=TBI-GQfdF0uIK8olRzilz5GzJoGov8U5NyiTTMmDskVsk=&amp;xsec_source=pc_trdark","https://www.xiaohongshu.com/explore/6a1c04da0000000007026f40?xsec_token=TBI-GQfdF0uIK8olRzilz5GzJoGov8U5NyiTTMmDskVsk=&amp;xsec_source=pc_trdark")</f>
        <v>0.0</v>
      </c>
      <c r="D470" t="inlineStr">
        <is>
          <t>婉婉上班吃什么</t>
        </is>
      </c>
      <c r="E470" t="inlineStr">
        <is>
          <t>11434449706</t>
        </is>
      </c>
      <c r="F470" t="inlineStr">
        <is>
          <t>2026-05-31 17:52:26</t>
        </is>
      </c>
      <c r="G470" t="inlineStr">
        <is>
          <t>图文</t>
        </is>
      </c>
      <c r="H470" t="inlineStr">
        <is>
          <t>手剥虾仁 无冰衣无添加 低脂餐一人食 上班带饭 顺丰包邮 5盒装</t>
        </is>
      </c>
      <c r="I470" t="inlineStr">
        <is>
          <t>694baba01d450d00013662f0</t>
        </is>
      </c>
      <c r="J470" t="inlineStr">
        <is>
          <t/>
        </is>
      </c>
      <c r="K470" t="n">
        <v>0.0</v>
      </c>
      <c r="L470" t="n">
        <v>0.0</v>
      </c>
      <c r="M470" t="n">
        <v>0.0</v>
      </c>
      <c r="N470" t="n">
        <v>0.0</v>
      </c>
      <c r="O470" t="n">
        <v>0.0</v>
      </c>
      <c r="P470" t="n">
        <v>0.0</v>
      </c>
      <c r="Q470" t="inlineStr">
        <is>
          <t/>
        </is>
      </c>
      <c r="R470" t="inlineStr">
        <is>
          <t/>
        </is>
      </c>
      <c r="S470" t="n">
        <v>0.0</v>
      </c>
      <c r="T470" t="n">
        <v>0.0</v>
      </c>
      <c r="U470" t="n">
        <v>0.0</v>
      </c>
      <c r="V470" t="n">
        <v>0.0</v>
      </c>
      <c r="W470" t="inlineStr">
        <is>
          <t/>
        </is>
      </c>
      <c r="X470" t="n">
        <v>0.0</v>
      </c>
      <c r="Y470" t="n">
        <v>0.0</v>
      </c>
      <c r="Z470" t="n">
        <v>0.0</v>
      </c>
      <c r="AA470" t="n">
        <v>0.0</v>
      </c>
      <c r="AB470" t="n">
        <v>0.0</v>
      </c>
      <c r="AC470" t="n">
        <v>0.0</v>
      </c>
      <c r="AD470" t="n">
        <v>4.0</v>
      </c>
      <c r="AE470" t="n">
        <v>0.0</v>
      </c>
      <c r="AF470" t="n">
        <v>0.0</v>
      </c>
      <c r="AG470" t="n">
        <v>0.0</v>
      </c>
      <c r="AH470" t="n">
        <v>0.0</v>
      </c>
      <c r="AI470" t="n">
        <v>0.0</v>
      </c>
      <c r="AJ470" t="n">
        <v>0.0</v>
      </c>
      <c r="AK470" t="n">
        <v>5.75</v>
      </c>
      <c r="AL470" t="inlineStr">
        <is>
          <t/>
        </is>
      </c>
    </row>
    <row r="471">
      <c r="A471" t="inlineStr">
        <is>
          <t>这虾仁比我前男友还省心😅</t>
        </is>
      </c>
      <c r="B471" t="inlineStr">
        <is>
          <t>6a1a4f9d0000000006020e36</t>
        </is>
      </c>
      <c r="C471" s="470" t="n">
        <f>HYPERLINK("https://www.xiaohongshu.com/explore/6a1a4f9d0000000006020e36?xsec_token=TBPrREsXOIR0i8DR_MKrET0CrDuueqjKhsHXxSL2L8yg4=&amp;xsec_source=pc_trdark","https://www.xiaohongshu.com/explore/6a1a4f9d0000000006020e36?xsec_token=TBPrREsXOIR0i8DR_MKrET0CrDuueqjKhsHXxSL2L8yg4=&amp;xsec_source=pc_trdark")</f>
        <v>0.0</v>
      </c>
      <c r="D471" t="inlineStr">
        <is>
          <t>婉婉上班吃什么</t>
        </is>
      </c>
      <c r="E471" t="inlineStr">
        <is>
          <t>11434449706</t>
        </is>
      </c>
      <c r="F471" t="inlineStr">
        <is>
          <t>2026-05-30 10:46:53</t>
        </is>
      </c>
      <c r="G471" t="inlineStr">
        <is>
          <t>图文</t>
        </is>
      </c>
      <c r="H471" t="inlineStr">
        <is>
          <t>手剥虾仁 无冰衣无添加 低脂餐一人食 上班带饭 顺丰包邮 5盒装</t>
        </is>
      </c>
      <c r="I471" t="inlineStr">
        <is>
          <t>694baba01d450d00013662f0</t>
        </is>
      </c>
      <c r="J471" t="inlineStr">
        <is>
          <t/>
        </is>
      </c>
      <c r="K471" t="n">
        <v>0.0</v>
      </c>
      <c r="L471" t="n">
        <v>0.0</v>
      </c>
      <c r="M471" t="n">
        <v>0.0</v>
      </c>
      <c r="N471" t="n">
        <v>0.0</v>
      </c>
      <c r="O471" t="n">
        <v>0.0</v>
      </c>
      <c r="P471" t="n">
        <v>0.0</v>
      </c>
      <c r="Q471" t="inlineStr">
        <is>
          <t/>
        </is>
      </c>
      <c r="R471" t="inlineStr">
        <is>
          <t/>
        </is>
      </c>
      <c r="S471" t="n">
        <v>0.0</v>
      </c>
      <c r="T471" t="n">
        <v>0.0</v>
      </c>
      <c r="U471" t="n">
        <v>0.0</v>
      </c>
      <c r="V471" t="n">
        <v>0.0</v>
      </c>
      <c r="W471" t="inlineStr">
        <is>
          <t/>
        </is>
      </c>
      <c r="X471" t="n">
        <v>0.0</v>
      </c>
      <c r="Y471" t="n">
        <v>0.0</v>
      </c>
      <c r="Z471" t="n">
        <v>0.0</v>
      </c>
      <c r="AA471" t="n">
        <v>0.0</v>
      </c>
      <c r="AB471" t="n">
        <v>0.0</v>
      </c>
      <c r="AC471" t="n">
        <v>0.0</v>
      </c>
      <c r="AD471" t="n">
        <v>4.0</v>
      </c>
      <c r="AE471" t="n">
        <v>0.0</v>
      </c>
      <c r="AF471" t="n">
        <v>0.0</v>
      </c>
      <c r="AG471" t="n">
        <v>0.0</v>
      </c>
      <c r="AH471" t="n">
        <v>0.0</v>
      </c>
      <c r="AI471" t="n">
        <v>0.0</v>
      </c>
      <c r="AJ471" t="n">
        <v>0.0</v>
      </c>
      <c r="AK471" t="n">
        <v>5.0</v>
      </c>
      <c r="AL471" t="inlineStr">
        <is>
          <t/>
        </is>
      </c>
    </row>
    <row r="472">
      <c r="A472" t="inlineStr">
        <is>
          <t>第一次对爬坡后吃快碳起了敬意……</t>
        </is>
      </c>
      <c r="B472" t="inlineStr">
        <is>
          <t>6a195aab000000000803289a</t>
        </is>
      </c>
      <c r="C472" s="471" t="n">
        <f>HYPERLINK("https://www.xiaohongshu.com/explore/6a195aab000000000803289a?xsec_token=TBk6CyYxmYlnK3hnLTdNsVfHbAi7NA8unUfZPs4xZA8LE=&amp;xsec_source=pc_trdark","https://www.xiaohongshu.com/explore/6a195aab000000000803289a?xsec_token=TBk6CyYxmYlnK3hnLTdNsVfHbAi7NA8unUfZPs4xZA8LE=&amp;xsec_source=pc_trdark")</f>
        <v>0.0</v>
      </c>
      <c r="D472" t="inlineStr">
        <is>
          <t>菲菲上班吃什么</t>
        </is>
      </c>
      <c r="E472" t="inlineStr">
        <is>
          <t>49936530607</t>
        </is>
      </c>
      <c r="F472" t="inlineStr">
        <is>
          <t>2026-05-29 17:21:47</t>
        </is>
      </c>
      <c r="G472" t="inlineStr">
        <is>
          <t>图文</t>
        </is>
      </c>
      <c r="H472" t="inlineStr">
        <is>
          <t>手剥虾仁 无冰衣无添加 低脂餐一人食 上班带饭 顺丰包邮 5盒装</t>
        </is>
      </c>
      <c r="I472" t="inlineStr">
        <is>
          <t>694baba01d450d00013662f0</t>
        </is>
      </c>
      <c r="J472" t="inlineStr">
        <is>
          <t/>
        </is>
      </c>
      <c r="K472" t="n">
        <v>0.0</v>
      </c>
      <c r="L472" t="n">
        <v>0.0</v>
      </c>
      <c r="M472" t="n">
        <v>0.0</v>
      </c>
      <c r="N472" t="n">
        <v>0.0</v>
      </c>
      <c r="O472" t="n">
        <v>0.0</v>
      </c>
      <c r="P472" t="n">
        <v>0.0</v>
      </c>
      <c r="Q472" t="inlineStr">
        <is>
          <t/>
        </is>
      </c>
      <c r="R472" t="inlineStr">
        <is>
          <t/>
        </is>
      </c>
      <c r="S472" t="n">
        <v>0.0</v>
      </c>
      <c r="T472" t="n">
        <v>0.0</v>
      </c>
      <c r="U472" t="n">
        <v>0.0</v>
      </c>
      <c r="V472" t="n">
        <v>0.0</v>
      </c>
      <c r="W472" t="inlineStr">
        <is>
          <t/>
        </is>
      </c>
      <c r="X472" t="n">
        <v>0.0</v>
      </c>
      <c r="Y472" t="n">
        <v>0.0</v>
      </c>
      <c r="Z472" t="n">
        <v>0.0</v>
      </c>
      <c r="AA472" t="n">
        <v>0.0</v>
      </c>
      <c r="AB472" t="n">
        <v>0.0</v>
      </c>
      <c r="AC472" t="n">
        <v>0.0</v>
      </c>
      <c r="AD472" t="n">
        <v>4.0</v>
      </c>
      <c r="AE472" t="n">
        <v>0.0</v>
      </c>
      <c r="AF472" t="n">
        <v>0.0</v>
      </c>
      <c r="AG472" t="n">
        <v>0.0</v>
      </c>
      <c r="AH472" t="n">
        <v>0.0</v>
      </c>
      <c r="AI472" t="n">
        <v>0.0</v>
      </c>
      <c r="AJ472" t="n">
        <v>0.0</v>
      </c>
      <c r="AK472" t="n">
        <v>5.5</v>
      </c>
      <c r="AL472" t="inlineStr">
        <is>
          <t/>
        </is>
      </c>
    </row>
    <row r="473">
      <c r="A473" t="inlineStr">
        <is>
          <t>某姆的品质，pxx的价格😎</t>
        </is>
      </c>
      <c r="B473" t="inlineStr">
        <is>
          <t>6a16e2cc00000000080318de</t>
        </is>
      </c>
      <c r="C473" s="472" t="n">
        <f>HYPERLINK("https://www.xiaohongshu.com/explore/6a16e2cc00000000080318de?xsec_token=TBTlDyK2vMyPBioInbRWPaPiB1XNSZkhJnl38TdtDHWLw=&amp;xsec_source=pc_trdark","https://www.xiaohongshu.com/explore/6a16e2cc00000000080318de?xsec_token=TBTlDyK2vMyPBioInbRWPaPiB1XNSZkhJnl38TdtDHWLw=&amp;xsec_source=pc_trdark")</f>
        <v>0.0</v>
      </c>
      <c r="D473" t="inlineStr">
        <is>
          <t>鲜水湾</t>
        </is>
      </c>
      <c r="E473" t="inlineStr">
        <is>
          <t>49316638994</t>
        </is>
      </c>
      <c r="F473" t="inlineStr">
        <is>
          <t>2026-05-27 20:25:48</t>
        </is>
      </c>
      <c r="G473" t="inlineStr">
        <is>
          <t>图文</t>
        </is>
      </c>
      <c r="H473" t="inlineStr">
        <is>
          <t>智利三文鱼切块·整条三文鱼·深海鱼一人食健康饮食</t>
        </is>
      </c>
      <c r="I473" t="inlineStr">
        <is>
          <t>691ac562a524ee0001b51d7b</t>
        </is>
      </c>
      <c r="J473" t="inlineStr">
        <is>
          <t/>
        </is>
      </c>
      <c r="K473" t="n">
        <v>0.0</v>
      </c>
      <c r="L473" t="n">
        <v>0.0</v>
      </c>
      <c r="M473" t="n">
        <v>0.0</v>
      </c>
      <c r="N473" t="n">
        <v>0.0</v>
      </c>
      <c r="O473" t="n">
        <v>0.0</v>
      </c>
      <c r="P473" t="n">
        <v>0.0</v>
      </c>
      <c r="Q473" t="inlineStr">
        <is>
          <t/>
        </is>
      </c>
      <c r="R473" t="inlineStr">
        <is>
          <t/>
        </is>
      </c>
      <c r="S473" t="n">
        <v>0.0</v>
      </c>
      <c r="T473" t="n">
        <v>0.0</v>
      </c>
      <c r="U473" t="n">
        <v>0.0</v>
      </c>
      <c r="V473" t="n">
        <v>0.0</v>
      </c>
      <c r="W473" t="inlineStr">
        <is>
          <t/>
        </is>
      </c>
      <c r="X473" t="n">
        <v>0.0</v>
      </c>
      <c r="Y473" t="n">
        <v>0.0</v>
      </c>
      <c r="Z473" t="n">
        <v>0.0</v>
      </c>
      <c r="AA473" t="n">
        <v>0.0</v>
      </c>
      <c r="AB473" t="n">
        <v>0.0</v>
      </c>
      <c r="AC473" t="n">
        <v>0.0</v>
      </c>
      <c r="AD473" t="n">
        <v>4.0</v>
      </c>
      <c r="AE473" t="n">
        <v>0.0</v>
      </c>
      <c r="AF473" t="n">
        <v>0.0</v>
      </c>
      <c r="AG473" t="n">
        <v>0.0</v>
      </c>
      <c r="AH473" t="n">
        <v>0.0</v>
      </c>
      <c r="AI473" t="n">
        <v>0.0</v>
      </c>
      <c r="AJ473" t="n">
        <v>0.0</v>
      </c>
      <c r="AK473" t="n">
        <v>11.5</v>
      </c>
      <c r="AL473" t="inlineStr">
        <is>
          <t/>
        </is>
      </c>
    </row>
    <row r="474">
      <c r="A474" t="inlineStr">
        <is>
          <t>😭上班带虾仁，被说“炫富”！</t>
        </is>
      </c>
      <c r="B474" t="inlineStr">
        <is>
          <t>6a125e00000000003502fe91</t>
        </is>
      </c>
      <c r="C474" s="473" t="n">
        <f>HYPERLINK("https://www.xiaohongshu.com/explore/6a125e00000000003502fe91?xsec_token=TBjOQMNWrfI7QtCl9AycQu1z0un6jml0kygDDBQXKOsGA=&amp;xsec_source=pc_trdark","https://www.xiaohongshu.com/explore/6a125e00000000003502fe91?xsec_token=TBjOQMNWrfI7QtCl9AycQu1z0un6jml0kygDDBQXKOsGA=&amp;xsec_source=pc_trdark")</f>
        <v>0.0</v>
      </c>
      <c r="D474" t="inlineStr">
        <is>
          <t>鲜水湾甄选</t>
        </is>
      </c>
      <c r="E474" t="inlineStr">
        <is>
          <t>27401929161</t>
        </is>
      </c>
      <c r="F474" t="inlineStr">
        <is>
          <t>2026-05-24 11:38:00</t>
        </is>
      </c>
      <c r="G474" t="inlineStr">
        <is>
          <t>图文</t>
        </is>
      </c>
      <c r="H474" t="inlineStr">
        <is>
          <t>手剥虾仁 无冰衣无添加 低脂餐一人食 上班带饭 顺丰包邮 5盒装</t>
        </is>
      </c>
      <c r="I474" t="inlineStr">
        <is>
          <t>694baba01d450d00013662f0</t>
        </is>
      </c>
      <c r="J474" t="inlineStr">
        <is>
          <t/>
        </is>
      </c>
      <c r="K474" t="n">
        <v>0.0</v>
      </c>
      <c r="L474" t="n">
        <v>0.0</v>
      </c>
      <c r="M474" t="n">
        <v>0.0</v>
      </c>
      <c r="N474" t="n">
        <v>0.0</v>
      </c>
      <c r="O474" t="n">
        <v>0.0</v>
      </c>
      <c r="P474" t="n">
        <v>0.0</v>
      </c>
      <c r="Q474" t="inlineStr">
        <is>
          <t/>
        </is>
      </c>
      <c r="R474" t="inlineStr">
        <is>
          <t/>
        </is>
      </c>
      <c r="S474" t="n">
        <v>0.0</v>
      </c>
      <c r="T474" t="n">
        <v>0.0</v>
      </c>
      <c r="U474" t="n">
        <v>0.0</v>
      </c>
      <c r="V474" t="n">
        <v>0.0</v>
      </c>
      <c r="W474" t="inlineStr">
        <is>
          <t/>
        </is>
      </c>
      <c r="X474" t="n">
        <v>0.0</v>
      </c>
      <c r="Y474" t="n">
        <v>0.0</v>
      </c>
      <c r="Z474" t="n">
        <v>0.0</v>
      </c>
      <c r="AA474" t="n">
        <v>0.0</v>
      </c>
      <c r="AB474" t="n">
        <v>0.0</v>
      </c>
      <c r="AC474" t="n">
        <v>0.0</v>
      </c>
      <c r="AD474" t="n">
        <v>4.0</v>
      </c>
      <c r="AE474" t="n">
        <v>0.0</v>
      </c>
      <c r="AF474" t="n">
        <v>0.0</v>
      </c>
      <c r="AG474" t="n">
        <v>0.0</v>
      </c>
      <c r="AH474" t="n">
        <v>1.0</v>
      </c>
      <c r="AI474" t="n">
        <v>0.0</v>
      </c>
      <c r="AJ474" t="n">
        <v>0.0</v>
      </c>
      <c r="AK474" t="n">
        <v>11.75</v>
      </c>
      <c r="AL474" t="inlineStr">
        <is>
          <t/>
        </is>
      </c>
    </row>
    <row r="475">
      <c r="A475" t="inlineStr">
        <is>
          <t>J人闺蜜做的一人食减脂餐</t>
        </is>
      </c>
      <c r="B475" t="inlineStr">
        <is>
          <t>6a0bc64100000000080016b0</t>
        </is>
      </c>
      <c r="C475" s="474" t="n">
        <f>HYPERLINK("https://www.xiaohongshu.com/explore/6a0bc64100000000080016b0?xsec_token=TBao-nYLz1dhLmbZCubFHC7v8Quj6Ofb45-YEQzG6Es0g=&amp;xsec_source=pc_trdark","https://www.xiaohongshu.com/explore/6a0bc64100000000080016b0?xsec_token=TBao-nYLz1dhLmbZCubFHC7v8Quj6Ofb45-YEQzG6Es0g=&amp;xsec_source=pc_trdark")</f>
        <v>0.0</v>
      </c>
      <c r="D475" t="inlineStr">
        <is>
          <t>鲜水湾</t>
        </is>
      </c>
      <c r="E475" t="inlineStr">
        <is>
          <t>49316638994</t>
        </is>
      </c>
      <c r="F475" t="inlineStr">
        <is>
          <t>2026-05-19 10:09:06</t>
        </is>
      </c>
      <c r="G475" t="inlineStr">
        <is>
          <t>图文</t>
        </is>
      </c>
      <c r="H475" t="inlineStr">
        <is>
          <t>智利尾端中段整条三文鱼 8斤深海鱼低脂餐囤货一周备菜顺丰包邮</t>
        </is>
      </c>
      <c r="I475" t="inlineStr">
        <is>
          <t>69fab80d64eb410001ece0c0</t>
        </is>
      </c>
      <c r="J475" t="inlineStr">
        <is>
          <t/>
        </is>
      </c>
      <c r="K475" t="n">
        <v>0.0</v>
      </c>
      <c r="L475" t="n">
        <v>0.0</v>
      </c>
      <c r="M475" t="n">
        <v>0.0</v>
      </c>
      <c r="N475" t="n">
        <v>0.0</v>
      </c>
      <c r="O475" t="n">
        <v>0.0</v>
      </c>
      <c r="P475" t="n">
        <v>0.0</v>
      </c>
      <c r="Q475" t="inlineStr">
        <is>
          <t/>
        </is>
      </c>
      <c r="R475" t="inlineStr">
        <is>
          <t/>
        </is>
      </c>
      <c r="S475" t="n">
        <v>0.0</v>
      </c>
      <c r="T475" t="n">
        <v>0.0</v>
      </c>
      <c r="U475" t="n">
        <v>0.0</v>
      </c>
      <c r="V475" t="n">
        <v>0.0</v>
      </c>
      <c r="W475" t="inlineStr">
        <is>
          <t/>
        </is>
      </c>
      <c r="X475" t="n">
        <v>0.0</v>
      </c>
      <c r="Y475" t="n">
        <v>0.0</v>
      </c>
      <c r="Z475" t="n">
        <v>0.0</v>
      </c>
      <c r="AA475" t="n">
        <v>0.0</v>
      </c>
      <c r="AB475" t="n">
        <v>0.0</v>
      </c>
      <c r="AC475" t="n">
        <v>0.0</v>
      </c>
      <c r="AD475" t="n">
        <v>4.0</v>
      </c>
      <c r="AE475" t="n">
        <v>0.0</v>
      </c>
      <c r="AF475" t="n">
        <v>0.0</v>
      </c>
      <c r="AG475" t="n">
        <v>0.0</v>
      </c>
      <c r="AH475" t="n">
        <v>0.0</v>
      </c>
      <c r="AI475" t="n">
        <v>0.0</v>
      </c>
      <c r="AJ475" t="n">
        <v>0.0</v>
      </c>
      <c r="AK475" t="n">
        <v>9.0</v>
      </c>
      <c r="AL475" t="inlineStr">
        <is>
          <t/>
        </is>
      </c>
    </row>
    <row r="476">
      <c r="A476" t="inlineStr">
        <is>
          <t>五一减脂真不多，69够我吃一周了…</t>
        </is>
      </c>
      <c r="B476" t="inlineStr">
        <is>
          <t>69ef26fe000000003600147f</t>
        </is>
      </c>
      <c r="C476" s="475" t="n">
        <f>HYPERLINK("https://www.xiaohongshu.com/explore/69ef26fe000000003600147f?xsec_token=TB8YlxxIf2o_Xr_LAif13-vPMAft41_ZadSYlI6n-w0qg=&amp;xsec_source=pc_trdark","https://www.xiaohongshu.com/explore/69ef26fe000000003600147f?xsec_token=TB8YlxxIf2o_Xr_LAif13-vPMAft41_ZadSYlI6n-w0qg=&amp;xsec_source=pc_trdark")</f>
        <v>0.0</v>
      </c>
      <c r="D476" t="inlineStr">
        <is>
          <t>鲜水湾甄选</t>
        </is>
      </c>
      <c r="E476" t="inlineStr">
        <is>
          <t>27401929161</t>
        </is>
      </c>
      <c r="F476" t="inlineStr">
        <is>
          <t>2026-04-27 17:06:06</t>
        </is>
      </c>
      <c r="G476" t="inlineStr">
        <is>
          <t>图文</t>
        </is>
      </c>
      <c r="H476" t="inlineStr">
        <is>
          <t>手剥虾仁 无冰衣无添加 低脂餐一人食 上班带饭 顺丰包邮 5盒装</t>
        </is>
      </c>
      <c r="I476" t="inlineStr">
        <is>
          <t>694baba01d450d00013662f0</t>
        </is>
      </c>
      <c r="J476" t="inlineStr">
        <is>
          <t/>
        </is>
      </c>
      <c r="K476" t="n">
        <v>0.0</v>
      </c>
      <c r="L476" t="n">
        <v>0.0</v>
      </c>
      <c r="M476" t="n">
        <v>1.0</v>
      </c>
      <c r="N476" t="n">
        <v>0.25</v>
      </c>
      <c r="O476" t="n">
        <v>1.0</v>
      </c>
      <c r="P476" t="n">
        <v>0.0</v>
      </c>
      <c r="Q476" t="n">
        <v>0.0</v>
      </c>
      <c r="R476" t="n">
        <v>0.0</v>
      </c>
      <c r="S476" t="n">
        <v>0.0</v>
      </c>
      <c r="T476" t="n">
        <v>0.0</v>
      </c>
      <c r="U476" t="n">
        <v>0.0</v>
      </c>
      <c r="V476" t="n">
        <v>0.0</v>
      </c>
      <c r="W476" t="inlineStr">
        <is>
          <t/>
        </is>
      </c>
      <c r="X476" t="n">
        <v>0.0</v>
      </c>
      <c r="Y476" t="n">
        <v>0.0</v>
      </c>
      <c r="Z476" t="n">
        <v>0.0</v>
      </c>
      <c r="AA476" t="n">
        <v>0.0</v>
      </c>
      <c r="AB476" t="n">
        <v>0.0</v>
      </c>
      <c r="AC476" t="n">
        <v>0.0</v>
      </c>
      <c r="AD476" t="n">
        <v>4.0</v>
      </c>
      <c r="AE476" t="n">
        <v>0.0</v>
      </c>
      <c r="AF476" t="n">
        <v>0.0</v>
      </c>
      <c r="AG476" t="n">
        <v>0.0</v>
      </c>
      <c r="AH476" t="n">
        <v>0.0</v>
      </c>
      <c r="AI476" t="n">
        <v>0.0</v>
      </c>
      <c r="AJ476" t="n">
        <v>0.0</v>
      </c>
      <c r="AK476" t="n">
        <v>24.5</v>
      </c>
      <c r="AL476" t="inlineStr">
        <is>
          <t/>
        </is>
      </c>
    </row>
    <row r="477">
      <c r="A477" t="inlineStr">
        <is>
          <t>打工人减脂真不贵，69够吃一周了🍤</t>
        </is>
      </c>
      <c r="B477" t="inlineStr">
        <is>
          <t>69ef01a70000000023007fe6</t>
        </is>
      </c>
      <c r="C477" s="476" t="n">
        <f>HYPERLINK("https://www.xiaohongshu.com/explore/69ef01a70000000023007fe6?xsec_token=TB8YlxxIf2o_Xr_LAif13-vLQLGx0aRdOeb-0buzoDtk0=&amp;xsec_source=pc_trdark","https://www.xiaohongshu.com/explore/69ef01a70000000023007fe6?xsec_token=TB8YlxxIf2o_Xr_LAif13-vLQLGx0aRdOeb-0buzoDtk0=&amp;xsec_source=pc_trdark")</f>
        <v>0.0</v>
      </c>
      <c r="D477" t="inlineStr">
        <is>
          <t>菲菲上班吃什么</t>
        </is>
      </c>
      <c r="E477" t="inlineStr">
        <is>
          <t>49936530607</t>
        </is>
      </c>
      <c r="F477" t="inlineStr">
        <is>
          <t>2026-04-27 14:26:47</t>
        </is>
      </c>
      <c r="G477" t="inlineStr">
        <is>
          <t>图文</t>
        </is>
      </c>
      <c r="H477" t="inlineStr">
        <is>
          <t>手剥虾仁 无冰衣无添加 低脂餐一人食 上班带饭 顺丰包邮 5盒装</t>
        </is>
      </c>
      <c r="I477" t="inlineStr">
        <is>
          <t>694baba01d450d00013662f0</t>
        </is>
      </c>
      <c r="J477" t="inlineStr">
        <is>
          <t/>
        </is>
      </c>
      <c r="K477" t="n">
        <v>0.0</v>
      </c>
      <c r="L477" t="n">
        <v>0.0</v>
      </c>
      <c r="M477" t="n">
        <v>0.0</v>
      </c>
      <c r="N477" t="n">
        <v>0.0</v>
      </c>
      <c r="O477" t="n">
        <v>0.0</v>
      </c>
      <c r="P477" t="n">
        <v>0.0</v>
      </c>
      <c r="Q477" t="inlineStr">
        <is>
          <t/>
        </is>
      </c>
      <c r="R477" t="inlineStr">
        <is>
          <t/>
        </is>
      </c>
      <c r="S477" t="n">
        <v>0.0</v>
      </c>
      <c r="T477" t="n">
        <v>0.0</v>
      </c>
      <c r="U477" t="n">
        <v>0.0</v>
      </c>
      <c r="V477" t="n">
        <v>0.0</v>
      </c>
      <c r="W477" t="inlineStr">
        <is>
          <t/>
        </is>
      </c>
      <c r="X477" t="n">
        <v>0.0</v>
      </c>
      <c r="Y477" t="n">
        <v>0.0</v>
      </c>
      <c r="Z477" t="n">
        <v>0.0</v>
      </c>
      <c r="AA477" t="n">
        <v>0.0</v>
      </c>
      <c r="AB477" t="n">
        <v>0.0</v>
      </c>
      <c r="AC477" t="n">
        <v>0.0</v>
      </c>
      <c r="AD477" t="n">
        <v>4.0</v>
      </c>
      <c r="AE477" t="n">
        <v>0.0</v>
      </c>
      <c r="AF477" t="n">
        <v>0.0</v>
      </c>
      <c r="AG477" t="n">
        <v>0.0</v>
      </c>
      <c r="AH477" t="n">
        <v>0.0</v>
      </c>
      <c r="AI477" t="n">
        <v>0.0</v>
      </c>
      <c r="AJ477" t="n">
        <v>0.0</v>
      </c>
      <c r="AK477" t="n">
        <v>13.25</v>
      </c>
      <c r="AL477" t="inlineStr">
        <is>
          <t/>
        </is>
      </c>
    </row>
    <row r="478">
      <c r="A478" t="inlineStr">
        <is>
          <t>别问我宝宝能不能吃虾仁？你买就行了！</t>
        </is>
      </c>
      <c r="B478" t="inlineStr">
        <is>
          <t>69e9a841000000001a02c77e</t>
        </is>
      </c>
      <c r="C478" s="477" t="n">
        <f>HYPERLINK("https://www.xiaohongshu.com/explore/69e9a841000000001a02c77e?xsec_token=TBNkLc7pOHvt_5tNJTpGNllK1gulsT1kYag3MVsL0KQ-0=&amp;xsec_source=pc_trdark","https://www.xiaohongshu.com/explore/69e9a841000000001a02c77e?xsec_token=TBNkLc7pOHvt_5tNJTpGNllK1gulsT1kYag3MVsL0KQ-0=&amp;xsec_source=pc_trdark")</f>
        <v>0.0</v>
      </c>
      <c r="D478" t="inlineStr">
        <is>
          <t>菲菲上班吃什么</t>
        </is>
      </c>
      <c r="E478" t="inlineStr">
        <is>
          <t>49936530607</t>
        </is>
      </c>
      <c r="F478" t="inlineStr">
        <is>
          <t>2026-04-24 22:30:00</t>
        </is>
      </c>
      <c r="G478" t="inlineStr">
        <is>
          <t>图文</t>
        </is>
      </c>
      <c r="H478" t="inlineStr">
        <is>
          <t>手剥虾仁 无冰衣无添加 低脂餐一人食 上班带饭 顺丰包邮 5盒装</t>
        </is>
      </c>
      <c r="I478" t="inlineStr">
        <is>
          <t>694baba01d450d00013662f0</t>
        </is>
      </c>
      <c r="J478" t="inlineStr">
        <is>
          <t/>
        </is>
      </c>
      <c r="K478" t="n">
        <v>0.0</v>
      </c>
      <c r="L478" t="n">
        <v>0.0</v>
      </c>
      <c r="M478" t="n">
        <v>0.0</v>
      </c>
      <c r="N478" t="n">
        <v>0.0</v>
      </c>
      <c r="O478" t="n">
        <v>0.0</v>
      </c>
      <c r="P478" t="n">
        <v>0.0</v>
      </c>
      <c r="Q478" t="inlineStr">
        <is>
          <t/>
        </is>
      </c>
      <c r="R478" t="inlineStr">
        <is>
          <t/>
        </is>
      </c>
      <c r="S478" t="n">
        <v>0.0</v>
      </c>
      <c r="T478" t="n">
        <v>0.0</v>
      </c>
      <c r="U478" t="n">
        <v>0.0</v>
      </c>
      <c r="V478" t="n">
        <v>0.0</v>
      </c>
      <c r="W478" t="inlineStr">
        <is>
          <t/>
        </is>
      </c>
      <c r="X478" t="n">
        <v>0.0</v>
      </c>
      <c r="Y478" t="n">
        <v>0.0</v>
      </c>
      <c r="Z478" t="n">
        <v>0.0</v>
      </c>
      <c r="AA478" t="n">
        <v>0.0</v>
      </c>
      <c r="AB478" t="n">
        <v>0.0</v>
      </c>
      <c r="AC478" t="n">
        <v>0.0</v>
      </c>
      <c r="AD478" t="n">
        <v>4.0</v>
      </c>
      <c r="AE478" t="n">
        <v>0.0</v>
      </c>
      <c r="AF478" t="n">
        <v>0.0</v>
      </c>
      <c r="AG478" t="n">
        <v>0.0</v>
      </c>
      <c r="AH478" t="n">
        <v>0.0</v>
      </c>
      <c r="AI478" t="n">
        <v>0.0</v>
      </c>
      <c r="AJ478" t="n">
        <v>0.0</v>
      </c>
      <c r="AK478" t="n">
        <v>2.75</v>
      </c>
      <c r="AL478" t="inlineStr">
        <is>
          <t/>
        </is>
      </c>
    </row>
    <row r="479">
      <c r="A479" t="inlineStr">
        <is>
          <t>别不信，300块能买整条三文鱼！</t>
        </is>
      </c>
      <c r="B479" t="inlineStr">
        <is>
          <t>69e74b88000000001f0064f0</t>
        </is>
      </c>
      <c r="C479" s="478" t="n">
        <f>HYPERLINK("https://www.xiaohongshu.com/explore/69e74b88000000001f0064f0?xsec_token=TBxJD1S06w8M0Ib6UdHEwWiDKuMGmE1hLeUETteYWKmSM=&amp;xsec_source=pc_trdark","https://www.xiaohongshu.com/explore/69e74b88000000001f0064f0?xsec_token=TBxJD1S06w8M0Ib6UdHEwWiDKuMGmE1hLeUETteYWKmSM=&amp;xsec_source=pc_trdark")</f>
        <v>0.0</v>
      </c>
      <c r="D479" t="inlineStr">
        <is>
          <t>鲜水湾</t>
        </is>
      </c>
      <c r="E479" t="inlineStr">
        <is>
          <t>49316638994</t>
        </is>
      </c>
      <c r="F479" t="inlineStr">
        <is>
          <t>2026-04-21 18:03:52</t>
        </is>
      </c>
      <c r="G479" t="inlineStr">
        <is>
          <t>图文</t>
        </is>
      </c>
      <c r="H479" t="inlineStr">
        <is>
          <t>智利三文鱼切块·整条三文鱼·深海鱼一人食健康饮食</t>
        </is>
      </c>
      <c r="I479" t="inlineStr">
        <is>
          <t>691ac562a524ee0001b51d7b</t>
        </is>
      </c>
      <c r="J479" t="inlineStr">
        <is>
          <t/>
        </is>
      </c>
      <c r="K479" t="n">
        <v>0.0</v>
      </c>
      <c r="L479" t="n">
        <v>0.0</v>
      </c>
      <c r="M479" t="n">
        <v>0.0</v>
      </c>
      <c r="N479" t="n">
        <v>0.0</v>
      </c>
      <c r="O479" t="n">
        <v>0.0</v>
      </c>
      <c r="P479" t="n">
        <v>0.0</v>
      </c>
      <c r="Q479" t="inlineStr">
        <is>
          <t/>
        </is>
      </c>
      <c r="R479" t="inlineStr">
        <is>
          <t/>
        </is>
      </c>
      <c r="S479" t="n">
        <v>0.0</v>
      </c>
      <c r="T479" t="n">
        <v>0.0</v>
      </c>
      <c r="U479" t="n">
        <v>0.0</v>
      </c>
      <c r="V479" t="n">
        <v>0.0</v>
      </c>
      <c r="W479" t="inlineStr">
        <is>
          <t/>
        </is>
      </c>
      <c r="X479" t="n">
        <v>0.0</v>
      </c>
      <c r="Y479" t="n">
        <v>0.0</v>
      </c>
      <c r="Z479" t="n">
        <v>0.0</v>
      </c>
      <c r="AA479" t="n">
        <v>0.0</v>
      </c>
      <c r="AB479" t="n">
        <v>0.0</v>
      </c>
      <c r="AC479" t="n">
        <v>0.0</v>
      </c>
      <c r="AD479" t="n">
        <v>4.0</v>
      </c>
      <c r="AE479" t="n">
        <v>0.0</v>
      </c>
      <c r="AF479" t="n">
        <v>0.0</v>
      </c>
      <c r="AG479" t="n">
        <v>0.0</v>
      </c>
      <c r="AH479" t="n">
        <v>0.0</v>
      </c>
      <c r="AI479" t="n">
        <v>0.0</v>
      </c>
      <c r="AJ479" t="n">
        <v>0.0</v>
      </c>
      <c r="AK479" t="n">
        <v>9.5</v>
      </c>
      <c r="AL479" t="inlineStr">
        <is>
          <t/>
        </is>
      </c>
    </row>
    <row r="480">
      <c r="A480" t="inlineStr">
        <is>
          <t>Xhs诚不欺我，三文鱼真的很大</t>
        </is>
      </c>
      <c r="B480" t="inlineStr">
        <is>
          <t>69e73fad0000000022026a8e</t>
        </is>
      </c>
      <c r="C480" s="479" t="n">
        <f>HYPERLINK("https://www.xiaohongshu.com/explore/69e73fad0000000022026a8e?xsec_token=TBxJD1S06w8M0Ib6UdHEwWiF6BGBJjveiqIbYuWZCM9ag=&amp;xsec_source=pc_trdark","https://www.xiaohongshu.com/explore/69e73fad0000000022026a8e?xsec_token=TBxJD1S06w8M0Ib6UdHEwWiF6BGBJjveiqIbYuWZCM9ag=&amp;xsec_source=pc_trdark")</f>
        <v>0.0</v>
      </c>
      <c r="D480" t="inlineStr">
        <is>
          <t>婉婉上班吃什么</t>
        </is>
      </c>
      <c r="E480" t="inlineStr">
        <is>
          <t>11434449706</t>
        </is>
      </c>
      <c r="F480" t="inlineStr">
        <is>
          <t>2026-04-21 17:13:17</t>
        </is>
      </c>
      <c r="G480" t="inlineStr">
        <is>
          <t>图文</t>
        </is>
      </c>
      <c r="H480" t="inlineStr">
        <is>
          <t>智利尾端中段整条三文鱼 8斤深海鱼低脂餐囤货一周备菜顺丰包邮</t>
        </is>
      </c>
      <c r="I480" t="inlineStr">
        <is>
          <t>69fab80d64eb410001ece0c0</t>
        </is>
      </c>
      <c r="J480" t="inlineStr">
        <is>
          <t/>
        </is>
      </c>
      <c r="K480" t="n">
        <v>0.0</v>
      </c>
      <c r="L480" t="n">
        <v>0.0</v>
      </c>
      <c r="M480" t="n">
        <v>0.0</v>
      </c>
      <c r="N480" t="n">
        <v>0.0</v>
      </c>
      <c r="O480" t="n">
        <v>0.0</v>
      </c>
      <c r="P480" t="n">
        <v>0.0</v>
      </c>
      <c r="Q480" t="inlineStr">
        <is>
          <t/>
        </is>
      </c>
      <c r="R480" t="inlineStr">
        <is>
          <t/>
        </is>
      </c>
      <c r="S480" t="n">
        <v>0.0</v>
      </c>
      <c r="T480" t="n">
        <v>0.0</v>
      </c>
      <c r="U480" t="n">
        <v>0.0</v>
      </c>
      <c r="V480" t="n">
        <v>0.0</v>
      </c>
      <c r="W480" t="inlineStr">
        <is>
          <t/>
        </is>
      </c>
      <c r="X480" t="n">
        <v>0.0</v>
      </c>
      <c r="Y480" t="n">
        <v>0.0</v>
      </c>
      <c r="Z480" t="n">
        <v>0.0</v>
      </c>
      <c r="AA480" t="n">
        <v>0.0</v>
      </c>
      <c r="AB480" t="n">
        <v>0.0</v>
      </c>
      <c r="AC480" t="n">
        <v>0.0</v>
      </c>
      <c r="AD480" t="n">
        <v>4.0</v>
      </c>
      <c r="AE480" t="n">
        <v>0.0</v>
      </c>
      <c r="AF480" t="n">
        <v>0.0</v>
      </c>
      <c r="AG480" t="n">
        <v>0.0</v>
      </c>
      <c r="AH480" t="n">
        <v>0.0</v>
      </c>
      <c r="AI480" t="n">
        <v>0.0</v>
      </c>
      <c r="AJ480" t="n">
        <v>0.0</v>
      </c>
      <c r="AK480" t="n">
        <v>2.5</v>
      </c>
      <c r="AL480" t="inlineStr">
        <is>
          <t/>
        </is>
      </c>
    </row>
    <row r="481">
      <c r="A481" t="inlineStr">
        <is>
          <t>因为穷，瘦了 15 斤。。。</t>
        </is>
      </c>
      <c r="B481" t="inlineStr">
        <is>
          <t>69db9eda000000001a034a09</t>
        </is>
      </c>
      <c r="C481" s="480" t="n">
        <f>HYPERLINK("https://www.xiaohongshu.com/explore/69db9eda000000001a034a09?xsec_token=TBv7n0Oy0CPbFvgz473v78kTZa82zzBxMklPZNgmAXzXQ=&amp;xsec_source=pc_trdark","https://www.xiaohongshu.com/explore/69db9eda000000001a034a09?xsec_token=TBv7n0Oy0CPbFvgz473v78kTZa82zzBxMklPZNgmAXzXQ=&amp;xsec_source=pc_trdark")</f>
        <v>0.0</v>
      </c>
      <c r="D481" t="inlineStr">
        <is>
          <t>菲菲上班吃什么</t>
        </is>
      </c>
      <c r="E481" t="inlineStr">
        <is>
          <t>49936530607</t>
        </is>
      </c>
      <c r="F481" t="inlineStr">
        <is>
          <t>2026-04-12 21:32:10</t>
        </is>
      </c>
      <c r="G481" t="inlineStr">
        <is>
          <t>图文</t>
        </is>
      </c>
      <c r="H481" t="inlineStr">
        <is>
          <t>手剥虾仁 无冰衣无添加 低脂餐一人食 上班带饭 顺丰包邮 5盒装</t>
        </is>
      </c>
      <c r="I481" t="inlineStr">
        <is>
          <t>694baba01d450d00013662f0</t>
        </is>
      </c>
      <c r="J481" t="inlineStr">
        <is>
          <t/>
        </is>
      </c>
      <c r="K481" t="n">
        <v>0.0</v>
      </c>
      <c r="L481" t="n">
        <v>0.0</v>
      </c>
      <c r="M481" t="n">
        <v>0.0</v>
      </c>
      <c r="N481" t="n">
        <v>0.0</v>
      </c>
      <c r="O481" t="n">
        <v>0.0</v>
      </c>
      <c r="P481" t="n">
        <v>0.0</v>
      </c>
      <c r="Q481" t="inlineStr">
        <is>
          <t/>
        </is>
      </c>
      <c r="R481" t="inlineStr">
        <is>
          <t/>
        </is>
      </c>
      <c r="S481" t="n">
        <v>0.0</v>
      </c>
      <c r="T481" t="n">
        <v>0.0</v>
      </c>
      <c r="U481" t="n">
        <v>0.0</v>
      </c>
      <c r="V481" t="n">
        <v>0.0</v>
      </c>
      <c r="W481" t="inlineStr">
        <is>
          <t/>
        </is>
      </c>
      <c r="X481" t="n">
        <v>0.0</v>
      </c>
      <c r="Y481" t="n">
        <v>0.0</v>
      </c>
      <c r="Z481" t="n">
        <v>0.0</v>
      </c>
      <c r="AA481" t="n">
        <v>0.0</v>
      </c>
      <c r="AB481" t="n">
        <v>0.0</v>
      </c>
      <c r="AC481" t="n">
        <v>0.0</v>
      </c>
      <c r="AD481" t="n">
        <v>4.0</v>
      </c>
      <c r="AE481" t="n">
        <v>0.0</v>
      </c>
      <c r="AF481" t="n">
        <v>0.0</v>
      </c>
      <c r="AG481" t="n">
        <v>0.0</v>
      </c>
      <c r="AH481" t="n">
        <v>0.0</v>
      </c>
      <c r="AI481" t="n">
        <v>0.0</v>
      </c>
      <c r="AJ481" t="n">
        <v>0.0</v>
      </c>
      <c r="AK481" t="n">
        <v>8.75</v>
      </c>
      <c r="AL481" t="inlineStr">
        <is>
          <t/>
        </is>
      </c>
    </row>
    <row r="482">
      <c r="A482" t="inlineStr">
        <is>
          <t>公司没微波炉的打工人，这顿饭救了我</t>
        </is>
      </c>
      <c r="B482" t="inlineStr">
        <is>
          <t>69d4f994000000001f0040f2</t>
        </is>
      </c>
      <c r="C482" s="481" t="n">
        <f>HYPERLINK("https://www.xiaohongshu.com/explore/69d4f994000000001f0040f2?xsec_token=TBCfzrc-PQxdd2ruCVqHUjYmjl0sXqb82dnOCJ_XQJLho=&amp;xsec_source=pc_trdark","https://www.xiaohongshu.com/explore/69d4f994000000001f0040f2?xsec_token=TBCfzrc-PQxdd2ruCVqHUjYmjl0sXqb82dnOCJ_XQJLho=&amp;xsec_source=pc_trdark")</f>
        <v>0.0</v>
      </c>
      <c r="D482" t="inlineStr">
        <is>
          <t>菲菲上班吃什么</t>
        </is>
      </c>
      <c r="E482" t="inlineStr">
        <is>
          <t>49936530607</t>
        </is>
      </c>
      <c r="F482" t="inlineStr">
        <is>
          <t>2026-04-07 20:33:24</t>
        </is>
      </c>
      <c r="G482" t="inlineStr">
        <is>
          <t>图文</t>
        </is>
      </c>
      <c r="H482" t="inlineStr">
        <is>
          <t>手剥虾仁 无冰衣无添加 低脂餐一人食 上班带饭 顺丰包邮 5盒装</t>
        </is>
      </c>
      <c r="I482" t="inlineStr">
        <is>
          <t>694baba01d450d00013662f0</t>
        </is>
      </c>
      <c r="J482" t="inlineStr">
        <is>
          <t/>
        </is>
      </c>
      <c r="K482" t="n">
        <v>0.0</v>
      </c>
      <c r="L482" t="n">
        <v>0.0</v>
      </c>
      <c r="M482" t="n">
        <v>0.0</v>
      </c>
      <c r="N482" t="n">
        <v>0.0</v>
      </c>
      <c r="O482" t="n">
        <v>0.0</v>
      </c>
      <c r="P482" t="n">
        <v>0.0</v>
      </c>
      <c r="Q482" t="inlineStr">
        <is>
          <t/>
        </is>
      </c>
      <c r="R482" t="inlineStr">
        <is>
          <t/>
        </is>
      </c>
      <c r="S482" t="n">
        <v>0.0</v>
      </c>
      <c r="T482" t="n">
        <v>0.0</v>
      </c>
      <c r="U482" t="n">
        <v>0.0</v>
      </c>
      <c r="V482" t="n">
        <v>0.0</v>
      </c>
      <c r="W482" t="inlineStr">
        <is>
          <t/>
        </is>
      </c>
      <c r="X482" t="n">
        <v>0.0</v>
      </c>
      <c r="Y482" t="n">
        <v>0.0</v>
      </c>
      <c r="Z482" t="n">
        <v>0.0</v>
      </c>
      <c r="AA482" t="n">
        <v>0.0</v>
      </c>
      <c r="AB482" t="n">
        <v>0.0</v>
      </c>
      <c r="AC482" t="n">
        <v>0.0</v>
      </c>
      <c r="AD482" t="n">
        <v>4.0</v>
      </c>
      <c r="AE482" t="n">
        <v>0.0</v>
      </c>
      <c r="AF482" t="n">
        <v>0.0</v>
      </c>
      <c r="AG482" t="n">
        <v>0.0</v>
      </c>
      <c r="AH482" t="n">
        <v>0.0</v>
      </c>
      <c r="AI482" t="n">
        <v>0.0</v>
      </c>
      <c r="AJ482" t="n">
        <v>0.0</v>
      </c>
      <c r="AK482" t="n">
        <v>6.0</v>
      </c>
      <c r="AL482" t="inlineStr">
        <is>
          <t/>
        </is>
      </c>
    </row>
    <row r="483">
      <c r="A483" t="inlineStr">
        <is>
          <t>上班搭子说我每天都吃虾仁很离谱</t>
        </is>
      </c>
      <c r="B483" t="inlineStr">
        <is>
          <t>69d27b280000000022029e74</t>
        </is>
      </c>
      <c r="C483" s="482" t="n">
        <f>HYPERLINK("https://www.xiaohongshu.com/explore/69d27b280000000022029e74?xsec_token=TBNrOxL8mRPP3W5KJU-iYJry0MjS693ZM0rgCas-0jzOA=&amp;xsec_source=pc_trdark","https://www.xiaohongshu.com/explore/69d27b280000000022029e74?xsec_token=TBNrOxL8mRPP3W5KJU-iYJry0MjS693ZM0rgCas-0jzOA=&amp;xsec_source=pc_trdark")</f>
        <v>0.0</v>
      </c>
      <c r="D483" t="inlineStr">
        <is>
          <t>婉婉上班吃什么</t>
        </is>
      </c>
      <c r="E483" t="inlineStr">
        <is>
          <t>11434449706</t>
        </is>
      </c>
      <c r="F483" t="inlineStr">
        <is>
          <t>2026-04-05 23:09:28</t>
        </is>
      </c>
      <c r="G483" t="inlineStr">
        <is>
          <t>图文</t>
        </is>
      </c>
      <c r="H483" t="inlineStr">
        <is>
          <t>手剥虾仁 无冰衣无添加 低脂餐一人食 上班带饭 顺丰包邮 5盒装</t>
        </is>
      </c>
      <c r="I483" t="inlineStr">
        <is>
          <t>694baba01d450d00013662f0</t>
        </is>
      </c>
      <c r="J483" t="inlineStr">
        <is>
          <t/>
        </is>
      </c>
      <c r="K483" t="n">
        <v>0.0</v>
      </c>
      <c r="L483" t="n">
        <v>0.0</v>
      </c>
      <c r="M483" t="n">
        <v>0.0</v>
      </c>
      <c r="N483" t="n">
        <v>0.0</v>
      </c>
      <c r="O483" t="n">
        <v>0.0</v>
      </c>
      <c r="P483" t="n">
        <v>0.0</v>
      </c>
      <c r="Q483" t="inlineStr">
        <is>
          <t/>
        </is>
      </c>
      <c r="R483" t="inlineStr">
        <is>
          <t/>
        </is>
      </c>
      <c r="S483" t="n">
        <v>0.0</v>
      </c>
      <c r="T483" t="n">
        <v>0.0</v>
      </c>
      <c r="U483" t="n">
        <v>0.0</v>
      </c>
      <c r="V483" t="n">
        <v>0.0</v>
      </c>
      <c r="W483" t="inlineStr">
        <is>
          <t/>
        </is>
      </c>
      <c r="X483" t="n">
        <v>0.0</v>
      </c>
      <c r="Y483" t="n">
        <v>0.0</v>
      </c>
      <c r="Z483" t="n">
        <v>0.0</v>
      </c>
      <c r="AA483" t="n">
        <v>0.0</v>
      </c>
      <c r="AB483" t="n">
        <v>0.0</v>
      </c>
      <c r="AC483" t="n">
        <v>0.0</v>
      </c>
      <c r="AD483" t="n">
        <v>4.0</v>
      </c>
      <c r="AE483" t="n">
        <v>0.0</v>
      </c>
      <c r="AF483" t="n">
        <v>0.0</v>
      </c>
      <c r="AG483" t="n">
        <v>0.0</v>
      </c>
      <c r="AH483" t="n">
        <v>0.0</v>
      </c>
      <c r="AI483" t="n">
        <v>0.0</v>
      </c>
      <c r="AJ483" t="n">
        <v>0.0</v>
      </c>
      <c r="AK483" t="n">
        <v>8.0</v>
      </c>
      <c r="AL483" t="inlineStr">
        <is>
          <t/>
        </is>
      </c>
    </row>
    <row r="484">
      <c r="A484" t="inlineStr">
        <is>
          <t>我健身教练推荐的</t>
        </is>
      </c>
      <c r="B484" t="inlineStr">
        <is>
          <t>69b971b900000000230225e8</t>
        </is>
      </c>
      <c r="C484" s="483" t="n">
        <f>HYPERLINK("https://www.xiaohongshu.com/explore/69b971b900000000230225e8?xsec_token=TBgv0wN35T_w0yZx7fmvlvfKWeNOiTFpC878FA_laii7k=&amp;xsec_source=pc_trdark","https://www.xiaohongshu.com/explore/69b971b900000000230225e8?xsec_token=TBgv0wN35T_w0yZx7fmvlvfKWeNOiTFpC878FA_laii7k=&amp;xsec_source=pc_trdark")</f>
        <v>0.0</v>
      </c>
      <c r="D484" t="inlineStr">
        <is>
          <t>鲜水湾甄选</t>
        </is>
      </c>
      <c r="E484" t="inlineStr">
        <is>
          <t>27401929161</t>
        </is>
      </c>
      <c r="F484" t="inlineStr">
        <is>
          <t>2026-03-17 23:22:33</t>
        </is>
      </c>
      <c r="G484" t="inlineStr">
        <is>
          <t>图文</t>
        </is>
      </c>
      <c r="H484" t="inlineStr">
        <is>
          <t>手剥虾仁 无冰衣无添加 低脂餐一人食 上班带饭 顺丰包邮 5盒装</t>
        </is>
      </c>
      <c r="I484" t="inlineStr">
        <is>
          <t>694baba01d450d00013662f0</t>
        </is>
      </c>
      <c r="J484" t="inlineStr">
        <is>
          <t/>
        </is>
      </c>
      <c r="K484" t="n">
        <v>0.0</v>
      </c>
      <c r="L484" t="n">
        <v>0.0</v>
      </c>
      <c r="M484" t="n">
        <v>0.0</v>
      </c>
      <c r="N484" t="n">
        <v>0.0</v>
      </c>
      <c r="O484" t="n">
        <v>0.0</v>
      </c>
      <c r="P484" t="n">
        <v>0.0</v>
      </c>
      <c r="Q484" t="inlineStr">
        <is>
          <t/>
        </is>
      </c>
      <c r="R484" t="inlineStr">
        <is>
          <t/>
        </is>
      </c>
      <c r="S484" t="n">
        <v>0.0</v>
      </c>
      <c r="T484" t="n">
        <v>0.0</v>
      </c>
      <c r="U484" t="n">
        <v>0.0</v>
      </c>
      <c r="V484" t="n">
        <v>0.0</v>
      </c>
      <c r="W484" t="inlineStr">
        <is>
          <t/>
        </is>
      </c>
      <c r="X484" t="n">
        <v>0.0</v>
      </c>
      <c r="Y484" t="n">
        <v>0.0</v>
      </c>
      <c r="Z484" t="n">
        <v>0.0</v>
      </c>
      <c r="AA484" t="n">
        <v>0.0</v>
      </c>
      <c r="AB484" t="n">
        <v>0.0</v>
      </c>
      <c r="AC484" t="n">
        <v>0.0</v>
      </c>
      <c r="AD484" t="n">
        <v>4.0</v>
      </c>
      <c r="AE484" t="n">
        <v>0.0</v>
      </c>
      <c r="AF484" t="n">
        <v>0.0</v>
      </c>
      <c r="AG484" t="n">
        <v>0.0</v>
      </c>
      <c r="AH484" t="n">
        <v>0.0</v>
      </c>
      <c r="AI484" t="n">
        <v>0.0</v>
      </c>
      <c r="AJ484" t="n">
        <v>0.0</v>
      </c>
      <c r="AK484" t="n">
        <v>11.5</v>
      </c>
      <c r="AL484" t="inlineStr">
        <is>
          <t/>
        </is>
      </c>
    </row>
    <row r="485">
      <c r="A485" t="inlineStr">
        <is>
          <t>一个月回购3次，这冰虾口感真的赢麻了！</t>
        </is>
      </c>
      <c r="B485" t="inlineStr">
        <is>
          <t>697c460f000000000a02c1c6</t>
        </is>
      </c>
      <c r="C485" s="484" t="n">
        <f>HYPERLINK("https://www.xiaohongshu.com/explore/697c460f000000000a02c1c6?xsec_token=TBV-62_c6Sms9X18ENcOcpiIMy_WRjvnqsFur8P3OLNpw=&amp;xsec_source=pc_trdark","https://www.xiaohongshu.com/explore/697c460f000000000a02c1c6?xsec_token=TBV-62_c6Sms9X18ENcOcpiIMy_WRjvnqsFur8P3OLNpw=&amp;xsec_source=pc_trdark")</f>
        <v>0.0</v>
      </c>
      <c r="D485" t="inlineStr">
        <is>
          <t>鲜水湾甄选</t>
        </is>
      </c>
      <c r="E485" t="inlineStr">
        <is>
          <t>27401929161</t>
        </is>
      </c>
      <c r="F485" t="inlineStr">
        <is>
          <t>2026-01-30 13:47:59</t>
        </is>
      </c>
      <c r="G485" t="inlineStr">
        <is>
          <t>图文</t>
        </is>
      </c>
      <c r="H485" t="inlineStr">
        <is>
          <t>北极甜虾头籽甜虾元宝虾北极熊冰虾孕妈妈宝宝辅食顺丰</t>
        </is>
      </c>
      <c r="I485" t="inlineStr">
        <is>
          <t>6953717eb8f0bb000115158d</t>
        </is>
      </c>
      <c r="J485" t="inlineStr">
        <is>
          <t/>
        </is>
      </c>
      <c r="K485" t="n">
        <v>0.0</v>
      </c>
      <c r="L485" t="n">
        <v>0.0</v>
      </c>
      <c r="M485" t="n">
        <v>1.0</v>
      </c>
      <c r="N485" t="n">
        <v>0.25</v>
      </c>
      <c r="O485" t="n">
        <v>1.0</v>
      </c>
      <c r="P485" t="n">
        <v>0.0</v>
      </c>
      <c r="Q485" t="n">
        <v>0.0</v>
      </c>
      <c r="R485" t="n">
        <v>0.0</v>
      </c>
      <c r="S485" t="n">
        <v>0.0</v>
      </c>
      <c r="T485" t="n">
        <v>0.0</v>
      </c>
      <c r="U485" t="n">
        <v>0.0</v>
      </c>
      <c r="V485" t="n">
        <v>0.0</v>
      </c>
      <c r="W485" t="inlineStr">
        <is>
          <t/>
        </is>
      </c>
      <c r="X485" t="n">
        <v>0.0</v>
      </c>
      <c r="Y485" t="n">
        <v>0.0</v>
      </c>
      <c r="Z485" t="n">
        <v>0.0</v>
      </c>
      <c r="AA485" t="n">
        <v>0.0</v>
      </c>
      <c r="AB485" t="n">
        <v>0.0</v>
      </c>
      <c r="AC485" t="n">
        <v>0.0</v>
      </c>
      <c r="AD485" t="n">
        <v>4.0</v>
      </c>
      <c r="AE485" t="n">
        <v>0.0</v>
      </c>
      <c r="AF485" t="n">
        <v>0.0</v>
      </c>
      <c r="AG485" t="n">
        <v>0.0</v>
      </c>
      <c r="AH485" t="n">
        <v>0.0</v>
      </c>
      <c r="AI485" t="n">
        <v>0.0</v>
      </c>
      <c r="AJ485" t="n">
        <v>0.0</v>
      </c>
      <c r="AK485" t="n">
        <v>4.0</v>
      </c>
      <c r="AL485" t="inlineStr">
        <is>
          <t/>
        </is>
      </c>
    </row>
    <row r="486">
      <c r="A486" t="inlineStr">
        <is>
          <t>果然是邪修减脂餐，独居一顿一盒很方便</t>
        </is>
      </c>
      <c r="B486" t="inlineStr">
        <is>
          <t>6a69df1d00000000110103f5</t>
        </is>
      </c>
      <c r="C486" s="485" t="n">
        <f>HYPERLINK("https://www.xiaohongshu.com/explore/6a69df1d00000000110103f5?xsec_token=TBJ6ASIbBevmLmI2amyjDnmfQin_8lT-u7IcTGOOfr6ts=&amp;xsec_source=pc_trdark","https://www.xiaohongshu.com/explore/6a69df1d00000000110103f5?xsec_token=TBJ6ASIbBevmLmI2amyjDnmfQin_8lT-u7IcTGOOfr6ts=&amp;xsec_source=pc_trdark")</f>
        <v>0.0</v>
      </c>
      <c r="D486" t="inlineStr">
        <is>
          <t>鲜水湾甄选</t>
        </is>
      </c>
      <c r="E486" t="inlineStr">
        <is>
          <t>27401929161</t>
        </is>
      </c>
      <c r="F486" t="inlineStr">
        <is>
          <t>2026-07-29 19:08:13</t>
        </is>
      </c>
      <c r="G486" t="inlineStr">
        <is>
          <t>图文</t>
        </is>
      </c>
      <c r="H486" t="inlineStr">
        <is>
          <t>手剥虾仁 无冰衣无添加 低脂餐一人食 上班带饭 顺丰包邮 5盒装</t>
        </is>
      </c>
      <c r="I486" t="inlineStr">
        <is>
          <t>694baba01d450d00013662f0</t>
        </is>
      </c>
      <c r="J486" t="inlineStr">
        <is>
          <t/>
        </is>
      </c>
      <c r="K486" t="n">
        <v>0.0</v>
      </c>
      <c r="L486" t="n">
        <v>0.0</v>
      </c>
      <c r="M486" t="n">
        <v>0.0</v>
      </c>
      <c r="N486" t="n">
        <v>0.0</v>
      </c>
      <c r="O486" t="n">
        <v>0.0</v>
      </c>
      <c r="P486" t="n">
        <v>0.0</v>
      </c>
      <c r="Q486" t="inlineStr">
        <is>
          <t/>
        </is>
      </c>
      <c r="R486" t="inlineStr">
        <is>
          <t/>
        </is>
      </c>
      <c r="S486" t="n">
        <v>0.0</v>
      </c>
      <c r="T486" t="n">
        <v>0.0</v>
      </c>
      <c r="U486" t="n">
        <v>0.0</v>
      </c>
      <c r="V486" t="n">
        <v>0.0</v>
      </c>
      <c r="W486" t="inlineStr">
        <is>
          <t/>
        </is>
      </c>
      <c r="X486" t="n">
        <v>0.0</v>
      </c>
      <c r="Y486" t="n">
        <v>0.0</v>
      </c>
      <c r="Z486" t="n">
        <v>0.0</v>
      </c>
      <c r="AA486" t="n">
        <v>0.0</v>
      </c>
      <c r="AB486" t="n">
        <v>0.0</v>
      </c>
      <c r="AC486" t="n">
        <v>0.0</v>
      </c>
      <c r="AD486" t="n">
        <v>3.0</v>
      </c>
      <c r="AE486" t="n">
        <v>0.0</v>
      </c>
      <c r="AF486" t="n">
        <v>0.0</v>
      </c>
      <c r="AG486" t="n">
        <v>0.0</v>
      </c>
      <c r="AH486" t="n">
        <v>0.0</v>
      </c>
      <c r="AI486" t="n">
        <v>0.0</v>
      </c>
      <c r="AJ486" t="n">
        <v>0.0</v>
      </c>
      <c r="AK486" t="n">
        <v>5.0</v>
      </c>
      <c r="AL486" t="inlineStr">
        <is>
          <t/>
        </is>
      </c>
    </row>
    <row r="487">
      <c r="A487" t="inlineStr">
        <is>
          <t>以为70块没多少，结果够我吃一个星期减脂餐</t>
        </is>
      </c>
      <c r="B487" t="inlineStr">
        <is>
          <t>6a66fc7c000000000f0154e6</t>
        </is>
      </c>
      <c r="C487" s="486" t="n">
        <f>HYPERLINK("https://www.xiaohongshu.com/explore/6a66fc7c000000000f0154e6?xsec_token=TBIHthkK-vLT6HWx1MaVA_QZKn60JEJkQ_9BGnNk12ghw=&amp;xsec_source=pc_trdark","https://www.xiaohongshu.com/explore/6a66fc7c000000000f0154e6?xsec_token=TBIHthkK-vLT6HWx1MaVA_QZKn60JEJkQ_9BGnNk12ghw=&amp;xsec_source=pc_trdark")</f>
        <v>0.0</v>
      </c>
      <c r="D487" t="inlineStr">
        <is>
          <t>鲜水湾甄选</t>
        </is>
      </c>
      <c r="E487" t="inlineStr">
        <is>
          <t>27401929161</t>
        </is>
      </c>
      <c r="F487" t="inlineStr">
        <is>
          <t>2026-07-27 14:36:44</t>
        </is>
      </c>
      <c r="G487" t="inlineStr">
        <is>
          <t>图文</t>
        </is>
      </c>
      <c r="H487" t="inlineStr">
        <is>
          <t>手剥虾仁 无冰衣无添加 低脂餐一人食 上班带饭 顺丰包邮 5盒装</t>
        </is>
      </c>
      <c r="I487" t="inlineStr">
        <is>
          <t>694baba01d450d00013662f0</t>
        </is>
      </c>
      <c r="J487" t="inlineStr">
        <is>
          <t/>
        </is>
      </c>
      <c r="K487" t="n">
        <v>0.0</v>
      </c>
      <c r="L487" t="n">
        <v>0.0</v>
      </c>
      <c r="M487" t="n">
        <v>0.0</v>
      </c>
      <c r="N487" t="n">
        <v>0.0</v>
      </c>
      <c r="O487" t="n">
        <v>0.0</v>
      </c>
      <c r="P487" t="n">
        <v>0.0</v>
      </c>
      <c r="Q487" t="inlineStr">
        <is>
          <t/>
        </is>
      </c>
      <c r="R487" t="inlineStr">
        <is>
          <t/>
        </is>
      </c>
      <c r="S487" t="n">
        <v>0.0</v>
      </c>
      <c r="T487" t="n">
        <v>0.0</v>
      </c>
      <c r="U487" t="n">
        <v>0.0</v>
      </c>
      <c r="V487" t="n">
        <v>0.0</v>
      </c>
      <c r="W487" t="inlineStr">
        <is>
          <t/>
        </is>
      </c>
      <c r="X487" t="n">
        <v>0.0</v>
      </c>
      <c r="Y487" t="n">
        <v>0.0</v>
      </c>
      <c r="Z487" t="n">
        <v>0.0</v>
      </c>
      <c r="AA487" t="n">
        <v>0.0</v>
      </c>
      <c r="AB487" t="n">
        <v>0.0</v>
      </c>
      <c r="AC487" t="n">
        <v>0.0</v>
      </c>
      <c r="AD487" t="n">
        <v>3.0</v>
      </c>
      <c r="AE487" t="n">
        <v>0.0</v>
      </c>
      <c r="AF487" t="n">
        <v>0.0</v>
      </c>
      <c r="AG487" t="n">
        <v>0.0</v>
      </c>
      <c r="AH487" t="n">
        <v>0.0</v>
      </c>
      <c r="AI487" t="n">
        <v>0.0</v>
      </c>
      <c r="AJ487" t="n">
        <v>0.0</v>
      </c>
      <c r="AK487" t="n">
        <v>2.6666666666666665</v>
      </c>
      <c r="AL487" t="inlineStr">
        <is>
          <t/>
        </is>
      </c>
    </row>
    <row r="488">
      <c r="A488" t="inlineStr">
        <is>
          <t>同事看我天天吃虾，还以为我伙食开销很高😭</t>
        </is>
      </c>
      <c r="B488" t="inlineStr">
        <is>
          <t>6a6602fd000000001302c4f5</t>
        </is>
      </c>
      <c r="C488" s="487" t="n">
        <f>HYPERLINK("https://www.xiaohongshu.com/explore/6a6602fd000000001302c4f5?xsec_token=TBIHthkK-vLT6HWx1MaVA_QbN6rVgflt159KYvZV7hC4I=&amp;xsec_source=pc_trdark","https://www.xiaohongshu.com/explore/6a6602fd000000001302c4f5?xsec_token=TBIHthkK-vLT6HWx1MaVA_QbN6rVgflt159KYvZV7hC4I=&amp;xsec_source=pc_trdark")</f>
        <v>0.0</v>
      </c>
      <c r="D488" t="inlineStr">
        <is>
          <t>菲菲上班吃什么</t>
        </is>
      </c>
      <c r="E488" t="inlineStr">
        <is>
          <t>49936530607</t>
        </is>
      </c>
      <c r="F488" t="inlineStr">
        <is>
          <t>2026-07-26 20:52:13</t>
        </is>
      </c>
      <c r="G488" t="inlineStr">
        <is>
          <t>图文</t>
        </is>
      </c>
      <c r="H488" t="inlineStr">
        <is>
          <t>手剥虾仁 无冰衣无添加 低脂餐一人食 上班带饭 顺丰包邮 5盒装</t>
        </is>
      </c>
      <c r="I488" t="inlineStr">
        <is>
          <t>694baba01d450d00013662f0</t>
        </is>
      </c>
      <c r="J488" t="inlineStr">
        <is>
          <t/>
        </is>
      </c>
      <c r="K488" t="n">
        <v>0.0</v>
      </c>
      <c r="L488" t="n">
        <v>0.0</v>
      </c>
      <c r="M488" t="n">
        <v>0.0</v>
      </c>
      <c r="N488" t="n">
        <v>0.0</v>
      </c>
      <c r="O488" t="n">
        <v>0.0</v>
      </c>
      <c r="P488" t="n">
        <v>0.0</v>
      </c>
      <c r="Q488" t="inlineStr">
        <is>
          <t/>
        </is>
      </c>
      <c r="R488" t="inlineStr">
        <is>
          <t/>
        </is>
      </c>
      <c r="S488" t="n">
        <v>0.0</v>
      </c>
      <c r="T488" t="n">
        <v>0.0</v>
      </c>
      <c r="U488" t="n">
        <v>0.0</v>
      </c>
      <c r="V488" t="n">
        <v>0.0</v>
      </c>
      <c r="W488" t="inlineStr">
        <is>
          <t/>
        </is>
      </c>
      <c r="X488" t="n">
        <v>0.0</v>
      </c>
      <c r="Y488" t="n">
        <v>0.0</v>
      </c>
      <c r="Z488" t="n">
        <v>0.0</v>
      </c>
      <c r="AA488" t="n">
        <v>0.0</v>
      </c>
      <c r="AB488" t="n">
        <v>0.0</v>
      </c>
      <c r="AC488" t="n">
        <v>0.0</v>
      </c>
      <c r="AD488" t="n">
        <v>3.0</v>
      </c>
      <c r="AE488" t="n">
        <v>0.0</v>
      </c>
      <c r="AF488" t="n">
        <v>0.0</v>
      </c>
      <c r="AG488" t="n">
        <v>0.0</v>
      </c>
      <c r="AH488" t="n">
        <v>0.0</v>
      </c>
      <c r="AI488" t="n">
        <v>0.0</v>
      </c>
      <c r="AJ488" t="n">
        <v>0.0</v>
      </c>
      <c r="AK488" t="n">
        <v>10.666666666666666</v>
      </c>
      <c r="AL488" t="inlineStr">
        <is>
          <t/>
        </is>
      </c>
    </row>
    <row r="489">
      <c r="A489" t="inlineStr">
        <is>
          <t>奉劝大家不要低估100块的购买力，够吃半个月</t>
        </is>
      </c>
      <c r="B489" t="inlineStr">
        <is>
          <t>6a60938f00000000130250f1</t>
        </is>
      </c>
      <c r="C489" s="488" t="n">
        <f>HYPERLINK("https://www.xiaohongshu.com/explore/6a60938f00000000130250f1?xsec_token=TB_DG8qGiltVfTeMFvJTNQB1BCLxT8_3sq8fWKVWyHWn0=&amp;xsec_source=pc_trdark","https://www.xiaohongshu.com/explore/6a60938f00000000130250f1?xsec_token=TB_DG8qGiltVfTeMFvJTNQB1BCLxT8_3sq8fWKVWyHWn0=&amp;xsec_source=pc_trdark")</f>
        <v>0.0</v>
      </c>
      <c r="D489" t="inlineStr">
        <is>
          <t>鲜水湾</t>
        </is>
      </c>
      <c r="E489" t="inlineStr">
        <is>
          <t>49316638994</t>
        </is>
      </c>
      <c r="F489" t="inlineStr">
        <is>
          <t>2026-07-22 17:55:27</t>
        </is>
      </c>
      <c r="G489" t="inlineStr">
        <is>
          <t>图文</t>
        </is>
      </c>
      <c r="H489" t="inlineStr">
        <is>
          <t>手剥虾仁 无冰衣无添加 低脂餐一人食 上班带饭 顺丰包邮 5盒装</t>
        </is>
      </c>
      <c r="I489" t="inlineStr">
        <is>
          <t>694baba01d450d00013662f0</t>
        </is>
      </c>
      <c r="J489" t="inlineStr">
        <is>
          <t/>
        </is>
      </c>
      <c r="K489" t="n">
        <v>0.0</v>
      </c>
      <c r="L489" t="n">
        <v>0.0</v>
      </c>
      <c r="M489" t="n">
        <v>1.0</v>
      </c>
      <c r="N489" t="n">
        <v>0.3333333333333333</v>
      </c>
      <c r="O489" t="n">
        <v>1.0</v>
      </c>
      <c r="P489" t="n">
        <v>0.0</v>
      </c>
      <c r="Q489" t="n">
        <v>0.0</v>
      </c>
      <c r="R489" t="n">
        <v>0.0</v>
      </c>
      <c r="S489" t="n">
        <v>0.0</v>
      </c>
      <c r="T489" t="n">
        <v>0.0</v>
      </c>
      <c r="U489" t="n">
        <v>0.0</v>
      </c>
      <c r="V489" t="n">
        <v>0.0</v>
      </c>
      <c r="W489" t="inlineStr">
        <is>
          <t/>
        </is>
      </c>
      <c r="X489" t="n">
        <v>0.0</v>
      </c>
      <c r="Y489" t="n">
        <v>0.0</v>
      </c>
      <c r="Z489" t="n">
        <v>0.0</v>
      </c>
      <c r="AA489" t="n">
        <v>0.0</v>
      </c>
      <c r="AB489" t="n">
        <v>0.0</v>
      </c>
      <c r="AC489" t="n">
        <v>0.0</v>
      </c>
      <c r="AD489" t="n">
        <v>3.0</v>
      </c>
      <c r="AE489" t="n">
        <v>0.0</v>
      </c>
      <c r="AF489" t="n">
        <v>0.0</v>
      </c>
      <c r="AG489" t="n">
        <v>0.0</v>
      </c>
      <c r="AH489" t="n">
        <v>0.0</v>
      </c>
      <c r="AI489" t="n">
        <v>0.0</v>
      </c>
      <c r="AJ489" t="n">
        <v>0.0</v>
      </c>
      <c r="AK489" t="n">
        <v>6.0</v>
      </c>
      <c r="AL489" t="inlineStr">
        <is>
          <t/>
        </is>
      </c>
    </row>
    <row r="490">
      <c r="A490" t="inlineStr">
        <is>
          <t>算了不劝了，一个人带动全公司买的🤣</t>
        </is>
      </c>
      <c r="B490" t="inlineStr">
        <is>
          <t>6a5f81b5000000000e0359e7</t>
        </is>
      </c>
      <c r="C490" s="489" t="n">
        <f>HYPERLINK("https://www.xiaohongshu.com/explore/6a5f81b5000000000e0359e7?xsec_token=TBNiP87dDl0mbMa3fu0C81MTtJpRkgPBcQt_x-zeglw_A=&amp;xsec_source=pc_trdark","https://www.xiaohongshu.com/explore/6a5f81b5000000000e0359e7?xsec_token=TBNiP87dDl0mbMa3fu0C81MTtJpRkgPBcQt_x-zeglw_A=&amp;xsec_source=pc_trdark")</f>
        <v>0.0</v>
      </c>
      <c r="D490" t="inlineStr">
        <is>
          <t>菲菲上班吃什么</t>
        </is>
      </c>
      <c r="E490" t="inlineStr">
        <is>
          <t>49936530607</t>
        </is>
      </c>
      <c r="F490" t="inlineStr">
        <is>
          <t>2026-07-21 22:27:01</t>
        </is>
      </c>
      <c r="G490" t="inlineStr">
        <is>
          <t>图文</t>
        </is>
      </c>
      <c r="H490" t="inlineStr">
        <is>
          <t>手剥虾仁 无冰衣无添加 低脂餐一人食 上班带饭 顺丰包邮 5盒装</t>
        </is>
      </c>
      <c r="I490" t="inlineStr">
        <is>
          <t>694baba01d450d00013662f0</t>
        </is>
      </c>
      <c r="J490" t="inlineStr">
        <is>
          <t/>
        </is>
      </c>
      <c r="K490" t="n">
        <v>0.0</v>
      </c>
      <c r="L490" t="n">
        <v>0.0</v>
      </c>
      <c r="M490" t="n">
        <v>0.0</v>
      </c>
      <c r="N490" t="n">
        <v>0.0</v>
      </c>
      <c r="O490" t="n">
        <v>0.0</v>
      </c>
      <c r="P490" t="n">
        <v>0.0</v>
      </c>
      <c r="Q490" t="inlineStr">
        <is>
          <t/>
        </is>
      </c>
      <c r="R490" t="inlineStr">
        <is>
          <t/>
        </is>
      </c>
      <c r="S490" t="n">
        <v>0.0</v>
      </c>
      <c r="T490" t="n">
        <v>0.0</v>
      </c>
      <c r="U490" t="n">
        <v>0.0</v>
      </c>
      <c r="V490" t="n">
        <v>0.0</v>
      </c>
      <c r="W490" t="inlineStr">
        <is>
          <t/>
        </is>
      </c>
      <c r="X490" t="n">
        <v>0.0</v>
      </c>
      <c r="Y490" t="n">
        <v>0.0</v>
      </c>
      <c r="Z490" t="n">
        <v>0.0</v>
      </c>
      <c r="AA490" t="n">
        <v>0.0</v>
      </c>
      <c r="AB490" t="n">
        <v>0.0</v>
      </c>
      <c r="AC490" t="n">
        <v>0.0</v>
      </c>
      <c r="AD490" t="n">
        <v>3.0</v>
      </c>
      <c r="AE490" t="n">
        <v>0.0</v>
      </c>
      <c r="AF490" t="n">
        <v>0.0</v>
      </c>
      <c r="AG490" t="n">
        <v>0.0</v>
      </c>
      <c r="AH490" t="n">
        <v>0.0</v>
      </c>
      <c r="AI490" t="n">
        <v>0.0</v>
      </c>
      <c r="AJ490" t="n">
        <v>0.0</v>
      </c>
      <c r="AK490" t="n">
        <v>3.6666666666666665</v>
      </c>
      <c r="AL490" t="inlineStr">
        <is>
          <t/>
        </is>
      </c>
    </row>
    <row r="491">
      <c r="A491" t="inlineStr">
        <is>
          <t>一句"夏天不用开火做饭"，已售200多条了</t>
        </is>
      </c>
      <c r="B491" t="inlineStr">
        <is>
          <t>6a5f31db000000001b01d45b</t>
        </is>
      </c>
      <c r="C491" s="490" t="n">
        <f>HYPERLINK("https://www.xiaohongshu.com/explore/6a5f31db000000001b01d45b?xsec_token=TBNiP87dDl0mbMa3fu0C81MXAxwKLmCaALQ4wUGJskWjQ=&amp;xsec_source=pc_trdark","https://www.xiaohongshu.com/explore/6a5f31db000000001b01d45b?xsec_token=TBNiP87dDl0mbMa3fu0C81MXAxwKLmCaALQ4wUGJskWjQ=&amp;xsec_source=pc_trdark")</f>
        <v>0.0</v>
      </c>
      <c r="D491" t="inlineStr">
        <is>
          <t>鲜水湾</t>
        </is>
      </c>
      <c r="E491" t="inlineStr">
        <is>
          <t>49316638994</t>
        </is>
      </c>
      <c r="F491" t="inlineStr">
        <is>
          <t>2026-07-21 16:46:19</t>
        </is>
      </c>
      <c r="G491" t="inlineStr">
        <is>
          <t>图文</t>
        </is>
      </c>
      <c r="H491" t="inlineStr">
        <is>
          <t>智利尾端中段整条三文鱼 8斤深海鱼低脂餐囤货一周备菜顺丰包邮</t>
        </is>
      </c>
      <c r="I491" t="inlineStr">
        <is>
          <t>69fab80d64eb410001ece0c0</t>
        </is>
      </c>
      <c r="J491" t="inlineStr">
        <is>
          <t/>
        </is>
      </c>
      <c r="K491" t="n">
        <v>0.0</v>
      </c>
      <c r="L491" t="n">
        <v>0.0</v>
      </c>
      <c r="M491" t="n">
        <v>3.0</v>
      </c>
      <c r="N491" t="n">
        <v>1.0</v>
      </c>
      <c r="O491" t="n">
        <v>1.0</v>
      </c>
      <c r="P491" t="n">
        <v>0.0</v>
      </c>
      <c r="Q491" t="n">
        <v>0.0</v>
      </c>
      <c r="R491" t="n">
        <v>0.0</v>
      </c>
      <c r="S491" t="n">
        <v>0.0</v>
      </c>
      <c r="T491" t="n">
        <v>0.0</v>
      </c>
      <c r="U491" t="n">
        <v>0.0</v>
      </c>
      <c r="V491" t="n">
        <v>0.0</v>
      </c>
      <c r="W491" t="inlineStr">
        <is>
          <t/>
        </is>
      </c>
      <c r="X491" t="n">
        <v>0.0</v>
      </c>
      <c r="Y491" t="n">
        <v>0.0</v>
      </c>
      <c r="Z491" t="n">
        <v>0.0</v>
      </c>
      <c r="AA491" t="n">
        <v>0.0</v>
      </c>
      <c r="AB491" t="n">
        <v>0.0</v>
      </c>
      <c r="AC491" t="n">
        <v>0.0</v>
      </c>
      <c r="AD491" t="n">
        <v>3.0</v>
      </c>
      <c r="AE491" t="n">
        <v>0.0</v>
      </c>
      <c r="AF491" t="n">
        <v>0.0</v>
      </c>
      <c r="AG491" t="n">
        <v>0.0</v>
      </c>
      <c r="AH491" t="n">
        <v>0.0</v>
      </c>
      <c r="AI491" t="n">
        <v>0.0</v>
      </c>
      <c r="AJ491" t="n">
        <v>0.0</v>
      </c>
      <c r="AK491" t="n">
        <v>15.333333333333334</v>
      </c>
      <c r="AL491" t="inlineStr">
        <is>
          <t/>
        </is>
      </c>
    </row>
    <row r="492">
      <c r="A492" t="inlineStr">
        <is>
          <t>再也不用反复解冻了！专为一人食设计小包装</t>
        </is>
      </c>
      <c r="B492" t="inlineStr">
        <is>
          <t>6a5e1eee0000000009036987</t>
        </is>
      </c>
      <c r="C492" s="491" t="n">
        <f>HYPERLINK("https://www.xiaohongshu.com/explore/6a5e1eee0000000009036987?xsec_token=TBbojWk_7wqvNRrckRPtQ4WJnCouKOY4dDNpoj0xH8xrA=&amp;xsec_source=pc_trdark","https://www.xiaohongshu.com/explore/6a5e1eee0000000009036987?xsec_token=TBbojWk_7wqvNRrckRPtQ4WJnCouKOY4dDNpoj0xH8xrA=&amp;xsec_source=pc_trdark")</f>
        <v>0.0</v>
      </c>
      <c r="D492" t="inlineStr">
        <is>
          <t>菲菲上班吃什么</t>
        </is>
      </c>
      <c r="E492" t="inlineStr">
        <is>
          <t>49936530607</t>
        </is>
      </c>
      <c r="F492" t="inlineStr">
        <is>
          <t>2026-07-20 21:13:18</t>
        </is>
      </c>
      <c r="G492" t="inlineStr">
        <is>
          <t>图文</t>
        </is>
      </c>
      <c r="H492" t="inlineStr">
        <is>
          <t>手剥虾仁 无冰衣无添加 低脂餐一人食 上班带饭 顺丰包邮 5盒装</t>
        </is>
      </c>
      <c r="I492" t="inlineStr">
        <is>
          <t>694baba01d450d00013662f0</t>
        </is>
      </c>
      <c r="J492" t="inlineStr">
        <is>
          <t/>
        </is>
      </c>
      <c r="K492" t="n">
        <v>0.0</v>
      </c>
      <c r="L492" t="n">
        <v>0.0</v>
      </c>
      <c r="M492" t="n">
        <v>0.0</v>
      </c>
      <c r="N492" t="n">
        <v>0.0</v>
      </c>
      <c r="O492" t="n">
        <v>0.0</v>
      </c>
      <c r="P492" t="n">
        <v>0.0</v>
      </c>
      <c r="Q492" t="inlineStr">
        <is>
          <t/>
        </is>
      </c>
      <c r="R492" t="inlineStr">
        <is>
          <t/>
        </is>
      </c>
      <c r="S492" t="n">
        <v>0.0</v>
      </c>
      <c r="T492" t="n">
        <v>0.0</v>
      </c>
      <c r="U492" t="n">
        <v>0.0</v>
      </c>
      <c r="V492" t="n">
        <v>0.0</v>
      </c>
      <c r="W492" t="inlineStr">
        <is>
          <t/>
        </is>
      </c>
      <c r="X492" t="n">
        <v>0.0</v>
      </c>
      <c r="Y492" t="n">
        <v>0.0</v>
      </c>
      <c r="Z492" t="n">
        <v>0.0</v>
      </c>
      <c r="AA492" t="n">
        <v>0.0</v>
      </c>
      <c r="AB492" t="n">
        <v>0.0</v>
      </c>
      <c r="AC492" t="n">
        <v>0.0</v>
      </c>
      <c r="AD492" t="n">
        <v>3.0</v>
      </c>
      <c r="AE492" t="n">
        <v>0.0</v>
      </c>
      <c r="AF492" t="n">
        <v>0.0</v>
      </c>
      <c r="AG492" t="n">
        <v>0.0</v>
      </c>
      <c r="AH492" t="n">
        <v>0.0</v>
      </c>
      <c r="AI492" t="n">
        <v>0.0</v>
      </c>
      <c r="AJ492" t="n">
        <v>0.0</v>
      </c>
      <c r="AK492" t="n">
        <v>5.666666666666667</v>
      </c>
      <c r="AL492" t="inlineStr">
        <is>
          <t/>
        </is>
      </c>
    </row>
    <row r="493">
      <c r="A493" t="inlineStr">
        <is>
          <t>和老爸商量后，推出独居姐妹专属一人食</t>
        </is>
      </c>
      <c r="B493" t="inlineStr">
        <is>
          <t>6a5dd9e50000000010026636</t>
        </is>
      </c>
      <c r="C493" s="492" t="n">
        <f>HYPERLINK("https://www.xiaohongshu.com/explore/6a5dd9e50000000010026636?xsec_token=TBhNPC94_6xvOzlNirloUV2JpeNZAyqVhqJDZaJ-gKHq4=&amp;xsec_source=pc_trdark","https://www.xiaohongshu.com/explore/6a5dd9e50000000010026636?xsec_token=TBhNPC94_6xvOzlNirloUV2JpeNZAyqVhqJDZaJ-gKHq4=&amp;xsec_source=pc_trdark")</f>
        <v>0.0</v>
      </c>
      <c r="D493" t="inlineStr">
        <is>
          <t>菲菲上班吃什么</t>
        </is>
      </c>
      <c r="E493" t="inlineStr">
        <is>
          <t>49936530607</t>
        </is>
      </c>
      <c r="F493" t="inlineStr">
        <is>
          <t>2026-07-20 16:18:45</t>
        </is>
      </c>
      <c r="G493" t="inlineStr">
        <is>
          <t>图文</t>
        </is>
      </c>
      <c r="H493" t="inlineStr">
        <is>
          <t>手剥虾仁 无冰衣无添加 低脂餐一人食 上班带饭 顺丰包邮 5盒装</t>
        </is>
      </c>
      <c r="I493" t="inlineStr">
        <is>
          <t>694baba01d450d00013662f0</t>
        </is>
      </c>
      <c r="J493" t="inlineStr">
        <is>
          <t/>
        </is>
      </c>
      <c r="K493" t="n">
        <v>0.0</v>
      </c>
      <c r="L493" t="n">
        <v>0.0</v>
      </c>
      <c r="M493" t="n">
        <v>0.0</v>
      </c>
      <c r="N493" t="n">
        <v>0.0</v>
      </c>
      <c r="O493" t="n">
        <v>0.0</v>
      </c>
      <c r="P493" t="n">
        <v>0.0</v>
      </c>
      <c r="Q493" t="inlineStr">
        <is>
          <t/>
        </is>
      </c>
      <c r="R493" t="inlineStr">
        <is>
          <t/>
        </is>
      </c>
      <c r="S493" t="n">
        <v>0.0</v>
      </c>
      <c r="T493" t="n">
        <v>0.0</v>
      </c>
      <c r="U493" t="n">
        <v>0.0</v>
      </c>
      <c r="V493" t="n">
        <v>0.0</v>
      </c>
      <c r="W493" t="inlineStr">
        <is>
          <t/>
        </is>
      </c>
      <c r="X493" t="n">
        <v>0.0</v>
      </c>
      <c r="Y493" t="n">
        <v>0.0</v>
      </c>
      <c r="Z493" t="n">
        <v>0.0</v>
      </c>
      <c r="AA493" t="n">
        <v>0.0</v>
      </c>
      <c r="AB493" t="n">
        <v>0.0</v>
      </c>
      <c r="AC493" t="n">
        <v>0.0</v>
      </c>
      <c r="AD493" t="n">
        <v>3.0</v>
      </c>
      <c r="AE493" t="n">
        <v>0.0</v>
      </c>
      <c r="AF493" t="n">
        <v>0.0</v>
      </c>
      <c r="AG493" t="n">
        <v>0.0</v>
      </c>
      <c r="AH493" t="n">
        <v>0.0</v>
      </c>
      <c r="AI493" t="n">
        <v>0.0</v>
      </c>
      <c r="AJ493" t="n">
        <v>0.0</v>
      </c>
      <c r="AK493" t="n">
        <v>31.666666666666668</v>
      </c>
      <c r="AL493" t="inlineStr">
        <is>
          <t/>
        </is>
      </c>
    </row>
    <row r="494">
      <c r="A494" t="inlineStr">
        <is>
          <t>忍不住就别忍了毕竟一条才300r！还包邮！</t>
        </is>
      </c>
      <c r="B494" t="inlineStr">
        <is>
          <t>6a5cdad5000000001302594e</t>
        </is>
      </c>
      <c r="C494" s="493" t="n">
        <f>HYPERLINK("https://www.xiaohongshu.com/explore/6a5cdad5000000001302594e?xsec_token=TBcqCuVCCi2LPEDZ4T1AgR0bC0LsfljigWBCwC_TLL3EU=&amp;xsec_source=pc_trdark","https://www.xiaohongshu.com/explore/6a5cdad5000000001302594e?xsec_token=TBcqCuVCCi2LPEDZ4T1AgR0bC0LsfljigWBCwC_TLL3EU=&amp;xsec_source=pc_trdark")</f>
        <v>0.0</v>
      </c>
      <c r="D494" t="inlineStr">
        <is>
          <t>鲜水湾</t>
        </is>
      </c>
      <c r="E494" t="inlineStr">
        <is>
          <t>49316638994</t>
        </is>
      </c>
      <c r="F494" t="inlineStr">
        <is>
          <t>2026-07-19 22:10:29</t>
        </is>
      </c>
      <c r="G494" t="inlineStr">
        <is>
          <t>图文</t>
        </is>
      </c>
      <c r="H494" t="inlineStr">
        <is>
          <t>智利三文鱼切块·整条三文鱼·深海鱼一人食健康饮食</t>
        </is>
      </c>
      <c r="I494" t="inlineStr">
        <is>
          <t>691ac562a524ee0001b51d7b</t>
        </is>
      </c>
      <c r="J494" t="inlineStr">
        <is>
          <t/>
        </is>
      </c>
      <c r="K494" t="n">
        <v>0.0</v>
      </c>
      <c r="L494" t="n">
        <v>0.0</v>
      </c>
      <c r="M494" t="n">
        <v>0.0</v>
      </c>
      <c r="N494" t="n">
        <v>0.0</v>
      </c>
      <c r="O494" t="n">
        <v>0.0</v>
      </c>
      <c r="P494" t="n">
        <v>0.0</v>
      </c>
      <c r="Q494" t="inlineStr">
        <is>
          <t/>
        </is>
      </c>
      <c r="R494" t="inlineStr">
        <is>
          <t/>
        </is>
      </c>
      <c r="S494" t="n">
        <v>0.0</v>
      </c>
      <c r="T494" t="n">
        <v>0.0</v>
      </c>
      <c r="U494" t="n">
        <v>0.0</v>
      </c>
      <c r="V494" t="n">
        <v>0.0</v>
      </c>
      <c r="W494" t="inlineStr">
        <is>
          <t/>
        </is>
      </c>
      <c r="X494" t="n">
        <v>0.0</v>
      </c>
      <c r="Y494" t="n">
        <v>0.0</v>
      </c>
      <c r="Z494" t="n">
        <v>0.0</v>
      </c>
      <c r="AA494" t="n">
        <v>0.0</v>
      </c>
      <c r="AB494" t="n">
        <v>0.0</v>
      </c>
      <c r="AC494" t="n">
        <v>0.0</v>
      </c>
      <c r="AD494" t="n">
        <v>3.0</v>
      </c>
      <c r="AE494" t="n">
        <v>0.0</v>
      </c>
      <c r="AF494" t="n">
        <v>0.0</v>
      </c>
      <c r="AG494" t="n">
        <v>0.0</v>
      </c>
      <c r="AH494" t="n">
        <v>0.0</v>
      </c>
      <c r="AI494" t="n">
        <v>0.0</v>
      </c>
      <c r="AJ494" t="n">
        <v>0.0</v>
      </c>
      <c r="AK494" t="n">
        <v>15.0</v>
      </c>
      <c r="AL494" t="inlineStr">
        <is>
          <t/>
        </is>
      </c>
    </row>
    <row r="495">
      <c r="A495" t="inlineStr">
        <is>
          <t>同事问我：你天天吃独立小包装虾仁，工资多少</t>
        </is>
      </c>
      <c r="B495" t="inlineStr">
        <is>
          <t>6a58485d000000000f011598</t>
        </is>
      </c>
      <c r="C495" s="494" t="n">
        <f>HYPERLINK("https://www.xiaohongshu.com/explore/6a58485d000000000f011598?xsec_token=TBvlNKL7oOw9geyiSau-qu9c2zHpUrmElvyRXYUrlGDdU=&amp;xsec_source=pc_trdark","https://www.xiaohongshu.com/explore/6a58485d000000000f011598?xsec_token=TBvlNKL7oOw9geyiSau-qu9c2zHpUrmElvyRXYUrlGDdU=&amp;xsec_source=pc_trdark")</f>
        <v>0.0</v>
      </c>
      <c r="D495" t="inlineStr">
        <is>
          <t>菲菲上班吃什么</t>
        </is>
      </c>
      <c r="E495" t="inlineStr">
        <is>
          <t>49936530607</t>
        </is>
      </c>
      <c r="F495" t="inlineStr">
        <is>
          <t>2026-07-16 10:56:29</t>
        </is>
      </c>
      <c r="G495" t="inlineStr">
        <is>
          <t>图文</t>
        </is>
      </c>
      <c r="H495" t="inlineStr">
        <is>
          <t>手剥虾仁 无冰衣无添加 低脂餐一人食 上班带饭 顺丰包邮 5盒装</t>
        </is>
      </c>
      <c r="I495" t="inlineStr">
        <is>
          <t>694baba01d450d00013662f0</t>
        </is>
      </c>
      <c r="J495" t="inlineStr">
        <is>
          <t/>
        </is>
      </c>
      <c r="K495" t="n">
        <v>0.0</v>
      </c>
      <c r="L495" t="n">
        <v>0.0</v>
      </c>
      <c r="M495" t="n">
        <v>0.0</v>
      </c>
      <c r="N495" t="n">
        <v>0.0</v>
      </c>
      <c r="O495" t="n">
        <v>0.0</v>
      </c>
      <c r="P495" t="n">
        <v>0.0</v>
      </c>
      <c r="Q495" t="inlineStr">
        <is>
          <t/>
        </is>
      </c>
      <c r="R495" t="inlineStr">
        <is>
          <t/>
        </is>
      </c>
      <c r="S495" t="n">
        <v>0.0</v>
      </c>
      <c r="T495" t="n">
        <v>0.0</v>
      </c>
      <c r="U495" t="n">
        <v>0.0</v>
      </c>
      <c r="V495" t="n">
        <v>0.0</v>
      </c>
      <c r="W495" t="inlineStr">
        <is>
          <t/>
        </is>
      </c>
      <c r="X495" t="n">
        <v>0.0</v>
      </c>
      <c r="Y495" t="n">
        <v>0.0</v>
      </c>
      <c r="Z495" t="n">
        <v>0.0</v>
      </c>
      <c r="AA495" t="n">
        <v>0.0</v>
      </c>
      <c r="AB495" t="n">
        <v>0.0</v>
      </c>
      <c r="AC495" t="n">
        <v>0.0</v>
      </c>
      <c r="AD495" t="n">
        <v>3.0</v>
      </c>
      <c r="AE495" t="n">
        <v>0.0</v>
      </c>
      <c r="AF495" t="n">
        <v>0.0</v>
      </c>
      <c r="AG495" t="n">
        <v>0.0</v>
      </c>
      <c r="AH495" t="n">
        <v>0.0</v>
      </c>
      <c r="AI495" t="n">
        <v>0.0</v>
      </c>
      <c r="AJ495" t="n">
        <v>0.0</v>
      </c>
      <c r="AK495" t="n">
        <v>4.666666666666667</v>
      </c>
      <c r="AL495" t="inlineStr">
        <is>
          <t/>
        </is>
      </c>
    </row>
    <row r="496">
      <c r="A496" t="inlineStr">
        <is>
          <t>办公室午饭被问最多的，居然是一餐一包虾仁</t>
        </is>
      </c>
      <c r="B496" t="inlineStr">
        <is>
          <t>6a55f788000000000702b9b8</t>
        </is>
      </c>
      <c r="C496" s="495" t="n">
        <f>HYPERLINK("https://www.xiaohongshu.com/explore/6a55f788000000000702b9b8?xsec_token=TBtjT0D3LpwTfPk27zCmXZxe_Cekpi5F50kMJfR7l-9cQ=&amp;xsec_source=pc_trdark","https://www.xiaohongshu.com/explore/6a55f788000000000702b9b8?xsec_token=TBtjT0D3LpwTfPk27zCmXZxe_Cekpi5F50kMJfR7l-9cQ=&amp;xsec_source=pc_trdark")</f>
        <v>0.0</v>
      </c>
      <c r="D496" t="inlineStr">
        <is>
          <t>菲菲上班吃什么</t>
        </is>
      </c>
      <c r="E496" t="inlineStr">
        <is>
          <t>49936530607</t>
        </is>
      </c>
      <c r="F496" t="inlineStr">
        <is>
          <t>2026-07-14 16:47:04</t>
        </is>
      </c>
      <c r="G496" t="inlineStr">
        <is>
          <t>图文</t>
        </is>
      </c>
      <c r="H496" t="inlineStr">
        <is>
          <t>手剥虾仁 无冰衣无添加 低脂餐一人食 上班带饭 顺丰包邮 5盒装</t>
        </is>
      </c>
      <c r="I496" t="inlineStr">
        <is>
          <t>694baba01d450d00013662f0</t>
        </is>
      </c>
      <c r="J496" t="inlineStr">
        <is>
          <t/>
        </is>
      </c>
      <c r="K496" t="n">
        <v>0.0</v>
      </c>
      <c r="L496" t="n">
        <v>0.0</v>
      </c>
      <c r="M496" t="n">
        <v>0.0</v>
      </c>
      <c r="N496" t="n">
        <v>0.0</v>
      </c>
      <c r="O496" t="n">
        <v>0.0</v>
      </c>
      <c r="P496" t="n">
        <v>0.0</v>
      </c>
      <c r="Q496" t="inlineStr">
        <is>
          <t/>
        </is>
      </c>
      <c r="R496" t="inlineStr">
        <is>
          <t/>
        </is>
      </c>
      <c r="S496" t="n">
        <v>0.0</v>
      </c>
      <c r="T496" t="n">
        <v>0.0</v>
      </c>
      <c r="U496" t="n">
        <v>0.0</v>
      </c>
      <c r="V496" t="n">
        <v>0.0</v>
      </c>
      <c r="W496" t="inlineStr">
        <is>
          <t/>
        </is>
      </c>
      <c r="X496" t="n">
        <v>0.0</v>
      </c>
      <c r="Y496" t="n">
        <v>0.0</v>
      </c>
      <c r="Z496" t="n">
        <v>0.0</v>
      </c>
      <c r="AA496" t="n">
        <v>0.0</v>
      </c>
      <c r="AB496" t="n">
        <v>0.0</v>
      </c>
      <c r="AC496" t="n">
        <v>0.0</v>
      </c>
      <c r="AD496" t="n">
        <v>3.0</v>
      </c>
      <c r="AE496" t="n">
        <v>0.0</v>
      </c>
      <c r="AF496" t="n">
        <v>1.0</v>
      </c>
      <c r="AG496" t="n">
        <v>0.0</v>
      </c>
      <c r="AH496" t="n">
        <v>0.0</v>
      </c>
      <c r="AI496" t="n">
        <v>0.0</v>
      </c>
      <c r="AJ496" t="n">
        <v>0.0</v>
      </c>
      <c r="AK496" t="n">
        <v>11.666666666666666</v>
      </c>
      <c r="AL496" t="inlineStr">
        <is>
          <t/>
        </is>
      </c>
    </row>
    <row r="497">
      <c r="A497" t="inlineStr">
        <is>
          <t>听劝...给孩子吃就买这种无保水虾仁🍤</t>
        </is>
      </c>
      <c r="B497" t="inlineStr">
        <is>
          <t>6a55ce04000000002103f3d1</t>
        </is>
      </c>
      <c r="C497" s="496" t="n">
        <f>HYPERLINK("https://www.xiaohongshu.com/explore/6a55ce04000000002103f3d1?xsec_token=TBtjT0D3LpwTfPk27zCmXZxbkE52P5w7_WUY2_zLRBXJ0=&amp;xsec_source=pc_trdark","https://www.xiaohongshu.com/explore/6a55ce04000000002103f3d1?xsec_token=TBtjT0D3LpwTfPk27zCmXZxbkE52P5w7_WUY2_zLRBXJ0=&amp;xsec_source=pc_trdark")</f>
        <v>0.0</v>
      </c>
      <c r="D497" t="inlineStr">
        <is>
          <t>鲜水湾</t>
        </is>
      </c>
      <c r="E497" t="inlineStr">
        <is>
          <t>49316638994</t>
        </is>
      </c>
      <c r="F497" t="inlineStr">
        <is>
          <t>2026-07-14 13:49:56</t>
        </is>
      </c>
      <c r="G497" t="inlineStr">
        <is>
          <t>图文</t>
        </is>
      </c>
      <c r="H497" t="inlineStr">
        <is>
          <t>手剥虾仁 无冰衣无添加 低脂餐一人食 上班带饭 顺丰包邮 5盒装</t>
        </is>
      </c>
      <c r="I497" t="inlineStr">
        <is>
          <t>694baba01d450d00013662f0</t>
        </is>
      </c>
      <c r="J497" t="inlineStr">
        <is>
          <t/>
        </is>
      </c>
      <c r="K497" t="n">
        <v>0.0</v>
      </c>
      <c r="L497" t="n">
        <v>0.0</v>
      </c>
      <c r="M497" t="n">
        <v>0.0</v>
      </c>
      <c r="N497" t="n">
        <v>0.0</v>
      </c>
      <c r="O497" t="n">
        <v>0.0</v>
      </c>
      <c r="P497" t="n">
        <v>0.0</v>
      </c>
      <c r="Q497" t="inlineStr">
        <is>
          <t/>
        </is>
      </c>
      <c r="R497" t="inlineStr">
        <is>
          <t/>
        </is>
      </c>
      <c r="S497" t="n">
        <v>0.0</v>
      </c>
      <c r="T497" t="n">
        <v>0.0</v>
      </c>
      <c r="U497" t="n">
        <v>0.0</v>
      </c>
      <c r="V497" t="n">
        <v>0.0</v>
      </c>
      <c r="W497" t="inlineStr">
        <is>
          <t/>
        </is>
      </c>
      <c r="X497" t="n">
        <v>0.0</v>
      </c>
      <c r="Y497" t="n">
        <v>0.0</v>
      </c>
      <c r="Z497" t="n">
        <v>0.0</v>
      </c>
      <c r="AA497" t="n">
        <v>0.0</v>
      </c>
      <c r="AB497" t="n">
        <v>0.0</v>
      </c>
      <c r="AC497" t="n">
        <v>0.0</v>
      </c>
      <c r="AD497" t="n">
        <v>3.0</v>
      </c>
      <c r="AE497" t="n">
        <v>0.0</v>
      </c>
      <c r="AF497" t="n">
        <v>0.0</v>
      </c>
      <c r="AG497" t="n">
        <v>0.0</v>
      </c>
      <c r="AH497" t="n">
        <v>0.0</v>
      </c>
      <c r="AI497" t="n">
        <v>0.0</v>
      </c>
      <c r="AJ497" t="n">
        <v>0.0</v>
      </c>
      <c r="AK497" t="n">
        <v>18.0</v>
      </c>
      <c r="AL497" t="inlineStr">
        <is>
          <t/>
        </is>
      </c>
    </row>
    <row r="498">
      <c r="A498" t="inlineStr">
        <is>
          <t>和老爸商量后，推出早八人独爱的小包装</t>
        </is>
      </c>
      <c r="B498" t="inlineStr">
        <is>
          <t>6a54e00b000000000702631a</t>
        </is>
      </c>
      <c r="C498" s="497" t="n">
        <f>HYPERLINK("https://www.xiaohongshu.com/explore/6a54e00b000000000702631a?xsec_token=TBnijnMEPEnSTDzzHBYv-GMxuA2cfxFGinzXamrGkGbhU=&amp;xsec_source=pc_trdark","https://www.xiaohongshu.com/explore/6a54e00b000000000702631a?xsec_token=TBnijnMEPEnSTDzzHBYv-GMxuA2cfxFGinzXamrGkGbhU=&amp;xsec_source=pc_trdark")</f>
        <v>0.0</v>
      </c>
      <c r="D498" t="inlineStr">
        <is>
          <t>菲菲上班吃什么</t>
        </is>
      </c>
      <c r="E498" t="inlineStr">
        <is>
          <t>49936530607</t>
        </is>
      </c>
      <c r="F498" t="inlineStr">
        <is>
          <t>2026-07-13 20:54:35</t>
        </is>
      </c>
      <c r="G498" t="inlineStr">
        <is>
          <t>图文</t>
        </is>
      </c>
      <c r="H498" t="inlineStr">
        <is>
          <t>手剥虾仁 无冰衣无添加 低脂餐一人食 上班带饭 顺丰包邮 5盒装</t>
        </is>
      </c>
      <c r="I498" t="inlineStr">
        <is>
          <t>694baba01d450d00013662f0</t>
        </is>
      </c>
      <c r="J498" t="inlineStr">
        <is>
          <t/>
        </is>
      </c>
      <c r="K498" t="n">
        <v>0.0</v>
      </c>
      <c r="L498" t="n">
        <v>0.0</v>
      </c>
      <c r="M498" t="n">
        <v>0.0</v>
      </c>
      <c r="N498" t="n">
        <v>0.0</v>
      </c>
      <c r="O498" t="n">
        <v>0.0</v>
      </c>
      <c r="P498" t="n">
        <v>0.0</v>
      </c>
      <c r="Q498" t="inlineStr">
        <is>
          <t/>
        </is>
      </c>
      <c r="R498" t="inlineStr">
        <is>
          <t/>
        </is>
      </c>
      <c r="S498" t="n">
        <v>0.0</v>
      </c>
      <c r="T498" t="n">
        <v>0.0</v>
      </c>
      <c r="U498" t="n">
        <v>0.0</v>
      </c>
      <c r="V498" t="n">
        <v>0.0</v>
      </c>
      <c r="W498" t="inlineStr">
        <is>
          <t/>
        </is>
      </c>
      <c r="X498" t="n">
        <v>0.0</v>
      </c>
      <c r="Y498" t="n">
        <v>0.0</v>
      </c>
      <c r="Z498" t="n">
        <v>0.0</v>
      </c>
      <c r="AA498" t="n">
        <v>0.0</v>
      </c>
      <c r="AB498" t="n">
        <v>0.0</v>
      </c>
      <c r="AC498" t="n">
        <v>0.0</v>
      </c>
      <c r="AD498" t="n">
        <v>3.0</v>
      </c>
      <c r="AE498" t="n">
        <v>0.0</v>
      </c>
      <c r="AF498" t="n">
        <v>0.0</v>
      </c>
      <c r="AG498" t="n">
        <v>0.0</v>
      </c>
      <c r="AH498" t="n">
        <v>0.0</v>
      </c>
      <c r="AI498" t="n">
        <v>0.0</v>
      </c>
      <c r="AJ498" t="n">
        <v>0.0</v>
      </c>
      <c r="AK498" t="n">
        <v>3.3333333333333335</v>
      </c>
      <c r="AL498" t="inlineStr">
        <is>
          <t/>
        </is>
      </c>
    </row>
    <row r="499">
      <c r="A499" t="inlineStr">
        <is>
          <t>报告！这个三文鱼小包装也太适合一人食了</t>
        </is>
      </c>
      <c r="B499" t="inlineStr">
        <is>
          <t>6a547e000000000008027e1d</t>
        </is>
      </c>
      <c r="C499" s="498" t="n">
        <f>HYPERLINK("https://www.xiaohongshu.com/explore/6a547e000000000008027e1d?xsec_token=TBnijnMEPEnSTDzzHBYv-GM4O7vkO6wu6DNc_Yc0ukR7Q=&amp;xsec_source=pc_trdark","https://www.xiaohongshu.com/explore/6a547e000000000008027e1d?xsec_token=TBnijnMEPEnSTDzzHBYv-GM4O7vkO6wu6DNc_Yc0ukR7Q=&amp;xsec_source=pc_trdark")</f>
        <v>0.0</v>
      </c>
      <c r="D499" t="inlineStr">
        <is>
          <t>婉婉上班吃什么</t>
        </is>
      </c>
      <c r="E499" t="inlineStr">
        <is>
          <t>11434449706</t>
        </is>
      </c>
      <c r="F499" t="inlineStr">
        <is>
          <t>2026-07-13 13:56:16</t>
        </is>
      </c>
      <c r="G499" t="inlineStr">
        <is>
          <t>图文</t>
        </is>
      </c>
      <c r="H499" t="inlineStr">
        <is>
          <t>智利三文鱼切块·整条三文鱼·深海鱼一人食健康饮食</t>
        </is>
      </c>
      <c r="I499" t="inlineStr">
        <is>
          <t>691ac562a524ee0001b51d7b</t>
        </is>
      </c>
      <c r="J499" t="inlineStr">
        <is>
          <t/>
        </is>
      </c>
      <c r="K499" t="n">
        <v>0.0</v>
      </c>
      <c r="L499" t="n">
        <v>0.0</v>
      </c>
      <c r="M499" t="n">
        <v>1.0</v>
      </c>
      <c r="N499" t="n">
        <v>0.3333333333333333</v>
      </c>
      <c r="O499" t="n">
        <v>1.0</v>
      </c>
      <c r="P499" t="n">
        <v>0.0</v>
      </c>
      <c r="Q499" t="n">
        <v>0.0</v>
      </c>
      <c r="R499" t="n">
        <v>0.0</v>
      </c>
      <c r="S499" t="n">
        <v>0.0</v>
      </c>
      <c r="T499" t="n">
        <v>0.0</v>
      </c>
      <c r="U499" t="n">
        <v>0.0</v>
      </c>
      <c r="V499" t="n">
        <v>0.0</v>
      </c>
      <c r="W499" t="inlineStr">
        <is>
          <t/>
        </is>
      </c>
      <c r="X499" t="n">
        <v>0.0</v>
      </c>
      <c r="Y499" t="n">
        <v>0.0</v>
      </c>
      <c r="Z499" t="n">
        <v>0.0</v>
      </c>
      <c r="AA499" t="n">
        <v>0.0</v>
      </c>
      <c r="AB499" t="n">
        <v>0.0</v>
      </c>
      <c r="AC499" t="n">
        <v>0.0</v>
      </c>
      <c r="AD499" t="n">
        <v>3.0</v>
      </c>
      <c r="AE499" t="n">
        <v>0.0</v>
      </c>
      <c r="AF499" t="n">
        <v>0.0</v>
      </c>
      <c r="AG499" t="n">
        <v>0.0</v>
      </c>
      <c r="AH499" t="n">
        <v>0.0</v>
      </c>
      <c r="AI499" t="n">
        <v>0.0</v>
      </c>
      <c r="AJ499" t="n">
        <v>0.0</v>
      </c>
      <c r="AK499" t="n">
        <v>8.333333333333334</v>
      </c>
      <c r="AL499" t="inlineStr">
        <is>
          <t/>
        </is>
      </c>
    </row>
    <row r="500">
      <c r="A500" t="inlineStr">
        <is>
          <t>听粉丝的话，推出一人食小包装虾仁 🍤</t>
        </is>
      </c>
      <c r="B500" t="inlineStr">
        <is>
          <t>6a50c3030000000008032a01</t>
        </is>
      </c>
      <c r="C500" s="499" t="n">
        <f>HYPERLINK("https://www.xiaohongshu.com/explore/6a50c3030000000008032a01?xsec_token=TBJUAT_bOmtyXvbJR8RCxT5F1DB7Per_t31hEZX6sQEIQ=&amp;xsec_source=pc_trdark","https://www.xiaohongshu.com/explore/6a50c3030000000008032a01?xsec_token=TBJUAT_bOmtyXvbJR8RCxT5F1DB7Per_t31hEZX6sQEIQ=&amp;xsec_source=pc_trdark")</f>
        <v>0.0</v>
      </c>
      <c r="D500" t="inlineStr">
        <is>
          <t>鲜水湾</t>
        </is>
      </c>
      <c r="E500" t="inlineStr">
        <is>
          <t>49316638994</t>
        </is>
      </c>
      <c r="F500" t="inlineStr">
        <is>
          <t>2026-07-10 18:01:39</t>
        </is>
      </c>
      <c r="G500" t="inlineStr">
        <is>
          <t>图文</t>
        </is>
      </c>
      <c r="H500" t="inlineStr">
        <is>
          <t>手剥虾仁 无冰衣无添加 低脂餐一人食 上班带饭 顺丰包邮 5盒装</t>
        </is>
      </c>
      <c r="I500" t="inlineStr">
        <is>
          <t>694baba01d450d00013662f0</t>
        </is>
      </c>
      <c r="J500" t="inlineStr">
        <is>
          <t/>
        </is>
      </c>
      <c r="K500" t="n">
        <v>0.0</v>
      </c>
      <c r="L500" t="n">
        <v>0.0</v>
      </c>
      <c r="M500" t="n">
        <v>2.0</v>
      </c>
      <c r="N500" t="n">
        <v>0.6666666666666666</v>
      </c>
      <c r="O500" t="n">
        <v>2.0</v>
      </c>
      <c r="P500" t="n">
        <v>0.0</v>
      </c>
      <c r="Q500" t="n">
        <v>0.0</v>
      </c>
      <c r="R500" t="n">
        <v>0.0</v>
      </c>
      <c r="S500" t="n">
        <v>0.0</v>
      </c>
      <c r="T500" t="n">
        <v>0.0</v>
      </c>
      <c r="U500" t="n">
        <v>0.0</v>
      </c>
      <c r="V500" t="n">
        <v>0.0</v>
      </c>
      <c r="W500" t="inlineStr">
        <is>
          <t/>
        </is>
      </c>
      <c r="X500" t="n">
        <v>0.0</v>
      </c>
      <c r="Y500" t="n">
        <v>0.0</v>
      </c>
      <c r="Z500" t="n">
        <v>0.0</v>
      </c>
      <c r="AA500" t="n">
        <v>0.0</v>
      </c>
      <c r="AB500" t="n">
        <v>0.0</v>
      </c>
      <c r="AC500" t="n">
        <v>0.0</v>
      </c>
      <c r="AD500" t="n">
        <v>3.0</v>
      </c>
      <c r="AE500" t="n">
        <v>0.0</v>
      </c>
      <c r="AF500" t="n">
        <v>0.0</v>
      </c>
      <c r="AG500" t="n">
        <v>0.0</v>
      </c>
      <c r="AH500" t="n">
        <v>0.0</v>
      </c>
      <c r="AI500" t="n">
        <v>0.0</v>
      </c>
      <c r="AJ500" t="n">
        <v>0.0</v>
      </c>
      <c r="AK500" t="n">
        <v>14.666666666666666</v>
      </c>
      <c r="AL500" t="inlineStr">
        <is>
          <t/>
        </is>
      </c>
    </row>
    <row r="501">
      <c r="A501" t="inlineStr">
        <is>
          <t>连吃一周…不愧是网友推荐的！！</t>
        </is>
      </c>
      <c r="B501" t="inlineStr">
        <is>
          <t>6a50540b00000000220173d3</t>
        </is>
      </c>
      <c r="C501" s="500" t="n">
        <f>HYPERLINK("https://www.xiaohongshu.com/explore/6a50540b00000000220173d3?xsec_token=TBJUAT_bOmtyXvbJR8RCxT5FdcbZoGX-xQGek3nAK8pt8=&amp;xsec_source=pc_trdark","https://www.xiaohongshu.com/explore/6a50540b00000000220173d3?xsec_token=TBJUAT_bOmtyXvbJR8RCxT5FdcbZoGX-xQGek3nAK8pt8=&amp;xsec_source=pc_trdark")</f>
        <v>0.0</v>
      </c>
      <c r="D501" t="inlineStr">
        <is>
          <t>婉婉上班吃什么</t>
        </is>
      </c>
      <c r="E501" t="inlineStr">
        <is>
          <t>11434449706</t>
        </is>
      </c>
      <c r="F501" t="inlineStr">
        <is>
          <t>2026-07-10 10:08:11</t>
        </is>
      </c>
      <c r="G501" t="inlineStr">
        <is>
          <t>图文</t>
        </is>
      </c>
      <c r="H501" t="inlineStr">
        <is>
          <t>手剥虾仁 无冰衣无添加 低脂餐一人食 上班带饭 顺丰包邮 5盒装</t>
        </is>
      </c>
      <c r="I501" t="inlineStr">
        <is>
          <t>694baba01d450d00013662f0</t>
        </is>
      </c>
      <c r="J501" t="inlineStr">
        <is>
          <t/>
        </is>
      </c>
      <c r="K501" t="n">
        <v>0.0</v>
      </c>
      <c r="L501" t="n">
        <v>0.0</v>
      </c>
      <c r="M501" t="n">
        <v>0.0</v>
      </c>
      <c r="N501" t="n">
        <v>0.0</v>
      </c>
      <c r="O501" t="n">
        <v>0.0</v>
      </c>
      <c r="P501" t="n">
        <v>0.0</v>
      </c>
      <c r="Q501" t="inlineStr">
        <is>
          <t/>
        </is>
      </c>
      <c r="R501" t="inlineStr">
        <is>
          <t/>
        </is>
      </c>
      <c r="S501" t="n">
        <v>0.0</v>
      </c>
      <c r="T501" t="n">
        <v>0.0</v>
      </c>
      <c r="U501" t="n">
        <v>0.0</v>
      </c>
      <c r="V501" t="n">
        <v>0.0</v>
      </c>
      <c r="W501" t="inlineStr">
        <is>
          <t/>
        </is>
      </c>
      <c r="X501" t="n">
        <v>0.0</v>
      </c>
      <c r="Y501" t="n">
        <v>0.0</v>
      </c>
      <c r="Z501" t="n">
        <v>1.0</v>
      </c>
      <c r="AA501" t="n">
        <v>0.0</v>
      </c>
      <c r="AB501" t="n">
        <v>0.0</v>
      </c>
      <c r="AC501" t="n">
        <v>0.0</v>
      </c>
      <c r="AD501" t="n">
        <v>3.0</v>
      </c>
      <c r="AE501" t="n">
        <v>0.0</v>
      </c>
      <c r="AF501" t="n">
        <v>0.0</v>
      </c>
      <c r="AG501" t="n">
        <v>0.0</v>
      </c>
      <c r="AH501" t="n">
        <v>0.0</v>
      </c>
      <c r="AI501" t="n">
        <v>0.0</v>
      </c>
      <c r="AJ501" t="n">
        <v>0.0</v>
      </c>
      <c r="AK501" t="n">
        <v>3.3333333333333335</v>
      </c>
      <c r="AL501" t="inlineStr">
        <is>
          <t/>
        </is>
      </c>
    </row>
    <row r="502">
      <c r="A502" t="inlineStr">
        <is>
          <t>爸说：真的低估69块的购买力了！</t>
        </is>
      </c>
      <c r="B502" t="inlineStr">
        <is>
          <t>6a4f2f27000000000702008d</t>
        </is>
      </c>
      <c r="C502" s="501" t="n">
        <f>HYPERLINK("https://www.xiaohongshu.com/explore/6a4f2f27000000000702008d?xsec_token=TBFAmOxEStEk-753Ha7GZ-qw-2ej8okdWJhdSLhy5MPiQ=&amp;xsec_source=pc_trdark","https://www.xiaohongshu.com/explore/6a4f2f27000000000702008d?xsec_token=TBFAmOxEStEk-753Ha7GZ-qw-2ej8okdWJhdSLhy5MPiQ=&amp;xsec_source=pc_trdark")</f>
        <v>0.0</v>
      </c>
      <c r="D502" t="inlineStr">
        <is>
          <t>菲菲上班吃什么</t>
        </is>
      </c>
      <c r="E502" t="inlineStr">
        <is>
          <t>49936530607</t>
        </is>
      </c>
      <c r="F502" t="inlineStr">
        <is>
          <t>2026-07-09 13:18:31</t>
        </is>
      </c>
      <c r="G502" t="inlineStr">
        <is>
          <t>图文</t>
        </is>
      </c>
      <c r="H502" t="inlineStr">
        <is>
          <t>手剥虾仁 无冰衣无添加 低脂餐一人食 上班带饭 顺丰包邮 5盒装</t>
        </is>
      </c>
      <c r="I502" t="inlineStr">
        <is>
          <t>694baba01d450d00013662f0</t>
        </is>
      </c>
      <c r="J502" t="inlineStr">
        <is>
          <t/>
        </is>
      </c>
      <c r="K502" t="n">
        <v>0.0</v>
      </c>
      <c r="L502" t="n">
        <v>0.0</v>
      </c>
      <c r="M502" t="n">
        <v>1.0</v>
      </c>
      <c r="N502" t="n">
        <v>0.3333333333333333</v>
      </c>
      <c r="O502" t="n">
        <v>1.0</v>
      </c>
      <c r="P502" t="n">
        <v>0.0</v>
      </c>
      <c r="Q502" t="n">
        <v>0.0</v>
      </c>
      <c r="R502" t="n">
        <v>0.0</v>
      </c>
      <c r="S502" t="n">
        <v>0.0</v>
      </c>
      <c r="T502" t="n">
        <v>0.0</v>
      </c>
      <c r="U502" t="n">
        <v>0.0</v>
      </c>
      <c r="V502" t="n">
        <v>0.0</v>
      </c>
      <c r="W502" t="inlineStr">
        <is>
          <t/>
        </is>
      </c>
      <c r="X502" t="n">
        <v>0.0</v>
      </c>
      <c r="Y502" t="n">
        <v>1.0</v>
      </c>
      <c r="Z502" t="n">
        <v>0.0</v>
      </c>
      <c r="AA502" t="n">
        <v>0.0</v>
      </c>
      <c r="AB502" t="n">
        <v>0.0</v>
      </c>
      <c r="AC502" t="n">
        <v>0.0</v>
      </c>
      <c r="AD502" t="n">
        <v>3.0</v>
      </c>
      <c r="AE502" t="n">
        <v>0.0</v>
      </c>
      <c r="AF502" t="n">
        <v>0.0</v>
      </c>
      <c r="AG502" t="n">
        <v>0.0</v>
      </c>
      <c r="AH502" t="n">
        <v>0.0</v>
      </c>
      <c r="AI502" t="n">
        <v>0.0</v>
      </c>
      <c r="AJ502" t="n">
        <v>0.0</v>
      </c>
      <c r="AK502" t="n">
        <v>18.333333333333332</v>
      </c>
      <c r="AL502" t="inlineStr">
        <is>
          <t/>
        </is>
      </c>
    </row>
    <row r="503">
      <c r="A503" t="inlineStr">
        <is>
          <t>我宣布！这一餐一包就是独居人天花板！</t>
        </is>
      </c>
      <c r="B503" t="inlineStr">
        <is>
          <t>6a4d0c9b00000000220085e0</t>
        </is>
      </c>
      <c r="C503" s="502" t="n">
        <f>HYPERLINK("https://www.xiaohongshu.com/explore/6a4d0c9b00000000220085e0?xsec_token=TB_h-LxY0T3CKUVqNJJaetsFI8F77foJxnhIdqizyROtk=&amp;xsec_source=pc_trdark","https://www.xiaohongshu.com/explore/6a4d0c9b00000000220085e0?xsec_token=TB_h-LxY0T3CKUVqNJJaetsFI8F77foJxnhIdqizyROtk=&amp;xsec_source=pc_trdark")</f>
        <v>0.0</v>
      </c>
      <c r="D503" t="inlineStr">
        <is>
          <t>菲菲上班吃什么</t>
        </is>
      </c>
      <c r="E503" t="inlineStr">
        <is>
          <t>49936530607</t>
        </is>
      </c>
      <c r="F503" t="inlineStr">
        <is>
          <t>2026-07-07 22:26:35</t>
        </is>
      </c>
      <c r="G503" t="inlineStr">
        <is>
          <t>图文</t>
        </is>
      </c>
      <c r="H503" t="inlineStr">
        <is>
          <t>手剥虾仁 无冰衣无添加 低脂餐一人食 上班带饭 顺丰包邮 5盒装</t>
        </is>
      </c>
      <c r="I503" t="inlineStr">
        <is>
          <t>694baba01d450d00013662f0</t>
        </is>
      </c>
      <c r="J503" t="inlineStr">
        <is>
          <t/>
        </is>
      </c>
      <c r="K503" t="n">
        <v>0.0</v>
      </c>
      <c r="L503" t="n">
        <v>0.0</v>
      </c>
      <c r="M503" t="n">
        <v>0.0</v>
      </c>
      <c r="N503" t="n">
        <v>0.0</v>
      </c>
      <c r="O503" t="n">
        <v>0.0</v>
      </c>
      <c r="P503" t="n">
        <v>0.0</v>
      </c>
      <c r="Q503" t="inlineStr">
        <is>
          <t/>
        </is>
      </c>
      <c r="R503" t="inlineStr">
        <is>
          <t/>
        </is>
      </c>
      <c r="S503" t="n">
        <v>0.0</v>
      </c>
      <c r="T503" t="n">
        <v>0.0</v>
      </c>
      <c r="U503" t="n">
        <v>0.0</v>
      </c>
      <c r="V503" t="n">
        <v>0.0</v>
      </c>
      <c r="W503" t="inlineStr">
        <is>
          <t/>
        </is>
      </c>
      <c r="X503" t="n">
        <v>0.0</v>
      </c>
      <c r="Y503" t="n">
        <v>0.0</v>
      </c>
      <c r="Z503" t="n">
        <v>0.0</v>
      </c>
      <c r="AA503" t="n">
        <v>0.0</v>
      </c>
      <c r="AB503" t="n">
        <v>0.0</v>
      </c>
      <c r="AC503" t="n">
        <v>0.0</v>
      </c>
      <c r="AD503" t="n">
        <v>3.0</v>
      </c>
      <c r="AE503" t="n">
        <v>0.0</v>
      </c>
      <c r="AF503" t="n">
        <v>0.0</v>
      </c>
      <c r="AG503" t="n">
        <v>1.0</v>
      </c>
      <c r="AH503" t="n">
        <v>0.0</v>
      </c>
      <c r="AI503" t="n">
        <v>0.0</v>
      </c>
      <c r="AJ503" t="n">
        <v>0.0</v>
      </c>
      <c r="AK503" t="n">
        <v>21.666666666666668</v>
      </c>
      <c r="AL503" t="inlineStr">
        <is>
          <t/>
        </is>
      </c>
    </row>
    <row r="504">
      <c r="A504" t="inlineStr">
        <is>
          <t>69 块竟然能承包我一个周的减脂虾仁</t>
        </is>
      </c>
      <c r="B504" t="inlineStr">
        <is>
          <t>6a4b7a790000000008027584</t>
        </is>
      </c>
      <c r="C504" s="503" t="n">
        <f>HYPERLINK("https://www.xiaohongshu.com/explore/6a4b7a790000000008027584?xsec_token=TBbJ-JHK-PBbJgek6K72FYkf0RERPD-ooiCj-ACSyPe14=&amp;xsec_source=pc_trdark","https://www.xiaohongshu.com/explore/6a4b7a790000000008027584?xsec_token=TBbJ-JHK-PBbJgek6K72FYkf0RERPD-ooiCj-ACSyPe14=&amp;xsec_source=pc_trdark")</f>
        <v>0.0</v>
      </c>
      <c r="D504" t="inlineStr">
        <is>
          <t>鲜水湾</t>
        </is>
      </c>
      <c r="E504" t="inlineStr">
        <is>
          <t>49316638994</t>
        </is>
      </c>
      <c r="F504" t="inlineStr">
        <is>
          <t>2026-07-06 17:50:49</t>
        </is>
      </c>
      <c r="G504" t="inlineStr">
        <is>
          <t>图文</t>
        </is>
      </c>
      <c r="H504" t="inlineStr">
        <is>
          <t>手剥虾仁 无冰衣无添加 低脂餐一人食 上班带饭 顺丰包邮 5盒装</t>
        </is>
      </c>
      <c r="I504" t="inlineStr">
        <is>
          <t>694baba01d450d00013662f0</t>
        </is>
      </c>
      <c r="J504" t="inlineStr">
        <is>
          <t/>
        </is>
      </c>
      <c r="K504" t="n">
        <v>0.0</v>
      </c>
      <c r="L504" t="n">
        <v>0.0</v>
      </c>
      <c r="M504" t="n">
        <v>1.0</v>
      </c>
      <c r="N504" t="n">
        <v>0.3333333333333333</v>
      </c>
      <c r="O504" t="n">
        <v>1.0</v>
      </c>
      <c r="P504" t="n">
        <v>0.0</v>
      </c>
      <c r="Q504" t="n">
        <v>0.0</v>
      </c>
      <c r="R504" t="n">
        <v>0.0</v>
      </c>
      <c r="S504" t="n">
        <v>0.0</v>
      </c>
      <c r="T504" t="n">
        <v>0.0</v>
      </c>
      <c r="U504" t="n">
        <v>0.0</v>
      </c>
      <c r="V504" t="n">
        <v>0.0</v>
      </c>
      <c r="W504" t="inlineStr">
        <is>
          <t/>
        </is>
      </c>
      <c r="X504" t="n">
        <v>0.0</v>
      </c>
      <c r="Y504" t="n">
        <v>0.0</v>
      </c>
      <c r="Z504" t="n">
        <v>0.0</v>
      </c>
      <c r="AA504" t="n">
        <v>0.0</v>
      </c>
      <c r="AB504" t="n">
        <v>0.0</v>
      </c>
      <c r="AC504" t="n">
        <v>0.0</v>
      </c>
      <c r="AD504" t="n">
        <v>3.0</v>
      </c>
      <c r="AE504" t="n">
        <v>0.0</v>
      </c>
      <c r="AF504" t="n">
        <v>0.0</v>
      </c>
      <c r="AG504" t="n">
        <v>0.0</v>
      </c>
      <c r="AH504" t="n">
        <v>0.0</v>
      </c>
      <c r="AI504" t="n">
        <v>0.0</v>
      </c>
      <c r="AJ504" t="n">
        <v>0.0</v>
      </c>
      <c r="AK504" t="n">
        <v>13.333333333333334</v>
      </c>
      <c r="AL504" t="inlineStr">
        <is>
          <t/>
        </is>
      </c>
    </row>
    <row r="505">
      <c r="A505" t="inlineStr">
        <is>
          <t>独居一人食，终于有人做100g小包装了</t>
        </is>
      </c>
      <c r="B505" t="inlineStr">
        <is>
          <t>6a4b5643000000000f01c914</t>
        </is>
      </c>
      <c r="C505" s="504" t="n">
        <f>HYPERLINK("https://www.xiaohongshu.com/explore/6a4b5643000000000f01c914?xsec_token=TBbJ-JHK-PBbJgek6K72FYkZn8XMP7kqYsP-xmHeL_IaY=&amp;xsec_source=pc_trdark","https://www.xiaohongshu.com/explore/6a4b5643000000000f01c914?xsec_token=TBbJ-JHK-PBbJgek6K72FYkZn8XMP7kqYsP-xmHeL_IaY=&amp;xsec_source=pc_trdark")</f>
        <v>0.0</v>
      </c>
      <c r="D505" t="inlineStr">
        <is>
          <t>鲜水湾甄选</t>
        </is>
      </c>
      <c r="E505" t="inlineStr">
        <is>
          <t>27401929161</t>
        </is>
      </c>
      <c r="F505" t="inlineStr">
        <is>
          <t>2026-07-06 15:16:19</t>
        </is>
      </c>
      <c r="G505" t="inlineStr">
        <is>
          <t>图文</t>
        </is>
      </c>
      <c r="H505" t="inlineStr">
        <is>
          <t>手剥虾仁 无冰衣无添加 低脂餐一人食 上班带饭 顺丰包邮 5盒装</t>
        </is>
      </c>
      <c r="I505" t="inlineStr">
        <is>
          <t>694baba01d450d00013662f0</t>
        </is>
      </c>
      <c r="J505" t="inlineStr">
        <is>
          <t/>
        </is>
      </c>
      <c r="K505" t="n">
        <v>0.0</v>
      </c>
      <c r="L505" t="n">
        <v>0.0</v>
      </c>
      <c r="M505" t="n">
        <v>0.0</v>
      </c>
      <c r="N505" t="n">
        <v>0.0</v>
      </c>
      <c r="O505" t="n">
        <v>0.0</v>
      </c>
      <c r="P505" t="n">
        <v>0.0</v>
      </c>
      <c r="Q505" t="inlineStr">
        <is>
          <t/>
        </is>
      </c>
      <c r="R505" t="inlineStr">
        <is>
          <t/>
        </is>
      </c>
      <c r="S505" t="n">
        <v>0.0</v>
      </c>
      <c r="T505" t="n">
        <v>0.0</v>
      </c>
      <c r="U505" t="n">
        <v>0.0</v>
      </c>
      <c r="V505" t="n">
        <v>0.0</v>
      </c>
      <c r="W505" t="inlineStr">
        <is>
          <t/>
        </is>
      </c>
      <c r="X505" t="n">
        <v>0.0</v>
      </c>
      <c r="Y505" t="n">
        <v>0.0</v>
      </c>
      <c r="Z505" t="n">
        <v>0.0</v>
      </c>
      <c r="AA505" t="n">
        <v>0.0</v>
      </c>
      <c r="AB505" t="n">
        <v>0.0</v>
      </c>
      <c r="AC505" t="n">
        <v>0.0</v>
      </c>
      <c r="AD505" t="n">
        <v>3.0</v>
      </c>
      <c r="AE505" t="n">
        <v>0.0</v>
      </c>
      <c r="AF505" t="n">
        <v>0.0</v>
      </c>
      <c r="AG505" t="n">
        <v>0.0</v>
      </c>
      <c r="AH505" t="n">
        <v>0.0</v>
      </c>
      <c r="AI505" t="n">
        <v>0.0</v>
      </c>
      <c r="AJ505" t="n">
        <v>0.0</v>
      </c>
      <c r="AK505" t="n">
        <v>4.0</v>
      </c>
      <c r="AL505" t="inlineStr">
        <is>
          <t/>
        </is>
      </c>
    </row>
    <row r="506">
      <c r="A506" t="inlineStr">
        <is>
          <t>粉丝建议，推出100g的独立小包装虾仁！！！</t>
        </is>
      </c>
      <c r="B506" t="inlineStr">
        <is>
          <t>6a478cab0000000021008e7d</t>
        </is>
      </c>
      <c r="C506" s="505" t="n">
        <f>HYPERLINK("https://www.xiaohongshu.com/explore/6a478cab0000000021008e7d?xsec_token=TBfioABv3EUaNcb0n3V9sKZr6oQ3RogcR3birLYwWbPZ8=&amp;xsec_source=pc_trdark","https://www.xiaohongshu.com/explore/6a478cab0000000021008e7d?xsec_token=TBfioABv3EUaNcb0n3V9sKZr6oQ3RogcR3birLYwWbPZ8=&amp;xsec_source=pc_trdark")</f>
        <v>0.0</v>
      </c>
      <c r="D506" t="inlineStr">
        <is>
          <t>菲菲上班吃什么</t>
        </is>
      </c>
      <c r="E506" t="inlineStr">
        <is>
          <t>49936530607</t>
        </is>
      </c>
      <c r="F506" t="inlineStr">
        <is>
          <t>2026-07-03 18:19:23</t>
        </is>
      </c>
      <c r="G506" t="inlineStr">
        <is>
          <t>图文</t>
        </is>
      </c>
      <c r="H506" t="inlineStr">
        <is>
          <t>手剥虾仁 无冰衣无添加 低脂餐一人食 上班带饭 顺丰包邮 5盒装</t>
        </is>
      </c>
      <c r="I506" t="inlineStr">
        <is>
          <t>694baba01d450d00013662f0</t>
        </is>
      </c>
      <c r="J506" t="inlineStr">
        <is>
          <t/>
        </is>
      </c>
      <c r="K506" t="n">
        <v>0.0</v>
      </c>
      <c r="L506" t="n">
        <v>0.0</v>
      </c>
      <c r="M506" t="n">
        <v>1.0</v>
      </c>
      <c r="N506" t="n">
        <v>0.3333333333333333</v>
      </c>
      <c r="O506" t="n">
        <v>1.0</v>
      </c>
      <c r="P506" t="n">
        <v>0.0</v>
      </c>
      <c r="Q506" t="n">
        <v>0.0</v>
      </c>
      <c r="R506" t="n">
        <v>0.0</v>
      </c>
      <c r="S506" t="n">
        <v>0.0</v>
      </c>
      <c r="T506" t="n">
        <v>0.0</v>
      </c>
      <c r="U506" t="n">
        <v>0.0</v>
      </c>
      <c r="V506" t="n">
        <v>0.0</v>
      </c>
      <c r="W506" t="inlineStr">
        <is>
          <t/>
        </is>
      </c>
      <c r="X506" t="n">
        <v>0.0</v>
      </c>
      <c r="Y506" t="n">
        <v>0.0</v>
      </c>
      <c r="Z506" t="n">
        <v>0.0</v>
      </c>
      <c r="AA506" t="n">
        <v>0.0</v>
      </c>
      <c r="AB506" t="n">
        <v>0.0</v>
      </c>
      <c r="AC506" t="n">
        <v>0.0</v>
      </c>
      <c r="AD506" t="n">
        <v>3.0</v>
      </c>
      <c r="AE506" t="n">
        <v>0.0</v>
      </c>
      <c r="AF506" t="n">
        <v>0.0</v>
      </c>
      <c r="AG506" t="n">
        <v>0.0</v>
      </c>
      <c r="AH506" t="n">
        <v>0.0</v>
      </c>
      <c r="AI506" t="n">
        <v>0.0</v>
      </c>
      <c r="AJ506" t="n">
        <v>0.0</v>
      </c>
      <c r="AK506" t="n">
        <v>15.333333333333334</v>
      </c>
      <c r="AL506" t="inlineStr">
        <is>
          <t/>
        </is>
      </c>
    </row>
    <row r="507">
      <c r="A507" t="inlineStr">
        <is>
          <t>69.9r起…希望它火…又不希望它太火</t>
        </is>
      </c>
      <c r="B507" t="inlineStr">
        <is>
          <t>6a461b190000000021009a0f</t>
        </is>
      </c>
      <c r="C507" s="506" t="n">
        <f>HYPERLINK("https://www.xiaohongshu.com/explore/6a461b190000000021009a0f?xsec_token=TBh16dqEaGc_HtFtaLZGOnECjQJTNZjb9OrLKY5CL_-BA=&amp;xsec_source=pc_trdark","https://www.xiaohongshu.com/explore/6a461b190000000021009a0f?xsec_token=TBh16dqEaGc_HtFtaLZGOnECjQJTNZjb9OrLKY5CL_-BA=&amp;xsec_source=pc_trdark")</f>
        <v>0.0</v>
      </c>
      <c r="D507" t="inlineStr">
        <is>
          <t>鲜水湾</t>
        </is>
      </c>
      <c r="E507" t="inlineStr">
        <is>
          <t>49316638994</t>
        </is>
      </c>
      <c r="F507" t="inlineStr">
        <is>
          <t>2026-07-02 16:02:33</t>
        </is>
      </c>
      <c r="G507" t="inlineStr">
        <is>
          <t>图文</t>
        </is>
      </c>
      <c r="H507" t="inlineStr">
        <is>
          <t>手剥虾仁 无冰衣无添加 低脂餐一人食 上班带饭 顺丰包邮 5盒装</t>
        </is>
      </c>
      <c r="I507" t="inlineStr">
        <is>
          <t>694baba01d450d00013662f0</t>
        </is>
      </c>
      <c r="J507" t="inlineStr">
        <is>
          <t/>
        </is>
      </c>
      <c r="K507" t="n">
        <v>0.0</v>
      </c>
      <c r="L507" t="n">
        <v>0.0</v>
      </c>
      <c r="M507" t="n">
        <v>0.0</v>
      </c>
      <c r="N507" t="n">
        <v>0.0</v>
      </c>
      <c r="O507" t="n">
        <v>0.0</v>
      </c>
      <c r="P507" t="n">
        <v>0.0</v>
      </c>
      <c r="Q507" t="inlineStr">
        <is>
          <t/>
        </is>
      </c>
      <c r="R507" t="inlineStr">
        <is>
          <t/>
        </is>
      </c>
      <c r="S507" t="n">
        <v>0.0</v>
      </c>
      <c r="T507" t="n">
        <v>0.0</v>
      </c>
      <c r="U507" t="n">
        <v>0.0</v>
      </c>
      <c r="V507" t="n">
        <v>0.0</v>
      </c>
      <c r="W507" t="inlineStr">
        <is>
          <t/>
        </is>
      </c>
      <c r="X507" t="n">
        <v>0.0</v>
      </c>
      <c r="Y507" t="n">
        <v>0.0</v>
      </c>
      <c r="Z507" t="n">
        <v>0.0</v>
      </c>
      <c r="AA507" t="n">
        <v>0.0</v>
      </c>
      <c r="AB507" t="n">
        <v>0.0</v>
      </c>
      <c r="AC507" t="n">
        <v>0.0</v>
      </c>
      <c r="AD507" t="n">
        <v>3.0</v>
      </c>
      <c r="AE507" t="n">
        <v>0.0</v>
      </c>
      <c r="AF507" t="n">
        <v>0.0</v>
      </c>
      <c r="AG507" t="n">
        <v>0.0</v>
      </c>
      <c r="AH507" t="n">
        <v>0.0</v>
      </c>
      <c r="AI507" t="n">
        <v>0.0</v>
      </c>
      <c r="AJ507" t="n">
        <v>0.0</v>
      </c>
      <c r="AK507" t="n">
        <v>3.0</v>
      </c>
      <c r="AL507" t="inlineStr">
        <is>
          <t/>
        </is>
      </c>
    </row>
    <row r="508">
      <c r="A508" t="inlineStr">
        <is>
          <t>独居人！怎么能少得了一人食三文鱼</t>
        </is>
      </c>
      <c r="B508" t="inlineStr">
        <is>
          <t>6a44b9c10000000007022182</t>
        </is>
      </c>
      <c r="C508" s="507" t="n">
        <f>HYPERLINK("https://www.xiaohongshu.com/explore/6a44b9c10000000007022182?xsec_token=TBsNLvvwxdidvAFeSxmUSQxZIKiYRKBbK9GasiNaPbYT8=&amp;xsec_source=pc_trdark","https://www.xiaohongshu.com/explore/6a44b9c10000000007022182?xsec_token=TBsNLvvwxdidvAFeSxmUSQxZIKiYRKBbK9GasiNaPbYT8=&amp;xsec_source=pc_trdark")</f>
        <v>0.0</v>
      </c>
      <c r="D508" t="inlineStr">
        <is>
          <t>鲜水湾</t>
        </is>
      </c>
      <c r="E508" t="inlineStr">
        <is>
          <t>49316638994</t>
        </is>
      </c>
      <c r="F508" t="inlineStr">
        <is>
          <t>2026-07-01 14:54:57</t>
        </is>
      </c>
      <c r="G508" t="inlineStr">
        <is>
          <t>图文</t>
        </is>
      </c>
      <c r="H508" t="inlineStr">
        <is>
          <t>挪威冰鲜三文鱼刺身级食材生鱼片日式火锅食材顺丰包邮</t>
        </is>
      </c>
      <c r="I508" t="inlineStr">
        <is>
          <t>69cced09069e7b000143e726</t>
        </is>
      </c>
      <c r="J508" t="inlineStr">
        <is>
          <t/>
        </is>
      </c>
      <c r="K508" t="n">
        <v>0.0</v>
      </c>
      <c r="L508" t="n">
        <v>0.0</v>
      </c>
      <c r="M508" t="n">
        <v>1.0</v>
      </c>
      <c r="N508" t="n">
        <v>0.3333333333333333</v>
      </c>
      <c r="O508" t="n">
        <v>1.0</v>
      </c>
      <c r="P508" t="n">
        <v>0.0</v>
      </c>
      <c r="Q508" t="n">
        <v>0.0</v>
      </c>
      <c r="R508" t="n">
        <v>0.0</v>
      </c>
      <c r="S508" t="n">
        <v>0.0</v>
      </c>
      <c r="T508" t="n">
        <v>0.0</v>
      </c>
      <c r="U508" t="n">
        <v>0.0</v>
      </c>
      <c r="V508" t="n">
        <v>0.0</v>
      </c>
      <c r="W508" t="inlineStr">
        <is>
          <t/>
        </is>
      </c>
      <c r="X508" t="n">
        <v>0.0</v>
      </c>
      <c r="Y508" t="n">
        <v>0.0</v>
      </c>
      <c r="Z508" t="n">
        <v>0.0</v>
      </c>
      <c r="AA508" t="n">
        <v>0.0</v>
      </c>
      <c r="AB508" t="n">
        <v>0.0</v>
      </c>
      <c r="AC508" t="n">
        <v>0.0</v>
      </c>
      <c r="AD508" t="n">
        <v>3.0</v>
      </c>
      <c r="AE508" t="n">
        <v>0.0</v>
      </c>
      <c r="AF508" t="n">
        <v>0.0</v>
      </c>
      <c r="AG508" t="n">
        <v>0.0</v>
      </c>
      <c r="AH508" t="n">
        <v>0.0</v>
      </c>
      <c r="AI508" t="n">
        <v>0.0</v>
      </c>
      <c r="AJ508" t="n">
        <v>0.0</v>
      </c>
      <c r="AK508" t="n">
        <v>3.3333333333333335</v>
      </c>
      <c r="AL508" t="inlineStr">
        <is>
          <t/>
        </is>
      </c>
    </row>
    <row r="509">
      <c r="A509" t="inlineStr">
        <is>
          <t>按粉丝的要求，推出早八人独爱的小包装</t>
        </is>
      </c>
      <c r="B509" t="inlineStr">
        <is>
          <t>6a44943300000000220157fe</t>
        </is>
      </c>
      <c r="C509" s="508" t="n">
        <f>HYPERLINK("https://www.xiaohongshu.com/explore/6a44943300000000220157fe?xsec_token=TBsNLvvwxdidvAFeSxmUSQxefZb1agLi6Fq0xepvRbBp4=&amp;xsec_source=pc_trdark","https://www.xiaohongshu.com/explore/6a44943300000000220157fe?xsec_token=TBsNLvvwxdidvAFeSxmUSQxefZb1agLi6Fq0xepvRbBp4=&amp;xsec_source=pc_trdark")</f>
        <v>0.0</v>
      </c>
      <c r="D509" t="inlineStr">
        <is>
          <t>菲菲上班吃什么</t>
        </is>
      </c>
      <c r="E509" t="inlineStr">
        <is>
          <t>49936530607</t>
        </is>
      </c>
      <c r="F509" t="inlineStr">
        <is>
          <t>2026-07-01 12:14:43</t>
        </is>
      </c>
      <c r="G509" t="inlineStr">
        <is>
          <t>图文</t>
        </is>
      </c>
      <c r="H509" t="inlineStr">
        <is>
          <t>手剥虾仁 无冰衣无添加 低脂餐一人食 上班带饭 顺丰包邮 5盒装</t>
        </is>
      </c>
      <c r="I509" t="inlineStr">
        <is>
          <t>694baba01d450d00013662f0</t>
        </is>
      </c>
      <c r="J509" t="inlineStr">
        <is>
          <t/>
        </is>
      </c>
      <c r="K509" t="n">
        <v>0.0</v>
      </c>
      <c r="L509" t="n">
        <v>0.0</v>
      </c>
      <c r="M509" t="n">
        <v>1.0</v>
      </c>
      <c r="N509" t="n">
        <v>0.3333333333333333</v>
      </c>
      <c r="O509" t="n">
        <v>1.0</v>
      </c>
      <c r="P509" t="n">
        <v>0.0</v>
      </c>
      <c r="Q509" t="n">
        <v>0.0</v>
      </c>
      <c r="R509" t="n">
        <v>0.0</v>
      </c>
      <c r="S509" t="n">
        <v>0.0</v>
      </c>
      <c r="T509" t="n">
        <v>0.0</v>
      </c>
      <c r="U509" t="n">
        <v>0.0</v>
      </c>
      <c r="V509" t="n">
        <v>0.0</v>
      </c>
      <c r="W509" t="inlineStr">
        <is>
          <t/>
        </is>
      </c>
      <c r="X509" t="n">
        <v>0.0</v>
      </c>
      <c r="Y509" t="n">
        <v>0.0</v>
      </c>
      <c r="Z509" t="n">
        <v>0.0</v>
      </c>
      <c r="AA509" t="n">
        <v>0.0</v>
      </c>
      <c r="AB509" t="n">
        <v>0.0</v>
      </c>
      <c r="AC509" t="n">
        <v>0.0</v>
      </c>
      <c r="AD509" t="n">
        <v>3.0</v>
      </c>
      <c r="AE509" t="n">
        <v>0.0</v>
      </c>
      <c r="AF509" t="n">
        <v>0.0</v>
      </c>
      <c r="AG509" t="n">
        <v>0.0</v>
      </c>
      <c r="AH509" t="n">
        <v>0.0</v>
      </c>
      <c r="AI509" t="n">
        <v>0.0</v>
      </c>
      <c r="AJ509" t="n">
        <v>0.0</v>
      </c>
      <c r="AK509" t="n">
        <v>12.666666666666666</v>
      </c>
      <c r="AL509" t="inlineStr">
        <is>
          <t/>
        </is>
      </c>
    </row>
    <row r="510">
      <c r="A510" t="inlineStr">
        <is>
          <t>租房党终于找到适合小冰箱囤的食材了</t>
        </is>
      </c>
      <c r="B510" t="inlineStr">
        <is>
          <t>6a4090e1000000000702e09f</t>
        </is>
      </c>
      <c r="C510" s="509" t="n">
        <f>HYPERLINK("https://www.xiaohongshu.com/explore/6a4090e1000000000702e09f?xsec_token=TB2xvXhU7LkdyqBoKVG9S0jcNVdT4GIg9kKQmNDobxxHE=&amp;xsec_source=pc_trdark","https://www.xiaohongshu.com/explore/6a4090e1000000000702e09f?xsec_token=TB2xvXhU7LkdyqBoKVG9S0jcNVdT4GIg9kKQmNDobxxHE=&amp;xsec_source=pc_trdark")</f>
        <v>0.0</v>
      </c>
      <c r="D510" t="inlineStr">
        <is>
          <t>菲菲上班吃什么</t>
        </is>
      </c>
      <c r="E510" t="inlineStr">
        <is>
          <t>49936530607</t>
        </is>
      </c>
      <c r="F510" t="inlineStr">
        <is>
          <t>2026-06-28 11:11:29</t>
        </is>
      </c>
      <c r="G510" t="inlineStr">
        <is>
          <t>图文</t>
        </is>
      </c>
      <c r="H510" t="inlineStr">
        <is>
          <t>手剥虾仁 无冰衣无添加 低脂餐一人食 上班带饭 顺丰包邮 5盒装</t>
        </is>
      </c>
      <c r="I510" t="inlineStr">
        <is>
          <t>694baba01d450d00013662f0</t>
        </is>
      </c>
      <c r="J510" t="inlineStr">
        <is>
          <t/>
        </is>
      </c>
      <c r="K510" t="n">
        <v>0.0</v>
      </c>
      <c r="L510" t="n">
        <v>0.0</v>
      </c>
      <c r="M510" t="n">
        <v>0.0</v>
      </c>
      <c r="N510" t="n">
        <v>0.0</v>
      </c>
      <c r="O510" t="n">
        <v>0.0</v>
      </c>
      <c r="P510" t="n">
        <v>0.0</v>
      </c>
      <c r="Q510" t="inlineStr">
        <is>
          <t/>
        </is>
      </c>
      <c r="R510" t="inlineStr">
        <is>
          <t/>
        </is>
      </c>
      <c r="S510" t="n">
        <v>0.0</v>
      </c>
      <c r="T510" t="n">
        <v>0.0</v>
      </c>
      <c r="U510" t="n">
        <v>0.0</v>
      </c>
      <c r="V510" t="n">
        <v>0.0</v>
      </c>
      <c r="W510" t="inlineStr">
        <is>
          <t/>
        </is>
      </c>
      <c r="X510" t="n">
        <v>0.0</v>
      </c>
      <c r="Y510" t="n">
        <v>0.0</v>
      </c>
      <c r="Z510" t="n">
        <v>0.0</v>
      </c>
      <c r="AA510" t="n">
        <v>0.0</v>
      </c>
      <c r="AB510" t="n">
        <v>0.0</v>
      </c>
      <c r="AC510" t="n">
        <v>0.0</v>
      </c>
      <c r="AD510" t="n">
        <v>3.0</v>
      </c>
      <c r="AE510" t="n">
        <v>0.0</v>
      </c>
      <c r="AF510" t="n">
        <v>0.0</v>
      </c>
      <c r="AG510" t="n">
        <v>0.0</v>
      </c>
      <c r="AH510" t="n">
        <v>0.0</v>
      </c>
      <c r="AI510" t="n">
        <v>0.0</v>
      </c>
      <c r="AJ510" t="n">
        <v>0.0</v>
      </c>
      <c r="AK510" t="n">
        <v>4.666666666666667</v>
      </c>
      <c r="AL510" t="inlineStr">
        <is>
          <t/>
        </is>
      </c>
    </row>
    <row r="511">
      <c r="A511" t="inlineStr">
        <is>
          <t>按照客户要求，推出不到100卡一人食小包装</t>
        </is>
      </c>
      <c r="B511" t="inlineStr">
        <is>
          <t>6a3d0296000000002101bbcc</t>
        </is>
      </c>
      <c r="C511" s="510" t="n">
        <f>HYPERLINK("https://www.xiaohongshu.com/explore/6a3d0296000000002101bbcc?xsec_token=TB86hQ-xkUBjAY90uToPmFjemHJWh94eYV7GZ06IiwgeQ=&amp;xsec_source=pc_trdark","https://www.xiaohongshu.com/explore/6a3d0296000000002101bbcc?xsec_token=TB86hQ-xkUBjAY90uToPmFjemHJWh94eYV7GZ06IiwgeQ=&amp;xsec_source=pc_trdark")</f>
        <v>0.0</v>
      </c>
      <c r="D511" t="inlineStr">
        <is>
          <t>菲菲上班吃什么</t>
        </is>
      </c>
      <c r="E511" t="inlineStr">
        <is>
          <t>49936530607</t>
        </is>
      </c>
      <c r="F511" t="inlineStr">
        <is>
          <t>2026-06-25 18:27:34</t>
        </is>
      </c>
      <c r="G511" t="inlineStr">
        <is>
          <t>图文</t>
        </is>
      </c>
      <c r="H511" t="inlineStr">
        <is>
          <t>手剥虾仁 无冰衣无添加 低脂餐一人食 上班带饭 顺丰包邮 5盒装</t>
        </is>
      </c>
      <c r="I511" t="inlineStr">
        <is>
          <t>694baba01d450d00013662f0</t>
        </is>
      </c>
      <c r="J511" t="inlineStr">
        <is>
          <t/>
        </is>
      </c>
      <c r="K511" t="n">
        <v>0.0</v>
      </c>
      <c r="L511" t="n">
        <v>0.0</v>
      </c>
      <c r="M511" t="n">
        <v>0.0</v>
      </c>
      <c r="N511" t="n">
        <v>0.0</v>
      </c>
      <c r="O511" t="n">
        <v>0.0</v>
      </c>
      <c r="P511" t="n">
        <v>0.0</v>
      </c>
      <c r="Q511" t="inlineStr">
        <is>
          <t/>
        </is>
      </c>
      <c r="R511" t="inlineStr">
        <is>
          <t/>
        </is>
      </c>
      <c r="S511" t="n">
        <v>0.0</v>
      </c>
      <c r="T511" t="n">
        <v>0.0</v>
      </c>
      <c r="U511" t="n">
        <v>0.0</v>
      </c>
      <c r="V511" t="n">
        <v>0.0</v>
      </c>
      <c r="W511" t="inlineStr">
        <is>
          <t/>
        </is>
      </c>
      <c r="X511" t="n">
        <v>0.0</v>
      </c>
      <c r="Y511" t="n">
        <v>0.0</v>
      </c>
      <c r="Z511" t="n">
        <v>0.0</v>
      </c>
      <c r="AA511" t="n">
        <v>0.0</v>
      </c>
      <c r="AB511" t="n">
        <v>0.0</v>
      </c>
      <c r="AC511" t="n">
        <v>0.0</v>
      </c>
      <c r="AD511" t="n">
        <v>3.0</v>
      </c>
      <c r="AE511" t="n">
        <v>0.0</v>
      </c>
      <c r="AF511" t="n">
        <v>0.0</v>
      </c>
      <c r="AG511" t="n">
        <v>0.0</v>
      </c>
      <c r="AH511" t="n">
        <v>0.0</v>
      </c>
      <c r="AI511" t="n">
        <v>0.0</v>
      </c>
      <c r="AJ511" t="n">
        <v>0.0</v>
      </c>
      <c r="AK511" t="n">
        <v>5.333333333333333</v>
      </c>
      <c r="AL511" t="inlineStr">
        <is>
          <t/>
        </is>
      </c>
    </row>
    <row r="512">
      <c r="A512" t="inlineStr">
        <is>
          <t>和老爸商量了，推出独居一人食小包装</t>
        </is>
      </c>
      <c r="B512" t="inlineStr">
        <is>
          <t>6a3b8f45000000002200a949</t>
        </is>
      </c>
      <c r="C512" s="511" t="n">
        <f>HYPERLINK("https://www.xiaohongshu.com/explore/6a3b8f45000000002200a949?xsec_token=TB5Q_AKgvJfz9cep0BZIf0XdTuKq_lkDdOv2GxcTRQkh4=&amp;xsec_source=pc_trdark","https://www.xiaohongshu.com/explore/6a3b8f45000000002200a949?xsec_token=TB5Q_AKgvJfz9cep0BZIf0XdTuKq_lkDdOv2GxcTRQkh4=&amp;xsec_source=pc_trdark")</f>
        <v>0.0</v>
      </c>
      <c r="D512" t="inlineStr">
        <is>
          <t>鲜水湾</t>
        </is>
      </c>
      <c r="E512" t="inlineStr">
        <is>
          <t>49316638994</t>
        </is>
      </c>
      <c r="F512" t="inlineStr">
        <is>
          <t>2026-06-24 16:03:17</t>
        </is>
      </c>
      <c r="G512" t="inlineStr">
        <is>
          <t>图文</t>
        </is>
      </c>
      <c r="H512" t="inlineStr">
        <is>
          <t>手剥虾仁 无冰衣无添加 低脂餐一人食 上班带饭 顺丰包邮 5盒装</t>
        </is>
      </c>
      <c r="I512" t="inlineStr">
        <is>
          <t>694baba01d450d00013662f0</t>
        </is>
      </c>
      <c r="J512" t="inlineStr">
        <is>
          <t/>
        </is>
      </c>
      <c r="K512" t="n">
        <v>0.0</v>
      </c>
      <c r="L512" t="n">
        <v>0.0</v>
      </c>
      <c r="M512" t="n">
        <v>0.0</v>
      </c>
      <c r="N512" t="n">
        <v>0.0</v>
      </c>
      <c r="O512" t="n">
        <v>0.0</v>
      </c>
      <c r="P512" t="n">
        <v>0.0</v>
      </c>
      <c r="Q512" t="inlineStr">
        <is>
          <t/>
        </is>
      </c>
      <c r="R512" t="inlineStr">
        <is>
          <t/>
        </is>
      </c>
      <c r="S512" t="n">
        <v>0.0</v>
      </c>
      <c r="T512" t="n">
        <v>0.0</v>
      </c>
      <c r="U512" t="n">
        <v>0.0</v>
      </c>
      <c r="V512" t="n">
        <v>0.0</v>
      </c>
      <c r="W512" t="inlineStr">
        <is>
          <t/>
        </is>
      </c>
      <c r="X512" t="n">
        <v>0.0</v>
      </c>
      <c r="Y512" t="n">
        <v>0.0</v>
      </c>
      <c r="Z512" t="n">
        <v>0.0</v>
      </c>
      <c r="AA512" t="n">
        <v>0.0</v>
      </c>
      <c r="AB512" t="n">
        <v>0.0</v>
      </c>
      <c r="AC512" t="n">
        <v>0.0</v>
      </c>
      <c r="AD512" t="n">
        <v>3.0</v>
      </c>
      <c r="AE512" t="n">
        <v>0.0</v>
      </c>
      <c r="AF512" t="n">
        <v>0.0</v>
      </c>
      <c r="AG512" t="n">
        <v>0.0</v>
      </c>
      <c r="AH512" t="n">
        <v>0.0</v>
      </c>
      <c r="AI512" t="n">
        <v>0.0</v>
      </c>
      <c r="AJ512" t="n">
        <v>0.0</v>
      </c>
      <c r="AK512" t="n">
        <v>9.333333333333334</v>
      </c>
      <c r="AL512" t="inlineStr">
        <is>
          <t/>
        </is>
      </c>
    </row>
    <row r="513">
      <c r="A513" t="inlineStr">
        <is>
          <t>夏天必备的懒人菜搭子✅！！（附调料教程）</t>
        </is>
      </c>
      <c r="B513" t="inlineStr">
        <is>
          <t>6a36683a000000000f015682</t>
        </is>
      </c>
      <c r="C513" s="512" t="n">
        <f>HYPERLINK("https://www.xiaohongshu.com/explore/6a36683a000000000f015682?xsec_token=TBE86BM1eseE26ZPjz1xH88YUWCHdpQDecBeROF_Yb9wg=&amp;xsec_source=pc_trdark","https://www.xiaohongshu.com/explore/6a36683a000000000f015682?xsec_token=TBE86BM1eseE26ZPjz1xH88YUWCHdpQDecBeROF_Yb9wg=&amp;xsec_source=pc_trdark")</f>
        <v>0.0</v>
      </c>
      <c r="D513" t="inlineStr">
        <is>
          <t>鲜水湾甄选</t>
        </is>
      </c>
      <c r="E513" t="inlineStr">
        <is>
          <t>27401929161</t>
        </is>
      </c>
      <c r="F513" t="inlineStr">
        <is>
          <t>2026-06-20 19:15:00</t>
        </is>
      </c>
      <c r="G513" t="inlineStr">
        <is>
          <t>图文</t>
        </is>
      </c>
      <c r="H513" t="inlineStr">
        <is>
          <t>手剥虾仁 无冰衣无添加 低脂餐一人食 上班带饭 顺丰包邮 5盒装</t>
        </is>
      </c>
      <c r="I513" t="inlineStr">
        <is>
          <t>694baba01d450d00013662f0</t>
        </is>
      </c>
      <c r="J513" t="inlineStr">
        <is>
          <t/>
        </is>
      </c>
      <c r="K513" t="n">
        <v>0.0</v>
      </c>
      <c r="L513" t="n">
        <v>0.0</v>
      </c>
      <c r="M513" t="n">
        <v>0.0</v>
      </c>
      <c r="N513" t="n">
        <v>0.0</v>
      </c>
      <c r="O513" t="n">
        <v>0.0</v>
      </c>
      <c r="P513" t="n">
        <v>0.0</v>
      </c>
      <c r="Q513" t="inlineStr">
        <is>
          <t/>
        </is>
      </c>
      <c r="R513" t="inlineStr">
        <is>
          <t/>
        </is>
      </c>
      <c r="S513" t="n">
        <v>0.0</v>
      </c>
      <c r="T513" t="n">
        <v>0.0</v>
      </c>
      <c r="U513" t="n">
        <v>0.0</v>
      </c>
      <c r="V513" t="n">
        <v>0.0</v>
      </c>
      <c r="W513" t="inlineStr">
        <is>
          <t/>
        </is>
      </c>
      <c r="X513" t="n">
        <v>0.0</v>
      </c>
      <c r="Y513" t="n">
        <v>0.0</v>
      </c>
      <c r="Z513" t="n">
        <v>1.0</v>
      </c>
      <c r="AA513" t="n">
        <v>0.0</v>
      </c>
      <c r="AB513" t="n">
        <v>0.0</v>
      </c>
      <c r="AC513" t="n">
        <v>0.0</v>
      </c>
      <c r="AD513" t="n">
        <v>3.0</v>
      </c>
      <c r="AE513" t="n">
        <v>1.0</v>
      </c>
      <c r="AF513" t="n">
        <v>0.0</v>
      </c>
      <c r="AG513" t="n">
        <v>0.0</v>
      </c>
      <c r="AH513" t="n">
        <v>0.0</v>
      </c>
      <c r="AI513" t="n">
        <v>0.0</v>
      </c>
      <c r="AJ513" t="n">
        <v>0.0</v>
      </c>
      <c r="AK513" t="n">
        <v>3.6666666666666665</v>
      </c>
      <c r="AL513" t="inlineStr">
        <is>
          <t/>
        </is>
      </c>
    </row>
    <row r="514">
      <c r="A514" t="inlineStr">
        <is>
          <t>听大家的建议，安排上一人食独立小包装🤩</t>
        </is>
      </c>
      <c r="B514" t="inlineStr">
        <is>
          <t>6a351ce6000000000f017a75</t>
        </is>
      </c>
      <c r="C514" s="513" t="n">
        <f>HYPERLINK("https://www.xiaohongshu.com/explore/6a351ce6000000000f017a75?xsec_token=TB1bf8Ny1FwqE1zeGfH_TuGEU8MoKvYJZ-ivAwXdqcD10=&amp;xsec_source=pc_trdark","https://www.xiaohongshu.com/explore/6a351ce6000000000f017a75?xsec_token=TB1bf8Ny1FwqE1zeGfH_TuGEU8MoKvYJZ-ivAwXdqcD10=&amp;xsec_source=pc_trdark")</f>
        <v>0.0</v>
      </c>
      <c r="D514" t="inlineStr">
        <is>
          <t>鲜水湾甄选</t>
        </is>
      </c>
      <c r="E514" t="inlineStr">
        <is>
          <t>27401929161</t>
        </is>
      </c>
      <c r="F514" t="inlineStr">
        <is>
          <t>2026-06-19 19:41:00</t>
        </is>
      </c>
      <c r="G514" t="inlineStr">
        <is>
          <t>图文</t>
        </is>
      </c>
      <c r="H514" t="inlineStr">
        <is>
          <t>手剥虾仁 无冰衣无添加 低脂餐一人食 上班带饭 顺丰包邮 5盒装</t>
        </is>
      </c>
      <c r="I514" t="inlineStr">
        <is>
          <t>694baba01d450d00013662f0</t>
        </is>
      </c>
      <c r="J514" t="inlineStr">
        <is>
          <t/>
        </is>
      </c>
      <c r="K514" t="n">
        <v>68.0</v>
      </c>
      <c r="L514" t="n">
        <v>1.0</v>
      </c>
      <c r="M514" t="n">
        <v>1.0</v>
      </c>
      <c r="N514" t="n">
        <v>0.3333333333333333</v>
      </c>
      <c r="O514" t="n">
        <v>1.0</v>
      </c>
      <c r="P514" t="n">
        <v>1.0</v>
      </c>
      <c r="Q514" t="n">
        <v>1.0</v>
      </c>
      <c r="R514" t="n">
        <v>1.0</v>
      </c>
      <c r="S514" t="n">
        <v>0.0</v>
      </c>
      <c r="T514" t="n">
        <v>0.0</v>
      </c>
      <c r="U514" t="n">
        <v>0.0</v>
      </c>
      <c r="V514" t="n">
        <v>0.0</v>
      </c>
      <c r="W514" t="n">
        <v>0.0</v>
      </c>
      <c r="X514" t="n">
        <v>0.0</v>
      </c>
      <c r="Y514" t="n">
        <v>0.0</v>
      </c>
      <c r="Z514" t="n">
        <v>0.0</v>
      </c>
      <c r="AA514" t="n">
        <v>0.0</v>
      </c>
      <c r="AB514" t="n">
        <v>0.0</v>
      </c>
      <c r="AC514" t="n">
        <v>0.0</v>
      </c>
      <c r="AD514" t="n">
        <v>3.0</v>
      </c>
      <c r="AE514" t="n">
        <v>0.0</v>
      </c>
      <c r="AF514" t="n">
        <v>0.0</v>
      </c>
      <c r="AG514" t="n">
        <v>0.0</v>
      </c>
      <c r="AH514" t="n">
        <v>0.0</v>
      </c>
      <c r="AI514" t="n">
        <v>0.0</v>
      </c>
      <c r="AJ514" t="n">
        <v>0.0</v>
      </c>
      <c r="AK514" t="n">
        <v>13.666666666666666</v>
      </c>
      <c r="AL514" t="inlineStr">
        <is>
          <t/>
        </is>
      </c>
    </row>
    <row r="515">
      <c r="A515" t="inlineStr">
        <is>
          <t>顾客吃完两片，转手又回购了一整条</t>
        </is>
      </c>
      <c r="B515" t="inlineStr">
        <is>
          <t>6a2a11820000000007022cc2</t>
        </is>
      </c>
      <c r="C515" s="514" t="n">
        <f>HYPERLINK("https://www.xiaohongshu.com/explore/6a2a11820000000007022cc2?xsec_token=TBzEbZzDIbsNf83YP0tUSA_LlWC3GY3Dpc0gVkDPE7HHU=&amp;xsec_source=pc_trdark","https://www.xiaohongshu.com/explore/6a2a11820000000007022cc2?xsec_token=TBzEbZzDIbsNf83YP0tUSA_LlWC3GY3Dpc0gVkDPE7HHU=&amp;xsec_source=pc_trdark")</f>
        <v>0.0</v>
      </c>
      <c r="D515" t="inlineStr">
        <is>
          <t>鲜水湾</t>
        </is>
      </c>
      <c r="E515" t="inlineStr">
        <is>
          <t>49316638994</t>
        </is>
      </c>
      <c r="F515" t="inlineStr">
        <is>
          <t>2026-06-11 09:38:10</t>
        </is>
      </c>
      <c r="G515" t="inlineStr">
        <is>
          <t>图文</t>
        </is>
      </c>
      <c r="H515" t="inlineStr">
        <is>
          <t>智利三文鱼切块·整条三文鱼·深海鱼一人食健康饮食</t>
        </is>
      </c>
      <c r="I515" t="inlineStr">
        <is>
          <t>691ac562a524ee0001b51d7b</t>
        </is>
      </c>
      <c r="J515" t="inlineStr">
        <is>
          <t/>
        </is>
      </c>
      <c r="K515" t="n">
        <v>0.0</v>
      </c>
      <c r="L515" t="n">
        <v>0.0</v>
      </c>
      <c r="M515" t="n">
        <v>1.0</v>
      </c>
      <c r="N515" t="n">
        <v>0.3333333333333333</v>
      </c>
      <c r="O515" t="n">
        <v>1.0</v>
      </c>
      <c r="P515" t="n">
        <v>0.0</v>
      </c>
      <c r="Q515" t="n">
        <v>0.0</v>
      </c>
      <c r="R515" t="n">
        <v>0.0</v>
      </c>
      <c r="S515" t="n">
        <v>0.0</v>
      </c>
      <c r="T515" t="n">
        <v>0.0</v>
      </c>
      <c r="U515" t="n">
        <v>0.0</v>
      </c>
      <c r="V515" t="n">
        <v>0.0</v>
      </c>
      <c r="W515" t="inlineStr">
        <is>
          <t/>
        </is>
      </c>
      <c r="X515" t="n">
        <v>0.0</v>
      </c>
      <c r="Y515" t="n">
        <v>0.0</v>
      </c>
      <c r="Z515" t="n">
        <v>0.0</v>
      </c>
      <c r="AA515" t="n">
        <v>0.0</v>
      </c>
      <c r="AB515" t="n">
        <v>0.0</v>
      </c>
      <c r="AC515" t="n">
        <v>0.0</v>
      </c>
      <c r="AD515" t="n">
        <v>3.0</v>
      </c>
      <c r="AE515" t="n">
        <v>0.0</v>
      </c>
      <c r="AF515" t="n">
        <v>0.0</v>
      </c>
      <c r="AG515" t="n">
        <v>0.0</v>
      </c>
      <c r="AH515" t="n">
        <v>0.0</v>
      </c>
      <c r="AI515" t="n">
        <v>0.0</v>
      </c>
      <c r="AJ515" t="n">
        <v>0.0</v>
      </c>
      <c r="AK515" t="n">
        <v>24.666666666666668</v>
      </c>
      <c r="AL515" t="inlineStr">
        <is>
          <t/>
        </is>
      </c>
    </row>
    <row r="516">
      <c r="A516" t="inlineStr">
        <is>
          <t>控体期别饿自己，我靠虾仁撑下来了！！！</t>
        </is>
      </c>
      <c r="B516" t="inlineStr">
        <is>
          <t>6a2807d70000000035033815</t>
        </is>
      </c>
      <c r="C516" s="515" t="n">
        <f>HYPERLINK("https://www.xiaohongshu.com/explore/6a2807d70000000035033815?xsec_token=TBjRDlWvuanGfwsOwntw7dMz9dRRbYDSR2O72PhfxFbCk=&amp;xsec_source=pc_trdark","https://www.xiaohongshu.com/explore/6a2807d70000000035033815?xsec_token=TBjRDlWvuanGfwsOwntw7dMz9dRRbYDSR2O72PhfxFbCk=&amp;xsec_source=pc_trdark")</f>
        <v>0.0</v>
      </c>
      <c r="D516" t="inlineStr">
        <is>
          <t>鲜水湾甄选</t>
        </is>
      </c>
      <c r="E516" t="inlineStr">
        <is>
          <t>27401929161</t>
        </is>
      </c>
      <c r="F516" t="inlineStr">
        <is>
          <t>2026-06-09 21:36:00</t>
        </is>
      </c>
      <c r="G516" t="inlineStr">
        <is>
          <t>图文</t>
        </is>
      </c>
      <c r="H516" t="inlineStr">
        <is>
          <t>手剥虾仁 无冰衣无添加 低脂餐一人食 上班带饭 顺丰包邮 5盒装</t>
        </is>
      </c>
      <c r="I516" t="inlineStr">
        <is>
          <t>694baba01d450d00013662f0</t>
        </is>
      </c>
      <c r="J516" t="inlineStr">
        <is>
          <t/>
        </is>
      </c>
      <c r="K516" t="n">
        <v>0.0</v>
      </c>
      <c r="L516" t="n">
        <v>0.0</v>
      </c>
      <c r="M516" t="n">
        <v>0.0</v>
      </c>
      <c r="N516" t="n">
        <v>0.0</v>
      </c>
      <c r="O516" t="n">
        <v>0.0</v>
      </c>
      <c r="P516" t="n">
        <v>0.0</v>
      </c>
      <c r="Q516" t="inlineStr">
        <is>
          <t/>
        </is>
      </c>
      <c r="R516" t="inlineStr">
        <is>
          <t/>
        </is>
      </c>
      <c r="S516" t="n">
        <v>0.0</v>
      </c>
      <c r="T516" t="n">
        <v>0.0</v>
      </c>
      <c r="U516" t="n">
        <v>0.0</v>
      </c>
      <c r="V516" t="n">
        <v>0.0</v>
      </c>
      <c r="W516" t="inlineStr">
        <is>
          <t/>
        </is>
      </c>
      <c r="X516" t="n">
        <v>0.0</v>
      </c>
      <c r="Y516" t="n">
        <v>0.0</v>
      </c>
      <c r="Z516" t="n">
        <v>0.0</v>
      </c>
      <c r="AA516" t="n">
        <v>0.0</v>
      </c>
      <c r="AB516" t="n">
        <v>0.0</v>
      </c>
      <c r="AC516" t="n">
        <v>0.0</v>
      </c>
      <c r="AD516" t="n">
        <v>3.0</v>
      </c>
      <c r="AE516" t="n">
        <v>0.0</v>
      </c>
      <c r="AF516" t="n">
        <v>0.0</v>
      </c>
      <c r="AG516" t="n">
        <v>0.0</v>
      </c>
      <c r="AH516" t="n">
        <v>0.0</v>
      </c>
      <c r="AI516" t="n">
        <v>0.0</v>
      </c>
      <c r="AJ516" t="n">
        <v>0.0</v>
      </c>
      <c r="AK516" t="n">
        <v>2.0</v>
      </c>
      <c r="AL516" t="inlineStr">
        <is>
          <t/>
        </is>
      </c>
    </row>
    <row r="517">
      <c r="A517" t="inlineStr">
        <is>
          <t>以为100块没多少，结果够我吃半个月了！！！</t>
        </is>
      </c>
      <c r="B517" t="inlineStr">
        <is>
          <t>6a26894e000000000702e9f2</t>
        </is>
      </c>
      <c r="C517" s="516" t="n">
        <f>HYPERLINK("https://www.xiaohongshu.com/explore/6a26894e000000000702e9f2?xsec_token=TB6Q3z0Jm3jMFQ1Wl1RTAnfj6Ou4pgb8MLv39gbl5B88E=&amp;xsec_source=pc_trdark","https://www.xiaohongshu.com/explore/6a26894e000000000702e9f2?xsec_token=TB6Q3z0Jm3jMFQ1Wl1RTAnfj6Ou4pgb8MLv39gbl5B88E=&amp;xsec_source=pc_trdark")</f>
        <v>0.0</v>
      </c>
      <c r="D517" t="inlineStr">
        <is>
          <t>菲菲上班吃什么</t>
        </is>
      </c>
      <c r="E517" t="inlineStr">
        <is>
          <t>49936530607</t>
        </is>
      </c>
      <c r="F517" t="inlineStr">
        <is>
          <t>2026-06-08 17:20:14</t>
        </is>
      </c>
      <c r="G517" t="inlineStr">
        <is>
          <t>图文</t>
        </is>
      </c>
      <c r="H517" t="inlineStr">
        <is>
          <t>手剥虾仁 无冰衣无添加 低脂餐一人食 上班带饭 顺丰包邮 5盒装</t>
        </is>
      </c>
      <c r="I517" t="inlineStr">
        <is>
          <t>694baba01d450d00013662f0</t>
        </is>
      </c>
      <c r="J517" t="inlineStr">
        <is>
          <t/>
        </is>
      </c>
      <c r="K517" t="n">
        <v>0.0</v>
      </c>
      <c r="L517" t="n">
        <v>0.0</v>
      </c>
      <c r="M517" t="n">
        <v>0.0</v>
      </c>
      <c r="N517" t="n">
        <v>0.0</v>
      </c>
      <c r="O517" t="n">
        <v>0.0</v>
      </c>
      <c r="P517" t="n">
        <v>0.0</v>
      </c>
      <c r="Q517" t="inlineStr">
        <is>
          <t/>
        </is>
      </c>
      <c r="R517" t="inlineStr">
        <is>
          <t/>
        </is>
      </c>
      <c r="S517" t="n">
        <v>0.0</v>
      </c>
      <c r="T517" t="n">
        <v>0.0</v>
      </c>
      <c r="U517" t="n">
        <v>0.0</v>
      </c>
      <c r="V517" t="n">
        <v>0.0</v>
      </c>
      <c r="W517" t="inlineStr">
        <is>
          <t/>
        </is>
      </c>
      <c r="X517" t="n">
        <v>0.0</v>
      </c>
      <c r="Y517" t="n">
        <v>0.0</v>
      </c>
      <c r="Z517" t="n">
        <v>0.0</v>
      </c>
      <c r="AA517" t="n">
        <v>0.0</v>
      </c>
      <c r="AB517" t="n">
        <v>0.0</v>
      </c>
      <c r="AC517" t="n">
        <v>0.0</v>
      </c>
      <c r="AD517" t="n">
        <v>3.0</v>
      </c>
      <c r="AE517" t="n">
        <v>0.0</v>
      </c>
      <c r="AF517" t="n">
        <v>0.0</v>
      </c>
      <c r="AG517" t="n">
        <v>0.0</v>
      </c>
      <c r="AH517" t="n">
        <v>0.0</v>
      </c>
      <c r="AI517" t="n">
        <v>0.0</v>
      </c>
      <c r="AJ517" t="n">
        <v>0.0</v>
      </c>
      <c r="AK517" t="n">
        <v>9.333333333333334</v>
      </c>
      <c r="AL517" t="inlineStr">
        <is>
          <t/>
        </is>
      </c>
    </row>
    <row r="518">
      <c r="A518" t="inlineStr">
        <is>
          <t>69的购买力解决一周上班带饭……</t>
        </is>
      </c>
      <c r="B518" t="inlineStr">
        <is>
          <t>6a22b9740000000008031fca</t>
        </is>
      </c>
      <c r="C518" s="517" t="n">
        <f>HYPERLINK("https://www.xiaohongshu.com/explore/6a22b9740000000008031fca?xsec_token=TBC-_2V2Jf8UHvhGX5sq95h2FPiWEtmp_lTgNF5x5Qne0=&amp;xsec_source=pc_trdark","https://www.xiaohongshu.com/explore/6a22b9740000000008031fca?xsec_token=TBC-_2V2Jf8UHvhGX5sq95h2FPiWEtmp_lTgNF5x5Qne0=&amp;xsec_source=pc_trdark")</f>
        <v>0.0</v>
      </c>
      <c r="D518" t="inlineStr">
        <is>
          <t>婉婉上班吃什么</t>
        </is>
      </c>
      <c r="E518" t="inlineStr">
        <is>
          <t>11434449706</t>
        </is>
      </c>
      <c r="F518" t="inlineStr">
        <is>
          <t>2026-06-05 19:56:36</t>
        </is>
      </c>
      <c r="G518" t="inlineStr">
        <is>
          <t>图文</t>
        </is>
      </c>
      <c r="H518" t="inlineStr">
        <is>
          <t>手剥虾仁 无冰衣无添加 低脂餐一人食 上班带饭 顺丰包邮 5盒装</t>
        </is>
      </c>
      <c r="I518" t="inlineStr">
        <is>
          <t>694baba01d450d00013662f0</t>
        </is>
      </c>
      <c r="J518" t="inlineStr">
        <is>
          <t/>
        </is>
      </c>
      <c r="K518" t="n">
        <v>0.0</v>
      </c>
      <c r="L518" t="n">
        <v>0.0</v>
      </c>
      <c r="M518" t="n">
        <v>0.0</v>
      </c>
      <c r="N518" t="n">
        <v>0.0</v>
      </c>
      <c r="O518" t="n">
        <v>0.0</v>
      </c>
      <c r="P518" t="n">
        <v>0.0</v>
      </c>
      <c r="Q518" t="inlineStr">
        <is>
          <t/>
        </is>
      </c>
      <c r="R518" t="inlineStr">
        <is>
          <t/>
        </is>
      </c>
      <c r="S518" t="n">
        <v>0.0</v>
      </c>
      <c r="T518" t="n">
        <v>0.0</v>
      </c>
      <c r="U518" t="n">
        <v>0.0</v>
      </c>
      <c r="V518" t="n">
        <v>0.0</v>
      </c>
      <c r="W518" t="inlineStr">
        <is>
          <t/>
        </is>
      </c>
      <c r="X518" t="n">
        <v>0.0</v>
      </c>
      <c r="Y518" t="n">
        <v>0.0</v>
      </c>
      <c r="Z518" t="n">
        <v>0.0</v>
      </c>
      <c r="AA518" t="n">
        <v>0.0</v>
      </c>
      <c r="AB518" t="n">
        <v>0.0</v>
      </c>
      <c r="AC518" t="n">
        <v>0.0</v>
      </c>
      <c r="AD518" t="n">
        <v>3.0</v>
      </c>
      <c r="AE518" t="n">
        <v>0.0</v>
      </c>
      <c r="AF518" t="n">
        <v>0.0</v>
      </c>
      <c r="AG518" t="n">
        <v>0.0</v>
      </c>
      <c r="AH518" t="n">
        <v>0.0</v>
      </c>
      <c r="AI518" t="n">
        <v>0.0</v>
      </c>
      <c r="AJ518" t="n">
        <v>0.0</v>
      </c>
      <c r="AK518" t="n">
        <v>6.333333333333333</v>
      </c>
      <c r="AL518" t="inlineStr">
        <is>
          <t/>
        </is>
      </c>
    </row>
    <row r="519">
      <c r="A519" t="inlineStr">
        <is>
          <t>终于在家吃上轻食同款了！巨简单！！</t>
        </is>
      </c>
      <c r="B519" t="inlineStr">
        <is>
          <t>6a1d1b500000000006030966</t>
        </is>
      </c>
      <c r="C519" s="518" t="n">
        <f>HYPERLINK("https://www.xiaohongshu.com/explore/6a1d1b500000000006030966?xsec_token=TB9kCrU1OKj1OYrarOG6c5hzDWCBfjcf8XGHkUrJvNYts=&amp;xsec_source=pc_trdark","https://www.xiaohongshu.com/explore/6a1d1b500000000006030966?xsec_token=TB9kCrU1OKj1OYrarOG6c5hzDWCBfjcf8XGHkUrJvNYts=&amp;xsec_source=pc_trdark")</f>
        <v>0.0</v>
      </c>
      <c r="D519" t="inlineStr">
        <is>
          <t>菲菲上班吃什么</t>
        </is>
      </c>
      <c r="E519" t="inlineStr">
        <is>
          <t>49936530607</t>
        </is>
      </c>
      <c r="F519" t="inlineStr">
        <is>
          <t>2026-06-01 13:40:32</t>
        </is>
      </c>
      <c r="G519" t="inlineStr">
        <is>
          <t>图文</t>
        </is>
      </c>
      <c r="H519" t="inlineStr">
        <is>
          <t>手剥虾仁 无冰衣无添加 低脂餐一人食 上班带饭 顺丰包邮 5盒装</t>
        </is>
      </c>
      <c r="I519" t="inlineStr">
        <is>
          <t>694baba01d450d00013662f0</t>
        </is>
      </c>
      <c r="J519" t="inlineStr">
        <is>
          <t/>
        </is>
      </c>
      <c r="K519" t="n">
        <v>0.0</v>
      </c>
      <c r="L519" t="n">
        <v>0.0</v>
      </c>
      <c r="M519" t="n">
        <v>0.0</v>
      </c>
      <c r="N519" t="n">
        <v>0.0</v>
      </c>
      <c r="O519" t="n">
        <v>0.0</v>
      </c>
      <c r="P519" t="n">
        <v>0.0</v>
      </c>
      <c r="Q519" t="inlineStr">
        <is>
          <t/>
        </is>
      </c>
      <c r="R519" t="inlineStr">
        <is>
          <t/>
        </is>
      </c>
      <c r="S519" t="n">
        <v>0.0</v>
      </c>
      <c r="T519" t="n">
        <v>0.0</v>
      </c>
      <c r="U519" t="n">
        <v>0.0</v>
      </c>
      <c r="V519" t="n">
        <v>0.0</v>
      </c>
      <c r="W519" t="inlineStr">
        <is>
          <t/>
        </is>
      </c>
      <c r="X519" t="n">
        <v>0.0</v>
      </c>
      <c r="Y519" t="n">
        <v>0.0</v>
      </c>
      <c r="Z519" t="n">
        <v>0.0</v>
      </c>
      <c r="AA519" t="n">
        <v>0.0</v>
      </c>
      <c r="AB519" t="n">
        <v>0.0</v>
      </c>
      <c r="AC519" t="n">
        <v>0.0</v>
      </c>
      <c r="AD519" t="n">
        <v>3.0</v>
      </c>
      <c r="AE519" t="n">
        <v>0.0</v>
      </c>
      <c r="AF519" t="n">
        <v>0.0</v>
      </c>
      <c r="AG519" t="n">
        <v>0.0</v>
      </c>
      <c r="AH519" t="n">
        <v>0.0</v>
      </c>
      <c r="AI519" t="n">
        <v>0.0</v>
      </c>
      <c r="AJ519" t="n">
        <v>0.0</v>
      </c>
      <c r="AK519" t="n">
        <v>3.3333333333333335</v>
      </c>
      <c r="AL519" t="inlineStr">
        <is>
          <t/>
        </is>
      </c>
    </row>
    <row r="520">
      <c r="A520" t="inlineStr">
        <is>
          <t>低估了300块的购买力，竟然这么多！</t>
        </is>
      </c>
      <c r="B520" t="inlineStr">
        <is>
          <t>6a1907370000000008001f19</t>
        </is>
      </c>
      <c r="C520" s="519" t="n">
        <f>HYPERLINK("https://www.xiaohongshu.com/explore/6a1907370000000008001f19?xsec_token=TBk6CyYxmYlnK3hnLTdNsVfB_d0m-5iw4tGLSDcOqL-VQ=&amp;xsec_source=pc_trdark","https://www.xiaohongshu.com/explore/6a1907370000000008001f19?xsec_token=TBk6CyYxmYlnK3hnLTdNsVfB_d0m-5iw4tGLSDcOqL-VQ=&amp;xsec_source=pc_trdark")</f>
        <v>0.0</v>
      </c>
      <c r="D520" t="inlineStr">
        <is>
          <t>鲜水湾</t>
        </is>
      </c>
      <c r="E520" t="inlineStr">
        <is>
          <t>49316638994</t>
        </is>
      </c>
      <c r="F520" t="inlineStr">
        <is>
          <t>2026-05-29 11:25:43</t>
        </is>
      </c>
      <c r="G520" t="inlineStr">
        <is>
          <t>图文</t>
        </is>
      </c>
      <c r="H520" t="inlineStr">
        <is>
          <t>智利尾端中段整条三文鱼 8斤深海鱼低脂餐囤货一周备菜顺丰包邮</t>
        </is>
      </c>
      <c r="I520" t="inlineStr">
        <is>
          <t>69fab80d64eb410001ece0c0</t>
        </is>
      </c>
      <c r="J520" t="inlineStr">
        <is>
          <t/>
        </is>
      </c>
      <c r="K520" t="n">
        <v>0.0</v>
      </c>
      <c r="L520" t="n">
        <v>0.0</v>
      </c>
      <c r="M520" t="n">
        <v>0.0</v>
      </c>
      <c r="N520" t="n">
        <v>0.0</v>
      </c>
      <c r="O520" t="n">
        <v>0.0</v>
      </c>
      <c r="P520" t="n">
        <v>0.0</v>
      </c>
      <c r="Q520" t="inlineStr">
        <is>
          <t/>
        </is>
      </c>
      <c r="R520" t="inlineStr">
        <is>
          <t/>
        </is>
      </c>
      <c r="S520" t="n">
        <v>0.0</v>
      </c>
      <c r="T520" t="n">
        <v>0.0</v>
      </c>
      <c r="U520" t="n">
        <v>0.0</v>
      </c>
      <c r="V520" t="n">
        <v>0.0</v>
      </c>
      <c r="W520" t="inlineStr">
        <is>
          <t/>
        </is>
      </c>
      <c r="X520" t="n">
        <v>0.0</v>
      </c>
      <c r="Y520" t="n">
        <v>0.0</v>
      </c>
      <c r="Z520" t="n">
        <v>1.0</v>
      </c>
      <c r="AA520" t="n">
        <v>0.0</v>
      </c>
      <c r="AB520" t="n">
        <v>0.0</v>
      </c>
      <c r="AC520" t="n">
        <v>0.0</v>
      </c>
      <c r="AD520" t="n">
        <v>3.0</v>
      </c>
      <c r="AE520" t="n">
        <v>0.0</v>
      </c>
      <c r="AF520" t="n">
        <v>0.0</v>
      </c>
      <c r="AG520" t="n">
        <v>0.0</v>
      </c>
      <c r="AH520" t="n">
        <v>0.0</v>
      </c>
      <c r="AI520" t="n">
        <v>1.0</v>
      </c>
      <c r="AJ520" t="n">
        <v>0.0</v>
      </c>
      <c r="AK520" t="n">
        <v>13.0</v>
      </c>
      <c r="AL520" t="inlineStr">
        <is>
          <t/>
        </is>
      </c>
    </row>
    <row r="521">
      <c r="A521" t="inlineStr">
        <is>
          <t>自从买了三文鱼再也没点过轻食了…</t>
        </is>
      </c>
      <c r="B521" t="inlineStr">
        <is>
          <t>6a0e7303000000000701089a</t>
        </is>
      </c>
      <c r="C521" s="520" t="n">
        <f>HYPERLINK("https://www.xiaohongshu.com/explore/6a0e7303000000000701089a?xsec_token=TBPYckZc_Zeu4ZPU768x1mBox6fEwATjAGnAYTgy6MerU=&amp;xsec_source=pc_trdark","https://www.xiaohongshu.com/explore/6a0e7303000000000701089a?xsec_token=TBPYckZc_Zeu4ZPU768x1mBox6fEwATjAGnAYTgy6MerU=&amp;xsec_source=pc_trdark")</f>
        <v>0.0</v>
      </c>
      <c r="D521" t="inlineStr">
        <is>
          <t>鲜水湾</t>
        </is>
      </c>
      <c r="E521" t="inlineStr">
        <is>
          <t>49316638994</t>
        </is>
      </c>
      <c r="F521" t="inlineStr">
        <is>
          <t>2026-05-21 10:50:43</t>
        </is>
      </c>
      <c r="G521" t="inlineStr">
        <is>
          <t>图文</t>
        </is>
      </c>
      <c r="H521" t="inlineStr">
        <is>
          <t>智利三文鱼切块·整条三文鱼·深海鱼一人食健康饮食</t>
        </is>
      </c>
      <c r="I521" t="inlineStr">
        <is>
          <t>691ac562a524ee0001b51d7b</t>
        </is>
      </c>
      <c r="J521" t="inlineStr">
        <is>
          <t/>
        </is>
      </c>
      <c r="K521" t="n">
        <v>0.0</v>
      </c>
      <c r="L521" t="n">
        <v>0.0</v>
      </c>
      <c r="M521" t="n">
        <v>0.0</v>
      </c>
      <c r="N521" t="n">
        <v>0.0</v>
      </c>
      <c r="O521" t="n">
        <v>0.0</v>
      </c>
      <c r="P521" t="n">
        <v>0.0</v>
      </c>
      <c r="Q521" t="inlineStr">
        <is>
          <t/>
        </is>
      </c>
      <c r="R521" t="inlineStr">
        <is>
          <t/>
        </is>
      </c>
      <c r="S521" t="n">
        <v>0.0</v>
      </c>
      <c r="T521" t="n">
        <v>0.0</v>
      </c>
      <c r="U521" t="n">
        <v>0.0</v>
      </c>
      <c r="V521" t="n">
        <v>0.0</v>
      </c>
      <c r="W521" t="inlineStr">
        <is>
          <t/>
        </is>
      </c>
      <c r="X521" t="n">
        <v>0.0</v>
      </c>
      <c r="Y521" t="n">
        <v>0.0</v>
      </c>
      <c r="Z521" t="n">
        <v>0.0</v>
      </c>
      <c r="AA521" t="n">
        <v>0.0</v>
      </c>
      <c r="AB521" t="n">
        <v>0.0</v>
      </c>
      <c r="AC521" t="n">
        <v>0.0</v>
      </c>
      <c r="AD521" t="n">
        <v>3.0</v>
      </c>
      <c r="AE521" t="n">
        <v>0.0</v>
      </c>
      <c r="AF521" t="n">
        <v>0.0</v>
      </c>
      <c r="AG521" t="n">
        <v>0.0</v>
      </c>
      <c r="AH521" t="n">
        <v>0.0</v>
      </c>
      <c r="AI521" t="n">
        <v>0.0</v>
      </c>
      <c r="AJ521" t="n">
        <v>0.0</v>
      </c>
      <c r="AK521" t="n">
        <v>3.6666666666666665</v>
      </c>
      <c r="AL521" t="inlineStr">
        <is>
          <t/>
        </is>
      </c>
    </row>
    <row r="522">
      <c r="A522" t="inlineStr">
        <is>
          <t>区区69承包了我一周的减脂餐</t>
        </is>
      </c>
      <c r="B522" t="inlineStr">
        <is>
          <t>6a058ab20000000006022e7d</t>
        </is>
      </c>
      <c r="C522" s="521" t="n">
        <f>HYPERLINK("https://www.xiaohongshu.com/explore/6a058ab20000000006022e7d?xsec_token=TB5fIXEADm3ztd3cFmDO51aD9OdnlqPxVJOpl7eiOhzjY=&amp;xsec_source=pc_trdark","https://www.xiaohongshu.com/explore/6a058ab20000000006022e7d?xsec_token=TB5fIXEADm3ztd3cFmDO51aD9OdnlqPxVJOpl7eiOhzjY=&amp;xsec_source=pc_trdark")</f>
        <v>0.0</v>
      </c>
      <c r="D522" t="inlineStr">
        <is>
          <t>婉婉上班吃什么</t>
        </is>
      </c>
      <c r="E522" t="inlineStr">
        <is>
          <t>11434449706</t>
        </is>
      </c>
      <c r="F522" t="inlineStr">
        <is>
          <t>2026-05-14 16:41:23</t>
        </is>
      </c>
      <c r="G522" t="inlineStr">
        <is>
          <t>图文</t>
        </is>
      </c>
      <c r="H522" t="inlineStr">
        <is>
          <t>手剥虾仁 无冰衣无添加 低脂餐一人食 上班带饭 顺丰包邮 5盒装</t>
        </is>
      </c>
      <c r="I522" t="inlineStr">
        <is>
          <t>694baba01d450d00013662f0</t>
        </is>
      </c>
      <c r="J522" t="inlineStr">
        <is>
          <t/>
        </is>
      </c>
      <c r="K522" t="n">
        <v>0.0</v>
      </c>
      <c r="L522" t="n">
        <v>0.0</v>
      </c>
      <c r="M522" t="n">
        <v>0.0</v>
      </c>
      <c r="N522" t="n">
        <v>0.0</v>
      </c>
      <c r="O522" t="n">
        <v>0.0</v>
      </c>
      <c r="P522" t="n">
        <v>0.0</v>
      </c>
      <c r="Q522" t="inlineStr">
        <is>
          <t/>
        </is>
      </c>
      <c r="R522" t="inlineStr">
        <is>
          <t/>
        </is>
      </c>
      <c r="S522" t="n">
        <v>0.0</v>
      </c>
      <c r="T522" t="n">
        <v>0.0</v>
      </c>
      <c r="U522" t="n">
        <v>0.0</v>
      </c>
      <c r="V522" t="n">
        <v>0.0</v>
      </c>
      <c r="W522" t="inlineStr">
        <is>
          <t/>
        </is>
      </c>
      <c r="X522" t="n">
        <v>0.0</v>
      </c>
      <c r="Y522" t="n">
        <v>0.0</v>
      </c>
      <c r="Z522" t="n">
        <v>0.0</v>
      </c>
      <c r="AA522" t="n">
        <v>0.0</v>
      </c>
      <c r="AB522" t="n">
        <v>0.0</v>
      </c>
      <c r="AC522" t="n">
        <v>0.0</v>
      </c>
      <c r="AD522" t="n">
        <v>3.0</v>
      </c>
      <c r="AE522" t="n">
        <v>0.0</v>
      </c>
      <c r="AF522" t="n">
        <v>0.0</v>
      </c>
      <c r="AG522" t="n">
        <v>0.0</v>
      </c>
      <c r="AH522" t="n">
        <v>0.0</v>
      </c>
      <c r="AI522" t="n">
        <v>0.0</v>
      </c>
      <c r="AJ522" t="n">
        <v>0.0</v>
      </c>
      <c r="AK522" t="n">
        <v>4.0</v>
      </c>
      <c r="AL522" t="inlineStr">
        <is>
          <t/>
        </is>
      </c>
    </row>
    <row r="523">
      <c r="A523" t="inlineStr">
        <is>
          <t>69元5袋虾仁，一袋一顿真的很适合减脂期</t>
        </is>
      </c>
      <c r="B523" t="inlineStr">
        <is>
          <t>6a01813300000000070126cc</t>
        </is>
      </c>
      <c r="C523" s="522" t="n">
        <f>HYPERLINK("https://www.xiaohongshu.com/explore/6a01813300000000070126cc?xsec_token=TBbTMdCTPOAzll1S0w5oGNghSnSH6l0RBeNSUQ73scg9E=&amp;xsec_source=pc_trdark","https://www.xiaohongshu.com/explore/6a01813300000000070126cc?xsec_token=TBbTMdCTPOAzll1S0w5oGNghSnSH6l0RBeNSUQ73scg9E=&amp;xsec_source=pc_trdark")</f>
        <v>0.0</v>
      </c>
      <c r="D523" t="inlineStr">
        <is>
          <t>鲜水湾</t>
        </is>
      </c>
      <c r="E523" t="inlineStr">
        <is>
          <t>49316638994</t>
        </is>
      </c>
      <c r="F523" t="inlineStr">
        <is>
          <t>2026-05-11 15:11:47</t>
        </is>
      </c>
      <c r="G523" t="inlineStr">
        <is>
          <t>图文</t>
        </is>
      </c>
      <c r="H523" t="inlineStr">
        <is>
          <t>手剥虾仁 无冰衣无添加 低脂餐一人食 上班带饭 顺丰包邮 5盒装</t>
        </is>
      </c>
      <c r="I523" t="inlineStr">
        <is>
          <t>694baba01d450d00013662f0</t>
        </is>
      </c>
      <c r="J523" t="inlineStr">
        <is>
          <t/>
        </is>
      </c>
      <c r="K523" t="n">
        <v>0.0</v>
      </c>
      <c r="L523" t="n">
        <v>0.0</v>
      </c>
      <c r="M523" t="n">
        <v>0.0</v>
      </c>
      <c r="N523" t="n">
        <v>0.0</v>
      </c>
      <c r="O523" t="n">
        <v>0.0</v>
      </c>
      <c r="P523" t="n">
        <v>0.0</v>
      </c>
      <c r="Q523" t="inlineStr">
        <is>
          <t/>
        </is>
      </c>
      <c r="R523" t="inlineStr">
        <is>
          <t/>
        </is>
      </c>
      <c r="S523" t="n">
        <v>0.0</v>
      </c>
      <c r="T523" t="n">
        <v>0.0</v>
      </c>
      <c r="U523" t="n">
        <v>0.0</v>
      </c>
      <c r="V523" t="n">
        <v>0.0</v>
      </c>
      <c r="W523" t="inlineStr">
        <is>
          <t/>
        </is>
      </c>
      <c r="X523" t="n">
        <v>0.0</v>
      </c>
      <c r="Y523" t="n">
        <v>0.0</v>
      </c>
      <c r="Z523" t="n">
        <v>0.0</v>
      </c>
      <c r="AA523" t="n">
        <v>0.0</v>
      </c>
      <c r="AB523" t="n">
        <v>0.0</v>
      </c>
      <c r="AC523" t="n">
        <v>0.0</v>
      </c>
      <c r="AD523" t="n">
        <v>3.0</v>
      </c>
      <c r="AE523" t="n">
        <v>0.0</v>
      </c>
      <c r="AF523" t="n">
        <v>0.0</v>
      </c>
      <c r="AG523" t="n">
        <v>0.0</v>
      </c>
      <c r="AH523" t="n">
        <v>0.0</v>
      </c>
      <c r="AI523" t="n">
        <v>0.0</v>
      </c>
      <c r="AJ523" t="n">
        <v>0.0</v>
      </c>
      <c r="AK523" t="n">
        <v>10.666666666666666</v>
      </c>
      <c r="AL523" t="inlineStr">
        <is>
          <t/>
        </is>
      </c>
    </row>
    <row r="524">
      <c r="A524" t="inlineStr">
        <is>
          <t>带饭半年存了八千，同事以为我涨薪了</t>
        </is>
      </c>
      <c r="B524" t="inlineStr">
        <is>
          <t>6a016bba0000000008002705</t>
        </is>
      </c>
      <c r="C524" s="523" t="n">
        <f>HYPERLINK("https://www.xiaohongshu.com/explore/6a016bba0000000008002705?xsec_token=TBbTMdCTPOAzll1S0w5oGNggXlhsWph-KsHbIKrlLTomA=&amp;xsec_source=pc_trdark","https://www.xiaohongshu.com/explore/6a016bba0000000008002705?xsec_token=TBbTMdCTPOAzll1S0w5oGNggXlhsWph-KsHbIKrlLTomA=&amp;xsec_source=pc_trdark")</f>
        <v>0.0</v>
      </c>
      <c r="D524" t="inlineStr">
        <is>
          <t>鲜水湾</t>
        </is>
      </c>
      <c r="E524" t="inlineStr">
        <is>
          <t>49316638994</t>
        </is>
      </c>
      <c r="F524" t="inlineStr">
        <is>
          <t>2026-05-11 13:40:10</t>
        </is>
      </c>
      <c r="G524" t="inlineStr">
        <is>
          <t>图文</t>
        </is>
      </c>
      <c r="H524" t="inlineStr">
        <is>
          <t>智利尾端中段整条三文鱼 8斤深海鱼低脂餐囤货一周备菜顺丰包邮</t>
        </is>
      </c>
      <c r="I524" t="inlineStr">
        <is>
          <t>69fab80d64eb410001ece0c0</t>
        </is>
      </c>
      <c r="J524" t="inlineStr">
        <is>
          <t/>
        </is>
      </c>
      <c r="K524" t="n">
        <v>0.0</v>
      </c>
      <c r="L524" t="n">
        <v>0.0</v>
      </c>
      <c r="M524" t="n">
        <v>3.0</v>
      </c>
      <c r="N524" t="n">
        <v>1.0</v>
      </c>
      <c r="O524" t="n">
        <v>1.0</v>
      </c>
      <c r="P524" t="n">
        <v>0.0</v>
      </c>
      <c r="Q524" t="n">
        <v>0.0</v>
      </c>
      <c r="R524" t="n">
        <v>0.0</v>
      </c>
      <c r="S524" t="n">
        <v>0.0</v>
      </c>
      <c r="T524" t="n">
        <v>0.0</v>
      </c>
      <c r="U524" t="n">
        <v>0.0</v>
      </c>
      <c r="V524" t="n">
        <v>0.0</v>
      </c>
      <c r="W524" t="inlineStr">
        <is>
          <t/>
        </is>
      </c>
      <c r="X524" t="n">
        <v>0.0</v>
      </c>
      <c r="Y524" t="n">
        <v>1.0</v>
      </c>
      <c r="Z524" t="n">
        <v>0.0</v>
      </c>
      <c r="AA524" t="n">
        <v>0.0</v>
      </c>
      <c r="AB524" t="n">
        <v>0.0</v>
      </c>
      <c r="AC524" t="n">
        <v>0.0</v>
      </c>
      <c r="AD524" t="n">
        <v>3.0</v>
      </c>
      <c r="AE524" t="n">
        <v>0.0</v>
      </c>
      <c r="AF524" t="n">
        <v>0.0</v>
      </c>
      <c r="AG524" t="n">
        <v>0.0</v>
      </c>
      <c r="AH524" t="n">
        <v>0.0</v>
      </c>
      <c r="AI524" t="n">
        <v>0.0</v>
      </c>
      <c r="AJ524" t="n">
        <v>0.0</v>
      </c>
      <c r="AK524" t="n">
        <v>6.666666666666667</v>
      </c>
      <c r="AL524" t="inlineStr">
        <is>
          <t/>
        </is>
      </c>
    </row>
    <row r="525">
      <c r="A525" t="inlineStr">
        <is>
          <t>太绝了！这才是适合普通家庭的深海鱼</t>
        </is>
      </c>
      <c r="B525" t="inlineStr">
        <is>
          <t>6a013a8e00000000080273de</t>
        </is>
      </c>
      <c r="C525" s="524" t="n">
        <f>HYPERLINK("https://www.xiaohongshu.com/explore/6a013a8e00000000080273de?xsec_token=TBbTMdCTPOAzll1S0w5oGNgi06pfqUJnW9YiUvEGtnFeE=&amp;xsec_source=pc_trdark","https://www.xiaohongshu.com/explore/6a013a8e00000000080273de?xsec_token=TBbTMdCTPOAzll1S0w5oGNgi06pfqUJnW9YiUvEGtnFeE=&amp;xsec_source=pc_trdark")</f>
        <v>0.0</v>
      </c>
      <c r="D525" t="inlineStr">
        <is>
          <t>婉婉上班吃什么</t>
        </is>
      </c>
      <c r="E525" t="inlineStr">
        <is>
          <t>11434449706</t>
        </is>
      </c>
      <c r="F525" t="inlineStr">
        <is>
          <t>2026-05-11 10:10:22</t>
        </is>
      </c>
      <c r="G525" t="inlineStr">
        <is>
          <t>图文</t>
        </is>
      </c>
      <c r="H525" t="inlineStr">
        <is>
          <t>智利尾端中段整条三文鱼 8斤深海鱼低脂餐囤货一周备菜顺丰包邮</t>
        </is>
      </c>
      <c r="I525" t="inlineStr">
        <is>
          <t>69fab80d64eb410001ece0c0</t>
        </is>
      </c>
      <c r="J525" t="inlineStr">
        <is>
          <t/>
        </is>
      </c>
      <c r="K525" t="n">
        <v>0.0</v>
      </c>
      <c r="L525" t="n">
        <v>0.0</v>
      </c>
      <c r="M525" t="n">
        <v>0.0</v>
      </c>
      <c r="N525" t="n">
        <v>0.0</v>
      </c>
      <c r="O525" t="n">
        <v>0.0</v>
      </c>
      <c r="P525" t="n">
        <v>0.0</v>
      </c>
      <c r="Q525" t="inlineStr">
        <is>
          <t/>
        </is>
      </c>
      <c r="R525" t="inlineStr">
        <is>
          <t/>
        </is>
      </c>
      <c r="S525" t="n">
        <v>0.0</v>
      </c>
      <c r="T525" t="n">
        <v>0.0</v>
      </c>
      <c r="U525" t="n">
        <v>0.0</v>
      </c>
      <c r="V525" t="n">
        <v>0.0</v>
      </c>
      <c r="W525" t="inlineStr">
        <is>
          <t/>
        </is>
      </c>
      <c r="X525" t="n">
        <v>0.0</v>
      </c>
      <c r="Y525" t="n">
        <v>0.0</v>
      </c>
      <c r="Z525" t="n">
        <v>0.0</v>
      </c>
      <c r="AA525" t="n">
        <v>0.0</v>
      </c>
      <c r="AB525" t="n">
        <v>0.0</v>
      </c>
      <c r="AC525" t="n">
        <v>0.0</v>
      </c>
      <c r="AD525" t="n">
        <v>3.0</v>
      </c>
      <c r="AE525" t="n">
        <v>0.0</v>
      </c>
      <c r="AF525" t="n">
        <v>0.0</v>
      </c>
      <c r="AG525" t="n">
        <v>0.0</v>
      </c>
      <c r="AH525" t="n">
        <v>0.0</v>
      </c>
      <c r="AI525" t="n">
        <v>0.0</v>
      </c>
      <c r="AJ525" t="n">
        <v>0.0</v>
      </c>
      <c r="AK525" t="n">
        <v>5.333333333333333</v>
      </c>
      <c r="AL525" t="inlineStr">
        <is>
          <t/>
        </is>
      </c>
    </row>
    <row r="526">
      <c r="A526" t="inlineStr">
        <is>
          <t>100多直接囤够了我一周的减脂餐</t>
        </is>
      </c>
      <c r="B526" t="inlineStr">
        <is>
          <t>6a01314900000000070251ff</t>
        </is>
      </c>
      <c r="C526" s="525" t="n">
        <f>HYPERLINK("https://www.xiaohongshu.com/explore/6a01314900000000070251ff?xsec_token=TBbTMdCTPOAzll1S0w5oGNghTKEWAYces56l_mcHZjwmE=&amp;xsec_source=pc_trdark","https://www.xiaohongshu.com/explore/6a01314900000000070251ff?xsec_token=TBbTMdCTPOAzll1S0w5oGNghTKEWAYces56l_mcHZjwmE=&amp;xsec_source=pc_trdark")</f>
        <v>0.0</v>
      </c>
      <c r="D526" t="inlineStr">
        <is>
          <t>鲜水湾</t>
        </is>
      </c>
      <c r="E526" t="inlineStr">
        <is>
          <t>49316638994</t>
        </is>
      </c>
      <c r="F526" t="inlineStr">
        <is>
          <t>2026-05-11 09:30:50</t>
        </is>
      </c>
      <c r="G526" t="inlineStr">
        <is>
          <t>图文</t>
        </is>
      </c>
      <c r="H526" t="inlineStr">
        <is>
          <t>智利尾端中段整条三文鱼 8斤深海鱼低脂餐囤货一周备菜顺丰包邮</t>
        </is>
      </c>
      <c r="I526" t="inlineStr">
        <is>
          <t>69fab80d64eb410001ece0c0</t>
        </is>
      </c>
      <c r="J526" t="inlineStr">
        <is>
          <t/>
        </is>
      </c>
      <c r="K526" t="n">
        <v>0.0</v>
      </c>
      <c r="L526" t="n">
        <v>0.0</v>
      </c>
      <c r="M526" t="n">
        <v>0.0</v>
      </c>
      <c r="N526" t="n">
        <v>0.0</v>
      </c>
      <c r="O526" t="n">
        <v>0.0</v>
      </c>
      <c r="P526" t="n">
        <v>0.0</v>
      </c>
      <c r="Q526" t="inlineStr">
        <is>
          <t/>
        </is>
      </c>
      <c r="R526" t="inlineStr">
        <is>
          <t/>
        </is>
      </c>
      <c r="S526" t="n">
        <v>0.0</v>
      </c>
      <c r="T526" t="n">
        <v>0.0</v>
      </c>
      <c r="U526" t="n">
        <v>0.0</v>
      </c>
      <c r="V526" t="n">
        <v>0.0</v>
      </c>
      <c r="W526" t="inlineStr">
        <is>
          <t/>
        </is>
      </c>
      <c r="X526" t="n">
        <v>0.0</v>
      </c>
      <c r="Y526" t="n">
        <v>0.0</v>
      </c>
      <c r="Z526" t="n">
        <v>0.0</v>
      </c>
      <c r="AA526" t="n">
        <v>0.0</v>
      </c>
      <c r="AB526" t="n">
        <v>0.0</v>
      </c>
      <c r="AC526" t="n">
        <v>0.0</v>
      </c>
      <c r="AD526" t="n">
        <v>3.0</v>
      </c>
      <c r="AE526" t="n">
        <v>0.0</v>
      </c>
      <c r="AF526" t="n">
        <v>0.0</v>
      </c>
      <c r="AG526" t="n">
        <v>0.0</v>
      </c>
      <c r="AH526" t="n">
        <v>0.0</v>
      </c>
      <c r="AI526" t="n">
        <v>0.0</v>
      </c>
      <c r="AJ526" t="n">
        <v>0.0</v>
      </c>
      <c r="AK526" t="n">
        <v>1.6666666666666667</v>
      </c>
      <c r="AL526" t="inlineStr">
        <is>
          <t/>
        </is>
      </c>
    </row>
    <row r="527">
      <c r="A527" t="inlineStr">
        <is>
          <t>减脂期晚餐不发愁，全靠这袋虾🦐</t>
        </is>
      </c>
      <c r="B527" t="inlineStr">
        <is>
          <t>69fec816000000001a02f982</t>
        </is>
      </c>
      <c r="C527" s="526" t="n">
        <f>HYPERLINK("https://www.xiaohongshu.com/explore/69fec816000000001a02f982?xsec_token=TBW_z8KxT9AgMNTeavZZG2U4da_kPNSNdxpo1_zwKxt-0=&amp;xsec_source=pc_trdark","https://www.xiaohongshu.com/explore/69fec816000000001a02f982?xsec_token=TBW_z8KxT9AgMNTeavZZG2U4da_kPNSNdxpo1_zwKxt-0=&amp;xsec_source=pc_trdark")</f>
        <v>0.0</v>
      </c>
      <c r="D527" t="inlineStr">
        <is>
          <t>菲菲上班吃什么</t>
        </is>
      </c>
      <c r="E527" t="inlineStr">
        <is>
          <t>49936530607</t>
        </is>
      </c>
      <c r="F527" t="inlineStr">
        <is>
          <t>2026-05-09 13:37:26</t>
        </is>
      </c>
      <c r="G527" t="inlineStr">
        <is>
          <t>图文</t>
        </is>
      </c>
      <c r="H527" t="inlineStr">
        <is>
          <t>手剥虾仁 无冰衣无添加 低脂餐一人食 上班带饭 顺丰包邮 5盒装</t>
        </is>
      </c>
      <c r="I527" t="inlineStr">
        <is>
          <t>694baba01d450d00013662f0</t>
        </is>
      </c>
      <c r="J527" t="inlineStr">
        <is>
          <t/>
        </is>
      </c>
      <c r="K527" t="n">
        <v>0.0</v>
      </c>
      <c r="L527" t="n">
        <v>0.0</v>
      </c>
      <c r="M527" t="n">
        <v>0.0</v>
      </c>
      <c r="N527" t="n">
        <v>0.0</v>
      </c>
      <c r="O527" t="n">
        <v>0.0</v>
      </c>
      <c r="P527" t="n">
        <v>0.0</v>
      </c>
      <c r="Q527" t="inlineStr">
        <is>
          <t/>
        </is>
      </c>
      <c r="R527" t="inlineStr">
        <is>
          <t/>
        </is>
      </c>
      <c r="S527" t="n">
        <v>0.0</v>
      </c>
      <c r="T527" t="n">
        <v>0.0</v>
      </c>
      <c r="U527" t="n">
        <v>0.0</v>
      </c>
      <c r="V527" t="n">
        <v>0.0</v>
      </c>
      <c r="W527" t="inlineStr">
        <is>
          <t/>
        </is>
      </c>
      <c r="X527" t="n">
        <v>0.0</v>
      </c>
      <c r="Y527" t="n">
        <v>0.0</v>
      </c>
      <c r="Z527" t="n">
        <v>0.0</v>
      </c>
      <c r="AA527" t="n">
        <v>0.0</v>
      </c>
      <c r="AB527" t="n">
        <v>0.0</v>
      </c>
      <c r="AC527" t="n">
        <v>0.0</v>
      </c>
      <c r="AD527" t="n">
        <v>3.0</v>
      </c>
      <c r="AE527" t="n">
        <v>0.0</v>
      </c>
      <c r="AF527" t="n">
        <v>0.0</v>
      </c>
      <c r="AG527" t="n">
        <v>0.0</v>
      </c>
      <c r="AH527" t="n">
        <v>0.0</v>
      </c>
      <c r="AI527" t="n">
        <v>0.0</v>
      </c>
      <c r="AJ527" t="n">
        <v>0.0</v>
      </c>
      <c r="AK527" t="n">
        <v>0.3333333333333333</v>
      </c>
      <c r="AL527" t="inlineStr">
        <is>
          <t/>
        </is>
      </c>
    </row>
    <row r="528">
      <c r="A528" t="inlineStr">
        <is>
          <t>你说 69💰5 袋我微微心动，顺丰包邮我直接冲</t>
        </is>
      </c>
      <c r="B528" t="inlineStr">
        <is>
          <t>69fde505000000001e00e28f</t>
        </is>
      </c>
      <c r="C528" s="527" t="n">
        <f>HYPERLINK("https://www.xiaohongshu.com/explore/69fde505000000001e00e28f?xsec_token=TBsN-gaZoqyroonAOnMxE14NCfpCz7Yw1OnOuQstoHUq0=&amp;xsec_source=pc_trdark","https://www.xiaohongshu.com/explore/69fde505000000001e00e28f?xsec_token=TBsN-gaZoqyroonAOnMxE14NCfpCz7Yw1OnOuQstoHUq0=&amp;xsec_source=pc_trdark")</f>
        <v>0.0</v>
      </c>
      <c r="D528" t="inlineStr">
        <is>
          <t>鲜水湾</t>
        </is>
      </c>
      <c r="E528" t="inlineStr">
        <is>
          <t>49316638994</t>
        </is>
      </c>
      <c r="F528" t="inlineStr">
        <is>
          <t>2026-05-08 21:28:37</t>
        </is>
      </c>
      <c r="G528" t="inlineStr">
        <is>
          <t>图文</t>
        </is>
      </c>
      <c r="H528" t="inlineStr">
        <is>
          <t>手剥虾仁 无冰衣无添加 低脂餐一人食 上班带饭 顺丰包邮 5盒装</t>
        </is>
      </c>
      <c r="I528" t="inlineStr">
        <is>
          <t>694baba01d450d00013662f0</t>
        </is>
      </c>
      <c r="J528" t="inlineStr">
        <is>
          <t/>
        </is>
      </c>
      <c r="K528" t="n">
        <v>64.0</v>
      </c>
      <c r="L528" t="n">
        <v>1.0</v>
      </c>
      <c r="M528" t="n">
        <v>2.0</v>
      </c>
      <c r="N528" t="n">
        <v>0.6666666666666666</v>
      </c>
      <c r="O528" t="n">
        <v>2.0</v>
      </c>
      <c r="P528" t="n">
        <v>1.0</v>
      </c>
      <c r="Q528" t="n">
        <v>0.5</v>
      </c>
      <c r="R528" t="n">
        <v>0.5</v>
      </c>
      <c r="S528" t="n">
        <v>0.0</v>
      </c>
      <c r="T528" t="n">
        <v>0.0</v>
      </c>
      <c r="U528" t="n">
        <v>0.0</v>
      </c>
      <c r="V528" t="n">
        <v>0.0</v>
      </c>
      <c r="W528" t="n">
        <v>0.0</v>
      </c>
      <c r="X528" t="n">
        <v>0.0</v>
      </c>
      <c r="Y528" t="n">
        <v>0.0</v>
      </c>
      <c r="Z528" t="n">
        <v>0.0</v>
      </c>
      <c r="AA528" t="n">
        <v>0.0</v>
      </c>
      <c r="AB528" t="n">
        <v>0.0</v>
      </c>
      <c r="AC528" t="n">
        <v>0.0</v>
      </c>
      <c r="AD528" t="n">
        <v>3.0</v>
      </c>
      <c r="AE528" t="n">
        <v>0.0</v>
      </c>
      <c r="AF528" t="n">
        <v>0.0</v>
      </c>
      <c r="AG528" t="n">
        <v>0.0</v>
      </c>
      <c r="AH528" t="n">
        <v>0.0</v>
      </c>
      <c r="AI528" t="n">
        <v>0.0</v>
      </c>
      <c r="AJ528" t="n">
        <v>0.0</v>
      </c>
      <c r="AK528" t="n">
        <v>71.33333333333333</v>
      </c>
      <c r="AL528" t="inlineStr">
        <is>
          <t/>
        </is>
      </c>
    </row>
    <row r="529">
      <c r="A529" t="inlineStr">
        <is>
          <t>⛰️姆对不起！还是小包装虾仁更有幸福感🍤</t>
        </is>
      </c>
      <c r="B529" t="inlineStr">
        <is>
          <t>69f5bcaa0000000035030763</t>
        </is>
      </c>
      <c r="C529" s="528" t="n">
        <f>HYPERLINK("https://www.xiaohongshu.com/explore/69f5bcaa0000000035030763?xsec_token=TB1sypu4FwtYdfi9RYa_cO60kp8axF56POKS-idA4nat4=&amp;xsec_source=pc_trdark","https://www.xiaohongshu.com/explore/69f5bcaa0000000035030763?xsec_token=TB1sypu4FwtYdfi9RYa_cO60kp8axF56POKS-idA4nat4=&amp;xsec_source=pc_trdark")</f>
        <v>0.0</v>
      </c>
      <c r="D529" t="inlineStr">
        <is>
          <t>鲜水湾甄选</t>
        </is>
      </c>
      <c r="E529" t="inlineStr">
        <is>
          <t>27401929161</t>
        </is>
      </c>
      <c r="F529" t="inlineStr">
        <is>
          <t>2026-05-02 16:58:18</t>
        </is>
      </c>
      <c r="G529" t="inlineStr">
        <is>
          <t>图文</t>
        </is>
      </c>
      <c r="H529" t="inlineStr">
        <is>
          <t>手剥虾仁 无冰衣无添加 低脂餐一人食 上班带饭 顺丰包邮 5盒装</t>
        </is>
      </c>
      <c r="I529" t="inlineStr">
        <is>
          <t>694baba01d450d00013662f0</t>
        </is>
      </c>
      <c r="J529" t="inlineStr">
        <is>
          <t/>
        </is>
      </c>
      <c r="K529" t="n">
        <v>0.0</v>
      </c>
      <c r="L529" t="n">
        <v>0.0</v>
      </c>
      <c r="M529" t="n">
        <v>0.0</v>
      </c>
      <c r="N529" t="n">
        <v>0.0</v>
      </c>
      <c r="O529" t="n">
        <v>0.0</v>
      </c>
      <c r="P529" t="n">
        <v>0.0</v>
      </c>
      <c r="Q529" t="inlineStr">
        <is>
          <t/>
        </is>
      </c>
      <c r="R529" t="inlineStr">
        <is>
          <t/>
        </is>
      </c>
      <c r="S529" t="n">
        <v>0.0</v>
      </c>
      <c r="T529" t="n">
        <v>0.0</v>
      </c>
      <c r="U529" t="n">
        <v>0.0</v>
      </c>
      <c r="V529" t="n">
        <v>0.0</v>
      </c>
      <c r="W529" t="inlineStr">
        <is>
          <t/>
        </is>
      </c>
      <c r="X529" t="n">
        <v>0.0</v>
      </c>
      <c r="Y529" t="n">
        <v>0.0</v>
      </c>
      <c r="Z529" t="n">
        <v>0.0</v>
      </c>
      <c r="AA529" t="n">
        <v>0.0</v>
      </c>
      <c r="AB529" t="n">
        <v>0.0</v>
      </c>
      <c r="AC529" t="n">
        <v>0.0</v>
      </c>
      <c r="AD529" t="n">
        <v>3.0</v>
      </c>
      <c r="AE529" t="n">
        <v>0.0</v>
      </c>
      <c r="AF529" t="n">
        <v>0.0</v>
      </c>
      <c r="AG529" t="n">
        <v>0.0</v>
      </c>
      <c r="AH529" t="n">
        <v>0.0</v>
      </c>
      <c r="AI529" t="n">
        <v>0.0</v>
      </c>
      <c r="AJ529" t="n">
        <v>0.0</v>
      </c>
      <c r="AK529" t="n">
        <v>573.3333333333334</v>
      </c>
      <c r="AL529" t="inlineStr">
        <is>
          <t/>
        </is>
      </c>
    </row>
    <row r="530">
      <c r="A530" t="inlineStr">
        <is>
          <t>我的食欲稳定三件套：</t>
        </is>
      </c>
      <c r="B530" t="inlineStr">
        <is>
          <t>69f43dfc000000003501f8cd</t>
        </is>
      </c>
      <c r="C530" s="529" t="n">
        <f>HYPERLINK("https://www.xiaohongshu.com/explore/69f43dfc000000003501f8cd?xsec_token=TBXXG03Nicui0Qip9bKum1M03lHJYe99suxZynCnKE2eA=&amp;xsec_source=pc_trdark","https://www.xiaohongshu.com/explore/69f43dfc000000003501f8cd?xsec_token=TBXXG03Nicui0Qip9bKum1M03lHJYe99suxZynCnKE2eA=&amp;xsec_source=pc_trdark")</f>
        <v>0.0</v>
      </c>
      <c r="D530" t="inlineStr">
        <is>
          <t>鲜水湾甄选</t>
        </is>
      </c>
      <c r="E530" t="inlineStr">
        <is>
          <t>27401929161</t>
        </is>
      </c>
      <c r="F530" t="inlineStr">
        <is>
          <t>2026-05-01 13:45:32</t>
        </is>
      </c>
      <c r="G530" t="inlineStr">
        <is>
          <t>图文</t>
        </is>
      </c>
      <c r="H530" t="inlineStr">
        <is>
          <t>手剥虾仁 无冰衣无添加 低脂餐一人食 上班带饭 顺丰包邮 5盒装</t>
        </is>
      </c>
      <c r="I530" t="inlineStr">
        <is>
          <t>694baba01d450d00013662f0</t>
        </is>
      </c>
      <c r="J530" t="inlineStr">
        <is>
          <t/>
        </is>
      </c>
      <c r="K530" t="n">
        <v>0.0</v>
      </c>
      <c r="L530" t="n">
        <v>0.0</v>
      </c>
      <c r="M530" t="n">
        <v>0.0</v>
      </c>
      <c r="N530" t="n">
        <v>0.0</v>
      </c>
      <c r="O530" t="n">
        <v>0.0</v>
      </c>
      <c r="P530" t="n">
        <v>0.0</v>
      </c>
      <c r="Q530" t="inlineStr">
        <is>
          <t/>
        </is>
      </c>
      <c r="R530" t="inlineStr">
        <is>
          <t/>
        </is>
      </c>
      <c r="S530" t="n">
        <v>0.0</v>
      </c>
      <c r="T530" t="n">
        <v>0.0</v>
      </c>
      <c r="U530" t="n">
        <v>0.0</v>
      </c>
      <c r="V530" t="n">
        <v>0.0</v>
      </c>
      <c r="W530" t="inlineStr">
        <is>
          <t/>
        </is>
      </c>
      <c r="X530" t="n">
        <v>0.0</v>
      </c>
      <c r="Y530" t="n">
        <v>0.0</v>
      </c>
      <c r="Z530" t="n">
        <v>0.0</v>
      </c>
      <c r="AA530" t="n">
        <v>0.0</v>
      </c>
      <c r="AB530" t="n">
        <v>0.0</v>
      </c>
      <c r="AC530" t="n">
        <v>0.0</v>
      </c>
      <c r="AD530" t="n">
        <v>3.0</v>
      </c>
      <c r="AE530" t="n">
        <v>0.0</v>
      </c>
      <c r="AF530" t="n">
        <v>0.0</v>
      </c>
      <c r="AG530" t="n">
        <v>0.0</v>
      </c>
      <c r="AH530" t="n">
        <v>0.0</v>
      </c>
      <c r="AI530" t="n">
        <v>0.0</v>
      </c>
      <c r="AJ530" t="n">
        <v>0.0</v>
      </c>
      <c r="AK530" t="n">
        <v>10.666666666666666</v>
      </c>
      <c r="AL530" t="inlineStr">
        <is>
          <t/>
        </is>
      </c>
    </row>
    <row r="531">
      <c r="A531" t="inlineStr">
        <is>
          <t>和爸妈商量后，推出一人食小包装虾仁！</t>
        </is>
      </c>
      <c r="B531" t="inlineStr">
        <is>
          <t>69e77f4000000000230141a0</t>
        </is>
      </c>
      <c r="C531" s="530" t="n">
        <f>HYPERLINK("https://www.xiaohongshu.com/explore/69e77f4000000000230141a0?xsec_token=TBxJD1S06w8M0Ib6UdHEwWiMn8S99KhW5xOg0KTssddnM=&amp;xsec_source=pc_trdark","https://www.xiaohongshu.com/explore/69e77f4000000000230141a0?xsec_token=TBxJD1S06w8M0Ib6UdHEwWiMn8S99KhW5xOg0KTssddnM=&amp;xsec_source=pc_trdark")</f>
        <v>0.0</v>
      </c>
      <c r="D531" t="inlineStr">
        <is>
          <t>鲜水湾</t>
        </is>
      </c>
      <c r="E531" t="inlineStr">
        <is>
          <t>49316638994</t>
        </is>
      </c>
      <c r="F531" t="inlineStr">
        <is>
          <t>2026-04-21 21:44:32</t>
        </is>
      </c>
      <c r="G531" t="inlineStr">
        <is>
          <t>图文</t>
        </is>
      </c>
      <c r="H531" t="inlineStr">
        <is>
          <t>手剥虾仁 无冰衣无添加 低脂餐一人食 上班带饭 顺丰包邮 5盒装</t>
        </is>
      </c>
      <c r="I531" t="inlineStr">
        <is>
          <t>694baba01d450d00013662f0</t>
        </is>
      </c>
      <c r="J531" t="inlineStr">
        <is>
          <t/>
        </is>
      </c>
      <c r="K531" t="n">
        <v>0.0</v>
      </c>
      <c r="L531" t="n">
        <v>0.0</v>
      </c>
      <c r="M531" t="n">
        <v>2.0</v>
      </c>
      <c r="N531" t="n">
        <v>0.6666666666666666</v>
      </c>
      <c r="O531" t="n">
        <v>1.0</v>
      </c>
      <c r="P531" t="n">
        <v>0.0</v>
      </c>
      <c r="Q531" t="n">
        <v>0.0</v>
      </c>
      <c r="R531" t="n">
        <v>0.0</v>
      </c>
      <c r="S531" t="n">
        <v>0.0</v>
      </c>
      <c r="T531" t="n">
        <v>0.0</v>
      </c>
      <c r="U531" t="n">
        <v>0.0</v>
      </c>
      <c r="V531" t="n">
        <v>0.0</v>
      </c>
      <c r="W531" t="inlineStr">
        <is>
          <t/>
        </is>
      </c>
      <c r="X531" t="n">
        <v>0.0</v>
      </c>
      <c r="Y531" t="n">
        <v>0.0</v>
      </c>
      <c r="Z531" t="n">
        <v>1.0</v>
      </c>
      <c r="AA531" t="n">
        <v>0.0</v>
      </c>
      <c r="AB531" t="n">
        <v>0.0</v>
      </c>
      <c r="AC531" t="n">
        <v>0.0</v>
      </c>
      <c r="AD531" t="n">
        <v>3.0</v>
      </c>
      <c r="AE531" t="n">
        <v>0.0</v>
      </c>
      <c r="AF531" t="n">
        <v>0.0</v>
      </c>
      <c r="AG531" t="n">
        <v>0.0</v>
      </c>
      <c r="AH531" t="n">
        <v>0.0</v>
      </c>
      <c r="AI531" t="n">
        <v>0.0</v>
      </c>
      <c r="AJ531" t="n">
        <v>0.0</v>
      </c>
      <c r="AK531" t="n">
        <v>0.3333333333333333</v>
      </c>
      <c r="AL531" t="inlineStr">
        <is>
          <t/>
        </is>
      </c>
    </row>
    <row r="532">
      <c r="A532" t="inlineStr">
        <is>
          <t>我妈：你就卖300块一整条，总比卖不出去强</t>
        </is>
      </c>
      <c r="B532" t="inlineStr">
        <is>
          <t>69e71389000000002003aa4c</t>
        </is>
      </c>
      <c r="C532" s="531" t="n">
        <f>HYPERLINK("https://www.xiaohongshu.com/explore/69e71389000000002003aa4c?xsec_token=TBxJD1S06w8M0Ib6UdHEwWiI_sir0lCHof9S62RY2PvW0=&amp;xsec_source=pc_trdark","https://www.xiaohongshu.com/explore/69e71389000000002003aa4c?xsec_token=TBxJD1S06w8M0Ib6UdHEwWiI_sir0lCHof9S62RY2PvW0=&amp;xsec_source=pc_trdark")</f>
        <v>0.0</v>
      </c>
      <c r="D532" t="inlineStr">
        <is>
          <t>鲜水湾</t>
        </is>
      </c>
      <c r="E532" t="inlineStr">
        <is>
          <t>49316638994</t>
        </is>
      </c>
      <c r="F532" t="inlineStr">
        <is>
          <t>2026-04-21 14:04:57</t>
        </is>
      </c>
      <c r="G532" t="inlineStr">
        <is>
          <t>图文</t>
        </is>
      </c>
      <c r="H532" t="inlineStr">
        <is>
          <t>智利三文鱼切块·整条三文鱼·深海鱼一人食健康饮食</t>
        </is>
      </c>
      <c r="I532" t="inlineStr">
        <is>
          <t>691ac562a524ee0001b51d7b</t>
        </is>
      </c>
      <c r="J532" t="inlineStr">
        <is>
          <t/>
        </is>
      </c>
      <c r="K532" t="n">
        <v>0.0</v>
      </c>
      <c r="L532" t="n">
        <v>0.0</v>
      </c>
      <c r="M532" t="n">
        <v>0.0</v>
      </c>
      <c r="N532" t="n">
        <v>0.0</v>
      </c>
      <c r="O532" t="n">
        <v>0.0</v>
      </c>
      <c r="P532" t="n">
        <v>0.0</v>
      </c>
      <c r="Q532" t="inlineStr">
        <is>
          <t/>
        </is>
      </c>
      <c r="R532" t="inlineStr">
        <is>
          <t/>
        </is>
      </c>
      <c r="S532" t="n">
        <v>0.0</v>
      </c>
      <c r="T532" t="n">
        <v>0.0</v>
      </c>
      <c r="U532" t="n">
        <v>0.0</v>
      </c>
      <c r="V532" t="n">
        <v>0.0</v>
      </c>
      <c r="W532" t="inlineStr">
        <is>
          <t/>
        </is>
      </c>
      <c r="X532" t="n">
        <v>0.0</v>
      </c>
      <c r="Y532" t="n">
        <v>0.0</v>
      </c>
      <c r="Z532" t="n">
        <v>0.0</v>
      </c>
      <c r="AA532" t="n">
        <v>0.0</v>
      </c>
      <c r="AB532" t="n">
        <v>0.0</v>
      </c>
      <c r="AC532" t="n">
        <v>0.0</v>
      </c>
      <c r="AD532" t="n">
        <v>3.0</v>
      </c>
      <c r="AE532" t="n">
        <v>0.0</v>
      </c>
      <c r="AF532" t="n">
        <v>0.0</v>
      </c>
      <c r="AG532" t="n">
        <v>0.0</v>
      </c>
      <c r="AH532" t="n">
        <v>0.0</v>
      </c>
      <c r="AI532" t="n">
        <v>0.0</v>
      </c>
      <c r="AJ532" t="n">
        <v>0.0</v>
      </c>
      <c r="AK532" t="n">
        <v>9.333333333333334</v>
      </c>
      <c r="AL532" t="inlineStr">
        <is>
          <t/>
        </is>
      </c>
    </row>
    <row r="533">
      <c r="A533" t="inlineStr">
        <is>
          <t>别拿sam跟我比，真的不够打</t>
        </is>
      </c>
      <c r="B533" t="inlineStr">
        <is>
          <t>69db6f28000000002300661f</t>
        </is>
      </c>
      <c r="C533" s="532" t="n">
        <f>HYPERLINK("https://www.xiaohongshu.com/explore/69db6f28000000002300661f?xsec_token=TBv7n0Oy0CPbFvgz473v78kY871L79wYtFjcRv4m9hrlc=&amp;xsec_source=pc_trdark","https://www.xiaohongshu.com/explore/69db6f28000000002300661f?xsec_token=TBv7n0Oy0CPbFvgz473v78kY871L79wYtFjcRv4m9hrlc=&amp;xsec_source=pc_trdark")</f>
        <v>0.0</v>
      </c>
      <c r="D533" t="inlineStr">
        <is>
          <t>鲜水湾</t>
        </is>
      </c>
      <c r="E533" t="inlineStr">
        <is>
          <t>49316638994</t>
        </is>
      </c>
      <c r="F533" t="inlineStr">
        <is>
          <t>2026-04-12 18:08:40</t>
        </is>
      </c>
      <c r="G533" t="inlineStr">
        <is>
          <t>图文</t>
        </is>
      </c>
      <c r="H533" t="inlineStr">
        <is>
          <t>手剥虾仁 无冰衣无添加 低脂餐一人食 上班带饭 顺丰包邮 5盒装</t>
        </is>
      </c>
      <c r="I533" t="inlineStr">
        <is>
          <t>694baba01d450d00013662f0</t>
        </is>
      </c>
      <c r="J533" t="inlineStr">
        <is>
          <t/>
        </is>
      </c>
      <c r="K533" t="n">
        <v>0.0</v>
      </c>
      <c r="L533" t="n">
        <v>0.0</v>
      </c>
      <c r="M533" t="n">
        <v>1.0</v>
      </c>
      <c r="N533" t="n">
        <v>0.3333333333333333</v>
      </c>
      <c r="O533" t="n">
        <v>1.0</v>
      </c>
      <c r="P533" t="n">
        <v>0.0</v>
      </c>
      <c r="Q533" t="n">
        <v>0.0</v>
      </c>
      <c r="R533" t="n">
        <v>0.0</v>
      </c>
      <c r="S533" t="n">
        <v>0.0</v>
      </c>
      <c r="T533" t="n">
        <v>0.0</v>
      </c>
      <c r="U533" t="n">
        <v>0.0</v>
      </c>
      <c r="V533" t="n">
        <v>0.0</v>
      </c>
      <c r="W533" t="inlineStr">
        <is>
          <t/>
        </is>
      </c>
      <c r="X533" t="n">
        <v>0.0</v>
      </c>
      <c r="Y533" t="n">
        <v>0.0</v>
      </c>
      <c r="Z533" t="n">
        <v>0.0</v>
      </c>
      <c r="AA533" t="n">
        <v>0.0</v>
      </c>
      <c r="AB533" t="n">
        <v>0.0</v>
      </c>
      <c r="AC533" t="n">
        <v>0.0</v>
      </c>
      <c r="AD533" t="n">
        <v>3.0</v>
      </c>
      <c r="AE533" t="n">
        <v>0.0</v>
      </c>
      <c r="AF533" t="n">
        <v>0.0</v>
      </c>
      <c r="AG533" t="n">
        <v>0.0</v>
      </c>
      <c r="AH533" t="n">
        <v>0.0</v>
      </c>
      <c r="AI533" t="n">
        <v>0.0</v>
      </c>
      <c r="AJ533" t="n">
        <v>0.0</v>
      </c>
      <c r="AK533" t="n">
        <v>22.333333333333332</v>
      </c>
      <c r="AL533" t="inlineStr">
        <is>
          <t/>
        </is>
      </c>
    </row>
    <row r="534">
      <c r="A534" t="inlineStr">
        <is>
          <t>剥了一斤虾壳手臭了三天，从此我只吃这种……</t>
        </is>
      </c>
      <c r="B534" t="inlineStr">
        <is>
          <t>69d611e4000000002202ba15</t>
        </is>
      </c>
      <c r="C534" s="533" t="n">
        <f>HYPERLINK("https://www.xiaohongshu.com/explore/69d611e4000000002202ba15?xsec_token=TBvBxKrH7kcVQkSA7MMxNJOWJZn-Mie6vRBpH-b_YhzgI=&amp;xsec_source=pc_trdark","https://www.xiaohongshu.com/explore/69d611e4000000002202ba15?xsec_token=TBvBxKrH7kcVQkSA7MMxNJOWJZn-Mie6vRBpH-b_YhzgI=&amp;xsec_source=pc_trdark")</f>
        <v>0.0</v>
      </c>
      <c r="D534" t="inlineStr">
        <is>
          <t>菲菲上班吃什么</t>
        </is>
      </c>
      <c r="E534" t="inlineStr">
        <is>
          <t>49936530607</t>
        </is>
      </c>
      <c r="F534" t="inlineStr">
        <is>
          <t>2026-04-08 16:29:24</t>
        </is>
      </c>
      <c r="G534" t="inlineStr">
        <is>
          <t>图文</t>
        </is>
      </c>
      <c r="H534" t="inlineStr">
        <is>
          <t>手剥虾仁 无冰衣无添加 低脂餐一人食 上班带饭 顺丰包邮 5盒装</t>
        </is>
      </c>
      <c r="I534" t="inlineStr">
        <is>
          <t>694baba01d450d00013662f0</t>
        </is>
      </c>
      <c r="J534" t="inlineStr">
        <is>
          <t/>
        </is>
      </c>
      <c r="K534" t="n">
        <v>0.0</v>
      </c>
      <c r="L534" t="n">
        <v>0.0</v>
      </c>
      <c r="M534" t="n">
        <v>0.0</v>
      </c>
      <c r="N534" t="n">
        <v>0.0</v>
      </c>
      <c r="O534" t="n">
        <v>0.0</v>
      </c>
      <c r="P534" t="n">
        <v>0.0</v>
      </c>
      <c r="Q534" t="inlineStr">
        <is>
          <t/>
        </is>
      </c>
      <c r="R534" t="inlineStr">
        <is>
          <t/>
        </is>
      </c>
      <c r="S534" t="n">
        <v>0.0</v>
      </c>
      <c r="T534" t="n">
        <v>0.0</v>
      </c>
      <c r="U534" t="n">
        <v>0.0</v>
      </c>
      <c r="V534" t="n">
        <v>0.0</v>
      </c>
      <c r="W534" t="inlineStr">
        <is>
          <t/>
        </is>
      </c>
      <c r="X534" t="n">
        <v>0.0</v>
      </c>
      <c r="Y534" t="n">
        <v>0.0</v>
      </c>
      <c r="Z534" t="n">
        <v>0.0</v>
      </c>
      <c r="AA534" t="n">
        <v>0.0</v>
      </c>
      <c r="AB534" t="n">
        <v>0.0</v>
      </c>
      <c r="AC534" t="n">
        <v>0.0</v>
      </c>
      <c r="AD534" t="n">
        <v>3.0</v>
      </c>
      <c r="AE534" t="n">
        <v>0.0</v>
      </c>
      <c r="AF534" t="n">
        <v>0.0</v>
      </c>
      <c r="AG534" t="n">
        <v>0.0</v>
      </c>
      <c r="AH534" t="n">
        <v>0.0</v>
      </c>
      <c r="AI534" t="n">
        <v>0.0</v>
      </c>
      <c r="AJ534" t="n">
        <v>0.0</v>
      </c>
      <c r="AK534" t="n">
        <v>10.0</v>
      </c>
      <c r="AL534" t="inlineStr">
        <is>
          <t/>
        </is>
      </c>
    </row>
    <row r="535">
      <c r="A535" t="inlineStr">
        <is>
          <t>给宝宝做辅食，我终于不用自己剥虾仁了……</t>
        </is>
      </c>
      <c r="B535" t="inlineStr">
        <is>
          <t>69d50692000000001f00490a</t>
        </is>
      </c>
      <c r="C535" s="534" t="n">
        <f>HYPERLINK("https://www.xiaohongshu.com/explore/69d50692000000001f00490a?xsec_token=TB8iwnyw3eAUAW6IHOsxIm-ktNz7tiAanUIjNe1_zphw4=&amp;xsec_source=pc_trdark","https://www.xiaohongshu.com/explore/69d50692000000001f00490a?xsec_token=TB8iwnyw3eAUAW6IHOsxIm-ktNz7tiAanUIjNe1_zphw4=&amp;xsec_source=pc_trdark")</f>
        <v>0.0</v>
      </c>
      <c r="D535" t="inlineStr">
        <is>
          <t>婉婉上班吃什么</t>
        </is>
      </c>
      <c r="E535" t="inlineStr">
        <is>
          <t>11434449706</t>
        </is>
      </c>
      <c r="F535" t="inlineStr">
        <is>
          <t>2026-04-07 21:28:50</t>
        </is>
      </c>
      <c r="G535" t="inlineStr">
        <is>
          <t>图文</t>
        </is>
      </c>
      <c r="H535" t="inlineStr">
        <is>
          <t>手剥虾仁 无冰衣无添加 低脂餐一人食 上班带饭 顺丰包邮 5盒装</t>
        </is>
      </c>
      <c r="I535" t="inlineStr">
        <is>
          <t>694baba01d450d00013662f0</t>
        </is>
      </c>
      <c r="J535" t="inlineStr">
        <is>
          <t/>
        </is>
      </c>
      <c r="K535" t="n">
        <v>0.0</v>
      </c>
      <c r="L535" t="n">
        <v>0.0</v>
      </c>
      <c r="M535" t="n">
        <v>0.0</v>
      </c>
      <c r="N535" t="n">
        <v>0.0</v>
      </c>
      <c r="O535" t="n">
        <v>0.0</v>
      </c>
      <c r="P535" t="n">
        <v>0.0</v>
      </c>
      <c r="Q535" t="inlineStr">
        <is>
          <t/>
        </is>
      </c>
      <c r="R535" t="inlineStr">
        <is>
          <t/>
        </is>
      </c>
      <c r="S535" t="n">
        <v>0.0</v>
      </c>
      <c r="T535" t="n">
        <v>0.0</v>
      </c>
      <c r="U535" t="n">
        <v>0.0</v>
      </c>
      <c r="V535" t="n">
        <v>0.0</v>
      </c>
      <c r="W535" t="inlineStr">
        <is>
          <t/>
        </is>
      </c>
      <c r="X535" t="n">
        <v>0.0</v>
      </c>
      <c r="Y535" t="n">
        <v>0.0</v>
      </c>
      <c r="Z535" t="n">
        <v>0.0</v>
      </c>
      <c r="AA535" t="n">
        <v>0.0</v>
      </c>
      <c r="AB535" t="n">
        <v>0.0</v>
      </c>
      <c r="AC535" t="n">
        <v>0.0</v>
      </c>
      <c r="AD535" t="n">
        <v>3.0</v>
      </c>
      <c r="AE535" t="n">
        <v>0.0</v>
      </c>
      <c r="AF535" t="n">
        <v>0.0</v>
      </c>
      <c r="AG535" t="n">
        <v>0.0</v>
      </c>
      <c r="AH535" t="n">
        <v>0.0</v>
      </c>
      <c r="AI535" t="n">
        <v>0.0</v>
      </c>
      <c r="AJ535" t="n">
        <v>0.0</v>
      </c>
      <c r="AK535" t="n">
        <v>5.666666666666667</v>
      </c>
      <c r="AL535" t="inlineStr">
        <is>
          <t/>
        </is>
      </c>
    </row>
    <row r="536">
      <c r="A536" t="inlineStr">
        <is>
          <t>300块承包了我一个月的减脂餐！</t>
        </is>
      </c>
      <c r="B536" t="inlineStr">
        <is>
          <t>69d22234000000001a037803</t>
        </is>
      </c>
      <c r="C536" s="535" t="n">
        <f>HYPERLINK("https://www.xiaohongshu.com/explore/69d22234000000001a037803?xsec_token=TBNrOxL8mRPP3W5KJU-iYJr-TgGTZlQigO7qSqmqzRLOA=&amp;xsec_source=pc_trdark","https://www.xiaohongshu.com/explore/69d22234000000001a037803?xsec_token=TBNrOxL8mRPP3W5KJU-iYJr-TgGTZlQigO7qSqmqzRLOA=&amp;xsec_source=pc_trdark")</f>
        <v>0.0</v>
      </c>
      <c r="D536" t="inlineStr">
        <is>
          <t>婉婉上班吃什么</t>
        </is>
      </c>
      <c r="E536" t="inlineStr">
        <is>
          <t>11434449706</t>
        </is>
      </c>
      <c r="F536" t="inlineStr">
        <is>
          <t>2026-04-05 16:49:56</t>
        </is>
      </c>
      <c r="G536" t="inlineStr">
        <is>
          <t>图文</t>
        </is>
      </c>
      <c r="H536" t="inlineStr">
        <is>
          <t>智利三文鱼切块·整条三文鱼·深海鱼一人食健康饮食</t>
        </is>
      </c>
      <c r="I536" t="inlineStr">
        <is>
          <t>691ac562a524ee0001b51d7b</t>
        </is>
      </c>
      <c r="J536" t="inlineStr">
        <is>
          <t/>
        </is>
      </c>
      <c r="K536" t="n">
        <v>0.0</v>
      </c>
      <c r="L536" t="n">
        <v>0.0</v>
      </c>
      <c r="M536" t="n">
        <v>0.0</v>
      </c>
      <c r="N536" t="n">
        <v>0.0</v>
      </c>
      <c r="O536" t="n">
        <v>0.0</v>
      </c>
      <c r="P536" t="n">
        <v>0.0</v>
      </c>
      <c r="Q536" t="inlineStr">
        <is>
          <t/>
        </is>
      </c>
      <c r="R536" t="inlineStr">
        <is>
          <t/>
        </is>
      </c>
      <c r="S536" t="n">
        <v>0.0</v>
      </c>
      <c r="T536" t="n">
        <v>0.0</v>
      </c>
      <c r="U536" t="n">
        <v>0.0</v>
      </c>
      <c r="V536" t="n">
        <v>0.0</v>
      </c>
      <c r="W536" t="inlineStr">
        <is>
          <t/>
        </is>
      </c>
      <c r="X536" t="n">
        <v>0.0</v>
      </c>
      <c r="Y536" t="n">
        <v>0.0</v>
      </c>
      <c r="Z536" t="n">
        <v>0.0</v>
      </c>
      <c r="AA536" t="n">
        <v>0.0</v>
      </c>
      <c r="AB536" t="n">
        <v>0.0</v>
      </c>
      <c r="AC536" t="n">
        <v>0.0</v>
      </c>
      <c r="AD536" t="n">
        <v>3.0</v>
      </c>
      <c r="AE536" t="n">
        <v>0.0</v>
      </c>
      <c r="AF536" t="n">
        <v>0.0</v>
      </c>
      <c r="AG536" t="n">
        <v>0.0</v>
      </c>
      <c r="AH536" t="n">
        <v>0.0</v>
      </c>
      <c r="AI536" t="n">
        <v>0.0</v>
      </c>
      <c r="AJ536" t="n">
        <v>0.0</v>
      </c>
      <c r="AK536" t="n">
        <v>6.333333333333333</v>
      </c>
      <c r="AL536" t="inlineStr">
        <is>
          <t/>
        </is>
      </c>
    </row>
    <row r="537">
      <c r="A537" t="inlineStr">
        <is>
          <t>瘦子实习生带的饭一天比一天离谱</t>
        </is>
      </c>
      <c r="B537" t="inlineStr">
        <is>
          <t>69ba3bfd000000001e00c8bd</t>
        </is>
      </c>
      <c r="C537" s="536" t="n">
        <f>HYPERLINK("https://www.xiaohongshu.com/explore/69ba3bfd000000001e00c8bd?xsec_token=TBgJVNruMKjnZKfHBYiZtZCWJ3e2TMo09toTKZ9vdVWb0=&amp;xsec_source=pc_trdark","https://www.xiaohongshu.com/explore/69ba3bfd000000001e00c8bd?xsec_token=TBgJVNruMKjnZKfHBYiZtZCWJ3e2TMo09toTKZ9vdVWb0=&amp;xsec_source=pc_trdark")</f>
        <v>0.0</v>
      </c>
      <c r="D537" t="inlineStr">
        <is>
          <t>婉婉上班吃什么</t>
        </is>
      </c>
      <c r="E537" t="inlineStr">
        <is>
          <t>11434449706</t>
        </is>
      </c>
      <c r="F537" t="inlineStr">
        <is>
          <t>2026-03-18 13:45:33</t>
        </is>
      </c>
      <c r="G537" t="inlineStr">
        <is>
          <t>图文</t>
        </is>
      </c>
      <c r="H537" t="inlineStr">
        <is>
          <t>手剥虾仁 无冰衣无添加 低脂餐一人食 上班带饭 顺丰包邮 5盒装</t>
        </is>
      </c>
      <c r="I537" t="inlineStr">
        <is>
          <t>694baba01d450d00013662f0</t>
        </is>
      </c>
      <c r="J537" t="inlineStr">
        <is>
          <t/>
        </is>
      </c>
      <c r="K537" t="n">
        <v>0.0</v>
      </c>
      <c r="L537" t="n">
        <v>0.0</v>
      </c>
      <c r="M537" t="n">
        <v>0.0</v>
      </c>
      <c r="N537" t="n">
        <v>0.0</v>
      </c>
      <c r="O537" t="n">
        <v>0.0</v>
      </c>
      <c r="P537" t="n">
        <v>0.0</v>
      </c>
      <c r="Q537" t="inlineStr">
        <is>
          <t/>
        </is>
      </c>
      <c r="R537" t="inlineStr">
        <is>
          <t/>
        </is>
      </c>
      <c r="S537" t="n">
        <v>0.0</v>
      </c>
      <c r="T537" t="n">
        <v>0.0</v>
      </c>
      <c r="U537" t="n">
        <v>0.0</v>
      </c>
      <c r="V537" t="n">
        <v>0.0</v>
      </c>
      <c r="W537" t="inlineStr">
        <is>
          <t/>
        </is>
      </c>
      <c r="X537" t="n">
        <v>0.0</v>
      </c>
      <c r="Y537" t="n">
        <v>0.0</v>
      </c>
      <c r="Z537" t="n">
        <v>0.0</v>
      </c>
      <c r="AA537" t="n">
        <v>0.0</v>
      </c>
      <c r="AB537" t="n">
        <v>0.0</v>
      </c>
      <c r="AC537" t="n">
        <v>0.0</v>
      </c>
      <c r="AD537" t="n">
        <v>3.0</v>
      </c>
      <c r="AE537" t="n">
        <v>0.0</v>
      </c>
      <c r="AF537" t="n">
        <v>0.0</v>
      </c>
      <c r="AG537" t="n">
        <v>0.0</v>
      </c>
      <c r="AH537" t="n">
        <v>0.0</v>
      </c>
      <c r="AI537" t="n">
        <v>0.0</v>
      </c>
      <c r="AJ537" t="n">
        <v>0.0</v>
      </c>
      <c r="AK537" t="n">
        <v>8.666666666666666</v>
      </c>
      <c r="AL537" t="inlineStr">
        <is>
          <t/>
        </is>
      </c>
    </row>
    <row r="538">
      <c r="A538" t="inlineStr">
        <is>
          <t>不要低估了300来块的购买力，能买八九斤……</t>
        </is>
      </c>
      <c r="B538" t="inlineStr">
        <is>
          <t>69894c2b0000000028009f8a</t>
        </is>
      </c>
      <c r="C538" s="537" t="n">
        <f>HYPERLINK("https://www.xiaohongshu.com/explore/69894c2b0000000028009f8a?xsec_token=TBeAeWMkLJ9etYlFDlK3pgub5uCYryT7e8MPcLAVEIto8=&amp;xsec_source=pc_trdark","https://www.xiaohongshu.com/explore/69894c2b0000000028009f8a?xsec_token=TBeAeWMkLJ9etYlFDlK3pgub5uCYryT7e8MPcLAVEIto8=&amp;xsec_source=pc_trdark")</f>
        <v>0.0</v>
      </c>
      <c r="D538" t="inlineStr">
        <is>
          <t>鲜水湾</t>
        </is>
      </c>
      <c r="E538" t="inlineStr">
        <is>
          <t>49316638994</t>
        </is>
      </c>
      <c r="F538" t="inlineStr">
        <is>
          <t>2026-02-09 10:53:31</t>
        </is>
      </c>
      <c r="G538" t="inlineStr">
        <is>
          <t>图文</t>
        </is>
      </c>
      <c r="H538" t="inlineStr">
        <is>
          <t>智利三文鱼切块·整条三文鱼·深海鱼一人食健康饮食</t>
        </is>
      </c>
      <c r="I538" t="inlineStr">
        <is>
          <t>691ac562a524ee0001b51d7b</t>
        </is>
      </c>
      <c r="J538" t="inlineStr">
        <is>
          <t/>
        </is>
      </c>
      <c r="K538" t="n">
        <v>0.0</v>
      </c>
      <c r="L538" t="n">
        <v>0.0</v>
      </c>
      <c r="M538" t="n">
        <v>2.0</v>
      </c>
      <c r="N538" t="n">
        <v>0.6666666666666666</v>
      </c>
      <c r="O538" t="n">
        <v>1.0</v>
      </c>
      <c r="P538" t="n">
        <v>0.0</v>
      </c>
      <c r="Q538" t="n">
        <v>0.0</v>
      </c>
      <c r="R538" t="n">
        <v>0.0</v>
      </c>
      <c r="S538" t="n">
        <v>0.0</v>
      </c>
      <c r="T538" t="n">
        <v>0.0</v>
      </c>
      <c r="U538" t="n">
        <v>0.0</v>
      </c>
      <c r="V538" t="n">
        <v>0.0</v>
      </c>
      <c r="W538" t="inlineStr">
        <is>
          <t/>
        </is>
      </c>
      <c r="X538" t="n">
        <v>0.0</v>
      </c>
      <c r="Y538" t="n">
        <v>1.0</v>
      </c>
      <c r="Z538" t="n">
        <v>0.0</v>
      </c>
      <c r="AA538" t="n">
        <v>0.0</v>
      </c>
      <c r="AB538" t="n">
        <v>0.0</v>
      </c>
      <c r="AC538" t="n">
        <v>0.0</v>
      </c>
      <c r="AD538" t="n">
        <v>3.0</v>
      </c>
      <c r="AE538" t="n">
        <v>0.0</v>
      </c>
      <c r="AF538" t="n">
        <v>0.0</v>
      </c>
      <c r="AG538" t="n">
        <v>0.0</v>
      </c>
      <c r="AH538" t="n">
        <v>0.0</v>
      </c>
      <c r="AI538" t="n">
        <v>0.0</v>
      </c>
      <c r="AJ538" t="n">
        <v>0.0</v>
      </c>
      <c r="AK538" t="n">
        <v>23.333333333333332</v>
      </c>
      <c r="AL538" t="inlineStr">
        <is>
          <t/>
        </is>
      </c>
    </row>
    <row r="539">
      <c r="A539" t="inlineStr">
        <is>
          <t>听教练的！健身爬坡的姐妹都去吃高蛋白</t>
        </is>
      </c>
      <c r="B539" t="inlineStr">
        <is>
          <t>69846671000000002801fca8</t>
        </is>
      </c>
      <c r="C539" s="538" t="n">
        <f>HYPERLINK("https://www.xiaohongshu.com/explore/69846671000000002801fca8?xsec_token=TBn0ftdrPlwv37Gn1tDFpAI8Oa4NzhM1ITZJXQqcQILNs=&amp;xsec_source=pc_trdark","https://www.xiaohongshu.com/explore/69846671000000002801fca8?xsec_token=TBn0ftdrPlwv37Gn1tDFpAI8Oa4NzhM1ITZJXQqcQILNs=&amp;xsec_source=pc_trdark")</f>
        <v>0.0</v>
      </c>
      <c r="D539" t="inlineStr">
        <is>
          <t>鲜水湾</t>
        </is>
      </c>
      <c r="E539" t="inlineStr">
        <is>
          <t>49316638994</t>
        </is>
      </c>
      <c r="F539" t="inlineStr">
        <is>
          <t>2026-02-05 17:44:17</t>
        </is>
      </c>
      <c r="G539" t="inlineStr">
        <is>
          <t>图文</t>
        </is>
      </c>
      <c r="H539" t="inlineStr">
        <is>
          <t>智利三文鱼切块·整条三文鱼·深海鱼一人食健康饮食</t>
        </is>
      </c>
      <c r="I539" t="inlineStr">
        <is>
          <t>691ac562a524ee0001b51d7b</t>
        </is>
      </c>
      <c r="J539" t="inlineStr">
        <is>
          <t/>
        </is>
      </c>
      <c r="K539" t="n">
        <v>0.0</v>
      </c>
      <c r="L539" t="n">
        <v>0.0</v>
      </c>
      <c r="M539" t="n">
        <v>0.0</v>
      </c>
      <c r="N539" t="n">
        <v>0.0</v>
      </c>
      <c r="O539" t="n">
        <v>0.0</v>
      </c>
      <c r="P539" t="n">
        <v>0.0</v>
      </c>
      <c r="Q539" t="inlineStr">
        <is>
          <t/>
        </is>
      </c>
      <c r="R539" t="inlineStr">
        <is>
          <t/>
        </is>
      </c>
      <c r="S539" t="n">
        <v>0.0</v>
      </c>
      <c r="T539" t="n">
        <v>0.0</v>
      </c>
      <c r="U539" t="n">
        <v>0.0</v>
      </c>
      <c r="V539" t="n">
        <v>0.0</v>
      </c>
      <c r="W539" t="inlineStr">
        <is>
          <t/>
        </is>
      </c>
      <c r="X539" t="n">
        <v>0.0</v>
      </c>
      <c r="Y539" t="n">
        <v>0.0</v>
      </c>
      <c r="Z539" t="n">
        <v>0.0</v>
      </c>
      <c r="AA539" t="n">
        <v>0.0</v>
      </c>
      <c r="AB539" t="n">
        <v>0.0</v>
      </c>
      <c r="AC539" t="n">
        <v>0.0</v>
      </c>
      <c r="AD539" t="n">
        <v>3.0</v>
      </c>
      <c r="AE539" t="n">
        <v>0.0</v>
      </c>
      <c r="AF539" t="n">
        <v>0.0</v>
      </c>
      <c r="AG539" t="n">
        <v>0.0</v>
      </c>
      <c r="AH539" t="n">
        <v>0.0</v>
      </c>
      <c r="AI539" t="n">
        <v>0.0</v>
      </c>
      <c r="AJ539" t="n">
        <v>0.0</v>
      </c>
      <c r="AK539" t="n">
        <v>12.0</v>
      </c>
      <c r="AL539" t="inlineStr">
        <is>
          <t/>
        </is>
      </c>
    </row>
    <row r="540">
      <c r="A540" t="inlineStr">
        <is>
          <t>在鲜水湾买的整条三文鱼…</t>
        </is>
      </c>
      <c r="B540" t="inlineStr">
        <is>
          <t>692d40f7000000001e035d9c</t>
        </is>
      </c>
      <c r="C540" s="539" t="n">
        <f>HYPERLINK("https://www.xiaohongshu.com/explore/692d40f7000000001e035d9c?xsec_token=TBOFwnatFKqkrDgIPXNtNGvyrJ-V0NOOSGiFXyf08rjmw=&amp;xsec_source=pc_trdark","https://www.xiaohongshu.com/explore/692d40f7000000001e035d9c?xsec_token=TBOFwnatFKqkrDgIPXNtNGvyrJ-V0NOOSGiFXyf08rjmw=&amp;xsec_source=pc_trdark")</f>
        <v>0.0</v>
      </c>
      <c r="D540" t="inlineStr">
        <is>
          <t>鲜水湾</t>
        </is>
      </c>
      <c r="E540" t="inlineStr">
        <is>
          <t>49316638994</t>
        </is>
      </c>
      <c r="F540" t="inlineStr">
        <is>
          <t>2025-12-01 15:17:11</t>
        </is>
      </c>
      <c r="G540" t="inlineStr">
        <is>
          <t>图文</t>
        </is>
      </c>
      <c r="H540" t="inlineStr">
        <is>
          <t>智利三文鱼切块·整条三文鱼·深海鱼一人食健康饮食</t>
        </is>
      </c>
      <c r="I540" t="inlineStr">
        <is>
          <t>691ac562a524ee0001b51d7b</t>
        </is>
      </c>
      <c r="J540" t="inlineStr">
        <is>
          <t/>
        </is>
      </c>
      <c r="K540" t="n">
        <v>0.0</v>
      </c>
      <c r="L540" t="n">
        <v>0.0</v>
      </c>
      <c r="M540" t="n">
        <v>0.0</v>
      </c>
      <c r="N540" t="n">
        <v>0.0</v>
      </c>
      <c r="O540" t="n">
        <v>0.0</v>
      </c>
      <c r="P540" t="n">
        <v>0.0</v>
      </c>
      <c r="Q540" t="inlineStr">
        <is>
          <t/>
        </is>
      </c>
      <c r="R540" t="inlineStr">
        <is>
          <t/>
        </is>
      </c>
      <c r="S540" t="n">
        <v>0.0</v>
      </c>
      <c r="T540" t="n">
        <v>0.0</v>
      </c>
      <c r="U540" t="n">
        <v>0.0</v>
      </c>
      <c r="V540" t="n">
        <v>0.0</v>
      </c>
      <c r="W540" t="inlineStr">
        <is>
          <t/>
        </is>
      </c>
      <c r="X540" t="n">
        <v>0.0</v>
      </c>
      <c r="Y540" t="n">
        <v>0.0</v>
      </c>
      <c r="Z540" t="n">
        <v>0.0</v>
      </c>
      <c r="AA540" t="n">
        <v>0.0</v>
      </c>
      <c r="AB540" t="n">
        <v>0.0</v>
      </c>
      <c r="AC540" t="n">
        <v>0.0</v>
      </c>
      <c r="AD540" t="n">
        <v>3.0</v>
      </c>
      <c r="AE540" t="n">
        <v>0.0</v>
      </c>
      <c r="AF540" t="n">
        <v>0.0</v>
      </c>
      <c r="AG540" t="n">
        <v>0.0</v>
      </c>
      <c r="AH540" t="n">
        <v>0.0</v>
      </c>
      <c r="AI540" t="n">
        <v>0.0</v>
      </c>
      <c r="AJ540" t="n">
        <v>0.0</v>
      </c>
      <c r="AK540" t="n">
        <v>2.6666666666666665</v>
      </c>
      <c r="AL540" t="inlineStr">
        <is>
          <t/>
        </is>
      </c>
    </row>
    <row r="541">
      <c r="A541" t="inlineStr">
        <is>
          <t>生蚝一箱也是码头价，运费算我的！</t>
        </is>
      </c>
      <c r="B541" t="inlineStr">
        <is>
          <t>6916f793000000001b0218c5</t>
        </is>
      </c>
      <c r="C541" s="540" t="n">
        <f>HYPERLINK("https://www.xiaohongshu.com/explore/6916f793000000001b0218c5?xsec_token=TBHZiehrAOyLGw_5sWYDTDSWrChgb-eZfgntb9OL-2Tjw=&amp;xsec_source=pc_trdark","https://www.xiaohongshu.com/explore/6916f793000000001b0218c5?xsec_token=TBHZiehrAOyLGw_5sWYDTDSWrChgb-eZfgntb9OL-2Tjw=&amp;xsec_source=pc_trdark")</f>
        <v>0.0</v>
      </c>
      <c r="D541" t="inlineStr">
        <is>
          <t>婉婉上班吃什么</t>
        </is>
      </c>
      <c r="E541" t="inlineStr">
        <is>
          <t>11434449706</t>
        </is>
      </c>
      <c r="F541" t="inlineStr">
        <is>
          <t>2025-11-14 17:34:11</t>
        </is>
      </c>
      <c r="G541" t="inlineStr">
        <is>
          <t>视频</t>
        </is>
      </c>
      <c r="H541" t="inlineStr">
        <is>
          <t>生蚝乳山生蚝海蛎子顺丰包邮</t>
        </is>
      </c>
      <c r="I541" t="inlineStr">
        <is>
          <t>690c70971b787900010866cc</t>
        </is>
      </c>
      <c r="J541" t="n">
        <v>30.0</v>
      </c>
      <c r="K541" t="n">
        <v>0.0</v>
      </c>
      <c r="L541" t="n">
        <v>0.0</v>
      </c>
      <c r="M541" t="n">
        <v>0.0</v>
      </c>
      <c r="N541" t="n">
        <v>0.0</v>
      </c>
      <c r="O541" t="n">
        <v>0.0</v>
      </c>
      <c r="P541" t="n">
        <v>0.0</v>
      </c>
      <c r="Q541" t="inlineStr">
        <is>
          <t/>
        </is>
      </c>
      <c r="R541" t="inlineStr">
        <is>
          <t/>
        </is>
      </c>
      <c r="S541" t="n">
        <v>0.0</v>
      </c>
      <c r="T541" t="n">
        <v>0.0</v>
      </c>
      <c r="U541" t="n">
        <v>0.0</v>
      </c>
      <c r="V541" t="n">
        <v>0.0</v>
      </c>
      <c r="W541" t="inlineStr">
        <is>
          <t/>
        </is>
      </c>
      <c r="X541" t="n">
        <v>0.0</v>
      </c>
      <c r="Y541" t="n">
        <v>0.0</v>
      </c>
      <c r="Z541" t="n">
        <v>0.0</v>
      </c>
      <c r="AA541" t="n">
        <v>0.0</v>
      </c>
      <c r="AB541" t="n">
        <v>0.0</v>
      </c>
      <c r="AC541" t="n">
        <v>0.0</v>
      </c>
      <c r="AD541" t="n">
        <v>3.0</v>
      </c>
      <c r="AE541" t="n">
        <v>0.0</v>
      </c>
      <c r="AF541" t="n">
        <v>0.0</v>
      </c>
      <c r="AG541" t="n">
        <v>0.0</v>
      </c>
      <c r="AH541" t="n">
        <v>0.0</v>
      </c>
      <c r="AI541" t="n">
        <v>0.0</v>
      </c>
      <c r="AJ541" t="n">
        <v>0.0</v>
      </c>
      <c r="AK541" t="n">
        <v>15.666666666666666</v>
      </c>
      <c r="AL541" t="n">
        <v>0.2</v>
      </c>
    </row>
    <row r="542">
      <c r="A542" t="inlineStr">
        <is>
          <t>后来才发现，100块就能搞定一周减脂餐</t>
        </is>
      </c>
      <c r="B542" t="inlineStr">
        <is>
          <t>6a6b50bb00000000290302bf</t>
        </is>
      </c>
      <c r="C542" s="541" t="n">
        <f>HYPERLINK("https://www.xiaohongshu.com/explore/6a6b50bb00000000290302bf?xsec_token=TBHA1sOilTIahikB8-qFTo9hiDz6bwV6ROYxqLc77n3IM=&amp;xsec_source=pc_trdark","https://www.xiaohongshu.com/explore/6a6b50bb00000000290302bf?xsec_token=TBHA1sOilTIahikB8-qFTo9hiDz6bwV6ROYxqLc77n3IM=&amp;xsec_source=pc_trdark")</f>
        <v>0.0</v>
      </c>
      <c r="D542" t="inlineStr">
        <is>
          <t>鲜水湾甄选</t>
        </is>
      </c>
      <c r="E542" t="inlineStr">
        <is>
          <t>27401929161</t>
        </is>
      </c>
      <c r="F542" t="inlineStr">
        <is>
          <t>2026-07-30 21:25:15</t>
        </is>
      </c>
      <c r="G542" t="inlineStr">
        <is>
          <t>图文</t>
        </is>
      </c>
      <c r="H542" t="inlineStr">
        <is>
          <t>手剥虾仁 无冰衣无添加 低脂餐一人食 上班带饭 顺丰包邮 5盒装</t>
        </is>
      </c>
      <c r="I542" t="inlineStr">
        <is>
          <t>694baba01d450d00013662f0</t>
        </is>
      </c>
      <c r="J542" t="inlineStr">
        <is>
          <t/>
        </is>
      </c>
      <c r="K542" t="n">
        <v>0.0</v>
      </c>
      <c r="L542" t="n">
        <v>0.0</v>
      </c>
      <c r="M542" t="n">
        <v>1.0</v>
      </c>
      <c r="N542" t="n">
        <v>0.5</v>
      </c>
      <c r="O542" t="n">
        <v>1.0</v>
      </c>
      <c r="P542" t="n">
        <v>0.0</v>
      </c>
      <c r="Q542" t="n">
        <v>0.0</v>
      </c>
      <c r="R542" t="n">
        <v>0.0</v>
      </c>
      <c r="S542" t="n">
        <v>0.0</v>
      </c>
      <c r="T542" t="n">
        <v>0.0</v>
      </c>
      <c r="U542" t="n">
        <v>0.0</v>
      </c>
      <c r="V542" t="n">
        <v>0.0</v>
      </c>
      <c r="W542" t="inlineStr">
        <is>
          <t/>
        </is>
      </c>
      <c r="X542" t="n">
        <v>0.0</v>
      </c>
      <c r="Y542" t="n">
        <v>0.0</v>
      </c>
      <c r="Z542" t="n">
        <v>0.0</v>
      </c>
      <c r="AA542" t="n">
        <v>0.0</v>
      </c>
      <c r="AB542" t="n">
        <v>0.0</v>
      </c>
      <c r="AC542" t="n">
        <v>0.0</v>
      </c>
      <c r="AD542" t="n">
        <v>2.0</v>
      </c>
      <c r="AE542" t="n">
        <v>0.0</v>
      </c>
      <c r="AF542" t="n">
        <v>0.0</v>
      </c>
      <c r="AG542" t="n">
        <v>0.0</v>
      </c>
      <c r="AH542" t="n">
        <v>0.0</v>
      </c>
      <c r="AI542" t="n">
        <v>0.0</v>
      </c>
      <c r="AJ542" t="n">
        <v>0.0</v>
      </c>
      <c r="AK542" t="n">
        <v>39.0</v>
      </c>
      <c r="AL542" t="inlineStr">
        <is>
          <t/>
        </is>
      </c>
    </row>
    <row r="543">
      <c r="A543" t="inlineStr">
        <is>
          <t>给爬坡姐妹讲一个热量低高蛋白的无保水虾仁</t>
        </is>
      </c>
      <c r="B543" t="inlineStr">
        <is>
          <t>6a6af446000000000f02bd5c</t>
        </is>
      </c>
      <c r="C543" s="542" t="n">
        <f>HYPERLINK("https://www.xiaohongshu.com/explore/6a6af446000000000f02bd5c?xsec_token=TBlqVLEFjND1igtxhsDYFb6HOP8AUmsvYYXMbWVdqfJqc=&amp;xsec_source=pc_trdark","https://www.xiaohongshu.com/explore/6a6af446000000000f02bd5c?xsec_token=TBlqVLEFjND1igtxhsDYFb6HOP8AUmsvYYXMbWVdqfJqc=&amp;xsec_source=pc_trdark")</f>
        <v>0.0</v>
      </c>
      <c r="D543" t="inlineStr">
        <is>
          <t>鲜水湾甄选</t>
        </is>
      </c>
      <c r="E543" t="inlineStr">
        <is>
          <t>27401929161</t>
        </is>
      </c>
      <c r="F543" t="inlineStr">
        <is>
          <t>2026-07-30 14:50:46</t>
        </is>
      </c>
      <c r="G543" t="inlineStr">
        <is>
          <t>图文</t>
        </is>
      </c>
      <c r="H543" t="inlineStr">
        <is>
          <t>手剥虾仁 无冰衣无添加 低脂餐一人食 上班带饭 顺丰包邮 5盒装</t>
        </is>
      </c>
      <c r="I543" t="inlineStr">
        <is>
          <t>694baba01d450d00013662f0</t>
        </is>
      </c>
      <c r="J543" t="inlineStr">
        <is>
          <t/>
        </is>
      </c>
      <c r="K543" t="n">
        <v>0.0</v>
      </c>
      <c r="L543" t="n">
        <v>0.0</v>
      </c>
      <c r="M543" t="n">
        <v>0.0</v>
      </c>
      <c r="N543" t="n">
        <v>0.0</v>
      </c>
      <c r="O543" t="n">
        <v>0.0</v>
      </c>
      <c r="P543" t="n">
        <v>0.0</v>
      </c>
      <c r="Q543" t="inlineStr">
        <is>
          <t/>
        </is>
      </c>
      <c r="R543" t="inlineStr">
        <is>
          <t/>
        </is>
      </c>
      <c r="S543" t="n">
        <v>0.0</v>
      </c>
      <c r="T543" t="n">
        <v>0.0</v>
      </c>
      <c r="U543" t="n">
        <v>0.0</v>
      </c>
      <c r="V543" t="n">
        <v>0.0</v>
      </c>
      <c r="W543" t="inlineStr">
        <is>
          <t/>
        </is>
      </c>
      <c r="X543" t="n">
        <v>0.0</v>
      </c>
      <c r="Y543" t="n">
        <v>0.0</v>
      </c>
      <c r="Z543" t="n">
        <v>1.0</v>
      </c>
      <c r="AA543" t="n">
        <v>0.0</v>
      </c>
      <c r="AB543" t="n">
        <v>0.0</v>
      </c>
      <c r="AC543" t="n">
        <v>0.0</v>
      </c>
      <c r="AD543" t="n">
        <v>2.0</v>
      </c>
      <c r="AE543" t="n">
        <v>0.0</v>
      </c>
      <c r="AF543" t="n">
        <v>0.0</v>
      </c>
      <c r="AG543" t="n">
        <v>0.0</v>
      </c>
      <c r="AH543" t="n">
        <v>0.0</v>
      </c>
      <c r="AI543" t="n">
        <v>0.0</v>
      </c>
      <c r="AJ543" t="n">
        <v>0.0</v>
      </c>
      <c r="AK543" t="n">
        <v>4.5</v>
      </c>
      <c r="AL543" t="inlineStr">
        <is>
          <t/>
        </is>
      </c>
    </row>
    <row r="544">
      <c r="A544" t="inlineStr">
        <is>
          <t>应粉丝要求，推出减脂一人食独立小包装</t>
        </is>
      </c>
      <c r="B544" t="inlineStr">
        <is>
          <t>6a6061a100000000140076f3</t>
        </is>
      </c>
      <c r="C544" s="543" t="n">
        <f>HYPERLINK("https://www.xiaohongshu.com/explore/6a6061a100000000140076f3?xsec_token=TB_DG8qGiltVfTeMFvJTNQB1vP3JptxB9lheKrOMCgQ2A=&amp;xsec_source=pc_trdark","https://www.xiaohongshu.com/explore/6a6061a100000000140076f3?xsec_token=TB_DG8qGiltVfTeMFvJTNQB1vP3JptxB9lheKrOMCgQ2A=&amp;xsec_source=pc_trdark")</f>
        <v>0.0</v>
      </c>
      <c r="D544" t="inlineStr">
        <is>
          <t>鲜水湾</t>
        </is>
      </c>
      <c r="E544" t="inlineStr">
        <is>
          <t>49316638994</t>
        </is>
      </c>
      <c r="F544" t="inlineStr">
        <is>
          <t>2026-07-22 14:22:25</t>
        </is>
      </c>
      <c r="G544" t="inlineStr">
        <is>
          <t>图文</t>
        </is>
      </c>
      <c r="H544" t="inlineStr">
        <is>
          <t>手剥虾仁 无冰衣无添加 低脂餐一人食 上班带饭 顺丰包邮 5盒装</t>
        </is>
      </c>
      <c r="I544" t="inlineStr">
        <is>
          <t>694baba01d450d00013662f0</t>
        </is>
      </c>
      <c r="J544" t="inlineStr">
        <is>
          <t/>
        </is>
      </c>
      <c r="K544" t="n">
        <v>0.0</v>
      </c>
      <c r="L544" t="n">
        <v>0.0</v>
      </c>
      <c r="M544" t="n">
        <v>0.0</v>
      </c>
      <c r="N544" t="n">
        <v>0.0</v>
      </c>
      <c r="O544" t="n">
        <v>0.0</v>
      </c>
      <c r="P544" t="n">
        <v>0.0</v>
      </c>
      <c r="Q544" t="inlineStr">
        <is>
          <t/>
        </is>
      </c>
      <c r="R544" t="inlineStr">
        <is>
          <t/>
        </is>
      </c>
      <c r="S544" t="n">
        <v>0.0</v>
      </c>
      <c r="T544" t="n">
        <v>0.0</v>
      </c>
      <c r="U544" t="n">
        <v>0.0</v>
      </c>
      <c r="V544" t="n">
        <v>0.0</v>
      </c>
      <c r="W544" t="inlineStr">
        <is>
          <t/>
        </is>
      </c>
      <c r="X544" t="n">
        <v>0.0</v>
      </c>
      <c r="Y544" t="n">
        <v>0.0</v>
      </c>
      <c r="Z544" t="n">
        <v>0.0</v>
      </c>
      <c r="AA544" t="n">
        <v>0.0</v>
      </c>
      <c r="AB544" t="n">
        <v>0.0</v>
      </c>
      <c r="AC544" t="n">
        <v>0.0</v>
      </c>
      <c r="AD544" t="n">
        <v>2.0</v>
      </c>
      <c r="AE544" t="n">
        <v>0.0</v>
      </c>
      <c r="AF544" t="n">
        <v>0.0</v>
      </c>
      <c r="AG544" t="n">
        <v>0.0</v>
      </c>
      <c r="AH544" t="n">
        <v>0.0</v>
      </c>
      <c r="AI544" t="n">
        <v>0.0</v>
      </c>
      <c r="AJ544" t="n">
        <v>0.0</v>
      </c>
      <c r="AK544" t="n">
        <v>2.5</v>
      </c>
      <c r="AL544" t="inlineStr">
        <is>
          <t/>
        </is>
      </c>
    </row>
    <row r="545">
      <c r="A545" t="inlineStr">
        <is>
          <t>吃了一个星期的减脂餐才100多</t>
        </is>
      </c>
      <c r="B545" t="inlineStr">
        <is>
          <t>6a5f8f76000000000903776c</t>
        </is>
      </c>
      <c r="C545" s="544" t="n">
        <f>HYPERLINK("https://www.xiaohongshu.com/explore/6a5f8f76000000000903776c?xsec_token=TBNiP87dDl0mbMa3fu0C81MQsms9GwZQ0EJ_RD7lBEwlg=&amp;xsec_source=pc_trdark","https://www.xiaohongshu.com/explore/6a5f8f76000000000903776c?xsec_token=TBNiP87dDl0mbMa3fu0C81MQsms9GwZQ0EJ_RD7lBEwlg=&amp;xsec_source=pc_trdark")</f>
        <v>0.0</v>
      </c>
      <c r="D545" t="inlineStr">
        <is>
          <t>婉婉上班吃什么</t>
        </is>
      </c>
      <c r="E545" t="inlineStr">
        <is>
          <t>11434449706</t>
        </is>
      </c>
      <c r="F545" t="inlineStr">
        <is>
          <t>2026-07-21 23:25:42</t>
        </is>
      </c>
      <c r="G545" t="inlineStr">
        <is>
          <t>图文</t>
        </is>
      </c>
      <c r="H545" t="inlineStr">
        <is>
          <t>智利三文鱼切块·整条三文鱼·深海鱼一人食健康饮食</t>
        </is>
      </c>
      <c r="I545" t="inlineStr">
        <is>
          <t>691ac562a524ee0001b51d7b</t>
        </is>
      </c>
      <c r="J545" t="inlineStr">
        <is>
          <t/>
        </is>
      </c>
      <c r="K545" t="n">
        <v>0.0</v>
      </c>
      <c r="L545" t="n">
        <v>0.0</v>
      </c>
      <c r="M545" t="n">
        <v>1.0</v>
      </c>
      <c r="N545" t="n">
        <v>0.5</v>
      </c>
      <c r="O545" t="n">
        <v>1.0</v>
      </c>
      <c r="P545" t="n">
        <v>0.0</v>
      </c>
      <c r="Q545" t="n">
        <v>0.0</v>
      </c>
      <c r="R545" t="n">
        <v>0.0</v>
      </c>
      <c r="S545" t="n">
        <v>0.0</v>
      </c>
      <c r="T545" t="n">
        <v>0.0</v>
      </c>
      <c r="U545" t="n">
        <v>0.0</v>
      </c>
      <c r="V545" t="n">
        <v>0.0</v>
      </c>
      <c r="W545" t="inlineStr">
        <is>
          <t/>
        </is>
      </c>
      <c r="X545" t="n">
        <v>0.0</v>
      </c>
      <c r="Y545" t="n">
        <v>0.0</v>
      </c>
      <c r="Z545" t="n">
        <v>0.0</v>
      </c>
      <c r="AA545" t="n">
        <v>0.0</v>
      </c>
      <c r="AB545" t="n">
        <v>0.0</v>
      </c>
      <c r="AC545" t="n">
        <v>0.0</v>
      </c>
      <c r="AD545" t="n">
        <v>2.0</v>
      </c>
      <c r="AE545" t="n">
        <v>0.0</v>
      </c>
      <c r="AF545" t="n">
        <v>0.0</v>
      </c>
      <c r="AG545" t="n">
        <v>0.0</v>
      </c>
      <c r="AH545" t="n">
        <v>0.0</v>
      </c>
      <c r="AI545" t="n">
        <v>0.0</v>
      </c>
      <c r="AJ545" t="n">
        <v>0.0</v>
      </c>
      <c r="AK545" t="n">
        <v>28.0</v>
      </c>
      <c r="AL545" t="inlineStr">
        <is>
          <t/>
        </is>
      </c>
    </row>
    <row r="546">
      <c r="A546" t="inlineStr">
        <is>
          <t>独居后才懂，一餐一包虾仁真是囤货神器！！！！</t>
        </is>
      </c>
      <c r="B546" t="inlineStr">
        <is>
          <t>6a5f53dc000000000f011192</t>
        </is>
      </c>
      <c r="C546" s="545" t="n">
        <f>HYPERLINK("https://www.xiaohongshu.com/explore/6a5f53dc000000000f011192?xsec_token=TBNiP87dDl0mbMa3fu0C81MaPbVDTUghvOVWbehEUddmE=&amp;xsec_source=pc_trdark","https://www.xiaohongshu.com/explore/6a5f53dc000000000f011192?xsec_token=TBNiP87dDl0mbMa3fu0C81MaPbVDTUghvOVWbehEUddmE=&amp;xsec_source=pc_trdark")</f>
        <v>0.0</v>
      </c>
      <c r="D546" t="inlineStr">
        <is>
          <t>菲菲上班吃什么</t>
        </is>
      </c>
      <c r="E546" t="inlineStr">
        <is>
          <t>49936530607</t>
        </is>
      </c>
      <c r="F546" t="inlineStr">
        <is>
          <t>2026-07-21 19:11:24</t>
        </is>
      </c>
      <c r="G546" t="inlineStr">
        <is>
          <t>图文</t>
        </is>
      </c>
      <c r="H546" t="inlineStr">
        <is>
          <t>手剥虾仁 无冰衣无添加 低脂餐一人食 上班带饭 顺丰包邮 5盒装</t>
        </is>
      </c>
      <c r="I546" t="inlineStr">
        <is>
          <t>694baba01d450d00013662f0</t>
        </is>
      </c>
      <c r="J546" t="inlineStr">
        <is>
          <t/>
        </is>
      </c>
      <c r="K546" t="n">
        <v>0.0</v>
      </c>
      <c r="L546" t="n">
        <v>0.0</v>
      </c>
      <c r="M546" t="n">
        <v>0.0</v>
      </c>
      <c r="N546" t="n">
        <v>0.0</v>
      </c>
      <c r="O546" t="n">
        <v>0.0</v>
      </c>
      <c r="P546" t="n">
        <v>0.0</v>
      </c>
      <c r="Q546" t="inlineStr">
        <is>
          <t/>
        </is>
      </c>
      <c r="R546" t="inlineStr">
        <is>
          <t/>
        </is>
      </c>
      <c r="S546" t="n">
        <v>0.0</v>
      </c>
      <c r="T546" t="n">
        <v>0.0</v>
      </c>
      <c r="U546" t="n">
        <v>0.0</v>
      </c>
      <c r="V546" t="n">
        <v>0.0</v>
      </c>
      <c r="W546" t="inlineStr">
        <is>
          <t/>
        </is>
      </c>
      <c r="X546" t="n">
        <v>0.0</v>
      </c>
      <c r="Y546" t="n">
        <v>0.0</v>
      </c>
      <c r="Z546" t="n">
        <v>0.0</v>
      </c>
      <c r="AA546" t="n">
        <v>0.0</v>
      </c>
      <c r="AB546" t="n">
        <v>0.0</v>
      </c>
      <c r="AC546" t="n">
        <v>0.0</v>
      </c>
      <c r="AD546" t="n">
        <v>2.0</v>
      </c>
      <c r="AE546" t="n">
        <v>0.0</v>
      </c>
      <c r="AF546" t="n">
        <v>0.0</v>
      </c>
      <c r="AG546" t="n">
        <v>0.0</v>
      </c>
      <c r="AH546" t="n">
        <v>0.0</v>
      </c>
      <c r="AI546" t="n">
        <v>0.0</v>
      </c>
      <c r="AJ546" t="n">
        <v>0.0</v>
      </c>
      <c r="AK546" t="n">
        <v>1.0</v>
      </c>
      <c r="AL546" t="inlineStr">
        <is>
          <t/>
        </is>
      </c>
    </row>
    <row r="547">
      <c r="A547" t="inlineStr">
        <is>
          <t>减脂期的快乐只花69块就能拥有～</t>
        </is>
      </c>
      <c r="B547" t="inlineStr">
        <is>
          <t>6a5cd53b000000000f03d53d</t>
        </is>
      </c>
      <c r="C547" s="546" t="n">
        <f>HYPERLINK("https://www.xiaohongshu.com/explore/6a5cd53b000000000f03d53d?xsec_token=TBcqCuVCCi2LPEDZ4T1AgR0Q_8TtJA0CBZDylWaB03ecs=&amp;xsec_source=pc_trdark","https://www.xiaohongshu.com/explore/6a5cd53b000000000f03d53d?xsec_token=TBcqCuVCCi2LPEDZ4T1AgR0Q_8TtJA0CBZDylWaB03ecs=&amp;xsec_source=pc_trdark")</f>
        <v>0.0</v>
      </c>
      <c r="D547" t="inlineStr">
        <is>
          <t>菲菲上班吃什么</t>
        </is>
      </c>
      <c r="E547" t="inlineStr">
        <is>
          <t>49936530607</t>
        </is>
      </c>
      <c r="F547" t="inlineStr">
        <is>
          <t>2026-07-19 21:46:35</t>
        </is>
      </c>
      <c r="G547" t="inlineStr">
        <is>
          <t>图文</t>
        </is>
      </c>
      <c r="H547" t="inlineStr">
        <is>
          <t>手剥虾仁 无冰衣无添加 低脂餐一人食 上班带饭 顺丰包邮 5盒装</t>
        </is>
      </c>
      <c r="I547" t="inlineStr">
        <is>
          <t>694baba01d450d00013662f0</t>
        </is>
      </c>
      <c r="J547" t="inlineStr">
        <is>
          <t/>
        </is>
      </c>
      <c r="K547" t="n">
        <v>0.0</v>
      </c>
      <c r="L547" t="n">
        <v>0.0</v>
      </c>
      <c r="M547" t="n">
        <v>0.0</v>
      </c>
      <c r="N547" t="n">
        <v>0.0</v>
      </c>
      <c r="O547" t="n">
        <v>0.0</v>
      </c>
      <c r="P547" t="n">
        <v>0.0</v>
      </c>
      <c r="Q547" t="inlineStr">
        <is>
          <t/>
        </is>
      </c>
      <c r="R547" t="inlineStr">
        <is>
          <t/>
        </is>
      </c>
      <c r="S547" t="n">
        <v>0.0</v>
      </c>
      <c r="T547" t="n">
        <v>0.0</v>
      </c>
      <c r="U547" t="n">
        <v>0.0</v>
      </c>
      <c r="V547" t="n">
        <v>0.0</v>
      </c>
      <c r="W547" t="inlineStr">
        <is>
          <t/>
        </is>
      </c>
      <c r="X547" t="n">
        <v>0.0</v>
      </c>
      <c r="Y547" t="n">
        <v>0.0</v>
      </c>
      <c r="Z547" t="n">
        <v>1.0</v>
      </c>
      <c r="AA547" t="n">
        <v>0.0</v>
      </c>
      <c r="AB547" t="n">
        <v>0.0</v>
      </c>
      <c r="AC547" t="n">
        <v>0.0</v>
      </c>
      <c r="AD547" t="n">
        <v>2.0</v>
      </c>
      <c r="AE547" t="n">
        <v>0.0</v>
      </c>
      <c r="AF547" t="n">
        <v>0.0</v>
      </c>
      <c r="AG547" t="n">
        <v>0.0</v>
      </c>
      <c r="AH547" t="n">
        <v>0.0</v>
      </c>
      <c r="AI547" t="n">
        <v>0.0</v>
      </c>
      <c r="AJ547" t="n">
        <v>0.0</v>
      </c>
      <c r="AK547" t="n">
        <v>7.5</v>
      </c>
      <c r="AL547" t="inlineStr">
        <is>
          <t/>
        </is>
      </c>
    </row>
    <row r="548">
      <c r="A548" t="inlineStr">
        <is>
          <t>独居人的冰箱，真的需要这种存在感！！！</t>
        </is>
      </c>
      <c r="B548" t="inlineStr">
        <is>
          <t>6a58acae000000000e036ce8</t>
        </is>
      </c>
      <c r="C548" s="547" t="n">
        <f>HYPERLINK("https://www.xiaohongshu.com/explore/6a58acae000000000e036ce8?xsec_token=TBvlNKL7oOw9geyiSau-qu9cjlXbdkw9RZAdvjqRG9hU4=&amp;xsec_source=pc_trdark","https://www.xiaohongshu.com/explore/6a58acae000000000e036ce8?xsec_token=TBvlNKL7oOw9geyiSau-qu9cjlXbdkw9RZAdvjqRG9hU4=&amp;xsec_source=pc_trdark")</f>
        <v>0.0</v>
      </c>
      <c r="D548" t="inlineStr">
        <is>
          <t>菲菲上班吃什么</t>
        </is>
      </c>
      <c r="E548" t="inlineStr">
        <is>
          <t>49936530607</t>
        </is>
      </c>
      <c r="F548" t="inlineStr">
        <is>
          <t>2026-07-16 18:04:30</t>
        </is>
      </c>
      <c r="G548" t="inlineStr">
        <is>
          <t>图文</t>
        </is>
      </c>
      <c r="H548" t="inlineStr">
        <is>
          <t>手剥虾仁 无冰衣无添加 低脂餐一人食 上班带饭 顺丰包邮 5盒装</t>
        </is>
      </c>
      <c r="I548" t="inlineStr">
        <is>
          <t>694baba01d450d00013662f0</t>
        </is>
      </c>
      <c r="J548" t="inlineStr">
        <is>
          <t/>
        </is>
      </c>
      <c r="K548" t="n">
        <v>0.0</v>
      </c>
      <c r="L548" t="n">
        <v>0.0</v>
      </c>
      <c r="M548" t="n">
        <v>0.0</v>
      </c>
      <c r="N548" t="n">
        <v>0.0</v>
      </c>
      <c r="O548" t="n">
        <v>0.0</v>
      </c>
      <c r="P548" t="n">
        <v>0.0</v>
      </c>
      <c r="Q548" t="inlineStr">
        <is>
          <t/>
        </is>
      </c>
      <c r="R548" t="inlineStr">
        <is>
          <t/>
        </is>
      </c>
      <c r="S548" t="n">
        <v>0.0</v>
      </c>
      <c r="T548" t="n">
        <v>0.0</v>
      </c>
      <c r="U548" t="n">
        <v>0.0</v>
      </c>
      <c r="V548" t="n">
        <v>0.0</v>
      </c>
      <c r="W548" t="inlineStr">
        <is>
          <t/>
        </is>
      </c>
      <c r="X548" t="n">
        <v>0.0</v>
      </c>
      <c r="Y548" t="n">
        <v>0.0</v>
      </c>
      <c r="Z548" t="n">
        <v>0.0</v>
      </c>
      <c r="AA548" t="n">
        <v>0.0</v>
      </c>
      <c r="AB548" t="n">
        <v>0.0</v>
      </c>
      <c r="AC548" t="n">
        <v>0.0</v>
      </c>
      <c r="AD548" t="n">
        <v>2.0</v>
      </c>
      <c r="AE548" t="n">
        <v>0.0</v>
      </c>
      <c r="AF548" t="n">
        <v>0.0</v>
      </c>
      <c r="AG548" t="n">
        <v>0.0</v>
      </c>
      <c r="AH548" t="n">
        <v>0.0</v>
      </c>
      <c r="AI548" t="n">
        <v>0.0</v>
      </c>
      <c r="AJ548" t="n">
        <v>0.0</v>
      </c>
      <c r="AK548" t="n">
        <v>18.5</v>
      </c>
      <c r="AL548" t="inlineStr">
        <is>
          <t/>
        </is>
      </c>
    </row>
    <row r="549">
      <c r="A549" t="inlineStr">
        <is>
          <t>打工人的午饭，真的别再点外卖了</t>
        </is>
      </c>
      <c r="B549" t="inlineStr">
        <is>
          <t>6a5756b50000000006031a1d</t>
        </is>
      </c>
      <c r="C549" s="548" t="n">
        <f>HYPERLINK("https://www.xiaohongshu.com/explore/6a5756b50000000006031a1d?xsec_token=TB3zADzSb113WZKv-nEzvX6fTHetmgtHQABiT-2pAmeTQ=&amp;xsec_source=pc_trdark","https://www.xiaohongshu.com/explore/6a5756b50000000006031a1d?xsec_token=TB3zADzSb113WZKv-nEzvX6fTHetmgtHQABiT-2pAmeTQ=&amp;xsec_source=pc_trdark")</f>
        <v>0.0</v>
      </c>
      <c r="D549" t="inlineStr">
        <is>
          <t>菲菲上班吃什么</t>
        </is>
      </c>
      <c r="E549" t="inlineStr">
        <is>
          <t>49936530607</t>
        </is>
      </c>
      <c r="F549" t="inlineStr">
        <is>
          <t>2026-07-15 17:45:25</t>
        </is>
      </c>
      <c r="G549" t="inlineStr">
        <is>
          <t>图文</t>
        </is>
      </c>
      <c r="H549" t="inlineStr">
        <is>
          <t>手剥虾仁 无冰衣无添加 低脂餐一人食 上班带饭 顺丰包邮 5盒装</t>
        </is>
      </c>
      <c r="I549" t="inlineStr">
        <is>
          <t>694baba01d450d00013662f0</t>
        </is>
      </c>
      <c r="J549" t="inlineStr">
        <is>
          <t/>
        </is>
      </c>
      <c r="K549" t="n">
        <v>0.0</v>
      </c>
      <c r="L549" t="n">
        <v>0.0</v>
      </c>
      <c r="M549" t="n">
        <v>0.0</v>
      </c>
      <c r="N549" t="n">
        <v>0.0</v>
      </c>
      <c r="O549" t="n">
        <v>0.0</v>
      </c>
      <c r="P549" t="n">
        <v>0.0</v>
      </c>
      <c r="Q549" t="inlineStr">
        <is>
          <t/>
        </is>
      </c>
      <c r="R549" t="inlineStr">
        <is>
          <t/>
        </is>
      </c>
      <c r="S549" t="n">
        <v>0.0</v>
      </c>
      <c r="T549" t="n">
        <v>0.0</v>
      </c>
      <c r="U549" t="n">
        <v>0.0</v>
      </c>
      <c r="V549" t="n">
        <v>0.0</v>
      </c>
      <c r="W549" t="inlineStr">
        <is>
          <t/>
        </is>
      </c>
      <c r="X549" t="n">
        <v>0.0</v>
      </c>
      <c r="Y549" t="n">
        <v>0.0</v>
      </c>
      <c r="Z549" t="n">
        <v>0.0</v>
      </c>
      <c r="AA549" t="n">
        <v>0.0</v>
      </c>
      <c r="AB549" t="n">
        <v>0.0</v>
      </c>
      <c r="AC549" t="n">
        <v>0.0</v>
      </c>
      <c r="AD549" t="n">
        <v>2.0</v>
      </c>
      <c r="AE549" t="n">
        <v>1.0</v>
      </c>
      <c r="AF549" t="n">
        <v>0.0</v>
      </c>
      <c r="AG549" t="n">
        <v>0.0</v>
      </c>
      <c r="AH549" t="n">
        <v>0.0</v>
      </c>
      <c r="AI549" t="n">
        <v>0.0</v>
      </c>
      <c r="AJ549" t="n">
        <v>0.0</v>
      </c>
      <c r="AK549" t="n">
        <v>35.0</v>
      </c>
      <c r="AL549" t="inlineStr">
        <is>
          <t/>
        </is>
      </c>
    </row>
    <row r="550">
      <c r="A550" t="inlineStr">
        <is>
          <t>没想到，独居人最先戒掉的是大包装</t>
        </is>
      </c>
      <c r="B550" t="inlineStr">
        <is>
          <t>6a55a926000000001101776b</t>
        </is>
      </c>
      <c r="C550" s="549" t="n">
        <f>HYPERLINK("https://www.xiaohongshu.com/explore/6a55a926000000001101776b?xsec_token=TBtjT0D3LpwTfPk27zCmXZxZboDpADOZgXf4Gqxk7989g=&amp;xsec_source=pc_trdark","https://www.xiaohongshu.com/explore/6a55a926000000001101776b?xsec_token=TBtjT0D3LpwTfPk27zCmXZxZboDpADOZgXf4Gqxk7989g=&amp;xsec_source=pc_trdark")</f>
        <v>0.0</v>
      </c>
      <c r="D550" t="inlineStr">
        <is>
          <t>鲜水湾甄选</t>
        </is>
      </c>
      <c r="E550" t="inlineStr">
        <is>
          <t>27401929161</t>
        </is>
      </c>
      <c r="F550" t="inlineStr">
        <is>
          <t>2026-07-14 11:12:38</t>
        </is>
      </c>
      <c r="G550" t="inlineStr">
        <is>
          <t>图文</t>
        </is>
      </c>
      <c r="H550" t="inlineStr">
        <is>
          <t>手剥虾仁 无冰衣无添加 低脂餐一人食 上班带饭 顺丰包邮 5盒装</t>
        </is>
      </c>
      <c r="I550" t="inlineStr">
        <is>
          <t>694baba01d450d00013662f0</t>
        </is>
      </c>
      <c r="J550" t="inlineStr">
        <is>
          <t/>
        </is>
      </c>
      <c r="K550" t="n">
        <v>0.0</v>
      </c>
      <c r="L550" t="n">
        <v>0.0</v>
      </c>
      <c r="M550" t="n">
        <v>0.0</v>
      </c>
      <c r="N550" t="n">
        <v>0.0</v>
      </c>
      <c r="O550" t="n">
        <v>0.0</v>
      </c>
      <c r="P550" t="n">
        <v>0.0</v>
      </c>
      <c r="Q550" t="inlineStr">
        <is>
          <t/>
        </is>
      </c>
      <c r="R550" t="inlineStr">
        <is>
          <t/>
        </is>
      </c>
      <c r="S550" t="n">
        <v>0.0</v>
      </c>
      <c r="T550" t="n">
        <v>0.0</v>
      </c>
      <c r="U550" t="n">
        <v>0.0</v>
      </c>
      <c r="V550" t="n">
        <v>0.0</v>
      </c>
      <c r="W550" t="inlineStr">
        <is>
          <t/>
        </is>
      </c>
      <c r="X550" t="n">
        <v>0.0</v>
      </c>
      <c r="Y550" t="n">
        <v>0.0</v>
      </c>
      <c r="Z550" t="n">
        <v>0.0</v>
      </c>
      <c r="AA550" t="n">
        <v>0.0</v>
      </c>
      <c r="AB550" t="n">
        <v>0.0</v>
      </c>
      <c r="AC550" t="n">
        <v>0.0</v>
      </c>
      <c r="AD550" t="n">
        <v>2.0</v>
      </c>
      <c r="AE550" t="n">
        <v>0.0</v>
      </c>
      <c r="AF550" t="n">
        <v>0.0</v>
      </c>
      <c r="AG550" t="n">
        <v>0.0</v>
      </c>
      <c r="AH550" t="n">
        <v>0.0</v>
      </c>
      <c r="AI550" t="n">
        <v>0.0</v>
      </c>
      <c r="AJ550" t="n">
        <v>0.0</v>
      </c>
      <c r="AK550" t="n">
        <v>17.0</v>
      </c>
      <c r="AL550" t="inlineStr">
        <is>
          <t/>
        </is>
      </c>
    </row>
    <row r="551">
      <c r="A551" t="inlineStr">
        <is>
          <t>按粉丝的要求，推出早八人独爱的小包装</t>
        </is>
      </c>
      <c r="B551" t="inlineStr">
        <is>
          <t>6a55a4410000000006037c36</t>
        </is>
      </c>
      <c r="C551" s="550" t="n">
        <f>HYPERLINK("https://www.xiaohongshu.com/explore/6a55a4410000000006037c36?xsec_token=TBtjT0D3LpwTfPk27zCmXZxaluQhBIROnghRk_b8GUti8=&amp;xsec_source=pc_trdark","https://www.xiaohongshu.com/explore/6a55a4410000000006037c36?xsec_token=TBtjT0D3LpwTfPk27zCmXZxaluQhBIROnghRk_b8GUti8=&amp;xsec_source=pc_trdark")</f>
        <v>0.0</v>
      </c>
      <c r="D551" t="inlineStr">
        <is>
          <t>菲菲上班吃什么</t>
        </is>
      </c>
      <c r="E551" t="inlineStr">
        <is>
          <t>49936530607</t>
        </is>
      </c>
      <c r="F551" t="inlineStr">
        <is>
          <t>2026-07-14 10:51:45</t>
        </is>
      </c>
      <c r="G551" t="inlineStr">
        <is>
          <t>图文</t>
        </is>
      </c>
      <c r="H551" t="inlineStr">
        <is>
          <t>手剥虾仁 无冰衣无添加 低脂餐一人食 上班带饭 顺丰包邮 5盒装</t>
        </is>
      </c>
      <c r="I551" t="inlineStr">
        <is>
          <t>694baba01d450d00013662f0</t>
        </is>
      </c>
      <c r="J551" t="inlineStr">
        <is>
          <t/>
        </is>
      </c>
      <c r="K551" t="n">
        <v>0.0</v>
      </c>
      <c r="L551" t="n">
        <v>0.0</v>
      </c>
      <c r="M551" t="n">
        <v>0.0</v>
      </c>
      <c r="N551" t="n">
        <v>0.0</v>
      </c>
      <c r="O551" t="n">
        <v>0.0</v>
      </c>
      <c r="P551" t="n">
        <v>0.0</v>
      </c>
      <c r="Q551" t="inlineStr">
        <is>
          <t/>
        </is>
      </c>
      <c r="R551" t="inlineStr">
        <is>
          <t/>
        </is>
      </c>
      <c r="S551" t="n">
        <v>0.0</v>
      </c>
      <c r="T551" t="n">
        <v>0.0</v>
      </c>
      <c r="U551" t="n">
        <v>0.0</v>
      </c>
      <c r="V551" t="n">
        <v>0.0</v>
      </c>
      <c r="W551" t="inlineStr">
        <is>
          <t/>
        </is>
      </c>
      <c r="X551" t="n">
        <v>0.0</v>
      </c>
      <c r="Y551" t="n">
        <v>0.0</v>
      </c>
      <c r="Z551" t="n">
        <v>0.0</v>
      </c>
      <c r="AA551" t="n">
        <v>0.0</v>
      </c>
      <c r="AB551" t="n">
        <v>0.0</v>
      </c>
      <c r="AC551" t="n">
        <v>0.0</v>
      </c>
      <c r="AD551" t="n">
        <v>2.0</v>
      </c>
      <c r="AE551" t="n">
        <v>0.0</v>
      </c>
      <c r="AF551" t="n">
        <v>0.0</v>
      </c>
      <c r="AG551" t="n">
        <v>0.0</v>
      </c>
      <c r="AH551" t="n">
        <v>0.0</v>
      </c>
      <c r="AI551" t="n">
        <v>0.0</v>
      </c>
      <c r="AJ551" t="n">
        <v>0.0</v>
      </c>
      <c r="AK551" t="n">
        <v>2.5</v>
      </c>
      <c r="AL551" t="inlineStr">
        <is>
          <t/>
        </is>
      </c>
    </row>
    <row r="552">
      <c r="A552" t="inlineStr">
        <is>
          <t>其实，300来块真的能吃很久的三文鱼</t>
        </is>
      </c>
      <c r="B552" t="inlineStr">
        <is>
          <t>6a53b0df000000000701076a</t>
        </is>
      </c>
      <c r="C552" s="551" t="n">
        <f>HYPERLINK("https://www.xiaohongshu.com/explore/6a53b0df000000000701076a?xsec_token=TBFK5Se19N-rY8UMGPamuX6fD7fiKukB0n-NV9pNZywMk=&amp;xsec_source=pc_trdark","https://www.xiaohongshu.com/explore/6a53b0df000000000701076a?xsec_token=TBFK5Se19N-rY8UMGPamuX6fD7fiKukB0n-NV9pNZywMk=&amp;xsec_source=pc_trdark")</f>
        <v>0.0</v>
      </c>
      <c r="D552" t="inlineStr">
        <is>
          <t>鲜水湾</t>
        </is>
      </c>
      <c r="E552" t="inlineStr">
        <is>
          <t>49316638994</t>
        </is>
      </c>
      <c r="F552" t="inlineStr">
        <is>
          <t>2026-07-12 23:21:03</t>
        </is>
      </c>
      <c r="G552" t="inlineStr">
        <is>
          <t>图文</t>
        </is>
      </c>
      <c r="H552" t="inlineStr">
        <is>
          <t>智利尾端中段整条三文鱼 8斤深海鱼低脂餐囤货一周备菜顺丰包邮</t>
        </is>
      </c>
      <c r="I552" t="inlineStr">
        <is>
          <t>69fab80d64eb410001ece0c0</t>
        </is>
      </c>
      <c r="J552" t="inlineStr">
        <is>
          <t/>
        </is>
      </c>
      <c r="K552" t="n">
        <v>0.0</v>
      </c>
      <c r="L552" t="n">
        <v>0.0</v>
      </c>
      <c r="M552" t="n">
        <v>0.0</v>
      </c>
      <c r="N552" t="n">
        <v>0.0</v>
      </c>
      <c r="O552" t="n">
        <v>0.0</v>
      </c>
      <c r="P552" t="n">
        <v>0.0</v>
      </c>
      <c r="Q552" t="inlineStr">
        <is>
          <t/>
        </is>
      </c>
      <c r="R552" t="inlineStr">
        <is>
          <t/>
        </is>
      </c>
      <c r="S552" t="n">
        <v>0.0</v>
      </c>
      <c r="T552" t="n">
        <v>0.0</v>
      </c>
      <c r="U552" t="n">
        <v>0.0</v>
      </c>
      <c r="V552" t="n">
        <v>0.0</v>
      </c>
      <c r="W552" t="inlineStr">
        <is>
          <t/>
        </is>
      </c>
      <c r="X552" t="n">
        <v>0.0</v>
      </c>
      <c r="Y552" t="n">
        <v>0.0</v>
      </c>
      <c r="Z552" t="n">
        <v>0.0</v>
      </c>
      <c r="AA552" t="n">
        <v>0.0</v>
      </c>
      <c r="AB552" t="n">
        <v>0.0</v>
      </c>
      <c r="AC552" t="n">
        <v>0.0</v>
      </c>
      <c r="AD552" t="n">
        <v>2.0</v>
      </c>
      <c r="AE552" t="n">
        <v>0.0</v>
      </c>
      <c r="AF552" t="n">
        <v>0.0</v>
      </c>
      <c r="AG552" t="n">
        <v>0.0</v>
      </c>
      <c r="AH552" t="n">
        <v>0.0</v>
      </c>
      <c r="AI552" t="n">
        <v>0.0</v>
      </c>
      <c r="AJ552" t="n">
        <v>0.0</v>
      </c>
      <c r="AK552" t="n">
        <v>1.0</v>
      </c>
      <c r="AL552" t="inlineStr">
        <is>
          <t/>
        </is>
      </c>
    </row>
    <row r="553">
      <c r="A553" t="inlineStr">
        <is>
          <t>夏天来了，我决定花69吃一周轻食餐！</t>
        </is>
      </c>
      <c r="B553" t="inlineStr">
        <is>
          <t>6a51bf44000000001102d99a</t>
        </is>
      </c>
      <c r="C553" s="552" t="n">
        <f>HYPERLINK("https://www.xiaohongshu.com/explore/6a51bf44000000001102d99a?xsec_token=TBLS-C17276h-9-sNpnQL8K5S4RQKLaZnkLpZZwFPudHc=&amp;xsec_source=pc_trdark","https://www.xiaohongshu.com/explore/6a51bf44000000001102d99a?xsec_token=TBLS-C17276h-9-sNpnQL8K5S4RQKLaZnkLpZZwFPudHc=&amp;xsec_source=pc_trdark")</f>
        <v>0.0</v>
      </c>
      <c r="D553" t="inlineStr">
        <is>
          <t>鲜水湾甄选</t>
        </is>
      </c>
      <c r="E553" t="inlineStr">
        <is>
          <t>27401929161</t>
        </is>
      </c>
      <c r="F553" t="inlineStr">
        <is>
          <t>2026-07-11 11:57:56</t>
        </is>
      </c>
      <c r="G553" t="inlineStr">
        <is>
          <t>图文</t>
        </is>
      </c>
      <c r="H553" t="inlineStr">
        <is>
          <t>手剥虾仁 无冰衣无添加 低脂餐一人食 上班带饭 顺丰包邮 5盒装</t>
        </is>
      </c>
      <c r="I553" t="inlineStr">
        <is>
          <t>694baba01d450d00013662f0</t>
        </is>
      </c>
      <c r="J553" t="inlineStr">
        <is>
          <t/>
        </is>
      </c>
      <c r="K553" t="n">
        <v>0.0</v>
      </c>
      <c r="L553" t="n">
        <v>0.0</v>
      </c>
      <c r="M553" t="n">
        <v>0.0</v>
      </c>
      <c r="N553" t="n">
        <v>0.0</v>
      </c>
      <c r="O553" t="n">
        <v>0.0</v>
      </c>
      <c r="P553" t="n">
        <v>0.0</v>
      </c>
      <c r="Q553" t="inlineStr">
        <is>
          <t/>
        </is>
      </c>
      <c r="R553" t="inlineStr">
        <is>
          <t/>
        </is>
      </c>
      <c r="S553" t="n">
        <v>0.0</v>
      </c>
      <c r="T553" t="n">
        <v>0.0</v>
      </c>
      <c r="U553" t="n">
        <v>0.0</v>
      </c>
      <c r="V553" t="n">
        <v>0.0</v>
      </c>
      <c r="W553" t="inlineStr">
        <is>
          <t/>
        </is>
      </c>
      <c r="X553" t="n">
        <v>0.0</v>
      </c>
      <c r="Y553" t="n">
        <v>0.0</v>
      </c>
      <c r="Z553" t="n">
        <v>0.0</v>
      </c>
      <c r="AA553" t="n">
        <v>0.0</v>
      </c>
      <c r="AB553" t="n">
        <v>0.0</v>
      </c>
      <c r="AC553" t="n">
        <v>0.0</v>
      </c>
      <c r="AD553" t="n">
        <v>2.0</v>
      </c>
      <c r="AE553" t="n">
        <v>0.0</v>
      </c>
      <c r="AF553" t="n">
        <v>0.0</v>
      </c>
      <c r="AG553" t="n">
        <v>0.0</v>
      </c>
      <c r="AH553" t="n">
        <v>0.0</v>
      </c>
      <c r="AI553" t="n">
        <v>0.0</v>
      </c>
      <c r="AJ553" t="n">
        <v>0.0</v>
      </c>
      <c r="AK553" t="n">
        <v>8.5</v>
      </c>
      <c r="AL553" t="inlineStr">
        <is>
          <t/>
        </is>
      </c>
    </row>
    <row r="554">
      <c r="A554" t="inlineStr">
        <is>
          <t>得听粉丝的话，推出一人食小包装！！</t>
        </is>
      </c>
      <c r="B554" t="inlineStr">
        <is>
          <t>6a51b55b000000000702b56c</t>
        </is>
      </c>
      <c r="C554" s="553" t="n">
        <f>HYPERLINK("https://www.xiaohongshu.com/explore/6a51b55b000000000702b56c?xsec_token=TBLS-C17276h-9-sNpnQL8KzIFM7TRyuLdiUNRjzSuods=&amp;xsec_source=pc_trdark","https://www.xiaohongshu.com/explore/6a51b55b000000000702b56c?xsec_token=TBLS-C17276h-9-sNpnQL8KzIFM7TRyuLdiUNRjzSuods=&amp;xsec_source=pc_trdark")</f>
        <v>0.0</v>
      </c>
      <c r="D554" t="inlineStr">
        <is>
          <t>菲菲上班吃什么</t>
        </is>
      </c>
      <c r="E554" t="inlineStr">
        <is>
          <t>49936530607</t>
        </is>
      </c>
      <c r="F554" t="inlineStr">
        <is>
          <t>2026-07-11 11:15:39</t>
        </is>
      </c>
      <c r="G554" t="inlineStr">
        <is>
          <t>图文</t>
        </is>
      </c>
      <c r="H554" t="inlineStr">
        <is>
          <t>手剥虾仁 无冰衣无添加 低脂餐一人食 上班带饭 顺丰包邮 5盒装</t>
        </is>
      </c>
      <c r="I554" t="inlineStr">
        <is>
          <t>694baba01d450d00013662f0</t>
        </is>
      </c>
      <c r="J554" t="inlineStr">
        <is>
          <t/>
        </is>
      </c>
      <c r="K554" t="n">
        <v>0.0</v>
      </c>
      <c r="L554" t="n">
        <v>0.0</v>
      </c>
      <c r="M554" t="n">
        <v>0.0</v>
      </c>
      <c r="N554" t="n">
        <v>0.0</v>
      </c>
      <c r="O554" t="n">
        <v>0.0</v>
      </c>
      <c r="P554" t="n">
        <v>0.0</v>
      </c>
      <c r="Q554" t="inlineStr">
        <is>
          <t/>
        </is>
      </c>
      <c r="R554" t="inlineStr">
        <is>
          <t/>
        </is>
      </c>
      <c r="S554" t="n">
        <v>0.0</v>
      </c>
      <c r="T554" t="n">
        <v>0.0</v>
      </c>
      <c r="U554" t="n">
        <v>0.0</v>
      </c>
      <c r="V554" t="n">
        <v>0.0</v>
      </c>
      <c r="W554" t="inlineStr">
        <is>
          <t/>
        </is>
      </c>
      <c r="X554" t="n">
        <v>0.0</v>
      </c>
      <c r="Y554" t="n">
        <v>0.0</v>
      </c>
      <c r="Z554" t="n">
        <v>0.0</v>
      </c>
      <c r="AA554" t="n">
        <v>0.0</v>
      </c>
      <c r="AB554" t="n">
        <v>0.0</v>
      </c>
      <c r="AC554" t="n">
        <v>0.0</v>
      </c>
      <c r="AD554" t="n">
        <v>2.0</v>
      </c>
      <c r="AE554" t="n">
        <v>0.0</v>
      </c>
      <c r="AF554" t="n">
        <v>0.0</v>
      </c>
      <c r="AG554" t="n">
        <v>0.0</v>
      </c>
      <c r="AH554" t="n">
        <v>0.0</v>
      </c>
      <c r="AI554" t="n">
        <v>0.0</v>
      </c>
      <c r="AJ554" t="n">
        <v>0.0</v>
      </c>
      <c r="AK554" t="n">
        <v>8.5</v>
      </c>
      <c r="AL554" t="inlineStr">
        <is>
          <t/>
        </is>
      </c>
    </row>
    <row r="555">
      <c r="A555" t="inlineStr">
        <is>
          <t>下班回家的一人食，简单又治愈</t>
        </is>
      </c>
      <c r="B555" t="inlineStr">
        <is>
          <t>6a50a927000000002101723a</t>
        </is>
      </c>
      <c r="C555" s="554" t="n">
        <f>HYPERLINK("https://www.xiaohongshu.com/explore/6a50a927000000002101723a?xsec_token=TBJUAT_bOmtyXvbJR8RCxT5CtUUctatqx2tunMel4Rhjs=&amp;xsec_source=pc_trdark","https://www.xiaohongshu.com/explore/6a50a927000000002101723a?xsec_token=TBJUAT_bOmtyXvbJR8RCxT5CtUUctatqx2tunMel4Rhjs=&amp;xsec_source=pc_trdark")</f>
        <v>0.0</v>
      </c>
      <c r="D555" t="inlineStr">
        <is>
          <t>婉婉上班吃什么</t>
        </is>
      </c>
      <c r="E555" t="inlineStr">
        <is>
          <t>11434449706</t>
        </is>
      </c>
      <c r="F555" t="inlineStr">
        <is>
          <t>2026-07-10 16:11:19</t>
        </is>
      </c>
      <c r="G555" t="inlineStr">
        <is>
          <t>图文</t>
        </is>
      </c>
      <c r="H555" t="inlineStr">
        <is>
          <t>智利三文鱼切块·整条三文鱼·深海鱼一人食健康饮食</t>
        </is>
      </c>
      <c r="I555" t="inlineStr">
        <is>
          <t>691ac562a524ee0001b51d7b</t>
        </is>
      </c>
      <c r="J555" t="inlineStr">
        <is>
          <t/>
        </is>
      </c>
      <c r="K555" t="n">
        <v>0.0</v>
      </c>
      <c r="L555" t="n">
        <v>0.0</v>
      </c>
      <c r="M555" t="n">
        <v>0.0</v>
      </c>
      <c r="N555" t="n">
        <v>0.0</v>
      </c>
      <c r="O555" t="n">
        <v>0.0</v>
      </c>
      <c r="P555" t="n">
        <v>0.0</v>
      </c>
      <c r="Q555" t="inlineStr">
        <is>
          <t/>
        </is>
      </c>
      <c r="R555" t="inlineStr">
        <is>
          <t/>
        </is>
      </c>
      <c r="S555" t="n">
        <v>0.0</v>
      </c>
      <c r="T555" t="n">
        <v>0.0</v>
      </c>
      <c r="U555" t="n">
        <v>0.0</v>
      </c>
      <c r="V555" t="n">
        <v>0.0</v>
      </c>
      <c r="W555" t="inlineStr">
        <is>
          <t/>
        </is>
      </c>
      <c r="X555" t="n">
        <v>0.0</v>
      </c>
      <c r="Y555" t="n">
        <v>0.0</v>
      </c>
      <c r="Z555" t="n">
        <v>0.0</v>
      </c>
      <c r="AA555" t="n">
        <v>0.0</v>
      </c>
      <c r="AB555" t="n">
        <v>0.0</v>
      </c>
      <c r="AC555" t="n">
        <v>0.0</v>
      </c>
      <c r="AD555" t="n">
        <v>2.0</v>
      </c>
      <c r="AE555" t="n">
        <v>0.0</v>
      </c>
      <c r="AF555" t="n">
        <v>0.0</v>
      </c>
      <c r="AG555" t="n">
        <v>0.0</v>
      </c>
      <c r="AH555" t="n">
        <v>0.0</v>
      </c>
      <c r="AI555" t="n">
        <v>0.0</v>
      </c>
      <c r="AJ555" t="n">
        <v>0.0</v>
      </c>
      <c r="AK555" t="n">
        <v>24.5</v>
      </c>
      <c r="AL555" t="inlineStr">
        <is>
          <t/>
        </is>
      </c>
    </row>
    <row r="556">
      <c r="A556" t="inlineStr">
        <is>
          <t>一包100g，专为独居人推出的独立小包装</t>
        </is>
      </c>
      <c r="B556" t="inlineStr">
        <is>
          <t>6a4db895000000000702fd67</t>
        </is>
      </c>
      <c r="C556" s="555" t="n">
        <f>HYPERLINK("https://www.xiaohongshu.com/explore/6a4db895000000000702fd67?xsec_token=TB_h-LxY0T3CKUVqNJJaetsNohoHNJueEAzUdkXL7_Lpc=&amp;xsec_source=pc_trdark","https://www.xiaohongshu.com/explore/6a4db895000000000702fd67?xsec_token=TB_h-LxY0T3CKUVqNJJaetsNohoHNJueEAzUdkXL7_Lpc=&amp;xsec_source=pc_trdark")</f>
        <v>0.0</v>
      </c>
      <c r="D556" t="inlineStr">
        <is>
          <t>菲菲上班吃什么</t>
        </is>
      </c>
      <c r="E556" t="inlineStr">
        <is>
          <t>49936530607</t>
        </is>
      </c>
      <c r="F556" t="inlineStr">
        <is>
          <t>2026-07-08 10:40:21</t>
        </is>
      </c>
      <c r="G556" t="inlineStr">
        <is>
          <t>图文</t>
        </is>
      </c>
      <c r="H556" t="inlineStr">
        <is>
          <t>手剥虾仁 无冰衣无添加 低脂餐一人食 上班带饭 顺丰包邮 5盒装</t>
        </is>
      </c>
      <c r="I556" t="inlineStr">
        <is>
          <t>694baba01d450d00013662f0</t>
        </is>
      </c>
      <c r="J556" t="inlineStr">
        <is>
          <t/>
        </is>
      </c>
      <c r="K556" t="n">
        <v>0.0</v>
      </c>
      <c r="L556" t="n">
        <v>0.0</v>
      </c>
      <c r="M556" t="n">
        <v>0.0</v>
      </c>
      <c r="N556" t="n">
        <v>0.0</v>
      </c>
      <c r="O556" t="n">
        <v>0.0</v>
      </c>
      <c r="P556" t="n">
        <v>0.0</v>
      </c>
      <c r="Q556" t="inlineStr">
        <is>
          <t/>
        </is>
      </c>
      <c r="R556" t="inlineStr">
        <is>
          <t/>
        </is>
      </c>
      <c r="S556" t="n">
        <v>0.0</v>
      </c>
      <c r="T556" t="n">
        <v>0.0</v>
      </c>
      <c r="U556" t="n">
        <v>0.0</v>
      </c>
      <c r="V556" t="n">
        <v>0.0</v>
      </c>
      <c r="W556" t="inlineStr">
        <is>
          <t/>
        </is>
      </c>
      <c r="X556" t="n">
        <v>0.0</v>
      </c>
      <c r="Y556" t="n">
        <v>0.0</v>
      </c>
      <c r="Z556" t="n">
        <v>0.0</v>
      </c>
      <c r="AA556" t="n">
        <v>0.0</v>
      </c>
      <c r="AB556" t="n">
        <v>0.0</v>
      </c>
      <c r="AC556" t="n">
        <v>0.0</v>
      </c>
      <c r="AD556" t="n">
        <v>2.0</v>
      </c>
      <c r="AE556" t="n">
        <v>0.0</v>
      </c>
      <c r="AF556" t="n">
        <v>0.0</v>
      </c>
      <c r="AG556" t="n">
        <v>0.0</v>
      </c>
      <c r="AH556" t="n">
        <v>0.0</v>
      </c>
      <c r="AI556" t="n">
        <v>0.0</v>
      </c>
      <c r="AJ556" t="n">
        <v>0.0</v>
      </c>
      <c r="AK556" t="n">
        <v>5.0</v>
      </c>
      <c r="AL556" t="inlineStr">
        <is>
          <t/>
        </is>
      </c>
    </row>
    <row r="557">
      <c r="A557" t="inlineStr">
        <is>
          <t>习惯了高蛋白饮食后…</t>
        </is>
      </c>
      <c r="B557" t="inlineStr">
        <is>
          <t>6a4ccb9a000000002003b566</t>
        </is>
      </c>
      <c r="C557" s="556" t="n">
        <f>HYPERLINK("https://www.xiaohongshu.com/explore/6a4ccb9a000000002003b566?xsec_token=TBUTHXond34IOioCHeuH06uaebS6yRXPp40D0Rylj_f60=&amp;xsec_source=pc_trdark","https://www.xiaohongshu.com/explore/6a4ccb9a000000002003b566?xsec_token=TBUTHXond34IOioCHeuH06uaebS6yRXPp40D0Rylj_f60=&amp;xsec_source=pc_trdark")</f>
        <v>0.0</v>
      </c>
      <c r="D557" t="inlineStr">
        <is>
          <t>婉婉上班吃什么</t>
        </is>
      </c>
      <c r="E557" t="inlineStr">
        <is>
          <t>11434449706</t>
        </is>
      </c>
      <c r="F557" t="inlineStr">
        <is>
          <t>2026-07-07 17:49:14</t>
        </is>
      </c>
      <c r="G557" t="inlineStr">
        <is>
          <t>图文</t>
        </is>
      </c>
      <c r="H557" t="inlineStr">
        <is>
          <t>智利三文鱼切块·整条三文鱼·深海鱼一人食健康饮食</t>
        </is>
      </c>
      <c r="I557" t="inlineStr">
        <is>
          <t>691ac562a524ee0001b51d7b</t>
        </is>
      </c>
      <c r="J557" t="inlineStr">
        <is>
          <t/>
        </is>
      </c>
      <c r="K557" t="n">
        <v>0.0</v>
      </c>
      <c r="L557" t="n">
        <v>0.0</v>
      </c>
      <c r="M557" t="n">
        <v>0.0</v>
      </c>
      <c r="N557" t="n">
        <v>0.0</v>
      </c>
      <c r="O557" t="n">
        <v>0.0</v>
      </c>
      <c r="P557" t="n">
        <v>0.0</v>
      </c>
      <c r="Q557" t="inlineStr">
        <is>
          <t/>
        </is>
      </c>
      <c r="R557" t="inlineStr">
        <is>
          <t/>
        </is>
      </c>
      <c r="S557" t="n">
        <v>0.0</v>
      </c>
      <c r="T557" t="n">
        <v>0.0</v>
      </c>
      <c r="U557" t="n">
        <v>0.0</v>
      </c>
      <c r="V557" t="n">
        <v>0.0</v>
      </c>
      <c r="W557" t="inlineStr">
        <is>
          <t/>
        </is>
      </c>
      <c r="X557" t="n">
        <v>0.0</v>
      </c>
      <c r="Y557" t="n">
        <v>0.0</v>
      </c>
      <c r="Z557" t="n">
        <v>1.0</v>
      </c>
      <c r="AA557" t="n">
        <v>0.0</v>
      </c>
      <c r="AB557" t="n">
        <v>0.0</v>
      </c>
      <c r="AC557" t="n">
        <v>0.0</v>
      </c>
      <c r="AD557" t="n">
        <v>2.0</v>
      </c>
      <c r="AE557" t="n">
        <v>0.0</v>
      </c>
      <c r="AF557" t="n">
        <v>0.0</v>
      </c>
      <c r="AG557" t="n">
        <v>0.0</v>
      </c>
      <c r="AH557" t="n">
        <v>0.0</v>
      </c>
      <c r="AI557" t="n">
        <v>0.0</v>
      </c>
      <c r="AJ557" t="n">
        <v>0.0</v>
      </c>
      <c r="AK557" t="n">
        <v>8.0</v>
      </c>
      <c r="AL557" t="inlineStr">
        <is>
          <t/>
        </is>
      </c>
    </row>
    <row r="558">
      <c r="A558" t="inlineStr">
        <is>
          <t>下班后20分钟吃上饭，挚爱空气炸锅三文鱼‼️</t>
        </is>
      </c>
      <c r="B558" t="inlineStr">
        <is>
          <t>6a4ca26600000000060317fd</t>
        </is>
      </c>
      <c r="C558" s="557" t="n">
        <f>HYPERLINK("https://www.xiaohongshu.com/explore/6a4ca26600000000060317fd?xsec_token=TBUTHXond34IOioCHeuH06ubI42DvKLvwotIGG5e23LQo=&amp;xsec_source=pc_trdark","https://www.xiaohongshu.com/explore/6a4ca26600000000060317fd?xsec_token=TBUTHXond34IOioCHeuH06ubI42DvKLvwotIGG5e23LQo=&amp;xsec_source=pc_trdark")</f>
        <v>0.0</v>
      </c>
      <c r="D558" t="inlineStr">
        <is>
          <t>婉婉上班吃什么</t>
        </is>
      </c>
      <c r="E558" t="inlineStr">
        <is>
          <t>11434449706</t>
        </is>
      </c>
      <c r="F558" t="inlineStr">
        <is>
          <t>2026-07-07 14:53:26</t>
        </is>
      </c>
      <c r="G558" t="inlineStr">
        <is>
          <t>图文</t>
        </is>
      </c>
      <c r="H558" t="inlineStr">
        <is>
          <t>智利三文鱼切块·整条三文鱼·深海鱼一人食健康饮食</t>
        </is>
      </c>
      <c r="I558" t="inlineStr">
        <is>
          <t>691ac562a524ee0001b51d7b</t>
        </is>
      </c>
      <c r="J558" t="inlineStr">
        <is>
          <t/>
        </is>
      </c>
      <c r="K558" t="n">
        <v>0.0</v>
      </c>
      <c r="L558" t="n">
        <v>0.0</v>
      </c>
      <c r="M558" t="n">
        <v>1.0</v>
      </c>
      <c r="N558" t="n">
        <v>0.5</v>
      </c>
      <c r="O558" t="n">
        <v>1.0</v>
      </c>
      <c r="P558" t="n">
        <v>0.0</v>
      </c>
      <c r="Q558" t="n">
        <v>0.0</v>
      </c>
      <c r="R558" t="n">
        <v>0.0</v>
      </c>
      <c r="S558" t="n">
        <v>0.0</v>
      </c>
      <c r="T558" t="n">
        <v>0.0</v>
      </c>
      <c r="U558" t="n">
        <v>0.0</v>
      </c>
      <c r="V558" t="n">
        <v>0.0</v>
      </c>
      <c r="W558" t="inlineStr">
        <is>
          <t/>
        </is>
      </c>
      <c r="X558" t="n">
        <v>0.0</v>
      </c>
      <c r="Y558" t="n">
        <v>0.0</v>
      </c>
      <c r="Z558" t="n">
        <v>0.0</v>
      </c>
      <c r="AA558" t="n">
        <v>0.0</v>
      </c>
      <c r="AB558" t="n">
        <v>0.0</v>
      </c>
      <c r="AC558" t="n">
        <v>0.0</v>
      </c>
      <c r="AD558" t="n">
        <v>2.0</v>
      </c>
      <c r="AE558" t="n">
        <v>1.0</v>
      </c>
      <c r="AF558" t="n">
        <v>0.0</v>
      </c>
      <c r="AG558" t="n">
        <v>0.0</v>
      </c>
      <c r="AH558" t="n">
        <v>0.0</v>
      </c>
      <c r="AI558" t="n">
        <v>0.0</v>
      </c>
      <c r="AJ558" t="n">
        <v>0.0</v>
      </c>
      <c r="AK558" t="n">
        <v>26.5</v>
      </c>
      <c r="AL558" t="inlineStr">
        <is>
          <t/>
        </is>
      </c>
    </row>
    <row r="559">
      <c r="A559" t="inlineStr">
        <is>
          <t>就喜欢这样的小包装！不串味，一人食刚刚好！</t>
        </is>
      </c>
      <c r="B559" t="inlineStr">
        <is>
          <t>6a4c5f0d0000000006030e7d</t>
        </is>
      </c>
      <c r="C559" s="558" t="n">
        <f>HYPERLINK("https://www.xiaohongshu.com/explore/6a4c5f0d0000000006030e7d?xsec_token=TBUTHXond34IOioCHeuH06ufiG4msHn1zvrdzWojdhU88=&amp;xsec_source=pc_trdark","https://www.xiaohongshu.com/explore/6a4c5f0d0000000006030e7d?xsec_token=TBUTHXond34IOioCHeuH06ufiG4msHn1zvrdzWojdhU88=&amp;xsec_source=pc_trdark")</f>
        <v>0.0</v>
      </c>
      <c r="D559" t="inlineStr">
        <is>
          <t>婉婉上班吃什么</t>
        </is>
      </c>
      <c r="E559" t="inlineStr">
        <is>
          <t>11434449706</t>
        </is>
      </c>
      <c r="F559" t="inlineStr">
        <is>
          <t>2026-07-07 10:06:05</t>
        </is>
      </c>
      <c r="G559" t="inlineStr">
        <is>
          <t>图文</t>
        </is>
      </c>
      <c r="H559" t="inlineStr">
        <is>
          <t>手剥虾仁 无冰衣无添加 低脂餐一人食 上班带饭 顺丰包邮 5盒装</t>
        </is>
      </c>
      <c r="I559" t="inlineStr">
        <is>
          <t>694baba01d450d00013662f0</t>
        </is>
      </c>
      <c r="J559" t="inlineStr">
        <is>
          <t/>
        </is>
      </c>
      <c r="K559" t="n">
        <v>0.0</v>
      </c>
      <c r="L559" t="n">
        <v>0.0</v>
      </c>
      <c r="M559" t="n">
        <v>0.0</v>
      </c>
      <c r="N559" t="n">
        <v>0.0</v>
      </c>
      <c r="O559" t="n">
        <v>0.0</v>
      </c>
      <c r="P559" t="n">
        <v>0.0</v>
      </c>
      <c r="Q559" t="inlineStr">
        <is>
          <t/>
        </is>
      </c>
      <c r="R559" t="inlineStr">
        <is>
          <t/>
        </is>
      </c>
      <c r="S559" t="n">
        <v>0.0</v>
      </c>
      <c r="T559" t="n">
        <v>0.0</v>
      </c>
      <c r="U559" t="n">
        <v>0.0</v>
      </c>
      <c r="V559" t="n">
        <v>0.0</v>
      </c>
      <c r="W559" t="inlineStr">
        <is>
          <t/>
        </is>
      </c>
      <c r="X559" t="n">
        <v>0.0</v>
      </c>
      <c r="Y559" t="n">
        <v>0.0</v>
      </c>
      <c r="Z559" t="n">
        <v>0.0</v>
      </c>
      <c r="AA559" t="n">
        <v>0.0</v>
      </c>
      <c r="AB559" t="n">
        <v>0.0</v>
      </c>
      <c r="AC559" t="n">
        <v>0.0</v>
      </c>
      <c r="AD559" t="n">
        <v>2.0</v>
      </c>
      <c r="AE559" t="n">
        <v>0.0</v>
      </c>
      <c r="AF559" t="n">
        <v>0.0</v>
      </c>
      <c r="AG559" t="n">
        <v>0.0</v>
      </c>
      <c r="AH559" t="n">
        <v>0.0</v>
      </c>
      <c r="AI559" t="n">
        <v>0.0</v>
      </c>
      <c r="AJ559" t="n">
        <v>0.0</v>
      </c>
      <c r="AK559" t="n">
        <v>2.0</v>
      </c>
      <c r="AL559" t="inlineStr">
        <is>
          <t/>
        </is>
      </c>
    </row>
    <row r="560">
      <c r="A560" t="inlineStr">
        <is>
          <t>独居后才懂，一人食独立小包装真的很爽！！！</t>
        </is>
      </c>
      <c r="B560" t="inlineStr">
        <is>
          <t>6a4b47910000000021023982</t>
        </is>
      </c>
      <c r="C560" s="559" t="n">
        <f>HYPERLINK("https://www.xiaohongshu.com/explore/6a4b47910000000021023982?xsec_token=TBbJ-JHK-PBbJgek6K72FYkQq9idcrawLJAc_lbP2aWGc=&amp;xsec_source=pc_trdark","https://www.xiaohongshu.com/explore/6a4b47910000000021023982?xsec_token=TBbJ-JHK-PBbJgek6K72FYkQq9idcrawLJAc_lbP2aWGc=&amp;xsec_source=pc_trdark")</f>
        <v>0.0</v>
      </c>
      <c r="D560" t="inlineStr">
        <is>
          <t>菲菲上班吃什么</t>
        </is>
      </c>
      <c r="E560" t="inlineStr">
        <is>
          <t>49936530607</t>
        </is>
      </c>
      <c r="F560" t="inlineStr">
        <is>
          <t>2026-07-06 14:13:37</t>
        </is>
      </c>
      <c r="G560" t="inlineStr">
        <is>
          <t>图文</t>
        </is>
      </c>
      <c r="H560" t="inlineStr">
        <is>
          <t>手剥虾仁 无冰衣无添加 低脂餐一人食 上班带饭 顺丰包邮 5盒装</t>
        </is>
      </c>
      <c r="I560" t="inlineStr">
        <is>
          <t>694baba01d450d00013662f0</t>
        </is>
      </c>
      <c r="J560" t="inlineStr">
        <is>
          <t/>
        </is>
      </c>
      <c r="K560" t="n">
        <v>0.0</v>
      </c>
      <c r="L560" t="n">
        <v>0.0</v>
      </c>
      <c r="M560" t="n">
        <v>1.0</v>
      </c>
      <c r="N560" t="n">
        <v>0.5</v>
      </c>
      <c r="O560" t="n">
        <v>1.0</v>
      </c>
      <c r="P560" t="n">
        <v>0.0</v>
      </c>
      <c r="Q560" t="n">
        <v>0.0</v>
      </c>
      <c r="R560" t="n">
        <v>0.0</v>
      </c>
      <c r="S560" t="n">
        <v>0.0</v>
      </c>
      <c r="T560" t="n">
        <v>0.0</v>
      </c>
      <c r="U560" t="n">
        <v>0.0</v>
      </c>
      <c r="V560" t="n">
        <v>0.0</v>
      </c>
      <c r="W560" t="inlineStr">
        <is>
          <t/>
        </is>
      </c>
      <c r="X560" t="n">
        <v>0.0</v>
      </c>
      <c r="Y560" t="n">
        <v>0.0</v>
      </c>
      <c r="Z560" t="n">
        <v>0.0</v>
      </c>
      <c r="AA560" t="n">
        <v>0.0</v>
      </c>
      <c r="AB560" t="n">
        <v>0.0</v>
      </c>
      <c r="AC560" t="n">
        <v>0.0</v>
      </c>
      <c r="AD560" t="n">
        <v>2.0</v>
      </c>
      <c r="AE560" t="n">
        <v>0.0</v>
      </c>
      <c r="AF560" t="n">
        <v>0.0</v>
      </c>
      <c r="AG560" t="n">
        <v>0.0</v>
      </c>
      <c r="AH560" t="n">
        <v>0.0</v>
      </c>
      <c r="AI560" t="n">
        <v>0.0</v>
      </c>
      <c r="AJ560" t="n">
        <v>0.0</v>
      </c>
      <c r="AK560" t="n">
        <v>8.5</v>
      </c>
      <c r="AL560" t="inlineStr">
        <is>
          <t/>
        </is>
      </c>
    </row>
    <row r="561">
      <c r="A561" t="inlineStr">
        <is>
          <t>热量比鸡胸肉低的虾仁，全家控体都在吃！</t>
        </is>
      </c>
      <c r="B561" t="inlineStr">
        <is>
          <t>6a44e5650000000007012ee8</t>
        </is>
      </c>
      <c r="C561" s="560" t="n">
        <f>HYPERLINK("https://www.xiaohongshu.com/explore/6a44e5650000000007012ee8?xsec_token=TBsNLvvwxdidvAFeSxmUSQxZQkr9WHfgQ68ECxi5etNFQ=&amp;xsec_source=pc_trdark","https://www.xiaohongshu.com/explore/6a44e5650000000007012ee8?xsec_token=TBsNLvvwxdidvAFeSxmUSQxZQkr9WHfgQ68ECxi5etNFQ=&amp;xsec_source=pc_trdark")</f>
        <v>0.0</v>
      </c>
      <c r="D561" t="inlineStr">
        <is>
          <t>鲜水湾</t>
        </is>
      </c>
      <c r="E561" t="inlineStr">
        <is>
          <t>49316638994</t>
        </is>
      </c>
      <c r="F561" t="inlineStr">
        <is>
          <t>2026-07-01 18:01:09</t>
        </is>
      </c>
      <c r="G561" t="inlineStr">
        <is>
          <t>图文</t>
        </is>
      </c>
      <c r="H561" t="inlineStr">
        <is>
          <t>手剥虾仁 无冰衣无添加 低脂餐一人食 上班带饭 顺丰包邮 5盒装</t>
        </is>
      </c>
      <c r="I561" t="inlineStr">
        <is>
          <t>694baba01d450d00013662f0</t>
        </is>
      </c>
      <c r="J561" t="inlineStr">
        <is>
          <t/>
        </is>
      </c>
      <c r="K561" t="n">
        <v>0.0</v>
      </c>
      <c r="L561" t="n">
        <v>0.0</v>
      </c>
      <c r="M561" t="n">
        <v>0.0</v>
      </c>
      <c r="N561" t="n">
        <v>0.0</v>
      </c>
      <c r="O561" t="n">
        <v>0.0</v>
      </c>
      <c r="P561" t="n">
        <v>0.0</v>
      </c>
      <c r="Q561" t="inlineStr">
        <is>
          <t/>
        </is>
      </c>
      <c r="R561" t="inlineStr">
        <is>
          <t/>
        </is>
      </c>
      <c r="S561" t="n">
        <v>0.0</v>
      </c>
      <c r="T561" t="n">
        <v>0.0</v>
      </c>
      <c r="U561" t="n">
        <v>0.0</v>
      </c>
      <c r="V561" t="n">
        <v>0.0</v>
      </c>
      <c r="W561" t="inlineStr">
        <is>
          <t/>
        </is>
      </c>
      <c r="X561" t="n">
        <v>0.0</v>
      </c>
      <c r="Y561" t="n">
        <v>0.0</v>
      </c>
      <c r="Z561" t="n">
        <v>0.0</v>
      </c>
      <c r="AA561" t="n">
        <v>0.0</v>
      </c>
      <c r="AB561" t="n">
        <v>0.0</v>
      </c>
      <c r="AC561" t="n">
        <v>0.0</v>
      </c>
      <c r="AD561" t="n">
        <v>2.0</v>
      </c>
      <c r="AE561" t="n">
        <v>0.0</v>
      </c>
      <c r="AF561" t="n">
        <v>0.0</v>
      </c>
      <c r="AG561" t="n">
        <v>0.0</v>
      </c>
      <c r="AH561" t="n">
        <v>0.0</v>
      </c>
      <c r="AI561" t="n">
        <v>0.0</v>
      </c>
      <c r="AJ561" t="n">
        <v>0.0</v>
      </c>
      <c r="AK561" t="n">
        <v>6.5</v>
      </c>
      <c r="AL561" t="inlineStr">
        <is>
          <t/>
        </is>
      </c>
    </row>
    <row r="562">
      <c r="A562" t="inlineStr">
        <is>
          <t>天呐！控体期不知道回购了多少次！</t>
        </is>
      </c>
      <c r="B562" t="inlineStr">
        <is>
          <t>6a43ccf7000000002200ad23</t>
        </is>
      </c>
      <c r="C562" s="561" t="n">
        <f>HYPERLINK("https://www.xiaohongshu.com/explore/6a43ccf7000000002200ad23?xsec_token=TBHlcLEn6fokKWIeUTfT7NlQEuX7bLwHKVnY3kkCRYn2A=&amp;xsec_source=pc_trdark","https://www.xiaohongshu.com/explore/6a43ccf7000000002200ad23?xsec_token=TBHlcLEn6fokKWIeUTfT7NlQEuX7bLwHKVnY3kkCRYn2A=&amp;xsec_source=pc_trdark")</f>
        <v>0.0</v>
      </c>
      <c r="D562" t="inlineStr">
        <is>
          <t>婉婉上班吃什么</t>
        </is>
      </c>
      <c r="E562" t="inlineStr">
        <is>
          <t>11434449706</t>
        </is>
      </c>
      <c r="F562" t="inlineStr">
        <is>
          <t>2026-06-30 22:04:39</t>
        </is>
      </c>
      <c r="G562" t="inlineStr">
        <is>
          <t>图文</t>
        </is>
      </c>
      <c r="H562" t="inlineStr">
        <is>
          <t>手剥虾仁 无冰衣无添加 低脂餐一人食 上班带饭 顺丰包邮 5盒装</t>
        </is>
      </c>
      <c r="I562" t="inlineStr">
        <is>
          <t>694baba01d450d00013662f0</t>
        </is>
      </c>
      <c r="J562" t="inlineStr">
        <is>
          <t/>
        </is>
      </c>
      <c r="K562" t="n">
        <v>0.0</v>
      </c>
      <c r="L562" t="n">
        <v>0.0</v>
      </c>
      <c r="M562" t="n">
        <v>1.0</v>
      </c>
      <c r="N562" t="n">
        <v>0.5</v>
      </c>
      <c r="O562" t="n">
        <v>1.0</v>
      </c>
      <c r="P562" t="n">
        <v>0.0</v>
      </c>
      <c r="Q562" t="n">
        <v>0.0</v>
      </c>
      <c r="R562" t="n">
        <v>0.0</v>
      </c>
      <c r="S562" t="n">
        <v>0.0</v>
      </c>
      <c r="T562" t="n">
        <v>0.0</v>
      </c>
      <c r="U562" t="n">
        <v>0.0</v>
      </c>
      <c r="V562" t="n">
        <v>0.0</v>
      </c>
      <c r="W562" t="inlineStr">
        <is>
          <t/>
        </is>
      </c>
      <c r="X562" t="n">
        <v>0.0</v>
      </c>
      <c r="Y562" t="n">
        <v>1.0</v>
      </c>
      <c r="Z562" t="n">
        <v>0.0</v>
      </c>
      <c r="AA562" t="n">
        <v>0.0</v>
      </c>
      <c r="AB562" t="n">
        <v>0.0</v>
      </c>
      <c r="AC562" t="n">
        <v>0.0</v>
      </c>
      <c r="AD562" t="n">
        <v>2.0</v>
      </c>
      <c r="AE562" t="n">
        <v>0.0</v>
      </c>
      <c r="AF562" t="n">
        <v>0.0</v>
      </c>
      <c r="AG562" t="n">
        <v>0.0</v>
      </c>
      <c r="AH562" t="n">
        <v>0.0</v>
      </c>
      <c r="AI562" t="n">
        <v>0.0</v>
      </c>
      <c r="AJ562" t="n">
        <v>0.0</v>
      </c>
      <c r="AK562" t="n">
        <v>9.0</v>
      </c>
      <c r="AL562" t="inlineStr">
        <is>
          <t/>
        </is>
      </c>
    </row>
    <row r="563">
      <c r="A563" t="inlineStr">
        <is>
          <t>独居党真的会疯狂囤独立小包装虾仁……</t>
        </is>
      </c>
      <c r="B563" t="inlineStr">
        <is>
          <t>6a4279690000000021019d2b</t>
        </is>
      </c>
      <c r="C563" s="562" t="n">
        <f>HYPERLINK("https://www.xiaohongshu.com/explore/6a4279690000000021019d2b?xsec_token=TBuZ9ZXJUs9vOVh3V3slJbLF6G0BxFWaY_HLkVB20bLME=&amp;xsec_source=pc_trdark","https://www.xiaohongshu.com/explore/6a4279690000000021019d2b?xsec_token=TBuZ9ZXJUs9vOVh3V3slJbLF6G0BxFWaY_HLkVB20bLME=&amp;xsec_source=pc_trdark")</f>
        <v>0.0</v>
      </c>
      <c r="D563" t="inlineStr">
        <is>
          <t>菲菲上班吃什么</t>
        </is>
      </c>
      <c r="E563" t="inlineStr">
        <is>
          <t>49936530607</t>
        </is>
      </c>
      <c r="F563" t="inlineStr">
        <is>
          <t>2026-06-29 21:55:53</t>
        </is>
      </c>
      <c r="G563" t="inlineStr">
        <is>
          <t>图文</t>
        </is>
      </c>
      <c r="H563" t="inlineStr">
        <is>
          <t>手剥虾仁 无冰衣无添加 低脂餐一人食 上班带饭 顺丰包邮 5盒装</t>
        </is>
      </c>
      <c r="I563" t="inlineStr">
        <is>
          <t>694baba01d450d00013662f0</t>
        </is>
      </c>
      <c r="J563" t="inlineStr">
        <is>
          <t/>
        </is>
      </c>
      <c r="K563" t="n">
        <v>0.0</v>
      </c>
      <c r="L563" t="n">
        <v>0.0</v>
      </c>
      <c r="M563" t="n">
        <v>1.0</v>
      </c>
      <c r="N563" t="n">
        <v>0.5</v>
      </c>
      <c r="O563" t="n">
        <v>1.0</v>
      </c>
      <c r="P563" t="n">
        <v>0.0</v>
      </c>
      <c r="Q563" t="n">
        <v>0.0</v>
      </c>
      <c r="R563" t="n">
        <v>0.0</v>
      </c>
      <c r="S563" t="n">
        <v>0.0</v>
      </c>
      <c r="T563" t="n">
        <v>0.0</v>
      </c>
      <c r="U563" t="n">
        <v>0.0</v>
      </c>
      <c r="V563" t="n">
        <v>0.0</v>
      </c>
      <c r="W563" t="inlineStr">
        <is>
          <t/>
        </is>
      </c>
      <c r="X563" t="n">
        <v>0.0</v>
      </c>
      <c r="Y563" t="n">
        <v>1.0</v>
      </c>
      <c r="Z563" t="n">
        <v>0.0</v>
      </c>
      <c r="AA563" t="n">
        <v>0.0</v>
      </c>
      <c r="AB563" t="n">
        <v>0.0</v>
      </c>
      <c r="AC563" t="n">
        <v>0.0</v>
      </c>
      <c r="AD563" t="n">
        <v>2.0</v>
      </c>
      <c r="AE563" t="n">
        <v>0.0</v>
      </c>
      <c r="AF563" t="n">
        <v>0.0</v>
      </c>
      <c r="AG563" t="n">
        <v>0.0</v>
      </c>
      <c r="AH563" t="n">
        <v>0.0</v>
      </c>
      <c r="AI563" t="n">
        <v>0.0</v>
      </c>
      <c r="AJ563" t="n">
        <v>0.0</v>
      </c>
      <c r="AK563" t="n">
        <v>5.0</v>
      </c>
      <c r="AL563" t="inlineStr">
        <is>
          <t/>
        </is>
      </c>
    </row>
    <row r="564">
      <c r="A564" t="inlineStr">
        <is>
          <t>奉劝在健身房爬坡没so的姐妹！！</t>
        </is>
      </c>
      <c r="B564" t="inlineStr">
        <is>
          <t>6a3fc6b20000000020038c4f</t>
        </is>
      </c>
      <c r="C564" s="563" t="n">
        <f>HYPERLINK("https://www.xiaohongshu.com/explore/6a3fc6b20000000020038c4f?xsec_token=TB-Xzc_eKrV4y7N7iH5lBvTpm6QVSbG2Y-CToac28HIqc=&amp;xsec_source=pc_trdark","https://www.xiaohongshu.com/explore/6a3fc6b20000000020038c4f?xsec_token=TB-Xzc_eKrV4y7N7iH5lBvTpm6QVSbG2Y-CToac28HIqc=&amp;xsec_source=pc_trdark")</f>
        <v>0.0</v>
      </c>
      <c r="D564" t="inlineStr">
        <is>
          <t>菲菲上班吃什么</t>
        </is>
      </c>
      <c r="E564" t="inlineStr">
        <is>
          <t>49936530607</t>
        </is>
      </c>
      <c r="F564" t="inlineStr">
        <is>
          <t>2026-06-27 20:48:50</t>
        </is>
      </c>
      <c r="G564" t="inlineStr">
        <is>
          <t>图文</t>
        </is>
      </c>
      <c r="H564" t="inlineStr">
        <is>
          <t>手剥虾仁 无冰衣无添加 低脂餐一人食 上班带饭 顺丰包邮 5盒装</t>
        </is>
      </c>
      <c r="I564" t="inlineStr">
        <is>
          <t>694baba01d450d00013662f0</t>
        </is>
      </c>
      <c r="J564" t="inlineStr">
        <is>
          <t/>
        </is>
      </c>
      <c r="K564" t="n">
        <v>0.0</v>
      </c>
      <c r="L564" t="n">
        <v>0.0</v>
      </c>
      <c r="M564" t="n">
        <v>1.0</v>
      </c>
      <c r="N564" t="n">
        <v>0.5</v>
      </c>
      <c r="O564" t="n">
        <v>1.0</v>
      </c>
      <c r="P564" t="n">
        <v>0.0</v>
      </c>
      <c r="Q564" t="n">
        <v>0.0</v>
      </c>
      <c r="R564" t="n">
        <v>0.0</v>
      </c>
      <c r="S564" t="n">
        <v>0.0</v>
      </c>
      <c r="T564" t="n">
        <v>0.0</v>
      </c>
      <c r="U564" t="n">
        <v>0.0</v>
      </c>
      <c r="V564" t="n">
        <v>0.0</v>
      </c>
      <c r="W564" t="inlineStr">
        <is>
          <t/>
        </is>
      </c>
      <c r="X564" t="n">
        <v>0.0</v>
      </c>
      <c r="Y564" t="n">
        <v>0.0</v>
      </c>
      <c r="Z564" t="n">
        <v>0.0</v>
      </c>
      <c r="AA564" t="n">
        <v>0.0</v>
      </c>
      <c r="AB564" t="n">
        <v>0.0</v>
      </c>
      <c r="AC564" t="n">
        <v>0.0</v>
      </c>
      <c r="AD564" t="n">
        <v>2.0</v>
      </c>
      <c r="AE564" t="n">
        <v>0.0</v>
      </c>
      <c r="AF564" t="n">
        <v>0.0</v>
      </c>
      <c r="AG564" t="n">
        <v>0.0</v>
      </c>
      <c r="AH564" t="n">
        <v>0.0</v>
      </c>
      <c r="AI564" t="n">
        <v>0.0</v>
      </c>
      <c r="AJ564" t="n">
        <v>0.0</v>
      </c>
      <c r="AK564" t="n">
        <v>8.0</v>
      </c>
      <c r="AL564" t="inlineStr">
        <is>
          <t/>
        </is>
      </c>
    </row>
    <row r="565">
      <c r="A565" t="inlineStr">
        <is>
          <t>以前总觉得“天天吃虾的人一定很贵”……</t>
        </is>
      </c>
      <c r="B565" t="inlineStr">
        <is>
          <t>6a3fbae8000000002003a47f</t>
        </is>
      </c>
      <c r="C565" s="564" t="n">
        <f>HYPERLINK("https://www.xiaohongshu.com/explore/6a3fbae8000000002003a47f?xsec_token=TB-Xzc_eKrV4y7N7iH5lBvTuEt5gdaa63jUf--4A8bNOE=&amp;xsec_source=pc_trdark","https://www.xiaohongshu.com/explore/6a3fbae8000000002003a47f?xsec_token=TB-Xzc_eKrV4y7N7iH5lBvTuEt5gdaa63jUf--4A8bNOE=&amp;xsec_source=pc_trdark")</f>
        <v>0.0</v>
      </c>
      <c r="D565" t="inlineStr">
        <is>
          <t>菲菲上班吃什么</t>
        </is>
      </c>
      <c r="E565" t="inlineStr">
        <is>
          <t>49936530607</t>
        </is>
      </c>
      <c r="F565" t="inlineStr">
        <is>
          <t>2026-06-27 19:58:32</t>
        </is>
      </c>
      <c r="G565" t="inlineStr">
        <is>
          <t>图文</t>
        </is>
      </c>
      <c r="H565" t="inlineStr">
        <is>
          <t>手剥虾仁 无冰衣无添加 低脂餐一人食 上班带饭 顺丰包邮 5盒装</t>
        </is>
      </c>
      <c r="I565" t="inlineStr">
        <is>
          <t>694baba01d450d00013662f0</t>
        </is>
      </c>
      <c r="J565" t="inlineStr">
        <is>
          <t/>
        </is>
      </c>
      <c r="K565" t="n">
        <v>0.0</v>
      </c>
      <c r="L565" t="n">
        <v>0.0</v>
      </c>
      <c r="M565" t="n">
        <v>0.0</v>
      </c>
      <c r="N565" t="n">
        <v>0.0</v>
      </c>
      <c r="O565" t="n">
        <v>0.0</v>
      </c>
      <c r="P565" t="n">
        <v>0.0</v>
      </c>
      <c r="Q565" t="inlineStr">
        <is>
          <t/>
        </is>
      </c>
      <c r="R565" t="inlineStr">
        <is>
          <t/>
        </is>
      </c>
      <c r="S565" t="n">
        <v>0.0</v>
      </c>
      <c r="T565" t="n">
        <v>0.0</v>
      </c>
      <c r="U565" t="n">
        <v>0.0</v>
      </c>
      <c r="V565" t="n">
        <v>0.0</v>
      </c>
      <c r="W565" t="inlineStr">
        <is>
          <t/>
        </is>
      </c>
      <c r="X565" t="n">
        <v>0.0</v>
      </c>
      <c r="Y565" t="n">
        <v>0.0</v>
      </c>
      <c r="Z565" t="n">
        <v>0.0</v>
      </c>
      <c r="AA565" t="n">
        <v>0.0</v>
      </c>
      <c r="AB565" t="n">
        <v>0.0</v>
      </c>
      <c r="AC565" t="n">
        <v>0.0</v>
      </c>
      <c r="AD565" t="n">
        <v>2.0</v>
      </c>
      <c r="AE565" t="n">
        <v>0.0</v>
      </c>
      <c r="AF565" t="n">
        <v>0.0</v>
      </c>
      <c r="AG565" t="n">
        <v>0.0</v>
      </c>
      <c r="AH565" t="n">
        <v>0.0</v>
      </c>
      <c r="AI565" t="n">
        <v>0.0</v>
      </c>
      <c r="AJ565" t="n">
        <v>0.0</v>
      </c>
      <c r="AK565" t="n">
        <v>12.0</v>
      </c>
      <c r="AL565" t="inlineStr">
        <is>
          <t/>
        </is>
      </c>
    </row>
    <row r="566">
      <c r="A566" t="inlineStr">
        <is>
          <t>独居党真的会疯狂囤独立小包装虾仁……</t>
        </is>
      </c>
      <c r="B566" t="inlineStr">
        <is>
          <t>6a3f9b3d000000000f028e86</t>
        </is>
      </c>
      <c r="C566" s="565" t="n">
        <f>HYPERLINK("https://www.xiaohongshu.com/explore/6a3f9b3d000000000f028e86?xsec_token=TB-Xzc_eKrV4y7N7iH5lBvTrmk7Wgda_e1FTBFVzSq0r8=&amp;xsec_source=pc_trdark","https://www.xiaohongshu.com/explore/6a3f9b3d000000000f028e86?xsec_token=TB-Xzc_eKrV4y7N7iH5lBvTrmk7Wgda_e1FTBFVzSq0r8=&amp;xsec_source=pc_trdark")</f>
        <v>0.0</v>
      </c>
      <c r="D566" t="inlineStr">
        <is>
          <t>鲜水湾甄选</t>
        </is>
      </c>
      <c r="E566" t="inlineStr">
        <is>
          <t>27401929161</t>
        </is>
      </c>
      <c r="F566" t="inlineStr">
        <is>
          <t>2026-06-27 17:43:25</t>
        </is>
      </c>
      <c r="G566" t="inlineStr">
        <is>
          <t>图文</t>
        </is>
      </c>
      <c r="H566" t="inlineStr">
        <is>
          <t>手剥虾仁 无冰衣无添加 低脂餐一人食 上班带饭 顺丰包邮 5盒装</t>
        </is>
      </c>
      <c r="I566" t="inlineStr">
        <is>
          <t>694baba01d450d00013662f0</t>
        </is>
      </c>
      <c r="J566" t="inlineStr">
        <is>
          <t/>
        </is>
      </c>
      <c r="K566" t="n">
        <v>0.0</v>
      </c>
      <c r="L566" t="n">
        <v>0.0</v>
      </c>
      <c r="M566" t="n">
        <v>0.0</v>
      </c>
      <c r="N566" t="n">
        <v>0.0</v>
      </c>
      <c r="O566" t="n">
        <v>0.0</v>
      </c>
      <c r="P566" t="n">
        <v>0.0</v>
      </c>
      <c r="Q566" t="inlineStr">
        <is>
          <t/>
        </is>
      </c>
      <c r="R566" t="inlineStr">
        <is>
          <t/>
        </is>
      </c>
      <c r="S566" t="n">
        <v>0.0</v>
      </c>
      <c r="T566" t="n">
        <v>0.0</v>
      </c>
      <c r="U566" t="n">
        <v>0.0</v>
      </c>
      <c r="V566" t="n">
        <v>0.0</v>
      </c>
      <c r="W566" t="inlineStr">
        <is>
          <t/>
        </is>
      </c>
      <c r="X566" t="n">
        <v>0.0</v>
      </c>
      <c r="Y566" t="n">
        <v>0.0</v>
      </c>
      <c r="Z566" t="n">
        <v>0.0</v>
      </c>
      <c r="AA566" t="n">
        <v>0.0</v>
      </c>
      <c r="AB566" t="n">
        <v>0.0</v>
      </c>
      <c r="AC566" t="n">
        <v>0.0</v>
      </c>
      <c r="AD566" t="n">
        <v>2.0</v>
      </c>
      <c r="AE566" t="n">
        <v>0.0</v>
      </c>
      <c r="AF566" t="n">
        <v>0.0</v>
      </c>
      <c r="AG566" t="n">
        <v>0.0</v>
      </c>
      <c r="AH566" t="n">
        <v>0.0</v>
      </c>
      <c r="AI566" t="n">
        <v>0.0</v>
      </c>
      <c r="AJ566" t="n">
        <v>0.0</v>
      </c>
      <c r="AK566" t="n">
        <v>3.0</v>
      </c>
      <c r="AL566" t="inlineStr">
        <is>
          <t/>
        </is>
      </c>
    </row>
    <row r="567">
      <c r="A567" t="inlineStr">
        <is>
          <t>爸妈让我卖300来块一条，还要顺丰包邮</t>
        </is>
      </c>
      <c r="B567" t="inlineStr">
        <is>
          <t>6a3e29a00000000007027094</t>
        </is>
      </c>
      <c r="C567" s="566" t="n">
        <f>HYPERLINK("https://www.xiaohongshu.com/explore/6a3e29a00000000007027094?xsec_token=TBr0r0iKecestw8rIiwqZdvni5LC7ZvYnMrmI_MJRElsI=&amp;xsec_source=pc_trdark","https://www.xiaohongshu.com/explore/6a3e29a00000000007027094?xsec_token=TBr0r0iKecestw8rIiwqZdvni5LC7ZvYnMrmI_MJRElsI=&amp;xsec_source=pc_trdark")</f>
        <v>0.0</v>
      </c>
      <c r="D567" t="inlineStr">
        <is>
          <t>鲜水湾</t>
        </is>
      </c>
      <c r="E567" t="inlineStr">
        <is>
          <t>49316638994</t>
        </is>
      </c>
      <c r="F567" t="inlineStr">
        <is>
          <t>2026-06-26 15:26:24</t>
        </is>
      </c>
      <c r="G567" t="inlineStr">
        <is>
          <t>图文</t>
        </is>
      </c>
      <c r="H567" t="inlineStr">
        <is>
          <t>智利三文鱼切块·整条三文鱼·深海鱼一人食健康饮食</t>
        </is>
      </c>
      <c r="I567" t="inlineStr">
        <is>
          <t>691ac562a524ee0001b51d7b</t>
        </is>
      </c>
      <c r="J567" t="inlineStr">
        <is>
          <t/>
        </is>
      </c>
      <c r="K567" t="n">
        <v>0.0</v>
      </c>
      <c r="L567" t="n">
        <v>0.0</v>
      </c>
      <c r="M567" t="n">
        <v>0.0</v>
      </c>
      <c r="N567" t="n">
        <v>0.0</v>
      </c>
      <c r="O567" t="n">
        <v>0.0</v>
      </c>
      <c r="P567" t="n">
        <v>0.0</v>
      </c>
      <c r="Q567" t="inlineStr">
        <is>
          <t/>
        </is>
      </c>
      <c r="R567" t="inlineStr">
        <is>
          <t/>
        </is>
      </c>
      <c r="S567" t="n">
        <v>0.0</v>
      </c>
      <c r="T567" t="n">
        <v>0.0</v>
      </c>
      <c r="U567" t="n">
        <v>0.0</v>
      </c>
      <c r="V567" t="n">
        <v>0.0</v>
      </c>
      <c r="W567" t="inlineStr">
        <is>
          <t/>
        </is>
      </c>
      <c r="X567" t="n">
        <v>0.0</v>
      </c>
      <c r="Y567" t="n">
        <v>0.0</v>
      </c>
      <c r="Z567" t="n">
        <v>0.0</v>
      </c>
      <c r="AA567" t="n">
        <v>0.0</v>
      </c>
      <c r="AB567" t="n">
        <v>0.0</v>
      </c>
      <c r="AC567" t="n">
        <v>0.0</v>
      </c>
      <c r="AD567" t="n">
        <v>2.0</v>
      </c>
      <c r="AE567" t="n">
        <v>0.0</v>
      </c>
      <c r="AF567" t="n">
        <v>0.0</v>
      </c>
      <c r="AG567" t="n">
        <v>0.0</v>
      </c>
      <c r="AH567" t="n">
        <v>0.0</v>
      </c>
      <c r="AI567" t="n">
        <v>0.0</v>
      </c>
      <c r="AJ567" t="n">
        <v>0.0</v>
      </c>
      <c r="AK567" t="n">
        <v>12.5</v>
      </c>
      <c r="AL567" t="inlineStr">
        <is>
          <t/>
        </is>
      </c>
    </row>
    <row r="568">
      <c r="A568" t="inlineStr">
        <is>
          <t>不要科技狠活的虾仁，70元囤一周减脂餐</t>
        </is>
      </c>
      <c r="B568" t="inlineStr">
        <is>
          <t>6a3d15e80000000011019758</t>
        </is>
      </c>
      <c r="C568" s="567" t="n">
        <f>HYPERLINK("https://www.xiaohongshu.com/explore/6a3d15e80000000011019758?xsec_token=TB86hQ-xkUBjAY90uToPmFjX25yibvkUAeekbIRlKyNL0=&amp;xsec_source=pc_trdark","https://www.xiaohongshu.com/explore/6a3d15e80000000011019758?xsec_token=TB86hQ-xkUBjAY90uToPmFjX25yibvkUAeekbIRlKyNL0=&amp;xsec_source=pc_trdark")</f>
        <v>0.0</v>
      </c>
      <c r="D568" t="inlineStr">
        <is>
          <t>鲜水湾甄选</t>
        </is>
      </c>
      <c r="E568" t="inlineStr">
        <is>
          <t>27401929161</t>
        </is>
      </c>
      <c r="F568" t="inlineStr">
        <is>
          <t>2026-06-25 19:50:00</t>
        </is>
      </c>
      <c r="G568" t="inlineStr">
        <is>
          <t>图文</t>
        </is>
      </c>
      <c r="H568" t="inlineStr">
        <is>
          <t>手剥虾仁 无冰衣无添加 低脂餐一人食 上班带饭 顺丰包邮 5盒装</t>
        </is>
      </c>
      <c r="I568" t="inlineStr">
        <is>
          <t>694baba01d450d00013662f0</t>
        </is>
      </c>
      <c r="J568" t="inlineStr">
        <is>
          <t/>
        </is>
      </c>
      <c r="K568" t="n">
        <v>0.0</v>
      </c>
      <c r="L568" t="n">
        <v>0.0</v>
      </c>
      <c r="M568" t="n">
        <v>0.0</v>
      </c>
      <c r="N568" t="n">
        <v>0.0</v>
      </c>
      <c r="O568" t="n">
        <v>0.0</v>
      </c>
      <c r="P568" t="n">
        <v>0.0</v>
      </c>
      <c r="Q568" t="inlineStr">
        <is>
          <t/>
        </is>
      </c>
      <c r="R568" t="inlineStr">
        <is>
          <t/>
        </is>
      </c>
      <c r="S568" t="n">
        <v>0.0</v>
      </c>
      <c r="T568" t="n">
        <v>0.0</v>
      </c>
      <c r="U568" t="n">
        <v>0.0</v>
      </c>
      <c r="V568" t="n">
        <v>0.0</v>
      </c>
      <c r="W568" t="inlineStr">
        <is>
          <t/>
        </is>
      </c>
      <c r="X568" t="n">
        <v>0.0</v>
      </c>
      <c r="Y568" t="n">
        <v>0.0</v>
      </c>
      <c r="Z568" t="n">
        <v>0.0</v>
      </c>
      <c r="AA568" t="n">
        <v>0.0</v>
      </c>
      <c r="AB568" t="n">
        <v>0.0</v>
      </c>
      <c r="AC568" t="n">
        <v>0.0</v>
      </c>
      <c r="AD568" t="n">
        <v>2.0</v>
      </c>
      <c r="AE568" t="n">
        <v>0.0</v>
      </c>
      <c r="AF568" t="n">
        <v>0.0</v>
      </c>
      <c r="AG568" t="n">
        <v>0.0</v>
      </c>
      <c r="AH568" t="n">
        <v>0.0</v>
      </c>
      <c r="AI568" t="n">
        <v>0.0</v>
      </c>
      <c r="AJ568" t="n">
        <v>0.0</v>
      </c>
      <c r="AK568" t="n">
        <v>1.5</v>
      </c>
      <c r="AL568" t="inlineStr">
        <is>
          <t/>
        </is>
      </c>
    </row>
    <row r="569">
      <c r="A569" t="inlineStr">
        <is>
          <t>控体期，打工人午饭被这虾仁承包了！！！</t>
        </is>
      </c>
      <c r="B569" t="inlineStr">
        <is>
          <t>6a3ca20c000000000f016956</t>
        </is>
      </c>
      <c r="C569" s="568" t="n">
        <f>HYPERLINK("https://www.xiaohongshu.com/explore/6a3ca20c000000000f016956?xsec_token=TBQt52IBW7vEIUvgGBbMhHr8IzIZAIvsxwbBPlGO9y8go=&amp;xsec_source=pc_trdark","https://www.xiaohongshu.com/explore/6a3ca20c000000000f016956?xsec_token=TBQt52IBW7vEIUvgGBbMhHr8IzIZAIvsxwbBPlGO9y8go=&amp;xsec_source=pc_trdark")</f>
        <v>0.0</v>
      </c>
      <c r="D569" t="inlineStr">
        <is>
          <t>鲜水湾甄选</t>
        </is>
      </c>
      <c r="E569" t="inlineStr">
        <is>
          <t>27401929161</t>
        </is>
      </c>
      <c r="F569" t="inlineStr">
        <is>
          <t>2026-06-25 11:35:40</t>
        </is>
      </c>
      <c r="G569" t="inlineStr">
        <is>
          <t>图文</t>
        </is>
      </c>
      <c r="H569" t="inlineStr">
        <is>
          <t>手剥虾仁 无冰衣无添加 低脂餐一人食 上班带饭 顺丰包邮 5盒装</t>
        </is>
      </c>
      <c r="I569" t="inlineStr">
        <is>
          <t>694baba01d450d00013662f0</t>
        </is>
      </c>
      <c r="J569" t="inlineStr">
        <is>
          <t/>
        </is>
      </c>
      <c r="K569" t="n">
        <v>0.0</v>
      </c>
      <c r="L569" t="n">
        <v>0.0</v>
      </c>
      <c r="M569" t="n">
        <v>0.0</v>
      </c>
      <c r="N569" t="n">
        <v>0.0</v>
      </c>
      <c r="O569" t="n">
        <v>0.0</v>
      </c>
      <c r="P569" t="n">
        <v>0.0</v>
      </c>
      <c r="Q569" t="inlineStr">
        <is>
          <t/>
        </is>
      </c>
      <c r="R569" t="inlineStr">
        <is>
          <t/>
        </is>
      </c>
      <c r="S569" t="n">
        <v>0.0</v>
      </c>
      <c r="T569" t="n">
        <v>0.0</v>
      </c>
      <c r="U569" t="n">
        <v>0.0</v>
      </c>
      <c r="V569" t="n">
        <v>0.0</v>
      </c>
      <c r="W569" t="inlineStr">
        <is>
          <t/>
        </is>
      </c>
      <c r="X569" t="n">
        <v>0.0</v>
      </c>
      <c r="Y569" t="n">
        <v>0.0</v>
      </c>
      <c r="Z569" t="n">
        <v>0.0</v>
      </c>
      <c r="AA569" t="n">
        <v>0.0</v>
      </c>
      <c r="AB569" t="n">
        <v>0.0</v>
      </c>
      <c r="AC569" t="n">
        <v>0.0</v>
      </c>
      <c r="AD569" t="n">
        <v>2.0</v>
      </c>
      <c r="AE569" t="n">
        <v>0.0</v>
      </c>
      <c r="AF569" t="n">
        <v>0.0</v>
      </c>
      <c r="AG569" t="n">
        <v>0.0</v>
      </c>
      <c r="AH569" t="n">
        <v>0.0</v>
      </c>
      <c r="AI569" t="n">
        <v>0.0</v>
      </c>
      <c r="AJ569" t="n">
        <v>0.0</v>
      </c>
      <c r="AK569" t="n">
        <v>0.5</v>
      </c>
      <c r="AL569" t="inlineStr">
        <is>
          <t/>
        </is>
      </c>
    </row>
    <row r="570">
      <c r="A570" t="inlineStr">
        <is>
          <t>怀孕的闺蜜追着我要了一周的虾仁链接…</t>
        </is>
      </c>
      <c r="B570" t="inlineStr">
        <is>
          <t>6a3c8b88000000000702b465</t>
        </is>
      </c>
      <c r="C570" s="569" t="n">
        <f>HYPERLINK("https://www.xiaohongshu.com/explore/6a3c8b88000000000702b465?xsec_token=TBQt52IBW7vEIUvgGBbMhHr9eQBf3NEg7Licynbu93MQs=&amp;xsec_source=pc_trdark","https://www.xiaohongshu.com/explore/6a3c8b88000000000702b465?xsec_token=TBQt52IBW7vEIUvgGBbMhHr9eQBf3NEg7Licynbu93MQs=&amp;xsec_source=pc_trdark")</f>
        <v>0.0</v>
      </c>
      <c r="D570" t="inlineStr">
        <is>
          <t>婉婉上班吃什么</t>
        </is>
      </c>
      <c r="E570" t="inlineStr">
        <is>
          <t>11434449706</t>
        </is>
      </c>
      <c r="F570" t="inlineStr">
        <is>
          <t>2026-06-25 09:59:36</t>
        </is>
      </c>
      <c r="G570" t="inlineStr">
        <is>
          <t>图文</t>
        </is>
      </c>
      <c r="H570" t="inlineStr">
        <is>
          <t>手剥虾仁 无冰衣无添加 低脂餐一人食 上班带饭 顺丰包邮 5盒装</t>
        </is>
      </c>
      <c r="I570" t="inlineStr">
        <is>
          <t>694baba01d450d00013662f0</t>
        </is>
      </c>
      <c r="J570" t="inlineStr">
        <is>
          <t/>
        </is>
      </c>
      <c r="K570" t="n">
        <v>0.0</v>
      </c>
      <c r="L570" t="n">
        <v>0.0</v>
      </c>
      <c r="M570" t="n">
        <v>0.0</v>
      </c>
      <c r="N570" t="n">
        <v>0.0</v>
      </c>
      <c r="O570" t="n">
        <v>0.0</v>
      </c>
      <c r="P570" t="n">
        <v>0.0</v>
      </c>
      <c r="Q570" t="inlineStr">
        <is>
          <t/>
        </is>
      </c>
      <c r="R570" t="inlineStr">
        <is>
          <t/>
        </is>
      </c>
      <c r="S570" t="n">
        <v>0.0</v>
      </c>
      <c r="T570" t="n">
        <v>0.0</v>
      </c>
      <c r="U570" t="n">
        <v>0.0</v>
      </c>
      <c r="V570" t="n">
        <v>0.0</v>
      </c>
      <c r="W570" t="inlineStr">
        <is>
          <t/>
        </is>
      </c>
      <c r="X570" t="n">
        <v>0.0</v>
      </c>
      <c r="Y570" t="n">
        <v>0.0</v>
      </c>
      <c r="Z570" t="n">
        <v>0.0</v>
      </c>
      <c r="AA570" t="n">
        <v>0.0</v>
      </c>
      <c r="AB570" t="n">
        <v>0.0</v>
      </c>
      <c r="AC570" t="n">
        <v>0.0</v>
      </c>
      <c r="AD570" t="n">
        <v>2.0</v>
      </c>
      <c r="AE570" t="n">
        <v>0.0</v>
      </c>
      <c r="AF570" t="n">
        <v>0.0</v>
      </c>
      <c r="AG570" t="n">
        <v>0.0</v>
      </c>
      <c r="AH570" t="n">
        <v>0.0</v>
      </c>
      <c r="AI570" t="n">
        <v>0.0</v>
      </c>
      <c r="AJ570" t="n">
        <v>0.0</v>
      </c>
      <c r="AK570" t="n">
        <v>2.5</v>
      </c>
      <c r="AL570" t="inlineStr">
        <is>
          <t/>
        </is>
      </c>
    </row>
    <row r="571">
      <c r="A571" t="inlineStr">
        <is>
          <t>以为没多少，结果69够我吃一周了😂</t>
        </is>
      </c>
      <c r="B571" t="inlineStr">
        <is>
          <t>6a3b66ab000000000f028a16</t>
        </is>
      </c>
      <c r="C571" s="570" t="n">
        <f>HYPERLINK("https://www.xiaohongshu.com/explore/6a3b66ab000000000f028a16?xsec_token=TB5Q_AKgvJfz9cep0BZIf0XbA5ckITeBIP5rb8Ds2a36U=&amp;xsec_source=pc_trdark","https://www.xiaohongshu.com/explore/6a3b66ab000000000f028a16?xsec_token=TB5Q_AKgvJfz9cep0BZIf0XbA5ckITeBIP5rb8Ds2a36U=&amp;xsec_source=pc_trdark")</f>
        <v>0.0</v>
      </c>
      <c r="D571" t="inlineStr">
        <is>
          <t>鲜水湾甄选</t>
        </is>
      </c>
      <c r="E571" t="inlineStr">
        <is>
          <t>27401929161</t>
        </is>
      </c>
      <c r="F571" t="inlineStr">
        <is>
          <t>2026-06-24 13:10:03</t>
        </is>
      </c>
      <c r="G571" t="inlineStr">
        <is>
          <t>图文</t>
        </is>
      </c>
      <c r="H571" t="inlineStr">
        <is>
          <t>手剥虾仁 无冰衣无添加 低脂餐一人食 上班带饭 顺丰包邮 5盒装</t>
        </is>
      </c>
      <c r="I571" t="inlineStr">
        <is>
          <t>694baba01d450d00013662f0</t>
        </is>
      </c>
      <c r="J571" t="inlineStr">
        <is>
          <t/>
        </is>
      </c>
      <c r="K571" t="n">
        <v>0.0</v>
      </c>
      <c r="L571" t="n">
        <v>0.0</v>
      </c>
      <c r="M571" t="n">
        <v>1.0</v>
      </c>
      <c r="N571" t="n">
        <v>0.5</v>
      </c>
      <c r="O571" t="n">
        <v>1.0</v>
      </c>
      <c r="P571" t="n">
        <v>0.0</v>
      </c>
      <c r="Q571" t="n">
        <v>0.0</v>
      </c>
      <c r="R571" t="n">
        <v>0.0</v>
      </c>
      <c r="S571" t="n">
        <v>0.0</v>
      </c>
      <c r="T571" t="n">
        <v>0.0</v>
      </c>
      <c r="U571" t="n">
        <v>0.0</v>
      </c>
      <c r="V571" t="n">
        <v>0.0</v>
      </c>
      <c r="W571" t="inlineStr">
        <is>
          <t/>
        </is>
      </c>
      <c r="X571" t="n">
        <v>0.0</v>
      </c>
      <c r="Y571" t="n">
        <v>0.0</v>
      </c>
      <c r="Z571" t="n">
        <v>0.0</v>
      </c>
      <c r="AA571" t="n">
        <v>0.0</v>
      </c>
      <c r="AB571" t="n">
        <v>0.0</v>
      </c>
      <c r="AC571" t="n">
        <v>0.0</v>
      </c>
      <c r="AD571" t="n">
        <v>2.0</v>
      </c>
      <c r="AE571" t="n">
        <v>0.0</v>
      </c>
      <c r="AF571" t="n">
        <v>0.0</v>
      </c>
      <c r="AG571" t="n">
        <v>0.0</v>
      </c>
      <c r="AH571" t="n">
        <v>0.0</v>
      </c>
      <c r="AI571" t="n">
        <v>0.0</v>
      </c>
      <c r="AJ571" t="n">
        <v>0.0</v>
      </c>
      <c r="AK571" t="n">
        <v>49.0</v>
      </c>
      <c r="AL571" t="inlineStr">
        <is>
          <t/>
        </is>
      </c>
    </row>
    <row r="572">
      <c r="A572" t="inlineStr">
        <is>
          <t>早八打工人，我的懒人减脂餐公式……</t>
        </is>
      </c>
      <c r="B572" t="inlineStr">
        <is>
          <t>6a3a6929000000000702c0df</t>
        </is>
      </c>
      <c r="C572" s="571" t="n">
        <f>HYPERLINK("https://www.xiaohongshu.com/explore/6a3a6929000000000702c0df?xsec_token=TB6JLlH-I5wyeOIL4LxmWU3k6mrl9FFMEgaZjFSxEJIc0=&amp;xsec_source=pc_trdark","https://www.xiaohongshu.com/explore/6a3a6929000000000702c0df?xsec_token=TB6JLlH-I5wyeOIL4LxmWU3k6mrl9FFMEgaZjFSxEJIc0=&amp;xsec_source=pc_trdark")</f>
        <v>0.0</v>
      </c>
      <c r="D572" t="inlineStr">
        <is>
          <t>菲菲上班吃什么</t>
        </is>
      </c>
      <c r="E572" t="inlineStr">
        <is>
          <t>49936530607</t>
        </is>
      </c>
      <c r="F572" t="inlineStr">
        <is>
          <t>2026-06-23 19:08:25</t>
        </is>
      </c>
      <c r="G572" t="inlineStr">
        <is>
          <t>图文</t>
        </is>
      </c>
      <c r="H572" t="inlineStr">
        <is>
          <t>手剥虾仁 无冰衣无添加 低脂餐一人食 上班带饭 顺丰包邮 5盒装</t>
        </is>
      </c>
      <c r="I572" t="inlineStr">
        <is>
          <t>694baba01d450d00013662f0</t>
        </is>
      </c>
      <c r="J572" t="inlineStr">
        <is>
          <t/>
        </is>
      </c>
      <c r="K572" t="n">
        <v>0.0</v>
      </c>
      <c r="L572" t="n">
        <v>0.0</v>
      </c>
      <c r="M572" t="n">
        <v>1.0</v>
      </c>
      <c r="N572" t="n">
        <v>0.5</v>
      </c>
      <c r="O572" t="n">
        <v>1.0</v>
      </c>
      <c r="P572" t="n">
        <v>0.0</v>
      </c>
      <c r="Q572" t="n">
        <v>0.0</v>
      </c>
      <c r="R572" t="n">
        <v>0.0</v>
      </c>
      <c r="S572" t="n">
        <v>0.0</v>
      </c>
      <c r="T572" t="n">
        <v>0.0</v>
      </c>
      <c r="U572" t="n">
        <v>0.0</v>
      </c>
      <c r="V572" t="n">
        <v>0.0</v>
      </c>
      <c r="W572" t="inlineStr">
        <is>
          <t/>
        </is>
      </c>
      <c r="X572" t="n">
        <v>0.0</v>
      </c>
      <c r="Y572" t="n">
        <v>0.0</v>
      </c>
      <c r="Z572" t="n">
        <v>0.0</v>
      </c>
      <c r="AA572" t="n">
        <v>0.0</v>
      </c>
      <c r="AB572" t="n">
        <v>0.0</v>
      </c>
      <c r="AC572" t="n">
        <v>0.0</v>
      </c>
      <c r="AD572" t="n">
        <v>2.0</v>
      </c>
      <c r="AE572" t="n">
        <v>0.0</v>
      </c>
      <c r="AF572" t="n">
        <v>0.0</v>
      </c>
      <c r="AG572" t="n">
        <v>0.0</v>
      </c>
      <c r="AH572" t="n">
        <v>0.0</v>
      </c>
      <c r="AI572" t="n">
        <v>0.0</v>
      </c>
      <c r="AJ572" t="n">
        <v>0.0</v>
      </c>
      <c r="AK572" t="n">
        <v>11.5</v>
      </c>
      <c r="AL572" t="inlineStr">
        <is>
          <t/>
        </is>
      </c>
    </row>
    <row r="573">
      <c r="A573" t="inlineStr">
        <is>
          <t>上班带饭才懂，一餐一包多省事</t>
        </is>
      </c>
      <c r="B573" t="inlineStr">
        <is>
          <t>6a38eee00000000021009d44</t>
        </is>
      </c>
      <c r="C573" s="572" t="n">
        <f>HYPERLINK("https://www.xiaohongshu.com/explore/6a38eee00000000021009d44?xsec_token=TBRyosr1HGPYxVy2p2HWj-e7iAB47HczbZWtusBhNhUVU=&amp;xsec_source=pc_trdark","https://www.xiaohongshu.com/explore/6a38eee00000000021009d44?xsec_token=TBRyosr1HGPYxVy2p2HWj-e7iAB47HczbZWtusBhNhUVU=&amp;xsec_source=pc_trdark")</f>
        <v>0.0</v>
      </c>
      <c r="D573" t="inlineStr">
        <is>
          <t>鲜水湾</t>
        </is>
      </c>
      <c r="E573" t="inlineStr">
        <is>
          <t>49316638994</t>
        </is>
      </c>
      <c r="F573" t="inlineStr">
        <is>
          <t>2026-06-22 16:14:25</t>
        </is>
      </c>
      <c r="G573" t="inlineStr">
        <is>
          <t>图文</t>
        </is>
      </c>
      <c r="H573" t="inlineStr">
        <is>
          <t>智利尾端中段整条三文鱼 8斤深海鱼低脂餐囤货一周备菜顺丰包邮</t>
        </is>
      </c>
      <c r="I573" t="inlineStr">
        <is>
          <t>69fab80d64eb410001ece0c0</t>
        </is>
      </c>
      <c r="J573" t="inlineStr">
        <is>
          <t/>
        </is>
      </c>
      <c r="K573" t="n">
        <v>0.0</v>
      </c>
      <c r="L573" t="n">
        <v>0.0</v>
      </c>
      <c r="M573" t="n">
        <v>0.0</v>
      </c>
      <c r="N573" t="n">
        <v>0.0</v>
      </c>
      <c r="O573" t="n">
        <v>0.0</v>
      </c>
      <c r="P573" t="n">
        <v>0.0</v>
      </c>
      <c r="Q573" t="inlineStr">
        <is>
          <t/>
        </is>
      </c>
      <c r="R573" t="inlineStr">
        <is>
          <t/>
        </is>
      </c>
      <c r="S573" t="n">
        <v>0.0</v>
      </c>
      <c r="T573" t="n">
        <v>0.0</v>
      </c>
      <c r="U573" t="n">
        <v>0.0</v>
      </c>
      <c r="V573" t="n">
        <v>0.0</v>
      </c>
      <c r="W573" t="inlineStr">
        <is>
          <t/>
        </is>
      </c>
      <c r="X573" t="n">
        <v>0.0</v>
      </c>
      <c r="Y573" t="n">
        <v>0.0</v>
      </c>
      <c r="Z573" t="n">
        <v>0.0</v>
      </c>
      <c r="AA573" t="n">
        <v>0.0</v>
      </c>
      <c r="AB573" t="n">
        <v>0.0</v>
      </c>
      <c r="AC573" t="n">
        <v>0.0</v>
      </c>
      <c r="AD573" t="n">
        <v>2.0</v>
      </c>
      <c r="AE573" t="n">
        <v>0.0</v>
      </c>
      <c r="AF573" t="n">
        <v>0.0</v>
      </c>
      <c r="AG573" t="n">
        <v>0.0</v>
      </c>
      <c r="AH573" t="n">
        <v>0.0</v>
      </c>
      <c r="AI573" t="n">
        <v>0.0</v>
      </c>
      <c r="AJ573" t="n">
        <v>0.0</v>
      </c>
      <c r="AK573" t="n">
        <v>20.0</v>
      </c>
      <c r="AL573" t="inlineStr">
        <is>
          <t/>
        </is>
      </c>
    </row>
    <row r="574">
      <c r="A574" t="inlineStr">
        <is>
          <t>减脂期的快乐只花69块就能拥有～</t>
        </is>
      </c>
      <c r="B574" t="inlineStr">
        <is>
          <t>6a37b3770000000006034fd0</t>
        </is>
      </c>
      <c r="C574" s="573" t="n">
        <f>HYPERLINK("https://www.xiaohongshu.com/explore/6a37b3770000000006034fd0?xsec_token=TBlJFBwGekCcU74xocKG_L-O7SjK8ZPUmeAZAE9NsSnkE=&amp;xsec_source=pc_trdark","https://www.xiaohongshu.com/explore/6a37b3770000000006034fd0?xsec_token=TBlJFBwGekCcU74xocKG_L-O7SjK8ZPUmeAZAE9NsSnkE=&amp;xsec_source=pc_trdark")</f>
        <v>0.0</v>
      </c>
      <c r="D574" t="inlineStr">
        <is>
          <t>菲菲上班吃什么</t>
        </is>
      </c>
      <c r="E574" t="inlineStr">
        <is>
          <t>49936530607</t>
        </is>
      </c>
      <c r="F574" t="inlineStr">
        <is>
          <t>2026-06-21 17:48:39</t>
        </is>
      </c>
      <c r="G574" t="inlineStr">
        <is>
          <t>图文</t>
        </is>
      </c>
      <c r="H574" t="inlineStr">
        <is>
          <t>手剥虾仁 无冰衣无添加 低脂餐一人食 上班带饭 顺丰包邮 5盒装</t>
        </is>
      </c>
      <c r="I574" t="inlineStr">
        <is>
          <t>694baba01d450d00013662f0</t>
        </is>
      </c>
      <c r="J574" t="inlineStr">
        <is>
          <t/>
        </is>
      </c>
      <c r="K574" t="n">
        <v>0.0</v>
      </c>
      <c r="L574" t="n">
        <v>0.0</v>
      </c>
      <c r="M574" t="n">
        <v>0.0</v>
      </c>
      <c r="N574" t="n">
        <v>0.0</v>
      </c>
      <c r="O574" t="n">
        <v>0.0</v>
      </c>
      <c r="P574" t="n">
        <v>0.0</v>
      </c>
      <c r="Q574" t="inlineStr">
        <is>
          <t/>
        </is>
      </c>
      <c r="R574" t="inlineStr">
        <is>
          <t/>
        </is>
      </c>
      <c r="S574" t="n">
        <v>0.0</v>
      </c>
      <c r="T574" t="n">
        <v>0.0</v>
      </c>
      <c r="U574" t="n">
        <v>0.0</v>
      </c>
      <c r="V574" t="n">
        <v>0.0</v>
      </c>
      <c r="W574" t="inlineStr">
        <is>
          <t/>
        </is>
      </c>
      <c r="X574" t="n">
        <v>0.0</v>
      </c>
      <c r="Y574" t="n">
        <v>0.0</v>
      </c>
      <c r="Z574" t="n">
        <v>0.0</v>
      </c>
      <c r="AA574" t="n">
        <v>0.0</v>
      </c>
      <c r="AB574" t="n">
        <v>0.0</v>
      </c>
      <c r="AC574" t="n">
        <v>0.0</v>
      </c>
      <c r="AD574" t="n">
        <v>2.0</v>
      </c>
      <c r="AE574" t="n">
        <v>0.0</v>
      </c>
      <c r="AF574" t="n">
        <v>0.0</v>
      </c>
      <c r="AG574" t="n">
        <v>0.0</v>
      </c>
      <c r="AH574" t="n">
        <v>0.0</v>
      </c>
      <c r="AI574" t="n">
        <v>0.0</v>
      </c>
      <c r="AJ574" t="n">
        <v>0.0</v>
      </c>
      <c r="AK574" t="n">
        <v>10.5</v>
      </c>
      <c r="AL574" t="inlineStr">
        <is>
          <t/>
        </is>
      </c>
    </row>
    <row r="575">
      <c r="A575" t="inlineStr">
        <is>
          <t>早八带饭党，5分钟备餐全靠独立小包装✅</t>
        </is>
      </c>
      <c r="B575" t="inlineStr">
        <is>
          <t>6a35f92a00000000210205a9</t>
        </is>
      </c>
      <c r="C575" s="574" t="n">
        <f>HYPERLINK("https://www.xiaohongshu.com/explore/6a35f92a00000000210205a9?xsec_token=TB1bf8Ny1FwqE1zeGfH_TuGEd-nQplQPiUWTq9Afx35-E=&amp;xsec_source=pc_trdark","https://www.xiaohongshu.com/explore/6a35f92a00000000210205a9?xsec_token=TB1bf8Ny1FwqE1zeGfH_TuGEd-nQplQPiUWTq9Afx35-E=&amp;xsec_source=pc_trdark")</f>
        <v>0.0</v>
      </c>
      <c r="D575" t="inlineStr">
        <is>
          <t>菲菲上班吃什么</t>
        </is>
      </c>
      <c r="E575" t="inlineStr">
        <is>
          <t>49936530607</t>
        </is>
      </c>
      <c r="F575" t="inlineStr">
        <is>
          <t>2026-06-20 10:21:30</t>
        </is>
      </c>
      <c r="G575" t="inlineStr">
        <is>
          <t>图文</t>
        </is>
      </c>
      <c r="H575" t="inlineStr">
        <is>
          <t>手剥虾仁 无冰衣无添加 低脂餐一人食 上班带饭 顺丰包邮 5盒装</t>
        </is>
      </c>
      <c r="I575" t="inlineStr">
        <is>
          <t>694baba01d450d00013662f0</t>
        </is>
      </c>
      <c r="J575" t="inlineStr">
        <is>
          <t/>
        </is>
      </c>
      <c r="K575" t="n">
        <v>0.0</v>
      </c>
      <c r="L575" t="n">
        <v>0.0</v>
      </c>
      <c r="M575" t="n">
        <v>0.0</v>
      </c>
      <c r="N575" t="n">
        <v>0.0</v>
      </c>
      <c r="O575" t="n">
        <v>0.0</v>
      </c>
      <c r="P575" t="n">
        <v>0.0</v>
      </c>
      <c r="Q575" t="inlineStr">
        <is>
          <t/>
        </is>
      </c>
      <c r="R575" t="inlineStr">
        <is>
          <t/>
        </is>
      </c>
      <c r="S575" t="n">
        <v>0.0</v>
      </c>
      <c r="T575" t="n">
        <v>0.0</v>
      </c>
      <c r="U575" t="n">
        <v>0.0</v>
      </c>
      <c r="V575" t="n">
        <v>0.0</v>
      </c>
      <c r="W575" t="inlineStr">
        <is>
          <t/>
        </is>
      </c>
      <c r="X575" t="n">
        <v>0.0</v>
      </c>
      <c r="Y575" t="n">
        <v>0.0</v>
      </c>
      <c r="Z575" t="n">
        <v>0.0</v>
      </c>
      <c r="AA575" t="n">
        <v>0.0</v>
      </c>
      <c r="AB575" t="n">
        <v>0.0</v>
      </c>
      <c r="AC575" t="n">
        <v>0.0</v>
      </c>
      <c r="AD575" t="n">
        <v>2.0</v>
      </c>
      <c r="AE575" t="n">
        <v>0.0</v>
      </c>
      <c r="AF575" t="n">
        <v>0.0</v>
      </c>
      <c r="AG575" t="n">
        <v>0.0</v>
      </c>
      <c r="AH575" t="n">
        <v>0.0</v>
      </c>
      <c r="AI575" t="n">
        <v>0.0</v>
      </c>
      <c r="AJ575" t="n">
        <v>0.0</v>
      </c>
      <c r="AK575" t="n">
        <v>5.5</v>
      </c>
      <c r="AL575" t="inlineStr">
        <is>
          <t/>
        </is>
      </c>
    </row>
    <row r="576">
      <c r="A576" t="inlineStr">
        <is>
          <t>减脂期别再吃草了！虾仁不香吗！！！</t>
        </is>
      </c>
      <c r="B576" t="inlineStr">
        <is>
          <t>6a327fa7000000001101876e</t>
        </is>
      </c>
      <c r="C576" s="575" t="n">
        <f>HYPERLINK("https://www.xiaohongshu.com/explore/6a327fa7000000001101876e?xsec_token=TBgwqICxjpF4PaPju8orzP4xJLjxOqa0D0Ll36E04Xrn8=&amp;xsec_source=pc_trdark","https://www.xiaohongshu.com/explore/6a327fa7000000001101876e?xsec_token=TBgwqICxjpF4PaPju8orzP4xJLjxOqa0D0Ll36E04Xrn8=&amp;xsec_source=pc_trdark")</f>
        <v>0.0</v>
      </c>
      <c r="D576" t="inlineStr">
        <is>
          <t>鲜水湾甄选</t>
        </is>
      </c>
      <c r="E576" t="inlineStr">
        <is>
          <t>27401929161</t>
        </is>
      </c>
      <c r="F576" t="inlineStr">
        <is>
          <t>2026-06-17 19:06:15</t>
        </is>
      </c>
      <c r="G576" t="inlineStr">
        <is>
          <t>图文</t>
        </is>
      </c>
      <c r="H576" t="inlineStr">
        <is>
          <t>手剥虾仁 无冰衣无添加 低脂餐一人食 上班带饭 顺丰包邮 5盒装</t>
        </is>
      </c>
      <c r="I576" t="inlineStr">
        <is>
          <t>694baba01d450d00013662f0</t>
        </is>
      </c>
      <c r="J576" t="inlineStr">
        <is>
          <t/>
        </is>
      </c>
      <c r="K576" t="n">
        <v>0.0</v>
      </c>
      <c r="L576" t="n">
        <v>0.0</v>
      </c>
      <c r="M576" t="n">
        <v>0.0</v>
      </c>
      <c r="N576" t="n">
        <v>0.0</v>
      </c>
      <c r="O576" t="n">
        <v>0.0</v>
      </c>
      <c r="P576" t="n">
        <v>0.0</v>
      </c>
      <c r="Q576" t="inlineStr">
        <is>
          <t/>
        </is>
      </c>
      <c r="R576" t="inlineStr">
        <is>
          <t/>
        </is>
      </c>
      <c r="S576" t="n">
        <v>0.0</v>
      </c>
      <c r="T576" t="n">
        <v>0.0</v>
      </c>
      <c r="U576" t="n">
        <v>0.0</v>
      </c>
      <c r="V576" t="n">
        <v>0.0</v>
      </c>
      <c r="W576" t="inlineStr">
        <is>
          <t/>
        </is>
      </c>
      <c r="X576" t="n">
        <v>0.0</v>
      </c>
      <c r="Y576" t="n">
        <v>0.0</v>
      </c>
      <c r="Z576" t="n">
        <v>0.0</v>
      </c>
      <c r="AA576" t="n">
        <v>0.0</v>
      </c>
      <c r="AB576" t="n">
        <v>0.0</v>
      </c>
      <c r="AC576" t="n">
        <v>0.0</v>
      </c>
      <c r="AD576" t="n">
        <v>2.0</v>
      </c>
      <c r="AE576" t="n">
        <v>0.0</v>
      </c>
      <c r="AF576" t="n">
        <v>0.0</v>
      </c>
      <c r="AG576" t="n">
        <v>0.0</v>
      </c>
      <c r="AH576" t="n">
        <v>0.0</v>
      </c>
      <c r="AI576" t="n">
        <v>0.0</v>
      </c>
      <c r="AJ576" t="n">
        <v>0.0</v>
      </c>
      <c r="AK576" t="n">
        <v>5.0</v>
      </c>
      <c r="AL576" t="inlineStr">
        <is>
          <t/>
        </is>
      </c>
    </row>
    <row r="577">
      <c r="A577" t="inlineStr">
        <is>
          <t>一餐一包的虾仁，确实很难拒绝！</t>
        </is>
      </c>
      <c r="B577" t="inlineStr">
        <is>
          <t>6a2a4ebe000000000702889c</t>
        </is>
      </c>
      <c r="C577" s="576" t="n">
        <f>HYPERLINK("https://www.xiaohongshu.com/explore/6a2a4ebe000000000702889c?xsec_token=TBzEbZzDIbsNf83YP0tUSA_Py61Y8z0-K1jM_k2t_V28w=&amp;xsec_source=pc_trdark","https://www.xiaohongshu.com/explore/6a2a4ebe000000000702889c?xsec_token=TBzEbZzDIbsNf83YP0tUSA_Py61Y8z0-K1jM_k2t_V28w=&amp;xsec_source=pc_trdark")</f>
        <v>0.0</v>
      </c>
      <c r="D577" t="inlineStr">
        <is>
          <t>婉婉上班吃什么</t>
        </is>
      </c>
      <c r="E577" t="inlineStr">
        <is>
          <t>11434449706</t>
        </is>
      </c>
      <c r="F577" t="inlineStr">
        <is>
          <t>2026-06-11 13:59:26</t>
        </is>
      </c>
      <c r="G577" t="inlineStr">
        <is>
          <t>图文</t>
        </is>
      </c>
      <c r="H577" t="inlineStr">
        <is>
          <t>手剥虾仁 无冰衣无添加 低脂餐一人食 上班带饭 顺丰包邮 5盒装</t>
        </is>
      </c>
      <c r="I577" t="inlineStr">
        <is>
          <t>694baba01d450d00013662f0</t>
        </is>
      </c>
      <c r="J577" t="inlineStr">
        <is>
          <t/>
        </is>
      </c>
      <c r="K577" t="n">
        <v>0.0</v>
      </c>
      <c r="L577" t="n">
        <v>0.0</v>
      </c>
      <c r="M577" t="n">
        <v>0.0</v>
      </c>
      <c r="N577" t="n">
        <v>0.0</v>
      </c>
      <c r="O577" t="n">
        <v>0.0</v>
      </c>
      <c r="P577" t="n">
        <v>0.0</v>
      </c>
      <c r="Q577" t="inlineStr">
        <is>
          <t/>
        </is>
      </c>
      <c r="R577" t="inlineStr">
        <is>
          <t/>
        </is>
      </c>
      <c r="S577" t="n">
        <v>0.0</v>
      </c>
      <c r="T577" t="n">
        <v>0.0</v>
      </c>
      <c r="U577" t="n">
        <v>0.0</v>
      </c>
      <c r="V577" t="n">
        <v>0.0</v>
      </c>
      <c r="W577" t="inlineStr">
        <is>
          <t/>
        </is>
      </c>
      <c r="X577" t="n">
        <v>0.0</v>
      </c>
      <c r="Y577" t="n">
        <v>0.0</v>
      </c>
      <c r="Z577" t="n">
        <v>0.0</v>
      </c>
      <c r="AA577" t="n">
        <v>0.0</v>
      </c>
      <c r="AB577" t="n">
        <v>0.0</v>
      </c>
      <c r="AC577" t="n">
        <v>0.0</v>
      </c>
      <c r="AD577" t="n">
        <v>2.0</v>
      </c>
      <c r="AE577" t="n">
        <v>0.0</v>
      </c>
      <c r="AF577" t="n">
        <v>0.0</v>
      </c>
      <c r="AG577" t="n">
        <v>0.0</v>
      </c>
      <c r="AH577" t="n">
        <v>0.0</v>
      </c>
      <c r="AI577" t="n">
        <v>0.0</v>
      </c>
      <c r="AJ577" t="n">
        <v>0.0</v>
      </c>
      <c r="AK577" t="n">
        <v>18.0</v>
      </c>
      <c r="AL577" t="inlineStr">
        <is>
          <t/>
        </is>
      </c>
    </row>
    <row r="578">
      <c r="A578" t="inlineStr">
        <is>
          <t>60来块备餐一周轻食的快乐</t>
        </is>
      </c>
      <c r="B578" t="inlineStr">
        <is>
          <t>6a28c4310000000007029982</t>
        </is>
      </c>
      <c r="C578" s="577" t="n">
        <f>HYPERLINK("https://www.xiaohongshu.com/explore/6a28c4310000000007029982?xsec_token=TBjRDlWvuanGfwsOwntw7dM18nKIX8RaN8zkbTT2MwMaI=&amp;xsec_source=pc_trdark","https://www.xiaohongshu.com/explore/6a28c4310000000007029982?xsec_token=TBjRDlWvuanGfwsOwntw7dM18nKIX8RaN8zkbTT2MwMaI=&amp;xsec_source=pc_trdark")</f>
        <v>0.0</v>
      </c>
      <c r="D578" t="inlineStr">
        <is>
          <t>婉婉上班吃什么</t>
        </is>
      </c>
      <c r="E578" t="inlineStr">
        <is>
          <t>11434449706</t>
        </is>
      </c>
      <c r="F578" t="inlineStr">
        <is>
          <t>2026-06-10 09:56:01</t>
        </is>
      </c>
      <c r="G578" t="inlineStr">
        <is>
          <t>图文</t>
        </is>
      </c>
      <c r="H578" t="inlineStr">
        <is>
          <t>手剥虾仁 无冰衣无添加 低脂餐一人食 上班带饭 顺丰包邮 5盒装</t>
        </is>
      </c>
      <c r="I578" t="inlineStr">
        <is>
          <t>694baba01d450d00013662f0</t>
        </is>
      </c>
      <c r="J578" t="inlineStr">
        <is>
          <t/>
        </is>
      </c>
      <c r="K578" t="n">
        <v>0.0</v>
      </c>
      <c r="L578" t="n">
        <v>0.0</v>
      </c>
      <c r="M578" t="n">
        <v>1.0</v>
      </c>
      <c r="N578" t="n">
        <v>0.5</v>
      </c>
      <c r="O578" t="n">
        <v>1.0</v>
      </c>
      <c r="P578" t="n">
        <v>0.0</v>
      </c>
      <c r="Q578" t="n">
        <v>0.0</v>
      </c>
      <c r="R578" t="n">
        <v>0.0</v>
      </c>
      <c r="S578" t="n">
        <v>0.0</v>
      </c>
      <c r="T578" t="n">
        <v>0.0</v>
      </c>
      <c r="U578" t="n">
        <v>0.0</v>
      </c>
      <c r="V578" t="n">
        <v>0.0</v>
      </c>
      <c r="W578" t="inlineStr">
        <is>
          <t/>
        </is>
      </c>
      <c r="X578" t="n">
        <v>0.0</v>
      </c>
      <c r="Y578" t="n">
        <v>0.0</v>
      </c>
      <c r="Z578" t="n">
        <v>0.0</v>
      </c>
      <c r="AA578" t="n">
        <v>0.0</v>
      </c>
      <c r="AB578" t="n">
        <v>0.0</v>
      </c>
      <c r="AC578" t="n">
        <v>0.0</v>
      </c>
      <c r="AD578" t="n">
        <v>2.0</v>
      </c>
      <c r="AE578" t="n">
        <v>0.0</v>
      </c>
      <c r="AF578" t="n">
        <v>0.0</v>
      </c>
      <c r="AG578" t="n">
        <v>0.0</v>
      </c>
      <c r="AH578" t="n">
        <v>1.0</v>
      </c>
      <c r="AI578" t="n">
        <v>0.0</v>
      </c>
      <c r="AJ578" t="n">
        <v>0.0</v>
      </c>
      <c r="AK578" t="n">
        <v>4.0</v>
      </c>
      <c r="AL578" t="inlineStr">
        <is>
          <t/>
        </is>
      </c>
    </row>
    <row r="579">
      <c r="A579" t="inlineStr">
        <is>
          <t>300多承包了我一个月减脂餐</t>
        </is>
      </c>
      <c r="B579" t="inlineStr">
        <is>
          <t>6a2627b5000000002200a29f</t>
        </is>
      </c>
      <c r="C579" s="578" t="n">
        <f>HYPERLINK("https://www.xiaohongshu.com/explore/6a2627b5000000002200a29f?xsec_token=TB6Q3z0Jm3jMFQ1Wl1RTAnfgWRYQjtV-WOUV2zfNEvkOU=&amp;xsec_source=pc_trdark","https://www.xiaohongshu.com/explore/6a2627b5000000002200a29f?xsec_token=TB6Q3z0Jm3jMFQ1Wl1RTAnfgWRYQjtV-WOUV2zfNEvkOU=&amp;xsec_source=pc_trdark")</f>
        <v>0.0</v>
      </c>
      <c r="D579" t="inlineStr">
        <is>
          <t>鲜水湾</t>
        </is>
      </c>
      <c r="E579" t="inlineStr">
        <is>
          <t>49316638994</t>
        </is>
      </c>
      <c r="F579" t="inlineStr">
        <is>
          <t>2026-06-08 10:23:49</t>
        </is>
      </c>
      <c r="G579" t="inlineStr">
        <is>
          <t>图文</t>
        </is>
      </c>
      <c r="H579" t="inlineStr">
        <is>
          <t>智利三文鱼切块·整条三文鱼·深海鱼一人食健康饮食</t>
        </is>
      </c>
      <c r="I579" t="inlineStr">
        <is>
          <t>691ac562a524ee0001b51d7b</t>
        </is>
      </c>
      <c r="J579" t="inlineStr">
        <is>
          <t/>
        </is>
      </c>
      <c r="K579" t="n">
        <v>0.0</v>
      </c>
      <c r="L579" t="n">
        <v>0.0</v>
      </c>
      <c r="M579" t="n">
        <v>0.0</v>
      </c>
      <c r="N579" t="n">
        <v>0.0</v>
      </c>
      <c r="O579" t="n">
        <v>0.0</v>
      </c>
      <c r="P579" t="n">
        <v>0.0</v>
      </c>
      <c r="Q579" t="inlineStr">
        <is>
          <t/>
        </is>
      </c>
      <c r="R579" t="inlineStr">
        <is>
          <t/>
        </is>
      </c>
      <c r="S579" t="n">
        <v>0.0</v>
      </c>
      <c r="T579" t="n">
        <v>0.0</v>
      </c>
      <c r="U579" t="n">
        <v>0.0</v>
      </c>
      <c r="V579" t="n">
        <v>0.0</v>
      </c>
      <c r="W579" t="inlineStr">
        <is>
          <t/>
        </is>
      </c>
      <c r="X579" t="n">
        <v>0.0</v>
      </c>
      <c r="Y579" t="n">
        <v>0.0</v>
      </c>
      <c r="Z579" t="n">
        <v>2.0</v>
      </c>
      <c r="AA579" t="n">
        <v>0.0</v>
      </c>
      <c r="AB579" t="n">
        <v>0.0</v>
      </c>
      <c r="AC579" t="n">
        <v>0.0</v>
      </c>
      <c r="AD579" t="n">
        <v>2.0</v>
      </c>
      <c r="AE579" t="n">
        <v>0.0</v>
      </c>
      <c r="AF579" t="n">
        <v>0.0</v>
      </c>
      <c r="AG579" t="n">
        <v>0.0</v>
      </c>
      <c r="AH579" t="n">
        <v>0.0</v>
      </c>
      <c r="AI579" t="n">
        <v>0.0</v>
      </c>
      <c r="AJ579" t="n">
        <v>0.0</v>
      </c>
      <c r="AK579" t="n">
        <v>4.0</v>
      </c>
      <c r="AL579" t="inlineStr">
        <is>
          <t/>
        </is>
      </c>
    </row>
    <row r="580">
      <c r="A580" t="inlineStr">
        <is>
          <t>真别低估了100来块的购买力，够吃半个月了</t>
        </is>
      </c>
      <c r="B580" t="inlineStr">
        <is>
          <t>6a24ff110000000022008eab</t>
        </is>
      </c>
      <c r="C580" s="579" t="n">
        <f>HYPERLINK("https://www.xiaohongshu.com/explore/6a24ff110000000022008eab?xsec_token=TBc_HUPM1sGFsuvm4VeVtY0V9_P9ee1XqhJJoVMsGn-9s=&amp;xsec_source=pc_trdark","https://www.xiaohongshu.com/explore/6a24ff110000000022008eab?xsec_token=TBc_HUPM1sGFsuvm4VeVtY0V9_P9ee1XqhJJoVMsGn-9s=&amp;xsec_source=pc_trdark")</f>
        <v>0.0</v>
      </c>
      <c r="D580" t="inlineStr">
        <is>
          <t>菲菲上班吃什么</t>
        </is>
      </c>
      <c r="E580" t="inlineStr">
        <is>
          <t>49936530607</t>
        </is>
      </c>
      <c r="F580" t="inlineStr">
        <is>
          <t>2026-06-07 13:18:09</t>
        </is>
      </c>
      <c r="G580" t="inlineStr">
        <is>
          <t>图文</t>
        </is>
      </c>
      <c r="H580" t="inlineStr">
        <is>
          <t>手剥虾仁 无冰衣无添加 低脂餐一人食 上班带饭 顺丰包邮 5盒装</t>
        </is>
      </c>
      <c r="I580" t="inlineStr">
        <is>
          <t>694baba01d450d00013662f0</t>
        </is>
      </c>
      <c r="J580" t="inlineStr">
        <is>
          <t/>
        </is>
      </c>
      <c r="K580" t="n">
        <v>0.0</v>
      </c>
      <c r="L580" t="n">
        <v>0.0</v>
      </c>
      <c r="M580" t="n">
        <v>1.0</v>
      </c>
      <c r="N580" t="n">
        <v>0.5</v>
      </c>
      <c r="O580" t="n">
        <v>1.0</v>
      </c>
      <c r="P580" t="n">
        <v>0.0</v>
      </c>
      <c r="Q580" t="n">
        <v>0.0</v>
      </c>
      <c r="R580" t="n">
        <v>0.0</v>
      </c>
      <c r="S580" t="n">
        <v>0.0</v>
      </c>
      <c r="T580" t="n">
        <v>0.0</v>
      </c>
      <c r="U580" t="n">
        <v>0.0</v>
      </c>
      <c r="V580" t="n">
        <v>0.0</v>
      </c>
      <c r="W580" t="inlineStr">
        <is>
          <t/>
        </is>
      </c>
      <c r="X580" t="n">
        <v>0.0</v>
      </c>
      <c r="Y580" t="n">
        <v>1.0</v>
      </c>
      <c r="Z580" t="n">
        <v>0.0</v>
      </c>
      <c r="AA580" t="n">
        <v>0.0</v>
      </c>
      <c r="AB580" t="n">
        <v>0.0</v>
      </c>
      <c r="AC580" t="n">
        <v>0.0</v>
      </c>
      <c r="AD580" t="n">
        <v>2.0</v>
      </c>
      <c r="AE580" t="n">
        <v>0.0</v>
      </c>
      <c r="AF580" t="n">
        <v>0.0</v>
      </c>
      <c r="AG580" t="n">
        <v>0.0</v>
      </c>
      <c r="AH580" t="n">
        <v>0.0</v>
      </c>
      <c r="AI580" t="n">
        <v>0.0</v>
      </c>
      <c r="AJ580" t="n">
        <v>0.0</v>
      </c>
      <c r="AK580" t="n">
        <v>10.5</v>
      </c>
      <c r="AL580" t="inlineStr">
        <is>
          <t/>
        </is>
      </c>
    </row>
    <row r="581">
      <c r="A581" t="inlineStr">
        <is>
          <t>减脂期69块虾仁，真比奶茶费钱吗？</t>
        </is>
      </c>
      <c r="B581" t="inlineStr">
        <is>
          <t>6a23c3320000000036000dec</t>
        </is>
      </c>
      <c r="C581" s="580" t="n">
        <f>HYPERLINK("https://www.xiaohongshu.com/explore/6a23c3320000000036000dec?xsec_token=TBMokr-Q7hGTLjI-UgelFX71fS-0iXgylBRdr5e76y-sY=&amp;xsec_source=pc_trdark","https://www.xiaohongshu.com/explore/6a23c3320000000036000dec?xsec_token=TBMokr-Q7hGTLjI-UgelFX71fS-0iXgylBRdr5e76y-sY=&amp;xsec_source=pc_trdark")</f>
        <v>0.0</v>
      </c>
      <c r="D581" t="inlineStr">
        <is>
          <t>鲜水湾甄选</t>
        </is>
      </c>
      <c r="E581" t="inlineStr">
        <is>
          <t>27401929161</t>
        </is>
      </c>
      <c r="F581" t="inlineStr">
        <is>
          <t>2026-06-06 14:50:26</t>
        </is>
      </c>
      <c r="G581" t="inlineStr">
        <is>
          <t>图文</t>
        </is>
      </c>
      <c r="H581" t="inlineStr">
        <is>
          <t>手剥虾仁 无冰衣无添加 低脂餐一人食 上班带饭 顺丰包邮 5盒装</t>
        </is>
      </c>
      <c r="I581" t="inlineStr">
        <is>
          <t>694baba01d450d00013662f0</t>
        </is>
      </c>
      <c r="J581" t="inlineStr">
        <is>
          <t/>
        </is>
      </c>
      <c r="K581" t="n">
        <v>0.0</v>
      </c>
      <c r="L581" t="n">
        <v>0.0</v>
      </c>
      <c r="M581" t="n">
        <v>0.0</v>
      </c>
      <c r="N581" t="n">
        <v>0.0</v>
      </c>
      <c r="O581" t="n">
        <v>0.0</v>
      </c>
      <c r="P581" t="n">
        <v>0.0</v>
      </c>
      <c r="Q581" t="inlineStr">
        <is>
          <t/>
        </is>
      </c>
      <c r="R581" t="inlineStr">
        <is>
          <t/>
        </is>
      </c>
      <c r="S581" t="n">
        <v>0.0</v>
      </c>
      <c r="T581" t="n">
        <v>0.0</v>
      </c>
      <c r="U581" t="n">
        <v>0.0</v>
      </c>
      <c r="V581" t="n">
        <v>0.0</v>
      </c>
      <c r="W581" t="inlineStr">
        <is>
          <t/>
        </is>
      </c>
      <c r="X581" t="n">
        <v>0.0</v>
      </c>
      <c r="Y581" t="n">
        <v>0.0</v>
      </c>
      <c r="Z581" t="n">
        <v>0.0</v>
      </c>
      <c r="AA581" t="n">
        <v>0.0</v>
      </c>
      <c r="AB581" t="n">
        <v>0.0</v>
      </c>
      <c r="AC581" t="n">
        <v>0.0</v>
      </c>
      <c r="AD581" t="n">
        <v>2.0</v>
      </c>
      <c r="AE581" t="n">
        <v>0.0</v>
      </c>
      <c r="AF581" t="n">
        <v>0.0</v>
      </c>
      <c r="AG581" t="n">
        <v>0.0</v>
      </c>
      <c r="AH581" t="n">
        <v>0.0</v>
      </c>
      <c r="AI581" t="n">
        <v>0.0</v>
      </c>
      <c r="AJ581" t="n">
        <v>0.0</v>
      </c>
      <c r="AK581" t="n">
        <v>10.0</v>
      </c>
      <c r="AL581" t="inlineStr">
        <is>
          <t/>
        </is>
      </c>
    </row>
    <row r="582">
      <c r="A582" t="inlineStr">
        <is>
          <t>同事说我每天吃三文鱼太奢侈了…</t>
        </is>
      </c>
      <c r="B582" t="inlineStr">
        <is>
          <t>6a1e8953000000000602263a</t>
        </is>
      </c>
      <c r="C582" s="581" t="n">
        <f>HYPERLINK("https://www.xiaohongshu.com/explore/6a1e8953000000000602263a?xsec_token=TB-3bUuyjb2g56J4RSha7Emus5NxuYS7gNiTveRENDUjE=&amp;xsec_source=pc_trdark","https://www.xiaohongshu.com/explore/6a1e8953000000000602263a?xsec_token=TB-3bUuyjb2g56J4RSha7Emus5NxuYS7gNiTveRENDUjE=&amp;xsec_source=pc_trdark")</f>
        <v>0.0</v>
      </c>
      <c r="D582" t="inlineStr">
        <is>
          <t>鲜水湾</t>
        </is>
      </c>
      <c r="E582" t="inlineStr">
        <is>
          <t>49316638994</t>
        </is>
      </c>
      <c r="F582" t="inlineStr">
        <is>
          <t>2026-06-02 15:42:11</t>
        </is>
      </c>
      <c r="G582" t="inlineStr">
        <is>
          <t>图文</t>
        </is>
      </c>
      <c r="H582" t="inlineStr">
        <is>
          <t>智利三文鱼切块·整条三文鱼·深海鱼一人食健康饮食</t>
        </is>
      </c>
      <c r="I582" t="inlineStr">
        <is>
          <t>691ac562a524ee0001b51d7b</t>
        </is>
      </c>
      <c r="J582" t="inlineStr">
        <is>
          <t/>
        </is>
      </c>
      <c r="K582" t="n">
        <v>0.0</v>
      </c>
      <c r="L582" t="n">
        <v>0.0</v>
      </c>
      <c r="M582" t="n">
        <v>0.0</v>
      </c>
      <c r="N582" t="n">
        <v>0.0</v>
      </c>
      <c r="O582" t="n">
        <v>0.0</v>
      </c>
      <c r="P582" t="n">
        <v>0.0</v>
      </c>
      <c r="Q582" t="inlineStr">
        <is>
          <t/>
        </is>
      </c>
      <c r="R582" t="inlineStr">
        <is>
          <t/>
        </is>
      </c>
      <c r="S582" t="n">
        <v>0.0</v>
      </c>
      <c r="T582" t="n">
        <v>0.0</v>
      </c>
      <c r="U582" t="n">
        <v>0.0</v>
      </c>
      <c r="V582" t="n">
        <v>0.0</v>
      </c>
      <c r="W582" t="inlineStr">
        <is>
          <t/>
        </is>
      </c>
      <c r="X582" t="n">
        <v>0.0</v>
      </c>
      <c r="Y582" t="n">
        <v>0.0</v>
      </c>
      <c r="Z582" t="n">
        <v>0.0</v>
      </c>
      <c r="AA582" t="n">
        <v>0.0</v>
      </c>
      <c r="AB582" t="n">
        <v>0.0</v>
      </c>
      <c r="AC582" t="n">
        <v>0.0</v>
      </c>
      <c r="AD582" t="n">
        <v>2.0</v>
      </c>
      <c r="AE582" t="n">
        <v>0.0</v>
      </c>
      <c r="AF582" t="n">
        <v>0.0</v>
      </c>
      <c r="AG582" t="n">
        <v>0.0</v>
      </c>
      <c r="AH582" t="n">
        <v>0.0</v>
      </c>
      <c r="AI582" t="n">
        <v>0.0</v>
      </c>
      <c r="AJ582" t="n">
        <v>0.0</v>
      </c>
      <c r="AK582" t="n">
        <v>5.5</v>
      </c>
      <c r="AL582" t="inlineStr">
        <is>
          <t/>
        </is>
      </c>
    </row>
    <row r="583">
      <c r="A583" t="inlineStr">
        <is>
          <t>家人们谁懂啊…懒人控体被这个把握了……</t>
        </is>
      </c>
      <c r="B583" t="inlineStr">
        <is>
          <t>6a1d6b640000000036003317</t>
        </is>
      </c>
      <c r="C583" s="582" t="n">
        <f>HYPERLINK("https://www.xiaohongshu.com/explore/6a1d6b640000000036003317?xsec_token=TB9kCrU1OKj1OYrarOG6c5h6ZgMcBhkR4asiLnPRcXKCo=&amp;xsec_source=pc_trdark","https://www.xiaohongshu.com/explore/6a1d6b640000000036003317?xsec_token=TB9kCrU1OKj1OYrarOG6c5h6ZgMcBhkR4asiLnPRcXKCo=&amp;xsec_source=pc_trdark")</f>
        <v>0.0</v>
      </c>
      <c r="D583" t="inlineStr">
        <is>
          <t>鲜水湾甄选</t>
        </is>
      </c>
      <c r="E583" t="inlineStr">
        <is>
          <t>27401929161</t>
        </is>
      </c>
      <c r="F583" t="inlineStr">
        <is>
          <t>2026-06-01 19:22:12</t>
        </is>
      </c>
      <c r="G583" t="inlineStr">
        <is>
          <t>图文</t>
        </is>
      </c>
      <c r="H583" t="inlineStr">
        <is>
          <t>手剥虾仁 无冰衣无添加 低脂餐一人食 上班带饭 顺丰包邮 5盒装</t>
        </is>
      </c>
      <c r="I583" t="inlineStr">
        <is>
          <t>694baba01d450d00013662f0</t>
        </is>
      </c>
      <c r="J583" t="inlineStr">
        <is>
          <t/>
        </is>
      </c>
      <c r="K583" t="n">
        <v>0.0</v>
      </c>
      <c r="L583" t="n">
        <v>0.0</v>
      </c>
      <c r="M583" t="n">
        <v>0.0</v>
      </c>
      <c r="N583" t="n">
        <v>0.0</v>
      </c>
      <c r="O583" t="n">
        <v>0.0</v>
      </c>
      <c r="P583" t="n">
        <v>0.0</v>
      </c>
      <c r="Q583" t="inlineStr">
        <is>
          <t/>
        </is>
      </c>
      <c r="R583" t="inlineStr">
        <is>
          <t/>
        </is>
      </c>
      <c r="S583" t="n">
        <v>0.0</v>
      </c>
      <c r="T583" t="n">
        <v>0.0</v>
      </c>
      <c r="U583" t="n">
        <v>0.0</v>
      </c>
      <c r="V583" t="n">
        <v>0.0</v>
      </c>
      <c r="W583" t="inlineStr">
        <is>
          <t/>
        </is>
      </c>
      <c r="X583" t="n">
        <v>0.0</v>
      </c>
      <c r="Y583" t="n">
        <v>0.0</v>
      </c>
      <c r="Z583" t="n">
        <v>1.0</v>
      </c>
      <c r="AA583" t="n">
        <v>0.0</v>
      </c>
      <c r="AB583" t="n">
        <v>0.0</v>
      </c>
      <c r="AC583" t="n">
        <v>0.0</v>
      </c>
      <c r="AD583" t="n">
        <v>2.0</v>
      </c>
      <c r="AE583" t="n">
        <v>1.0</v>
      </c>
      <c r="AF583" t="n">
        <v>1.0</v>
      </c>
      <c r="AG583" t="n">
        <v>0.0</v>
      </c>
      <c r="AH583" t="n">
        <v>0.0</v>
      </c>
      <c r="AI583" t="n">
        <v>1.0</v>
      </c>
      <c r="AJ583" t="n">
        <v>0.0</v>
      </c>
      <c r="AK583" t="n">
        <v>393.0</v>
      </c>
      <c r="AL583" t="inlineStr">
        <is>
          <t/>
        </is>
      </c>
    </row>
    <row r="584">
      <c r="A584" t="inlineStr">
        <is>
          <t>健身穷鬼的蛋白自由，一袋才12块8</t>
        </is>
      </c>
      <c r="B584" t="inlineStr">
        <is>
          <t>6a1c36420000000006033e57</t>
        </is>
      </c>
      <c r="C584" s="583" t="n">
        <f>HYPERLINK("https://www.xiaohongshu.com/explore/6a1c36420000000006033e57?xsec_token=TBI-GQfdF0uIK8olRzilz5G4DiNvWLJoHvkisknFq8fts=&amp;xsec_source=pc_trdark","https://www.xiaohongshu.com/explore/6a1c36420000000006033e57?xsec_token=TBI-GQfdF0uIK8olRzilz5G4DiNvWLJoHvkisknFq8fts=&amp;xsec_source=pc_trdark")</f>
        <v>0.0</v>
      </c>
      <c r="D584" t="inlineStr">
        <is>
          <t>婉婉上班吃什么</t>
        </is>
      </c>
      <c r="E584" t="inlineStr">
        <is>
          <t>11434449706</t>
        </is>
      </c>
      <c r="F584" t="inlineStr">
        <is>
          <t>2026-05-31 21:23:14</t>
        </is>
      </c>
      <c r="G584" t="inlineStr">
        <is>
          <t>图文</t>
        </is>
      </c>
      <c r="H584" t="inlineStr">
        <is>
          <t>手剥虾仁 无冰衣无添加 低脂餐一人食 上班带饭 顺丰包邮 5盒装</t>
        </is>
      </c>
      <c r="I584" t="inlineStr">
        <is>
          <t>694baba01d450d00013662f0</t>
        </is>
      </c>
      <c r="J584" t="inlineStr">
        <is>
          <t/>
        </is>
      </c>
      <c r="K584" t="n">
        <v>0.0</v>
      </c>
      <c r="L584" t="n">
        <v>0.0</v>
      </c>
      <c r="M584" t="n">
        <v>0.0</v>
      </c>
      <c r="N584" t="n">
        <v>0.0</v>
      </c>
      <c r="O584" t="n">
        <v>0.0</v>
      </c>
      <c r="P584" t="n">
        <v>0.0</v>
      </c>
      <c r="Q584" t="inlineStr">
        <is>
          <t/>
        </is>
      </c>
      <c r="R584" t="inlineStr">
        <is>
          <t/>
        </is>
      </c>
      <c r="S584" t="n">
        <v>0.0</v>
      </c>
      <c r="T584" t="n">
        <v>0.0</v>
      </c>
      <c r="U584" t="n">
        <v>0.0</v>
      </c>
      <c r="V584" t="n">
        <v>0.0</v>
      </c>
      <c r="W584" t="inlineStr">
        <is>
          <t/>
        </is>
      </c>
      <c r="X584" t="n">
        <v>0.0</v>
      </c>
      <c r="Y584" t="n">
        <v>0.0</v>
      </c>
      <c r="Z584" t="n">
        <v>0.0</v>
      </c>
      <c r="AA584" t="n">
        <v>0.0</v>
      </c>
      <c r="AB584" t="n">
        <v>0.0</v>
      </c>
      <c r="AC584" t="n">
        <v>0.0</v>
      </c>
      <c r="AD584" t="n">
        <v>2.0</v>
      </c>
      <c r="AE584" t="n">
        <v>0.0</v>
      </c>
      <c r="AF584" t="n">
        <v>0.0</v>
      </c>
      <c r="AG584" t="n">
        <v>0.0</v>
      </c>
      <c r="AH584" t="n">
        <v>0.0</v>
      </c>
      <c r="AI584" t="n">
        <v>0.0</v>
      </c>
      <c r="AJ584" t="n">
        <v>0.0</v>
      </c>
      <c r="AK584" t="n">
        <v>6.5</v>
      </c>
      <c r="AL584" t="inlineStr">
        <is>
          <t/>
        </is>
      </c>
    </row>
    <row r="585">
      <c r="A585" t="inlineStr">
        <is>
          <t>以为69块的虾仁只够吃两顿，结果够吃一周</t>
        </is>
      </c>
      <c r="B585" t="inlineStr">
        <is>
          <t>6a16904300000000070213f8</t>
        </is>
      </c>
      <c r="C585" s="584" t="n">
        <f>HYPERLINK("https://www.xiaohongshu.com/explore/6a16904300000000070213f8?xsec_token=TBTlDyK2vMyPBioInbRWPaPt0POv8uhKtPmxAJYRVI7pk=&amp;xsec_source=pc_trdark","https://www.xiaohongshu.com/explore/6a16904300000000070213f8?xsec_token=TBTlDyK2vMyPBioInbRWPaPt0POv8uhKtPmxAJYRVI7pk=&amp;xsec_source=pc_trdark")</f>
        <v>0.0</v>
      </c>
      <c r="D585" t="inlineStr">
        <is>
          <t>婉婉上班吃什么</t>
        </is>
      </c>
      <c r="E585" t="inlineStr">
        <is>
          <t>11434449706</t>
        </is>
      </c>
      <c r="F585" t="inlineStr">
        <is>
          <t>2026-05-27 14:33:39</t>
        </is>
      </c>
      <c r="G585" t="inlineStr">
        <is>
          <t>图文</t>
        </is>
      </c>
      <c r="H585" t="inlineStr">
        <is>
          <t>手剥虾仁 无冰衣无添加 低脂餐一人食 上班带饭 顺丰包邮 5盒装</t>
        </is>
      </c>
      <c r="I585" t="inlineStr">
        <is>
          <t>694baba01d450d00013662f0</t>
        </is>
      </c>
      <c r="J585" t="inlineStr">
        <is>
          <t/>
        </is>
      </c>
      <c r="K585" t="n">
        <v>0.0</v>
      </c>
      <c r="L585" t="n">
        <v>0.0</v>
      </c>
      <c r="M585" t="n">
        <v>0.0</v>
      </c>
      <c r="N585" t="n">
        <v>0.0</v>
      </c>
      <c r="O585" t="n">
        <v>0.0</v>
      </c>
      <c r="P585" t="n">
        <v>0.0</v>
      </c>
      <c r="Q585" t="inlineStr">
        <is>
          <t/>
        </is>
      </c>
      <c r="R585" t="inlineStr">
        <is>
          <t/>
        </is>
      </c>
      <c r="S585" t="n">
        <v>0.0</v>
      </c>
      <c r="T585" t="n">
        <v>0.0</v>
      </c>
      <c r="U585" t="n">
        <v>0.0</v>
      </c>
      <c r="V585" t="n">
        <v>0.0</v>
      </c>
      <c r="W585" t="inlineStr">
        <is>
          <t/>
        </is>
      </c>
      <c r="X585" t="n">
        <v>0.0</v>
      </c>
      <c r="Y585" t="n">
        <v>0.0</v>
      </c>
      <c r="Z585" t="n">
        <v>0.0</v>
      </c>
      <c r="AA585" t="n">
        <v>0.0</v>
      </c>
      <c r="AB585" t="n">
        <v>0.0</v>
      </c>
      <c r="AC585" t="n">
        <v>0.0</v>
      </c>
      <c r="AD585" t="n">
        <v>2.0</v>
      </c>
      <c r="AE585" t="n">
        <v>0.0</v>
      </c>
      <c r="AF585" t="n">
        <v>0.0</v>
      </c>
      <c r="AG585" t="n">
        <v>0.0</v>
      </c>
      <c r="AH585" t="n">
        <v>0.0</v>
      </c>
      <c r="AI585" t="n">
        <v>0.0</v>
      </c>
      <c r="AJ585" t="n">
        <v>0.0</v>
      </c>
      <c r="AK585" t="n">
        <v>4.0</v>
      </c>
      <c r="AL585" t="inlineStr">
        <is>
          <t/>
        </is>
      </c>
    </row>
    <row r="586">
      <c r="A586" t="inlineStr">
        <is>
          <t>公司微波炉坏了第三天，我反而吃得更健康</t>
        </is>
      </c>
      <c r="B586" t="inlineStr">
        <is>
          <t>6a1658790000000007010969</t>
        </is>
      </c>
      <c r="C586" s="585" t="n">
        <f>HYPERLINK("https://www.xiaohongshu.com/explore/6a1658790000000007010969?xsec_token=TBTlDyK2vMyPBioInbRWPaPjSkhHZQiY6lS6Zl1E7cZIA=&amp;xsec_source=pc_trdark","https://www.xiaohongshu.com/explore/6a1658790000000007010969?xsec_token=TBTlDyK2vMyPBioInbRWPaPjSkhHZQiY6lS6Zl1E7cZIA=&amp;xsec_source=pc_trdark")</f>
        <v>0.0</v>
      </c>
      <c r="D586" t="inlineStr">
        <is>
          <t>菲菲上班吃什么</t>
        </is>
      </c>
      <c r="E586" t="inlineStr">
        <is>
          <t>49936530607</t>
        </is>
      </c>
      <c r="F586" t="inlineStr">
        <is>
          <t>2026-05-27 10:35:38</t>
        </is>
      </c>
      <c r="G586" t="inlineStr">
        <is>
          <t>图文</t>
        </is>
      </c>
      <c r="H586" t="inlineStr">
        <is>
          <t>手剥虾仁 无冰衣无添加 低脂餐一人食 上班带饭 顺丰包邮 5盒装</t>
        </is>
      </c>
      <c r="I586" t="inlineStr">
        <is>
          <t>694baba01d450d00013662f0</t>
        </is>
      </c>
      <c r="J586" t="inlineStr">
        <is>
          <t/>
        </is>
      </c>
      <c r="K586" t="n">
        <v>0.0</v>
      </c>
      <c r="L586" t="n">
        <v>0.0</v>
      </c>
      <c r="M586" t="n">
        <v>0.0</v>
      </c>
      <c r="N586" t="n">
        <v>0.0</v>
      </c>
      <c r="O586" t="n">
        <v>0.0</v>
      </c>
      <c r="P586" t="n">
        <v>0.0</v>
      </c>
      <c r="Q586" t="inlineStr">
        <is>
          <t/>
        </is>
      </c>
      <c r="R586" t="inlineStr">
        <is>
          <t/>
        </is>
      </c>
      <c r="S586" t="n">
        <v>0.0</v>
      </c>
      <c r="T586" t="n">
        <v>0.0</v>
      </c>
      <c r="U586" t="n">
        <v>0.0</v>
      </c>
      <c r="V586" t="n">
        <v>0.0</v>
      </c>
      <c r="W586" t="inlineStr">
        <is>
          <t/>
        </is>
      </c>
      <c r="X586" t="n">
        <v>0.0</v>
      </c>
      <c r="Y586" t="n">
        <v>0.0</v>
      </c>
      <c r="Z586" t="n">
        <v>0.0</v>
      </c>
      <c r="AA586" t="n">
        <v>0.0</v>
      </c>
      <c r="AB586" t="n">
        <v>0.0</v>
      </c>
      <c r="AC586" t="n">
        <v>0.0</v>
      </c>
      <c r="AD586" t="n">
        <v>2.0</v>
      </c>
      <c r="AE586" t="n">
        <v>0.0</v>
      </c>
      <c r="AF586" t="n">
        <v>0.0</v>
      </c>
      <c r="AG586" t="n">
        <v>0.0</v>
      </c>
      <c r="AH586" t="n">
        <v>0.0</v>
      </c>
      <c r="AI586" t="n">
        <v>0.0</v>
      </c>
      <c r="AJ586" t="n">
        <v>0.0</v>
      </c>
      <c r="AK586" t="n">
        <v>22.0</v>
      </c>
      <c r="AL586" t="inlineStr">
        <is>
          <t/>
        </is>
      </c>
    </row>
    <row r="587">
      <c r="A587" t="inlineStr">
        <is>
          <t>100多直接囤够了我一周的减脂餐</t>
        </is>
      </c>
      <c r="B587" t="inlineStr">
        <is>
          <t>6a155d2f0000000007028fec</t>
        </is>
      </c>
      <c r="C587" s="586" t="n">
        <f>HYPERLINK("https://www.xiaohongshu.com/explore/6a155d2f0000000007028fec?xsec_token=TB-9iWPr9Mx2NrjMC4lGPdgGDUrGaokggx6O_VpK6os9A=&amp;xsec_source=pc_trdark","https://www.xiaohongshu.com/explore/6a155d2f0000000007028fec?xsec_token=TB-9iWPr9Mx2NrjMC4lGPdgGDUrGaokggx6O_VpK6os9A=&amp;xsec_source=pc_trdark")</f>
        <v>0.0</v>
      </c>
      <c r="D587" t="inlineStr">
        <is>
          <t>鲜水湾</t>
        </is>
      </c>
      <c r="E587" t="inlineStr">
        <is>
          <t>49316638994</t>
        </is>
      </c>
      <c r="F587" t="inlineStr">
        <is>
          <t>2026-05-26 16:43:27</t>
        </is>
      </c>
      <c r="G587" t="inlineStr">
        <is>
          <t>图文</t>
        </is>
      </c>
      <c r="H587" t="inlineStr">
        <is>
          <t>智利尾端中段整条三文鱼 8斤深海鱼低脂餐囤货一周备菜顺丰包邮</t>
        </is>
      </c>
      <c r="I587" t="inlineStr">
        <is>
          <t>69fab80d64eb410001ece0c0</t>
        </is>
      </c>
      <c r="J587" t="inlineStr">
        <is>
          <t/>
        </is>
      </c>
      <c r="K587" t="n">
        <v>0.0</v>
      </c>
      <c r="L587" t="n">
        <v>0.0</v>
      </c>
      <c r="M587" t="n">
        <v>0.0</v>
      </c>
      <c r="N587" t="n">
        <v>0.0</v>
      </c>
      <c r="O587" t="n">
        <v>0.0</v>
      </c>
      <c r="P587" t="n">
        <v>0.0</v>
      </c>
      <c r="Q587" t="inlineStr">
        <is>
          <t/>
        </is>
      </c>
      <c r="R587" t="inlineStr">
        <is>
          <t/>
        </is>
      </c>
      <c r="S587" t="n">
        <v>0.0</v>
      </c>
      <c r="T587" t="n">
        <v>0.0</v>
      </c>
      <c r="U587" t="n">
        <v>0.0</v>
      </c>
      <c r="V587" t="n">
        <v>0.0</v>
      </c>
      <c r="W587" t="inlineStr">
        <is>
          <t/>
        </is>
      </c>
      <c r="X587" t="n">
        <v>0.0</v>
      </c>
      <c r="Y587" t="n">
        <v>0.0</v>
      </c>
      <c r="Z587" t="n">
        <v>1.0</v>
      </c>
      <c r="AA587" t="n">
        <v>0.0</v>
      </c>
      <c r="AB587" t="n">
        <v>0.0</v>
      </c>
      <c r="AC587" t="n">
        <v>0.0</v>
      </c>
      <c r="AD587" t="n">
        <v>2.0</v>
      </c>
      <c r="AE587" t="n">
        <v>0.0</v>
      </c>
      <c r="AF587" t="n">
        <v>0.0</v>
      </c>
      <c r="AG587" t="n">
        <v>0.0</v>
      </c>
      <c r="AH587" t="n">
        <v>0.0</v>
      </c>
      <c r="AI587" t="n">
        <v>0.0</v>
      </c>
      <c r="AJ587" t="n">
        <v>0.0</v>
      </c>
      <c r="AK587" t="n">
        <v>26.0</v>
      </c>
      <c r="AL587" t="inlineStr">
        <is>
          <t/>
        </is>
      </c>
    </row>
    <row r="588">
      <c r="A588" t="inlineStr">
        <is>
          <t>按照客户要求，推出不到100卡减脂小包装</t>
        </is>
      </c>
      <c r="B588" t="inlineStr">
        <is>
          <t>6a0d56d7000000000803117f</t>
        </is>
      </c>
      <c r="C588" s="587" t="n">
        <f>HYPERLINK("https://www.xiaohongshu.com/explore/6a0d56d7000000000803117f?xsec_token=TBDdsXyCcn-sb0LuI71w4Ot1aBOXfrt9ObQIcUiOYvNmY=&amp;xsec_source=pc_trdark","https://www.xiaohongshu.com/explore/6a0d56d7000000000803117f?xsec_token=TBDdsXyCcn-sb0LuI71w4Ot1aBOXfrt9ObQIcUiOYvNmY=&amp;xsec_source=pc_trdark")</f>
        <v>0.0</v>
      </c>
      <c r="D588" t="inlineStr">
        <is>
          <t>鲜水湾</t>
        </is>
      </c>
      <c r="E588" t="inlineStr">
        <is>
          <t>49316638994</t>
        </is>
      </c>
      <c r="F588" t="inlineStr">
        <is>
          <t>2026-05-20 14:38:15</t>
        </is>
      </c>
      <c r="G588" t="inlineStr">
        <is>
          <t>图文</t>
        </is>
      </c>
      <c r="H588" t="inlineStr">
        <is>
          <t>手剥虾仁 无冰衣无添加 低脂餐一人食 上班带饭 顺丰包邮 5盒装</t>
        </is>
      </c>
      <c r="I588" t="inlineStr">
        <is>
          <t>694baba01d450d00013662f0</t>
        </is>
      </c>
      <c r="J588" t="inlineStr">
        <is>
          <t/>
        </is>
      </c>
      <c r="K588" t="n">
        <v>0.0</v>
      </c>
      <c r="L588" t="n">
        <v>0.0</v>
      </c>
      <c r="M588" t="n">
        <v>0.0</v>
      </c>
      <c r="N588" t="n">
        <v>0.0</v>
      </c>
      <c r="O588" t="n">
        <v>0.0</v>
      </c>
      <c r="P588" t="n">
        <v>0.0</v>
      </c>
      <c r="Q588" t="inlineStr">
        <is>
          <t/>
        </is>
      </c>
      <c r="R588" t="inlineStr">
        <is>
          <t/>
        </is>
      </c>
      <c r="S588" t="n">
        <v>0.0</v>
      </c>
      <c r="T588" t="n">
        <v>0.0</v>
      </c>
      <c r="U588" t="n">
        <v>0.0</v>
      </c>
      <c r="V588" t="n">
        <v>0.0</v>
      </c>
      <c r="W588" t="inlineStr">
        <is>
          <t/>
        </is>
      </c>
      <c r="X588" t="n">
        <v>0.0</v>
      </c>
      <c r="Y588" t="n">
        <v>0.0</v>
      </c>
      <c r="Z588" t="n">
        <v>0.0</v>
      </c>
      <c r="AA588" t="n">
        <v>0.0</v>
      </c>
      <c r="AB588" t="n">
        <v>0.0</v>
      </c>
      <c r="AC588" t="n">
        <v>0.0</v>
      </c>
      <c r="AD588" t="n">
        <v>2.0</v>
      </c>
      <c r="AE588" t="n">
        <v>0.0</v>
      </c>
      <c r="AF588" t="n">
        <v>0.0</v>
      </c>
      <c r="AG588" t="n">
        <v>0.0</v>
      </c>
      <c r="AH588" t="n">
        <v>0.0</v>
      </c>
      <c r="AI588" t="n">
        <v>0.0</v>
      </c>
      <c r="AJ588" t="n">
        <v>0.0</v>
      </c>
      <c r="AK588" t="n">
        <v>4.0</v>
      </c>
      <c r="AL588" t="inlineStr">
        <is>
          <t/>
        </is>
      </c>
    </row>
    <row r="589">
      <c r="A589" t="inlineStr">
        <is>
          <t>带饭被同事围观：你也吃太好了吧🍤</t>
        </is>
      </c>
      <c r="B589" t="inlineStr">
        <is>
          <t>6a0c1c7f0000000006023c96</t>
        </is>
      </c>
      <c r="C589" s="588" t="n">
        <f>HYPERLINK("https://www.xiaohongshu.com/explore/6a0c1c7f0000000006023c96?xsec_token=TBM83lsGB1pVe48oYCuJr8ODLtNGBkRFhwhY2pA8WyYB8=&amp;xsec_source=pc_trdark","https://www.xiaohongshu.com/explore/6a0c1c7f0000000006023c96?xsec_token=TBM83lsGB1pVe48oYCuJr8ODLtNGBkRFhwhY2pA8WyYB8=&amp;xsec_source=pc_trdark")</f>
        <v>0.0</v>
      </c>
      <c r="D589" t="inlineStr">
        <is>
          <t>菲菲上班吃什么</t>
        </is>
      </c>
      <c r="E589" t="inlineStr">
        <is>
          <t>49936530607</t>
        </is>
      </c>
      <c r="F589" t="inlineStr">
        <is>
          <t>2026-05-19 19:46:00</t>
        </is>
      </c>
      <c r="G589" t="inlineStr">
        <is>
          <t>图文</t>
        </is>
      </c>
      <c r="H589" t="inlineStr">
        <is>
          <t>手剥虾仁 无冰衣无添加 低脂餐一人食 上班带饭 顺丰包邮 5盒装</t>
        </is>
      </c>
      <c r="I589" t="inlineStr">
        <is>
          <t>694baba01d450d00013662f0</t>
        </is>
      </c>
      <c r="J589" t="inlineStr">
        <is>
          <t/>
        </is>
      </c>
      <c r="K589" t="n">
        <v>0.0</v>
      </c>
      <c r="L589" t="n">
        <v>0.0</v>
      </c>
      <c r="M589" t="n">
        <v>0.0</v>
      </c>
      <c r="N589" t="n">
        <v>0.0</v>
      </c>
      <c r="O589" t="n">
        <v>0.0</v>
      </c>
      <c r="P589" t="n">
        <v>0.0</v>
      </c>
      <c r="Q589" t="inlineStr">
        <is>
          <t/>
        </is>
      </c>
      <c r="R589" t="inlineStr">
        <is>
          <t/>
        </is>
      </c>
      <c r="S589" t="n">
        <v>0.0</v>
      </c>
      <c r="T589" t="n">
        <v>0.0</v>
      </c>
      <c r="U589" t="n">
        <v>0.0</v>
      </c>
      <c r="V589" t="n">
        <v>0.0</v>
      </c>
      <c r="W589" t="inlineStr">
        <is>
          <t/>
        </is>
      </c>
      <c r="X589" t="n">
        <v>0.0</v>
      </c>
      <c r="Y589" t="n">
        <v>0.0</v>
      </c>
      <c r="Z589" t="n">
        <v>0.0</v>
      </c>
      <c r="AA589" t="n">
        <v>0.0</v>
      </c>
      <c r="AB589" t="n">
        <v>0.0</v>
      </c>
      <c r="AC589" t="n">
        <v>0.0</v>
      </c>
      <c r="AD589" t="n">
        <v>2.0</v>
      </c>
      <c r="AE589" t="n">
        <v>0.0</v>
      </c>
      <c r="AF589" t="n">
        <v>0.0</v>
      </c>
      <c r="AG589" t="n">
        <v>0.0</v>
      </c>
      <c r="AH589" t="n">
        <v>0.0</v>
      </c>
      <c r="AI589" t="n">
        <v>0.0</v>
      </c>
      <c r="AJ589" t="n">
        <v>0.0</v>
      </c>
      <c r="AK589" t="n">
        <v>1.5</v>
      </c>
      <c r="AL589" t="inlineStr">
        <is>
          <t/>
        </is>
      </c>
    </row>
    <row r="590">
      <c r="A590" t="inlineStr">
        <is>
          <t>区区300多，解决了我一周的减脂餐</t>
        </is>
      </c>
      <c r="B590" t="inlineStr">
        <is>
          <t>6a0adf8b00000000060354c9</t>
        </is>
      </c>
      <c r="C590" s="589" t="n">
        <f>HYPERLINK("https://www.xiaohongshu.com/explore/6a0adf8b00000000060354c9?xsec_token=TBoSBcPF-YdRwRwQio-1GXR8hmoZU0_ZA-XcKvTHl3sZY=&amp;xsec_source=pc_trdark","https://www.xiaohongshu.com/explore/6a0adf8b00000000060354c9?xsec_token=TBoSBcPF-YdRwRwQio-1GXR8hmoZU0_ZA-XcKvTHl3sZY=&amp;xsec_source=pc_trdark")</f>
        <v>0.0</v>
      </c>
      <c r="D590" t="inlineStr">
        <is>
          <t>鲜水湾</t>
        </is>
      </c>
      <c r="E590" t="inlineStr">
        <is>
          <t>49316638994</t>
        </is>
      </c>
      <c r="F590" t="inlineStr">
        <is>
          <t>2026-05-18 17:44:43</t>
        </is>
      </c>
      <c r="G590" t="inlineStr">
        <is>
          <t>图文</t>
        </is>
      </c>
      <c r="H590" t="inlineStr">
        <is>
          <t>智利尾端中段整条三文鱼 8斤深海鱼低脂餐囤货一周备菜顺丰包邮</t>
        </is>
      </c>
      <c r="I590" t="inlineStr">
        <is>
          <t>69fab80d64eb410001ece0c0</t>
        </is>
      </c>
      <c r="J590" t="inlineStr">
        <is>
          <t/>
        </is>
      </c>
      <c r="K590" t="n">
        <v>0.0</v>
      </c>
      <c r="L590" t="n">
        <v>0.0</v>
      </c>
      <c r="M590" t="n">
        <v>2.0</v>
      </c>
      <c r="N590" t="n">
        <v>1.0</v>
      </c>
      <c r="O590" t="n">
        <v>1.0</v>
      </c>
      <c r="P590" t="n">
        <v>0.0</v>
      </c>
      <c r="Q590" t="n">
        <v>0.0</v>
      </c>
      <c r="R590" t="n">
        <v>0.0</v>
      </c>
      <c r="S590" t="n">
        <v>0.0</v>
      </c>
      <c r="T590" t="n">
        <v>0.0</v>
      </c>
      <c r="U590" t="n">
        <v>0.0</v>
      </c>
      <c r="V590" t="n">
        <v>0.0</v>
      </c>
      <c r="W590" t="inlineStr">
        <is>
          <t/>
        </is>
      </c>
      <c r="X590" t="n">
        <v>0.0</v>
      </c>
      <c r="Y590" t="n">
        <v>0.0</v>
      </c>
      <c r="Z590" t="n">
        <v>0.0</v>
      </c>
      <c r="AA590" t="n">
        <v>0.0</v>
      </c>
      <c r="AB590" t="n">
        <v>0.0</v>
      </c>
      <c r="AC590" t="n">
        <v>0.0</v>
      </c>
      <c r="AD590" t="n">
        <v>2.0</v>
      </c>
      <c r="AE590" t="n">
        <v>0.0</v>
      </c>
      <c r="AF590" t="n">
        <v>0.0</v>
      </c>
      <c r="AG590" t="n">
        <v>0.0</v>
      </c>
      <c r="AH590" t="n">
        <v>0.0</v>
      </c>
      <c r="AI590" t="n">
        <v>0.0</v>
      </c>
      <c r="AJ590" t="n">
        <v>0.0</v>
      </c>
      <c r="AK590" t="n">
        <v>62.0</v>
      </c>
      <c r="AL590" t="inlineStr">
        <is>
          <t/>
        </is>
      </c>
    </row>
    <row r="591">
      <c r="A591" t="inlineStr">
        <is>
          <t>奉劝在健身房爬坡没瘦的姐妹！！</t>
        </is>
      </c>
      <c r="B591" t="inlineStr">
        <is>
          <t>6a04408300000000350222a5</t>
        </is>
      </c>
      <c r="C591" s="590" t="n">
        <f>HYPERLINK("https://www.xiaohongshu.com/explore/6a04408300000000350222a5?xsec_token=TB97Sb--y1lRno5M8_9mN6ezj-2pPiHd0fRVtCpp6tGEk=&amp;xsec_source=pc_trdark","https://www.xiaohongshu.com/explore/6a04408300000000350222a5?xsec_token=TB97Sb--y1lRno5M8_9mN6ezj-2pPiHd0fRVtCpp6tGEk=&amp;xsec_source=pc_trdark")</f>
        <v>0.0</v>
      </c>
      <c r="D591" t="inlineStr">
        <is>
          <t>鲜水湾甄选</t>
        </is>
      </c>
      <c r="E591" t="inlineStr">
        <is>
          <t>27401929161</t>
        </is>
      </c>
      <c r="F591" t="inlineStr">
        <is>
          <t>2026-05-13 20:59:00</t>
        </is>
      </c>
      <c r="G591" t="inlineStr">
        <is>
          <t>图文</t>
        </is>
      </c>
      <c r="H591" t="inlineStr">
        <is>
          <t>手剥虾仁 无冰衣无添加 低脂餐一人食 上班带饭 顺丰包邮 5盒装</t>
        </is>
      </c>
      <c r="I591" t="inlineStr">
        <is>
          <t>694baba01d450d00013662f0</t>
        </is>
      </c>
      <c r="J591" t="inlineStr">
        <is>
          <t/>
        </is>
      </c>
      <c r="K591" t="n">
        <v>0.0</v>
      </c>
      <c r="L591" t="n">
        <v>0.0</v>
      </c>
      <c r="M591" t="n">
        <v>0.0</v>
      </c>
      <c r="N591" t="n">
        <v>0.0</v>
      </c>
      <c r="O591" t="n">
        <v>0.0</v>
      </c>
      <c r="P591" t="n">
        <v>0.0</v>
      </c>
      <c r="Q591" t="inlineStr">
        <is>
          <t/>
        </is>
      </c>
      <c r="R591" t="inlineStr">
        <is>
          <t/>
        </is>
      </c>
      <c r="S591" t="n">
        <v>0.0</v>
      </c>
      <c r="T591" t="n">
        <v>0.0</v>
      </c>
      <c r="U591" t="n">
        <v>0.0</v>
      </c>
      <c r="V591" t="n">
        <v>0.0</v>
      </c>
      <c r="W591" t="inlineStr">
        <is>
          <t/>
        </is>
      </c>
      <c r="X591" t="n">
        <v>0.0</v>
      </c>
      <c r="Y591" t="n">
        <v>0.0</v>
      </c>
      <c r="Z591" t="n">
        <v>0.0</v>
      </c>
      <c r="AA591" t="n">
        <v>0.0</v>
      </c>
      <c r="AB591" t="n">
        <v>0.0</v>
      </c>
      <c r="AC591" t="n">
        <v>0.0</v>
      </c>
      <c r="AD591" t="n">
        <v>2.0</v>
      </c>
      <c r="AE591" t="n">
        <v>0.0</v>
      </c>
      <c r="AF591" t="n">
        <v>0.0</v>
      </c>
      <c r="AG591" t="n">
        <v>0.0</v>
      </c>
      <c r="AH591" t="n">
        <v>0.0</v>
      </c>
      <c r="AI591" t="n">
        <v>0.0</v>
      </c>
      <c r="AJ591" t="n">
        <v>0.0</v>
      </c>
      <c r="AK591" t="n">
        <v>5.0</v>
      </c>
      <c r="AL591" t="inlineStr">
        <is>
          <t/>
        </is>
      </c>
    </row>
    <row r="592">
      <c r="A592" t="inlineStr">
        <is>
          <t>300多一整条三文鱼，到手后冰箱直接满了</t>
        </is>
      </c>
      <c r="B592" t="inlineStr">
        <is>
          <t>6a02a133000000000702157b</t>
        </is>
      </c>
      <c r="C592" s="591" t="n">
        <f>HYPERLINK("https://www.xiaohongshu.com/explore/6a02a133000000000702157b?xsec_token=TBPwq-ce0mzGyOoBGbWlmZ4OQ7XPMjxxvTCj0O8Jhc27k=&amp;xsec_source=pc_trdark","https://www.xiaohongshu.com/explore/6a02a133000000000702157b?xsec_token=TBPwq-ce0mzGyOoBGbWlmZ4OQ7XPMjxxvTCj0O8Jhc27k=&amp;xsec_source=pc_trdark")</f>
        <v>0.0</v>
      </c>
      <c r="D592" t="inlineStr">
        <is>
          <t>鲜水湾</t>
        </is>
      </c>
      <c r="E592" t="inlineStr">
        <is>
          <t>49316638994</t>
        </is>
      </c>
      <c r="F592" t="inlineStr">
        <is>
          <t>2026-05-12 11:40:35</t>
        </is>
      </c>
      <c r="G592" t="inlineStr">
        <is>
          <t>图文</t>
        </is>
      </c>
      <c r="H592" t="inlineStr">
        <is>
          <t>智利尾端中段整条三文鱼 8斤深海鱼低脂餐囤货一周备菜顺丰包邮</t>
        </is>
      </c>
      <c r="I592" t="inlineStr">
        <is>
          <t>69fab80d64eb410001ece0c0</t>
        </is>
      </c>
      <c r="J592" t="inlineStr">
        <is>
          <t/>
        </is>
      </c>
      <c r="K592" t="n">
        <v>0.0</v>
      </c>
      <c r="L592" t="n">
        <v>0.0</v>
      </c>
      <c r="M592" t="n">
        <v>0.0</v>
      </c>
      <c r="N592" t="n">
        <v>0.0</v>
      </c>
      <c r="O592" t="n">
        <v>0.0</v>
      </c>
      <c r="P592" t="n">
        <v>0.0</v>
      </c>
      <c r="Q592" t="inlineStr">
        <is>
          <t/>
        </is>
      </c>
      <c r="R592" t="inlineStr">
        <is>
          <t/>
        </is>
      </c>
      <c r="S592" t="n">
        <v>0.0</v>
      </c>
      <c r="T592" t="n">
        <v>0.0</v>
      </c>
      <c r="U592" t="n">
        <v>0.0</v>
      </c>
      <c r="V592" t="n">
        <v>0.0</v>
      </c>
      <c r="W592" t="inlineStr">
        <is>
          <t/>
        </is>
      </c>
      <c r="X592" t="n">
        <v>0.0</v>
      </c>
      <c r="Y592" t="n">
        <v>0.0</v>
      </c>
      <c r="Z592" t="n">
        <v>0.0</v>
      </c>
      <c r="AA592" t="n">
        <v>0.0</v>
      </c>
      <c r="AB592" t="n">
        <v>0.0</v>
      </c>
      <c r="AC592" t="n">
        <v>0.0</v>
      </c>
      <c r="AD592" t="n">
        <v>2.0</v>
      </c>
      <c r="AE592" t="n">
        <v>0.0</v>
      </c>
      <c r="AF592" t="n">
        <v>0.0</v>
      </c>
      <c r="AG592" t="n">
        <v>0.0</v>
      </c>
      <c r="AH592" t="n">
        <v>0.0</v>
      </c>
      <c r="AI592" t="n">
        <v>0.0</v>
      </c>
      <c r="AJ592" t="n">
        <v>0.0</v>
      </c>
      <c r="AK592" t="n">
        <v>3.5</v>
      </c>
      <c r="AL592" t="inlineStr">
        <is>
          <t/>
        </is>
      </c>
    </row>
    <row r="593">
      <c r="A593" t="inlineStr">
        <is>
          <t>谁还去日料店啊，一整条才 300 来块</t>
        </is>
      </c>
      <c r="B593" t="inlineStr">
        <is>
          <t>6a009be80000000006037bfd</t>
        </is>
      </c>
      <c r="C593" s="592" t="n">
        <f>HYPERLINK("https://www.xiaohongshu.com/explore/6a009be80000000006037bfd?xsec_token=TBC4Bowzh3MiDD5QIQgjgpqWu8948gceDm2a_GG0tuXDk=&amp;xsec_source=pc_trdark","https://www.xiaohongshu.com/explore/6a009be80000000006037bfd?xsec_token=TBC4Bowzh3MiDD5QIQgjgpqWu8948gceDm2a_GG0tuXDk=&amp;xsec_source=pc_trdark")</f>
        <v>0.0</v>
      </c>
      <c r="D593" t="inlineStr">
        <is>
          <t>鲜水湾</t>
        </is>
      </c>
      <c r="E593" t="inlineStr">
        <is>
          <t>49316638994</t>
        </is>
      </c>
      <c r="F593" t="inlineStr">
        <is>
          <t>2026-05-10 22:53:28</t>
        </is>
      </c>
      <c r="G593" t="inlineStr">
        <is>
          <t>图文</t>
        </is>
      </c>
      <c r="H593" t="inlineStr">
        <is>
          <t>智利尾端中段整条三文鱼 8斤深海鱼低脂餐囤货一周备菜顺丰包邮</t>
        </is>
      </c>
      <c r="I593" t="inlineStr">
        <is>
          <t>69fab80d64eb410001ece0c0</t>
        </is>
      </c>
      <c r="J593" t="inlineStr">
        <is>
          <t/>
        </is>
      </c>
      <c r="K593" t="n">
        <v>0.0</v>
      </c>
      <c r="L593" t="n">
        <v>0.0</v>
      </c>
      <c r="M593" t="n">
        <v>0.0</v>
      </c>
      <c r="N593" t="n">
        <v>0.0</v>
      </c>
      <c r="O593" t="n">
        <v>0.0</v>
      </c>
      <c r="P593" t="n">
        <v>0.0</v>
      </c>
      <c r="Q593" t="inlineStr">
        <is>
          <t/>
        </is>
      </c>
      <c r="R593" t="inlineStr">
        <is>
          <t/>
        </is>
      </c>
      <c r="S593" t="n">
        <v>0.0</v>
      </c>
      <c r="T593" t="n">
        <v>0.0</v>
      </c>
      <c r="U593" t="n">
        <v>0.0</v>
      </c>
      <c r="V593" t="n">
        <v>0.0</v>
      </c>
      <c r="W593" t="inlineStr">
        <is>
          <t/>
        </is>
      </c>
      <c r="X593" t="n">
        <v>0.0</v>
      </c>
      <c r="Y593" t="n">
        <v>0.0</v>
      </c>
      <c r="Z593" t="n">
        <v>0.0</v>
      </c>
      <c r="AA593" t="n">
        <v>0.0</v>
      </c>
      <c r="AB593" t="n">
        <v>0.0</v>
      </c>
      <c r="AC593" t="n">
        <v>0.0</v>
      </c>
      <c r="AD593" t="n">
        <v>2.0</v>
      </c>
      <c r="AE593" t="n">
        <v>0.0</v>
      </c>
      <c r="AF593" t="n">
        <v>0.0</v>
      </c>
      <c r="AG593" t="n">
        <v>0.0</v>
      </c>
      <c r="AH593" t="n">
        <v>0.0</v>
      </c>
      <c r="AI593" t="n">
        <v>0.0</v>
      </c>
      <c r="AJ593" t="n">
        <v>0.0</v>
      </c>
      <c r="AK593" t="n">
        <v>4.0</v>
      </c>
      <c r="AL593" t="inlineStr">
        <is>
          <t/>
        </is>
      </c>
    </row>
    <row r="594">
      <c r="A594" t="inlineStr">
        <is>
          <t>300 多就能搞定 1 个多月的减脂餐，超划算</t>
        </is>
      </c>
      <c r="B594" t="inlineStr">
        <is>
          <t>6a008b820000000007022b66</t>
        </is>
      </c>
      <c r="C594" s="593" t="n">
        <f>HYPERLINK("https://www.xiaohongshu.com/explore/6a008b820000000007022b66?xsec_token=TBC4Bowzh3MiDD5QIQgjgpqYiEQzdTG2B87v0tUW-8vMg=&amp;xsec_source=pc_trdark","https://www.xiaohongshu.com/explore/6a008b820000000007022b66?xsec_token=TBC4Bowzh3MiDD5QIQgjgpqYiEQzdTG2B87v0tUW-8vMg=&amp;xsec_source=pc_trdark")</f>
        <v>0.0</v>
      </c>
      <c r="D594" t="inlineStr">
        <is>
          <t>婉婉上班吃什么</t>
        </is>
      </c>
      <c r="E594" t="inlineStr">
        <is>
          <t>11434449706</t>
        </is>
      </c>
      <c r="F594" t="inlineStr">
        <is>
          <t>2026-05-10 21:43:30</t>
        </is>
      </c>
      <c r="G594" t="inlineStr">
        <is>
          <t>图文</t>
        </is>
      </c>
      <c r="H594" t="inlineStr">
        <is>
          <t>智利尾端中段整条三文鱼 8斤深海鱼低脂餐囤货一周备菜顺丰包邮</t>
        </is>
      </c>
      <c r="I594" t="inlineStr">
        <is>
          <t>69fab80d64eb410001ece0c0</t>
        </is>
      </c>
      <c r="J594" t="inlineStr">
        <is>
          <t/>
        </is>
      </c>
      <c r="K594" t="n">
        <v>0.0</v>
      </c>
      <c r="L594" t="n">
        <v>0.0</v>
      </c>
      <c r="M594" t="n">
        <v>0.0</v>
      </c>
      <c r="N594" t="n">
        <v>0.0</v>
      </c>
      <c r="O594" t="n">
        <v>0.0</v>
      </c>
      <c r="P594" t="n">
        <v>0.0</v>
      </c>
      <c r="Q594" t="inlineStr">
        <is>
          <t/>
        </is>
      </c>
      <c r="R594" t="inlineStr">
        <is>
          <t/>
        </is>
      </c>
      <c r="S594" t="n">
        <v>0.0</v>
      </c>
      <c r="T594" t="n">
        <v>0.0</v>
      </c>
      <c r="U594" t="n">
        <v>0.0</v>
      </c>
      <c r="V594" t="n">
        <v>0.0</v>
      </c>
      <c r="W594" t="inlineStr">
        <is>
          <t/>
        </is>
      </c>
      <c r="X594" t="n">
        <v>0.0</v>
      </c>
      <c r="Y594" t="n">
        <v>0.0</v>
      </c>
      <c r="Z594" t="n">
        <v>0.0</v>
      </c>
      <c r="AA594" t="n">
        <v>0.0</v>
      </c>
      <c r="AB594" t="n">
        <v>0.0</v>
      </c>
      <c r="AC594" t="n">
        <v>0.0</v>
      </c>
      <c r="AD594" t="n">
        <v>2.0</v>
      </c>
      <c r="AE594" t="n">
        <v>0.0</v>
      </c>
      <c r="AF594" t="n">
        <v>0.0</v>
      </c>
      <c r="AG594" t="n">
        <v>0.0</v>
      </c>
      <c r="AH594" t="n">
        <v>0.0</v>
      </c>
      <c r="AI594" t="n">
        <v>0.0</v>
      </c>
      <c r="AJ594" t="n">
        <v>0.0</v>
      </c>
      <c r="AK594" t="n">
        <v>13.0</v>
      </c>
      <c r="AL594" t="inlineStr">
        <is>
          <t/>
        </is>
      </c>
    </row>
    <row r="595">
      <c r="A595" t="inlineStr">
        <is>
          <t>69块承包一周减脂餐，真真真香⚠️</t>
        </is>
      </c>
      <c r="B595" t="inlineStr">
        <is>
          <t>69ffce46000000000603308b</t>
        </is>
      </c>
      <c r="C595" s="594" t="n">
        <f>HYPERLINK("https://www.xiaohongshu.com/explore/69ffce46000000000603308b?xsec_token=TBHwg5rtdG9HGVQAn7m8NAqeYPClPovbNRFMjREXFMCwc=&amp;xsec_source=pc_trdark","https://www.xiaohongshu.com/explore/69ffce46000000000603308b?xsec_token=TBHwg5rtdG9HGVQAn7m8NAqeYPClPovbNRFMjREXFMCwc=&amp;xsec_source=pc_trdark")</f>
        <v>0.0</v>
      </c>
      <c r="D595" t="inlineStr">
        <is>
          <t>菲菲上班吃什么</t>
        </is>
      </c>
      <c r="E595" t="inlineStr">
        <is>
          <t>49936530607</t>
        </is>
      </c>
      <c r="F595" t="inlineStr">
        <is>
          <t>2026-05-10 10:59:00</t>
        </is>
      </c>
      <c r="G595" t="inlineStr">
        <is>
          <t>图文</t>
        </is>
      </c>
      <c r="H595" t="inlineStr">
        <is>
          <t>手剥虾仁 无冰衣无添加 低脂餐一人食 上班带饭 顺丰包邮 5盒装</t>
        </is>
      </c>
      <c r="I595" t="inlineStr">
        <is>
          <t>694baba01d450d00013662f0</t>
        </is>
      </c>
      <c r="J595" t="inlineStr">
        <is>
          <t/>
        </is>
      </c>
      <c r="K595" t="n">
        <v>0.0</v>
      </c>
      <c r="L595" t="n">
        <v>0.0</v>
      </c>
      <c r="M595" t="n">
        <v>0.0</v>
      </c>
      <c r="N595" t="n">
        <v>0.0</v>
      </c>
      <c r="O595" t="n">
        <v>0.0</v>
      </c>
      <c r="P595" t="n">
        <v>0.0</v>
      </c>
      <c r="Q595" t="inlineStr">
        <is>
          <t/>
        </is>
      </c>
      <c r="R595" t="inlineStr">
        <is>
          <t/>
        </is>
      </c>
      <c r="S595" t="n">
        <v>0.0</v>
      </c>
      <c r="T595" t="n">
        <v>0.0</v>
      </c>
      <c r="U595" t="n">
        <v>0.0</v>
      </c>
      <c r="V595" t="n">
        <v>0.0</v>
      </c>
      <c r="W595" t="inlineStr">
        <is>
          <t/>
        </is>
      </c>
      <c r="X595" t="n">
        <v>0.0</v>
      </c>
      <c r="Y595" t="n">
        <v>0.0</v>
      </c>
      <c r="Z595" t="n">
        <v>0.0</v>
      </c>
      <c r="AA595" t="n">
        <v>0.0</v>
      </c>
      <c r="AB595" t="n">
        <v>0.0</v>
      </c>
      <c r="AC595" t="n">
        <v>0.0</v>
      </c>
      <c r="AD595" t="n">
        <v>2.0</v>
      </c>
      <c r="AE595" t="n">
        <v>0.0</v>
      </c>
      <c r="AF595" t="n">
        <v>0.0</v>
      </c>
      <c r="AG595" t="n">
        <v>0.0</v>
      </c>
      <c r="AH595" t="n">
        <v>0.0</v>
      </c>
      <c r="AI595" t="n">
        <v>0.0</v>
      </c>
      <c r="AJ595" t="n">
        <v>0.0</v>
      </c>
      <c r="AK595" t="n">
        <v>1.5</v>
      </c>
      <c r="AL595" t="inlineStr">
        <is>
          <t/>
        </is>
      </c>
    </row>
    <row r="596">
      <c r="A596" t="inlineStr">
        <is>
          <t>上班带饭真不贵，69 够我吃一周了</t>
        </is>
      </c>
      <c r="B596" t="inlineStr">
        <is>
          <t>69ff4c11000000001e00c493</t>
        </is>
      </c>
      <c r="C596" s="595" t="n">
        <f>HYPERLINK("https://www.xiaohongshu.com/explore/69ff4c11000000001e00c493?xsec_token=TBHwg5rtdG9HGVQAn7m8NAqZM2vlgk3-CSpWe7EzPKtN0=&amp;xsec_source=pc_trdark","https://www.xiaohongshu.com/explore/69ff4c11000000001e00c493?xsec_token=TBHwg5rtdG9HGVQAn7m8NAqZM2vlgk3-CSpWe7EzPKtN0=&amp;xsec_source=pc_trdark")</f>
        <v>0.0</v>
      </c>
      <c r="D596" t="inlineStr">
        <is>
          <t>婉婉上班吃什么</t>
        </is>
      </c>
      <c r="E596" t="inlineStr">
        <is>
          <t>11434449706</t>
        </is>
      </c>
      <c r="F596" t="inlineStr">
        <is>
          <t>2026-05-09 23:00:33</t>
        </is>
      </c>
      <c r="G596" t="inlineStr">
        <is>
          <t>图文</t>
        </is>
      </c>
      <c r="H596" t="inlineStr">
        <is>
          <t>手剥虾仁 无冰衣无添加 低脂餐一人食 上班带饭 顺丰包邮 5盒装</t>
        </is>
      </c>
      <c r="I596" t="inlineStr">
        <is>
          <t>694baba01d450d00013662f0</t>
        </is>
      </c>
      <c r="J596" t="inlineStr">
        <is>
          <t/>
        </is>
      </c>
      <c r="K596" t="n">
        <v>0.0</v>
      </c>
      <c r="L596" t="n">
        <v>0.0</v>
      </c>
      <c r="M596" t="n">
        <v>0.0</v>
      </c>
      <c r="N596" t="n">
        <v>0.0</v>
      </c>
      <c r="O596" t="n">
        <v>0.0</v>
      </c>
      <c r="P596" t="n">
        <v>0.0</v>
      </c>
      <c r="Q596" t="inlineStr">
        <is>
          <t/>
        </is>
      </c>
      <c r="R596" t="inlineStr">
        <is>
          <t/>
        </is>
      </c>
      <c r="S596" t="n">
        <v>0.0</v>
      </c>
      <c r="T596" t="n">
        <v>0.0</v>
      </c>
      <c r="U596" t="n">
        <v>0.0</v>
      </c>
      <c r="V596" t="n">
        <v>0.0</v>
      </c>
      <c r="W596" t="inlineStr">
        <is>
          <t/>
        </is>
      </c>
      <c r="X596" t="n">
        <v>0.0</v>
      </c>
      <c r="Y596" t="n">
        <v>0.0</v>
      </c>
      <c r="Z596" t="n">
        <v>0.0</v>
      </c>
      <c r="AA596" t="n">
        <v>0.0</v>
      </c>
      <c r="AB596" t="n">
        <v>0.0</v>
      </c>
      <c r="AC596" t="n">
        <v>0.0</v>
      </c>
      <c r="AD596" t="n">
        <v>2.0</v>
      </c>
      <c r="AE596" t="n">
        <v>0.0</v>
      </c>
      <c r="AF596" t="n">
        <v>0.0</v>
      </c>
      <c r="AG596" t="n">
        <v>0.0</v>
      </c>
      <c r="AH596" t="n">
        <v>0.0</v>
      </c>
      <c r="AI596" t="n">
        <v>0.0</v>
      </c>
      <c r="AJ596" t="n">
        <v>0.0</v>
      </c>
      <c r="AK596" t="n">
        <v>7.5</v>
      </c>
      <c r="AL596" t="inlineStr">
        <is>
          <t/>
        </is>
      </c>
    </row>
    <row r="597">
      <c r="A597" t="inlineStr">
        <is>
          <t>区区69块承包一周减脂餐</t>
        </is>
      </c>
      <c r="B597" t="inlineStr">
        <is>
          <t>69fdf827000000002301787d</t>
        </is>
      </c>
      <c r="C597" s="596" t="n">
        <f>HYPERLINK("https://www.xiaohongshu.com/explore/69fdf827000000002301787d?xsec_token=TBsN-gaZoqyroonAOnMxE14G-tuaXLkaErgBUPRLSMCq0=&amp;xsec_source=pc_trdark","https://www.xiaohongshu.com/explore/69fdf827000000002301787d?xsec_token=TBsN-gaZoqyroonAOnMxE14G-tuaXLkaErgBUPRLSMCq0=&amp;xsec_source=pc_trdark")</f>
        <v>0.0</v>
      </c>
      <c r="D597" t="inlineStr">
        <is>
          <t>鲜水湾</t>
        </is>
      </c>
      <c r="E597" t="inlineStr">
        <is>
          <t>49316638994</t>
        </is>
      </c>
      <c r="F597" t="inlineStr">
        <is>
          <t>2026-05-08 22:50:15</t>
        </is>
      </c>
      <c r="G597" t="inlineStr">
        <is>
          <t>图文</t>
        </is>
      </c>
      <c r="H597" t="inlineStr">
        <is>
          <t>手剥虾仁 无冰衣无添加 低脂餐一人食 上班带饭 顺丰包邮 5盒装</t>
        </is>
      </c>
      <c r="I597" t="inlineStr">
        <is>
          <t>694baba01d450d00013662f0</t>
        </is>
      </c>
      <c r="J597" t="inlineStr">
        <is>
          <t/>
        </is>
      </c>
      <c r="K597" t="n">
        <v>0.0</v>
      </c>
      <c r="L597" t="n">
        <v>0.0</v>
      </c>
      <c r="M597" t="n">
        <v>0.0</v>
      </c>
      <c r="N597" t="n">
        <v>0.0</v>
      </c>
      <c r="O597" t="n">
        <v>0.0</v>
      </c>
      <c r="P597" t="n">
        <v>0.0</v>
      </c>
      <c r="Q597" t="inlineStr">
        <is>
          <t/>
        </is>
      </c>
      <c r="R597" t="inlineStr">
        <is>
          <t/>
        </is>
      </c>
      <c r="S597" t="n">
        <v>0.0</v>
      </c>
      <c r="T597" t="n">
        <v>0.0</v>
      </c>
      <c r="U597" t="n">
        <v>0.0</v>
      </c>
      <c r="V597" t="n">
        <v>0.0</v>
      </c>
      <c r="W597" t="inlineStr">
        <is>
          <t/>
        </is>
      </c>
      <c r="X597" t="n">
        <v>0.0</v>
      </c>
      <c r="Y597" t="n">
        <v>0.0</v>
      </c>
      <c r="Z597" t="n">
        <v>0.0</v>
      </c>
      <c r="AA597" t="n">
        <v>0.0</v>
      </c>
      <c r="AB597" t="n">
        <v>0.0</v>
      </c>
      <c r="AC597" t="n">
        <v>0.0</v>
      </c>
      <c r="AD597" t="n">
        <v>2.0</v>
      </c>
      <c r="AE597" t="n">
        <v>0.0</v>
      </c>
      <c r="AF597" t="n">
        <v>0.0</v>
      </c>
      <c r="AG597" t="n">
        <v>0.0</v>
      </c>
      <c r="AH597" t="n">
        <v>0.0</v>
      </c>
      <c r="AI597" t="n">
        <v>0.0</v>
      </c>
      <c r="AJ597" t="n">
        <v>0.0</v>
      </c>
      <c r="AK597" t="n">
        <v>2.5</v>
      </c>
      <c r="AL597" t="inlineStr">
        <is>
          <t/>
        </is>
      </c>
    </row>
    <row r="598">
      <c r="A598" t="inlineStr">
        <is>
          <t>某姆的品质！pxx 的价格😂</t>
        </is>
      </c>
      <c r="B598" t="inlineStr">
        <is>
          <t>69fdb75600000000230160c6</t>
        </is>
      </c>
      <c r="C598" s="597" t="n">
        <f>HYPERLINK("https://www.xiaohongshu.com/explore/69fdb75600000000230160c6?xsec_token=TBsN-gaZoqyroonAOnMxE14BUUrhQABBDhRgE_rJUE1Lw=&amp;xsec_source=pc_trdark","https://www.xiaohongshu.com/explore/69fdb75600000000230160c6?xsec_token=TBsN-gaZoqyroonAOnMxE14BUUrhQABBDhRgE_rJUE1Lw=&amp;xsec_source=pc_trdark")</f>
        <v>0.0</v>
      </c>
      <c r="D598" t="inlineStr">
        <is>
          <t>婉婉上班吃什么</t>
        </is>
      </c>
      <c r="E598" t="inlineStr">
        <is>
          <t>11434449706</t>
        </is>
      </c>
      <c r="F598" t="inlineStr">
        <is>
          <t>2026-05-08 18:13:42</t>
        </is>
      </c>
      <c r="G598" t="inlineStr">
        <is>
          <t>图文</t>
        </is>
      </c>
      <c r="H598" t="inlineStr">
        <is>
          <t>智利尾端中段整条三文鱼 8斤深海鱼低脂餐囤货一周备菜顺丰包邮</t>
        </is>
      </c>
      <c r="I598" t="inlineStr">
        <is>
          <t>69fab80d64eb410001ece0c0</t>
        </is>
      </c>
      <c r="J598" t="inlineStr">
        <is>
          <t/>
        </is>
      </c>
      <c r="K598" t="n">
        <v>0.0</v>
      </c>
      <c r="L598" t="n">
        <v>0.0</v>
      </c>
      <c r="M598" t="n">
        <v>0.0</v>
      </c>
      <c r="N598" t="n">
        <v>0.0</v>
      </c>
      <c r="O598" t="n">
        <v>0.0</v>
      </c>
      <c r="P598" t="n">
        <v>0.0</v>
      </c>
      <c r="Q598" t="inlineStr">
        <is>
          <t/>
        </is>
      </c>
      <c r="R598" t="inlineStr">
        <is>
          <t/>
        </is>
      </c>
      <c r="S598" t="n">
        <v>0.0</v>
      </c>
      <c r="T598" t="n">
        <v>0.0</v>
      </c>
      <c r="U598" t="n">
        <v>0.0</v>
      </c>
      <c r="V598" t="n">
        <v>0.0</v>
      </c>
      <c r="W598" t="inlineStr">
        <is>
          <t/>
        </is>
      </c>
      <c r="X598" t="n">
        <v>0.0</v>
      </c>
      <c r="Y598" t="n">
        <v>0.0</v>
      </c>
      <c r="Z598" t="n">
        <v>0.0</v>
      </c>
      <c r="AA598" t="n">
        <v>0.0</v>
      </c>
      <c r="AB598" t="n">
        <v>0.0</v>
      </c>
      <c r="AC598" t="n">
        <v>0.0</v>
      </c>
      <c r="AD598" t="n">
        <v>2.0</v>
      </c>
      <c r="AE598" t="n">
        <v>0.0</v>
      </c>
      <c r="AF598" t="n">
        <v>0.0</v>
      </c>
      <c r="AG598" t="n">
        <v>0.0</v>
      </c>
      <c r="AH598" t="n">
        <v>0.0</v>
      </c>
      <c r="AI598" t="n">
        <v>0.0</v>
      </c>
      <c r="AJ598" t="n">
        <v>0.0</v>
      </c>
      <c r="AK598" t="n">
        <v>5.5</v>
      </c>
      <c r="AL598" t="inlineStr">
        <is>
          <t/>
        </is>
      </c>
    </row>
    <row r="599">
      <c r="A599" t="inlineStr">
        <is>
          <t>和老爸商量后，推出专为独居姐妹做的小包装</t>
        </is>
      </c>
      <c r="B599" t="inlineStr">
        <is>
          <t>69fb0607000000001f003db9</t>
        </is>
      </c>
      <c r="C599" s="598" t="n">
        <f>HYPERLINK("https://www.xiaohongshu.com/explore/69fb0607000000001f003db9?xsec_token=TBI_QjbQZ5noU4wotSpiTIzkg392EJ9dDeHcKWtt8oCHg=&amp;xsec_source=pc_trdark","https://www.xiaohongshu.com/explore/69fb0607000000001f003db9?xsec_token=TBI_QjbQZ5noU4wotSpiTIzkg392EJ9dDeHcKWtt8oCHg=&amp;xsec_source=pc_trdark")</f>
        <v>0.0</v>
      </c>
      <c r="D599" t="inlineStr">
        <is>
          <t>鲜水湾</t>
        </is>
      </c>
      <c r="E599" t="inlineStr">
        <is>
          <t>49316638994</t>
        </is>
      </c>
      <c r="F599" t="inlineStr">
        <is>
          <t>2026-05-06 17:12:39</t>
        </is>
      </c>
      <c r="G599" t="inlineStr">
        <is>
          <t>图文</t>
        </is>
      </c>
      <c r="H599" t="inlineStr">
        <is>
          <t>挪威冰鲜三文鱼刺身级食材生鱼片日式火锅食材顺丰包邮</t>
        </is>
      </c>
      <c r="I599" t="inlineStr">
        <is>
          <t>69cced09069e7b000143e726</t>
        </is>
      </c>
      <c r="J599" t="inlineStr">
        <is>
          <t/>
        </is>
      </c>
      <c r="K599" t="n">
        <v>0.0</v>
      </c>
      <c r="L599" t="n">
        <v>0.0</v>
      </c>
      <c r="M599" t="n">
        <v>3.0</v>
      </c>
      <c r="N599" t="n">
        <v>1.5</v>
      </c>
      <c r="O599" t="n">
        <v>2.0</v>
      </c>
      <c r="P599" t="n">
        <v>0.0</v>
      </c>
      <c r="Q599" t="n">
        <v>0.0</v>
      </c>
      <c r="R599" t="n">
        <v>0.0</v>
      </c>
      <c r="S599" t="n">
        <v>0.0</v>
      </c>
      <c r="T599" t="n">
        <v>0.0</v>
      </c>
      <c r="U599" t="n">
        <v>0.0</v>
      </c>
      <c r="V599" t="n">
        <v>0.0</v>
      </c>
      <c r="W599" t="inlineStr">
        <is>
          <t/>
        </is>
      </c>
      <c r="X599" t="n">
        <v>0.0</v>
      </c>
      <c r="Y599" t="n">
        <v>0.0</v>
      </c>
      <c r="Z599" t="n">
        <v>0.0</v>
      </c>
      <c r="AA599" t="n">
        <v>0.0</v>
      </c>
      <c r="AB599" t="n">
        <v>0.0</v>
      </c>
      <c r="AC599" t="n">
        <v>0.0</v>
      </c>
      <c r="AD599" t="n">
        <v>2.0</v>
      </c>
      <c r="AE599" t="n">
        <v>0.0</v>
      </c>
      <c r="AF599" t="n">
        <v>0.0</v>
      </c>
      <c r="AG599" t="n">
        <v>0.0</v>
      </c>
      <c r="AH599" t="n">
        <v>0.0</v>
      </c>
      <c r="AI599" t="n">
        <v>0.0</v>
      </c>
      <c r="AJ599" t="n">
        <v>0.0</v>
      </c>
      <c r="AK599" t="n">
        <v>107.0</v>
      </c>
      <c r="AL599" t="inlineStr">
        <is>
          <t/>
        </is>
      </c>
    </row>
    <row r="600">
      <c r="A600" t="inlineStr">
        <is>
          <t>购买力封神！100块钱解决我一个周减脂餐</t>
        </is>
      </c>
      <c r="B600" t="inlineStr">
        <is>
          <t>69f76166000000003502daee</t>
        </is>
      </c>
      <c r="C600" s="599" t="n">
        <f>HYPERLINK("https://www.xiaohongshu.com/explore/69f76166000000003502daee?xsec_token=TBGeqv5bONIIPR_YmoO2EAFCNH0deRLxeq4whQOv3Dtck=&amp;xsec_source=pc_trdark","https://www.xiaohongshu.com/explore/69f76166000000003502daee?xsec_token=TBGeqv5bONIIPR_YmoO2EAFCNH0deRLxeq4whQOv3Dtck=&amp;xsec_source=pc_trdark")</f>
        <v>0.0</v>
      </c>
      <c r="D600" t="inlineStr">
        <is>
          <t>鲜水湾甄选</t>
        </is>
      </c>
      <c r="E600" t="inlineStr">
        <is>
          <t>27401929161</t>
        </is>
      </c>
      <c r="F600" t="inlineStr">
        <is>
          <t>2026-05-03 22:53:26</t>
        </is>
      </c>
      <c r="G600" t="inlineStr">
        <is>
          <t>图文</t>
        </is>
      </c>
      <c r="H600" t="inlineStr">
        <is>
          <t>手剥虾仁 无冰衣无添加 低脂餐一人食 上班带饭 顺丰包邮 5盒装</t>
        </is>
      </c>
      <c r="I600" t="inlineStr">
        <is>
          <t>694baba01d450d00013662f0</t>
        </is>
      </c>
      <c r="J600" t="inlineStr">
        <is>
          <t/>
        </is>
      </c>
      <c r="K600" t="n">
        <v>0.0</v>
      </c>
      <c r="L600" t="n">
        <v>0.0</v>
      </c>
      <c r="M600" t="n">
        <v>0.0</v>
      </c>
      <c r="N600" t="n">
        <v>0.0</v>
      </c>
      <c r="O600" t="n">
        <v>0.0</v>
      </c>
      <c r="P600" t="n">
        <v>0.0</v>
      </c>
      <c r="Q600" t="inlineStr">
        <is>
          <t/>
        </is>
      </c>
      <c r="R600" t="inlineStr">
        <is>
          <t/>
        </is>
      </c>
      <c r="S600" t="n">
        <v>0.0</v>
      </c>
      <c r="T600" t="n">
        <v>0.0</v>
      </c>
      <c r="U600" t="n">
        <v>0.0</v>
      </c>
      <c r="V600" t="n">
        <v>0.0</v>
      </c>
      <c r="W600" t="inlineStr">
        <is>
          <t/>
        </is>
      </c>
      <c r="X600" t="n">
        <v>0.0</v>
      </c>
      <c r="Y600" t="n">
        <v>0.0</v>
      </c>
      <c r="Z600" t="n">
        <v>0.0</v>
      </c>
      <c r="AA600" t="n">
        <v>0.0</v>
      </c>
      <c r="AB600" t="n">
        <v>0.0</v>
      </c>
      <c r="AC600" t="n">
        <v>0.0</v>
      </c>
      <c r="AD600" t="n">
        <v>2.0</v>
      </c>
      <c r="AE600" t="n">
        <v>0.0</v>
      </c>
      <c r="AF600" t="n">
        <v>0.0</v>
      </c>
      <c r="AG600" t="n">
        <v>0.0</v>
      </c>
      <c r="AH600" t="n">
        <v>0.0</v>
      </c>
      <c r="AI600" t="n">
        <v>0.0</v>
      </c>
      <c r="AJ600" t="n">
        <v>0.0</v>
      </c>
      <c r="AK600" t="n">
        <v>3.5</v>
      </c>
      <c r="AL600" t="inlineStr">
        <is>
          <t/>
        </is>
      </c>
    </row>
    <row r="601">
      <c r="A601" t="inlineStr">
        <is>
          <t>凭一己之力带动办公室天天吃虾仁🍤</t>
        </is>
      </c>
      <c r="B601" t="inlineStr">
        <is>
          <t>69f1c298000000001a036ee3</t>
        </is>
      </c>
      <c r="C601" s="600" t="n">
        <f>HYPERLINK("https://www.xiaohongshu.com/explore/69f1c298000000001a036ee3?xsec_token=TBLt8Y96Ok9n09b_UIgIegbtnTy8KtCLbhEFLFGaAR0ZU=&amp;xsec_source=pc_trdark","https://www.xiaohongshu.com/explore/69f1c298000000001a036ee3?xsec_token=TBLt8Y96Ok9n09b_UIgIegbtnTy8KtCLbhEFLFGaAR0ZU=&amp;xsec_source=pc_trdark")</f>
        <v>0.0</v>
      </c>
      <c r="D601" t="inlineStr">
        <is>
          <t>菲菲上班吃什么</t>
        </is>
      </c>
      <c r="E601" t="inlineStr">
        <is>
          <t>49936530607</t>
        </is>
      </c>
      <c r="F601" t="inlineStr">
        <is>
          <t>2026-04-29 16:34:32</t>
        </is>
      </c>
      <c r="G601" t="inlineStr">
        <is>
          <t>图文</t>
        </is>
      </c>
      <c r="H601" t="inlineStr">
        <is>
          <t>手剥虾仁 无冰衣无添加 低脂餐一人食 上班带饭 顺丰包邮 5盒装</t>
        </is>
      </c>
      <c r="I601" t="inlineStr">
        <is>
          <t>694baba01d450d00013662f0</t>
        </is>
      </c>
      <c r="J601" t="inlineStr">
        <is>
          <t/>
        </is>
      </c>
      <c r="K601" t="n">
        <v>0.0</v>
      </c>
      <c r="L601" t="n">
        <v>0.0</v>
      </c>
      <c r="M601" t="n">
        <v>0.0</v>
      </c>
      <c r="N601" t="n">
        <v>0.0</v>
      </c>
      <c r="O601" t="n">
        <v>0.0</v>
      </c>
      <c r="P601" t="n">
        <v>0.0</v>
      </c>
      <c r="Q601" t="inlineStr">
        <is>
          <t/>
        </is>
      </c>
      <c r="R601" t="inlineStr">
        <is>
          <t/>
        </is>
      </c>
      <c r="S601" t="n">
        <v>0.0</v>
      </c>
      <c r="T601" t="n">
        <v>0.0</v>
      </c>
      <c r="U601" t="n">
        <v>0.0</v>
      </c>
      <c r="V601" t="n">
        <v>0.0</v>
      </c>
      <c r="W601" t="inlineStr">
        <is>
          <t/>
        </is>
      </c>
      <c r="X601" t="n">
        <v>0.0</v>
      </c>
      <c r="Y601" t="n">
        <v>0.0</v>
      </c>
      <c r="Z601" t="n">
        <v>0.0</v>
      </c>
      <c r="AA601" t="n">
        <v>0.0</v>
      </c>
      <c r="AB601" t="n">
        <v>0.0</v>
      </c>
      <c r="AC601" t="n">
        <v>0.0</v>
      </c>
      <c r="AD601" t="n">
        <v>2.0</v>
      </c>
      <c r="AE601" t="n">
        <v>0.0</v>
      </c>
      <c r="AF601" t="n">
        <v>0.0</v>
      </c>
      <c r="AG601" t="n">
        <v>0.0</v>
      </c>
      <c r="AH601" t="n">
        <v>0.0</v>
      </c>
      <c r="AI601" t="n">
        <v>0.0</v>
      </c>
      <c r="AJ601" t="n">
        <v>0.0</v>
      </c>
      <c r="AK601" t="n">
        <v>16.5</v>
      </c>
      <c r="AL601" t="inlineStr">
        <is>
          <t/>
        </is>
      </c>
    </row>
    <row r="602">
      <c r="A602" t="inlineStr">
        <is>
          <t>为啥很少有人减脂主食吃虾仁</t>
        </is>
      </c>
      <c r="B602" t="inlineStr">
        <is>
          <t>69eeca9e0000000035038cd1</t>
        </is>
      </c>
      <c r="C602" s="601" t="n">
        <f>HYPERLINK("https://www.xiaohongshu.com/explore/69eeca9e0000000035038cd1?xsec_token=TB3JCI8OO3ItJ5gw9_OIE0bOCuJGuQ9Vg28vQfNg1MqlY=&amp;xsec_source=pc_trdark","https://www.xiaohongshu.com/explore/69eeca9e0000000035038cd1?xsec_token=TB3JCI8OO3ItJ5gw9_OIE0bOCuJGuQ9Vg28vQfNg1MqlY=&amp;xsec_source=pc_trdark")</f>
        <v>0.0</v>
      </c>
      <c r="D602" t="inlineStr">
        <is>
          <t>鲜水湾甄选</t>
        </is>
      </c>
      <c r="E602" t="inlineStr">
        <is>
          <t>27401929161</t>
        </is>
      </c>
      <c r="F602" t="inlineStr">
        <is>
          <t>2026-04-27 10:31:58</t>
        </is>
      </c>
      <c r="G602" t="inlineStr">
        <is>
          <t>图文</t>
        </is>
      </c>
      <c r="H602" t="inlineStr">
        <is>
          <t>手剥虾仁 无冰衣无添加 低脂餐一人食 上班带饭 顺丰包邮 5盒装</t>
        </is>
      </c>
      <c r="I602" t="inlineStr">
        <is>
          <t>694baba01d450d00013662f0</t>
        </is>
      </c>
      <c r="J602" t="inlineStr">
        <is>
          <t/>
        </is>
      </c>
      <c r="K602" t="n">
        <v>0.0</v>
      </c>
      <c r="L602" t="n">
        <v>0.0</v>
      </c>
      <c r="M602" t="n">
        <v>0.0</v>
      </c>
      <c r="N602" t="n">
        <v>0.0</v>
      </c>
      <c r="O602" t="n">
        <v>0.0</v>
      </c>
      <c r="P602" t="n">
        <v>0.0</v>
      </c>
      <c r="Q602" t="inlineStr">
        <is>
          <t/>
        </is>
      </c>
      <c r="R602" t="inlineStr">
        <is>
          <t/>
        </is>
      </c>
      <c r="S602" t="n">
        <v>0.0</v>
      </c>
      <c r="T602" t="n">
        <v>0.0</v>
      </c>
      <c r="U602" t="n">
        <v>0.0</v>
      </c>
      <c r="V602" t="n">
        <v>0.0</v>
      </c>
      <c r="W602" t="inlineStr">
        <is>
          <t/>
        </is>
      </c>
      <c r="X602" t="n">
        <v>0.0</v>
      </c>
      <c r="Y602" t="n">
        <v>0.0</v>
      </c>
      <c r="Z602" t="n">
        <v>0.0</v>
      </c>
      <c r="AA602" t="n">
        <v>0.0</v>
      </c>
      <c r="AB602" t="n">
        <v>0.0</v>
      </c>
      <c r="AC602" t="n">
        <v>0.0</v>
      </c>
      <c r="AD602" t="n">
        <v>2.0</v>
      </c>
      <c r="AE602" t="n">
        <v>0.0</v>
      </c>
      <c r="AF602" t="n">
        <v>0.0</v>
      </c>
      <c r="AG602" t="n">
        <v>0.0</v>
      </c>
      <c r="AH602" t="n">
        <v>0.0</v>
      </c>
      <c r="AI602" t="n">
        <v>0.0</v>
      </c>
      <c r="AJ602" t="n">
        <v>0.0</v>
      </c>
      <c r="AK602" t="n">
        <v>16.0</v>
      </c>
      <c r="AL602" t="inlineStr">
        <is>
          <t/>
        </is>
      </c>
    </row>
    <row r="603">
      <c r="A603" t="inlineStr">
        <is>
          <t>懒人极简带饭，69够吃一周的了</t>
        </is>
      </c>
      <c r="B603" t="inlineStr">
        <is>
          <t>69ec20f3000000001e00efb6</t>
        </is>
      </c>
      <c r="C603" s="602" t="n">
        <f>HYPERLINK("https://www.xiaohongshu.com/explore/69ec20f3000000001e00efb6?xsec_token=TBnoSF_--XRDuLtfF77lVqP6IHH3F0R61kdNhYuG8zNNo=&amp;xsec_source=pc_trdark","https://www.xiaohongshu.com/explore/69ec20f3000000001e00efb6?xsec_token=TBnoSF_--XRDuLtfF77lVqP6IHH3F0R61kdNhYuG8zNNo=&amp;xsec_source=pc_trdark")</f>
        <v>0.0</v>
      </c>
      <c r="D603" t="inlineStr">
        <is>
          <t>菲菲上班吃什么</t>
        </is>
      </c>
      <c r="E603" t="inlineStr">
        <is>
          <t>49936530607</t>
        </is>
      </c>
      <c r="F603" t="inlineStr">
        <is>
          <t>2026-04-25 10:03:31</t>
        </is>
      </c>
      <c r="G603" t="inlineStr">
        <is>
          <t>图文</t>
        </is>
      </c>
      <c r="H603" t="inlineStr">
        <is>
          <t>手剥虾仁 无冰衣无添加 低脂餐一人食 上班带饭 顺丰包邮 5盒装</t>
        </is>
      </c>
      <c r="I603" t="inlineStr">
        <is>
          <t>694baba01d450d00013662f0</t>
        </is>
      </c>
      <c r="J603" t="inlineStr">
        <is>
          <t/>
        </is>
      </c>
      <c r="K603" t="n">
        <v>0.0</v>
      </c>
      <c r="L603" t="n">
        <v>0.0</v>
      </c>
      <c r="M603" t="n">
        <v>2.0</v>
      </c>
      <c r="N603" t="n">
        <v>1.0</v>
      </c>
      <c r="O603" t="n">
        <v>1.0</v>
      </c>
      <c r="P603" t="n">
        <v>0.0</v>
      </c>
      <c r="Q603" t="n">
        <v>0.0</v>
      </c>
      <c r="R603" t="n">
        <v>0.0</v>
      </c>
      <c r="S603" t="n">
        <v>0.0</v>
      </c>
      <c r="T603" t="n">
        <v>0.0</v>
      </c>
      <c r="U603" t="n">
        <v>0.0</v>
      </c>
      <c r="V603" t="n">
        <v>0.0</v>
      </c>
      <c r="W603" t="inlineStr">
        <is>
          <t/>
        </is>
      </c>
      <c r="X603" t="n">
        <v>0.0</v>
      </c>
      <c r="Y603" t="n">
        <v>1.0</v>
      </c>
      <c r="Z603" t="n">
        <v>0.0</v>
      </c>
      <c r="AA603" t="n">
        <v>0.0</v>
      </c>
      <c r="AB603" t="n">
        <v>0.0</v>
      </c>
      <c r="AC603" t="n">
        <v>0.0</v>
      </c>
      <c r="AD603" t="n">
        <v>2.0</v>
      </c>
      <c r="AE603" t="n">
        <v>0.0</v>
      </c>
      <c r="AF603" t="n">
        <v>0.0</v>
      </c>
      <c r="AG603" t="n">
        <v>0.0</v>
      </c>
      <c r="AH603" t="n">
        <v>0.0</v>
      </c>
      <c r="AI603" t="n">
        <v>0.0</v>
      </c>
      <c r="AJ603" t="n">
        <v>0.0</v>
      </c>
      <c r="AK603" t="n">
        <v>37.5</v>
      </c>
      <c r="AL603" t="inlineStr">
        <is>
          <t/>
        </is>
      </c>
    </row>
    <row r="604">
      <c r="A604" t="inlineStr">
        <is>
          <t>网购虾仁试水成功</t>
        </is>
      </c>
      <c r="B604" t="inlineStr">
        <is>
          <t>69e87400000000001f006247</t>
        </is>
      </c>
      <c r="C604" s="603" t="n">
        <f>HYPERLINK("https://www.xiaohongshu.com/explore/69e87400000000001f006247?xsec_token=TBrsJGfbmdICsvnXoyd4QdRkEIyhPetg-2a9NAQYXGx3A=&amp;xsec_source=pc_trdark","https://www.xiaohongshu.com/explore/69e87400000000001f006247?xsec_token=TBrsJGfbmdICsvnXoyd4QdRkEIyhPetg-2a9NAQYXGx3A=&amp;xsec_source=pc_trdark")</f>
        <v>0.0</v>
      </c>
      <c r="D604" t="inlineStr">
        <is>
          <t>菲菲上班吃什么</t>
        </is>
      </c>
      <c r="E604" t="inlineStr">
        <is>
          <t>49936530607</t>
        </is>
      </c>
      <c r="F604" t="inlineStr">
        <is>
          <t>2026-04-23 13:30:00</t>
        </is>
      </c>
      <c r="G604" t="inlineStr">
        <is>
          <t>图文</t>
        </is>
      </c>
      <c r="H604" t="inlineStr">
        <is>
          <t>手剥虾仁 无冰衣无添加 低脂餐一人食 上班带饭 顺丰包邮 5盒装</t>
        </is>
      </c>
      <c r="I604" t="inlineStr">
        <is>
          <t>694baba01d450d00013662f0</t>
        </is>
      </c>
      <c r="J604" t="inlineStr">
        <is>
          <t/>
        </is>
      </c>
      <c r="K604" t="n">
        <v>0.0</v>
      </c>
      <c r="L604" t="n">
        <v>0.0</v>
      </c>
      <c r="M604" t="n">
        <v>0.0</v>
      </c>
      <c r="N604" t="n">
        <v>0.0</v>
      </c>
      <c r="O604" t="n">
        <v>0.0</v>
      </c>
      <c r="P604" t="n">
        <v>0.0</v>
      </c>
      <c r="Q604" t="inlineStr">
        <is>
          <t/>
        </is>
      </c>
      <c r="R604" t="inlineStr">
        <is>
          <t/>
        </is>
      </c>
      <c r="S604" t="n">
        <v>0.0</v>
      </c>
      <c r="T604" t="n">
        <v>0.0</v>
      </c>
      <c r="U604" t="n">
        <v>0.0</v>
      </c>
      <c r="V604" t="n">
        <v>0.0</v>
      </c>
      <c r="W604" t="inlineStr">
        <is>
          <t/>
        </is>
      </c>
      <c r="X604" t="n">
        <v>0.0</v>
      </c>
      <c r="Y604" t="n">
        <v>0.0</v>
      </c>
      <c r="Z604" t="n">
        <v>0.0</v>
      </c>
      <c r="AA604" t="n">
        <v>0.0</v>
      </c>
      <c r="AB604" t="n">
        <v>0.0</v>
      </c>
      <c r="AC604" t="n">
        <v>0.0</v>
      </c>
      <c r="AD604" t="n">
        <v>2.0</v>
      </c>
      <c r="AE604" t="n">
        <v>0.0</v>
      </c>
      <c r="AF604" t="n">
        <v>0.0</v>
      </c>
      <c r="AG604" t="n">
        <v>0.0</v>
      </c>
      <c r="AH604" t="n">
        <v>0.0</v>
      </c>
      <c r="AI604" t="n">
        <v>0.0</v>
      </c>
      <c r="AJ604" t="n">
        <v>0.0</v>
      </c>
      <c r="AK604" t="n">
        <v>4.5</v>
      </c>
      <c r="AL604" t="inlineStr">
        <is>
          <t/>
        </is>
      </c>
    </row>
    <row r="605">
      <c r="A605" t="inlineStr">
        <is>
          <t>我也不想买啊，可它300来块一整条还顺丰包邮</t>
        </is>
      </c>
      <c r="B605" t="inlineStr">
        <is>
          <t>69e711b5000000001a02fe4d</t>
        </is>
      </c>
      <c r="C605" s="604" t="n">
        <f>HYPERLINK("https://www.xiaohongshu.com/explore/69e711b5000000001a02fe4d?xsec_token=TBxJD1S06w8M0Ib6UdHEwWiDc8H_4vCVENCz3X4Me11hw=&amp;xsec_source=pc_trdark","https://www.xiaohongshu.com/explore/69e711b5000000001a02fe4d?xsec_token=TBxJD1S06w8M0Ib6UdHEwWiDc8H_4vCVENCz3X4Me11hw=&amp;xsec_source=pc_trdark")</f>
        <v>0.0</v>
      </c>
      <c r="D605" t="inlineStr">
        <is>
          <t>婉婉上班吃什么</t>
        </is>
      </c>
      <c r="E605" t="inlineStr">
        <is>
          <t>11434449706</t>
        </is>
      </c>
      <c r="F605" t="inlineStr">
        <is>
          <t>2026-04-21 13:57:09</t>
        </is>
      </c>
      <c r="G605" t="inlineStr">
        <is>
          <t>图文</t>
        </is>
      </c>
      <c r="H605" t="inlineStr">
        <is>
          <t>智利尾端中段整条三文鱼 8斤深海鱼低脂餐囤货一周备菜顺丰包邮</t>
        </is>
      </c>
      <c r="I605" t="inlineStr">
        <is>
          <t>69fab80d64eb410001ece0c0</t>
        </is>
      </c>
      <c r="J605" t="inlineStr">
        <is>
          <t/>
        </is>
      </c>
      <c r="K605" t="n">
        <v>0.0</v>
      </c>
      <c r="L605" t="n">
        <v>0.0</v>
      </c>
      <c r="M605" t="n">
        <v>0.0</v>
      </c>
      <c r="N605" t="n">
        <v>0.0</v>
      </c>
      <c r="O605" t="n">
        <v>0.0</v>
      </c>
      <c r="P605" t="n">
        <v>0.0</v>
      </c>
      <c r="Q605" t="inlineStr">
        <is>
          <t/>
        </is>
      </c>
      <c r="R605" t="inlineStr">
        <is>
          <t/>
        </is>
      </c>
      <c r="S605" t="n">
        <v>0.0</v>
      </c>
      <c r="T605" t="n">
        <v>0.0</v>
      </c>
      <c r="U605" t="n">
        <v>0.0</v>
      </c>
      <c r="V605" t="n">
        <v>0.0</v>
      </c>
      <c r="W605" t="inlineStr">
        <is>
          <t/>
        </is>
      </c>
      <c r="X605" t="n">
        <v>0.0</v>
      </c>
      <c r="Y605" t="n">
        <v>0.0</v>
      </c>
      <c r="Z605" t="n">
        <v>0.0</v>
      </c>
      <c r="AA605" t="n">
        <v>0.0</v>
      </c>
      <c r="AB605" t="n">
        <v>0.0</v>
      </c>
      <c r="AC605" t="n">
        <v>0.0</v>
      </c>
      <c r="AD605" t="n">
        <v>2.0</v>
      </c>
      <c r="AE605" t="n">
        <v>0.0</v>
      </c>
      <c r="AF605" t="n">
        <v>0.0</v>
      </c>
      <c r="AG605" t="n">
        <v>0.0</v>
      </c>
      <c r="AH605" t="n">
        <v>0.0</v>
      </c>
      <c r="AI605" t="n">
        <v>0.0</v>
      </c>
      <c r="AJ605" t="n">
        <v>0.0</v>
      </c>
      <c r="AK605" t="n">
        <v>5.0</v>
      </c>
      <c r="AL605" t="inlineStr">
        <is>
          <t/>
        </is>
      </c>
    </row>
    <row r="606">
      <c r="A606" t="inlineStr">
        <is>
          <t>某姆的大包装太多，原产地的小包装总行了吧</t>
        </is>
      </c>
      <c r="B606" t="inlineStr">
        <is>
          <t>69e5c59d000000001a02f4d0</t>
        </is>
      </c>
      <c r="C606" s="605" t="n">
        <f>HYPERLINK("https://www.xiaohongshu.com/explore/69e5c59d000000001a02f4d0?xsec_token=TBRM_4pSbJalcnymykJyoKXUn0yVFZlj7i1TmrqIIcKoI=&amp;xsec_source=pc_trdark","https://www.xiaohongshu.com/explore/69e5c59d000000001a02f4d0?xsec_token=TBRM_4pSbJalcnymykJyoKXUn0yVFZlj7i1TmrqIIcKoI=&amp;xsec_source=pc_trdark")</f>
        <v>0.0</v>
      </c>
      <c r="D606" t="inlineStr">
        <is>
          <t>鲜水湾</t>
        </is>
      </c>
      <c r="E606" t="inlineStr">
        <is>
          <t>49316638994</t>
        </is>
      </c>
      <c r="F606" t="inlineStr">
        <is>
          <t>2026-04-20 14:20:13</t>
        </is>
      </c>
      <c r="G606" t="inlineStr">
        <is>
          <t>图文</t>
        </is>
      </c>
      <c r="H606" t="inlineStr">
        <is>
          <t>手剥虾仁 无冰衣无添加 低脂餐一人食 上班带饭 顺丰包邮 5盒装</t>
        </is>
      </c>
      <c r="I606" t="inlineStr">
        <is>
          <t>694baba01d450d00013662f0</t>
        </is>
      </c>
      <c r="J606" t="inlineStr">
        <is>
          <t/>
        </is>
      </c>
      <c r="K606" t="n">
        <v>0.0</v>
      </c>
      <c r="L606" t="n">
        <v>0.0</v>
      </c>
      <c r="M606" t="n">
        <v>2.0</v>
      </c>
      <c r="N606" t="n">
        <v>1.0</v>
      </c>
      <c r="O606" t="n">
        <v>2.0</v>
      </c>
      <c r="P606" t="n">
        <v>0.0</v>
      </c>
      <c r="Q606" t="n">
        <v>0.0</v>
      </c>
      <c r="R606" t="n">
        <v>0.0</v>
      </c>
      <c r="S606" t="n">
        <v>0.0</v>
      </c>
      <c r="T606" t="n">
        <v>0.0</v>
      </c>
      <c r="U606" t="n">
        <v>0.0</v>
      </c>
      <c r="V606" t="n">
        <v>0.0</v>
      </c>
      <c r="W606" t="inlineStr">
        <is>
          <t/>
        </is>
      </c>
      <c r="X606" t="n">
        <v>0.0</v>
      </c>
      <c r="Y606" t="n">
        <v>1.0</v>
      </c>
      <c r="Z606" t="n">
        <v>0.0</v>
      </c>
      <c r="AA606" t="n">
        <v>0.0</v>
      </c>
      <c r="AB606" t="n">
        <v>0.0</v>
      </c>
      <c r="AC606" t="n">
        <v>0.0</v>
      </c>
      <c r="AD606" t="n">
        <v>2.0</v>
      </c>
      <c r="AE606" t="n">
        <v>0.0</v>
      </c>
      <c r="AF606" t="n">
        <v>0.0</v>
      </c>
      <c r="AG606" t="n">
        <v>0.0</v>
      </c>
      <c r="AH606" t="n">
        <v>0.0</v>
      </c>
      <c r="AI606" t="n">
        <v>0.0</v>
      </c>
      <c r="AJ606" t="n">
        <v>0.0</v>
      </c>
      <c r="AK606" t="n">
        <v>64.0</v>
      </c>
      <c r="AL606" t="inlineStr">
        <is>
          <t/>
        </is>
      </c>
    </row>
    <row r="607">
      <c r="A607" t="inlineStr">
        <is>
          <t>区区 300 块承包了我一个月的轻食餐</t>
        </is>
      </c>
      <c r="B607" t="inlineStr">
        <is>
          <t>69e1ffb1000000001a034520</t>
        </is>
      </c>
      <c r="C607" s="606" t="n">
        <f>HYPERLINK("https://www.xiaohongshu.com/explore/69e1ffb1000000001a034520?xsec_token=TB8N84m1IX58SDo_19LEXNLweaJHUUEWwNPIBoEy31LDU=&amp;xsec_source=pc_trdark","https://www.xiaohongshu.com/explore/69e1ffb1000000001a034520?xsec_token=TB8N84m1IX58SDo_19LEXNLweaJHUUEWwNPIBoEy31LDU=&amp;xsec_source=pc_trdark")</f>
        <v>0.0</v>
      </c>
      <c r="D607" t="inlineStr">
        <is>
          <t>婉婉上班吃什么</t>
        </is>
      </c>
      <c r="E607" t="inlineStr">
        <is>
          <t>11434449706</t>
        </is>
      </c>
      <c r="F607" t="inlineStr">
        <is>
          <t>2026-04-17 17:38:57</t>
        </is>
      </c>
      <c r="G607" t="inlineStr">
        <is>
          <t>图文</t>
        </is>
      </c>
      <c r="H607" t="inlineStr">
        <is>
          <t>智利三文鱼切块·整条三文鱼·深海鱼一人食健康饮食</t>
        </is>
      </c>
      <c r="I607" t="inlineStr">
        <is>
          <t>691ac562a524ee0001b51d7b</t>
        </is>
      </c>
      <c r="J607" t="inlineStr">
        <is>
          <t/>
        </is>
      </c>
      <c r="K607" t="n">
        <v>0.0</v>
      </c>
      <c r="L607" t="n">
        <v>0.0</v>
      </c>
      <c r="M607" t="n">
        <v>0.0</v>
      </c>
      <c r="N607" t="n">
        <v>0.0</v>
      </c>
      <c r="O607" t="n">
        <v>0.0</v>
      </c>
      <c r="P607" t="n">
        <v>0.0</v>
      </c>
      <c r="Q607" t="inlineStr">
        <is>
          <t/>
        </is>
      </c>
      <c r="R607" t="inlineStr">
        <is>
          <t/>
        </is>
      </c>
      <c r="S607" t="n">
        <v>0.0</v>
      </c>
      <c r="T607" t="n">
        <v>0.0</v>
      </c>
      <c r="U607" t="n">
        <v>0.0</v>
      </c>
      <c r="V607" t="n">
        <v>0.0</v>
      </c>
      <c r="W607" t="inlineStr">
        <is>
          <t/>
        </is>
      </c>
      <c r="X607" t="n">
        <v>0.0</v>
      </c>
      <c r="Y607" t="n">
        <v>0.0</v>
      </c>
      <c r="Z607" t="n">
        <v>0.0</v>
      </c>
      <c r="AA607" t="n">
        <v>0.0</v>
      </c>
      <c r="AB607" t="n">
        <v>0.0</v>
      </c>
      <c r="AC607" t="n">
        <v>0.0</v>
      </c>
      <c r="AD607" t="n">
        <v>2.0</v>
      </c>
      <c r="AE607" t="n">
        <v>0.0</v>
      </c>
      <c r="AF607" t="n">
        <v>0.0</v>
      </c>
      <c r="AG607" t="n">
        <v>0.0</v>
      </c>
      <c r="AH607" t="n">
        <v>0.0</v>
      </c>
      <c r="AI607" t="n">
        <v>0.0</v>
      </c>
      <c r="AJ607" t="n">
        <v>0.0</v>
      </c>
      <c r="AK607" t="n">
        <v>3.5</v>
      </c>
      <c r="AL607" t="inlineStr">
        <is>
          <t/>
        </is>
      </c>
    </row>
    <row r="608">
      <c r="A608" t="inlineStr">
        <is>
          <t>听老粉的话，推出了一人食小包装</t>
        </is>
      </c>
      <c r="B608" t="inlineStr">
        <is>
          <t>69da5875000000001e00f4e5</t>
        </is>
      </c>
      <c r="C608" s="607" t="n">
        <f>HYPERLINK("https://www.xiaohongshu.com/explore/69da5875000000001e00f4e5?xsec_token=TBhxbjR_dqBsHKT9m13UeVyrNo9Wty0PiWU2T5gm1MJto=&amp;xsec_source=pc_trdark","https://www.xiaohongshu.com/explore/69da5875000000001e00f4e5?xsec_token=TBhxbjR_dqBsHKT9m13UeVyrNo9Wty0PiWU2T5gm1MJto=&amp;xsec_source=pc_trdark")</f>
        <v>0.0</v>
      </c>
      <c r="D608" t="inlineStr">
        <is>
          <t>鲜水湾</t>
        </is>
      </c>
      <c r="E608" t="inlineStr">
        <is>
          <t>49316638994</t>
        </is>
      </c>
      <c r="F608" t="inlineStr">
        <is>
          <t>2026-04-11 22:19:33</t>
        </is>
      </c>
      <c r="G608" t="inlineStr">
        <is>
          <t>图文</t>
        </is>
      </c>
      <c r="H608" t="inlineStr">
        <is>
          <t>手剥虾仁 无冰衣无添加 低脂餐一人食 上班带饭 顺丰包邮 5盒装</t>
        </is>
      </c>
      <c r="I608" t="inlineStr">
        <is>
          <t>694baba01d450d00013662f0</t>
        </is>
      </c>
      <c r="J608" t="inlineStr">
        <is>
          <t/>
        </is>
      </c>
      <c r="K608" t="n">
        <v>0.0</v>
      </c>
      <c r="L608" t="n">
        <v>0.0</v>
      </c>
      <c r="M608" t="n">
        <v>0.0</v>
      </c>
      <c r="N608" t="n">
        <v>0.0</v>
      </c>
      <c r="O608" t="n">
        <v>0.0</v>
      </c>
      <c r="P608" t="n">
        <v>0.0</v>
      </c>
      <c r="Q608" t="inlineStr">
        <is>
          <t/>
        </is>
      </c>
      <c r="R608" t="inlineStr">
        <is>
          <t/>
        </is>
      </c>
      <c r="S608" t="n">
        <v>0.0</v>
      </c>
      <c r="T608" t="n">
        <v>0.0</v>
      </c>
      <c r="U608" t="n">
        <v>0.0</v>
      </c>
      <c r="V608" t="n">
        <v>0.0</v>
      </c>
      <c r="W608" t="inlineStr">
        <is>
          <t/>
        </is>
      </c>
      <c r="X608" t="n">
        <v>0.0</v>
      </c>
      <c r="Y608" t="n">
        <v>0.0</v>
      </c>
      <c r="Z608" t="n">
        <v>0.0</v>
      </c>
      <c r="AA608" t="n">
        <v>0.0</v>
      </c>
      <c r="AB608" t="n">
        <v>0.0</v>
      </c>
      <c r="AC608" t="n">
        <v>0.0</v>
      </c>
      <c r="AD608" t="n">
        <v>2.0</v>
      </c>
      <c r="AE608" t="n">
        <v>0.0</v>
      </c>
      <c r="AF608" t="n">
        <v>0.0</v>
      </c>
      <c r="AG608" t="n">
        <v>0.0</v>
      </c>
      <c r="AH608" t="n">
        <v>0.0</v>
      </c>
      <c r="AI608" t="n">
        <v>0.0</v>
      </c>
      <c r="AJ608" t="n">
        <v>0.0</v>
      </c>
      <c r="AK608" t="n">
        <v>7.0</v>
      </c>
      <c r="AL608" t="inlineStr">
        <is>
          <t/>
        </is>
      </c>
    </row>
    <row r="609">
      <c r="A609" t="inlineStr">
        <is>
          <t>平台期三天没掉秤靠它直接破局</t>
        </is>
      </c>
      <c r="B609" t="inlineStr">
        <is>
          <t>69da31820000000022024842</t>
        </is>
      </c>
      <c r="C609" s="608" t="n">
        <f>HYPERLINK("https://www.xiaohongshu.com/explore/69da31820000000022024842?xsec_token=TBhxbjR_dqBsHKT9m13UeVym45yDwuD7v4TAOxSw50qNg=&amp;xsec_source=pc_trdark","https://www.xiaohongshu.com/explore/69da31820000000022024842?xsec_token=TBhxbjR_dqBsHKT9m13UeVym45yDwuD7v4TAOxSw50qNg=&amp;xsec_source=pc_trdark")</f>
        <v>0.0</v>
      </c>
      <c r="D609" t="inlineStr">
        <is>
          <t>婉婉上班吃什么</t>
        </is>
      </c>
      <c r="E609" t="inlineStr">
        <is>
          <t>11434449706</t>
        </is>
      </c>
      <c r="F609" t="inlineStr">
        <is>
          <t>2026-04-11 19:33:22</t>
        </is>
      </c>
      <c r="G609" t="inlineStr">
        <is>
          <t>图文</t>
        </is>
      </c>
      <c r="H609" t="inlineStr">
        <is>
          <t>手剥虾仁 无冰衣无添加 低脂餐一人食 上班带饭 顺丰包邮 5盒装</t>
        </is>
      </c>
      <c r="I609" t="inlineStr">
        <is>
          <t>694baba01d450d00013662f0</t>
        </is>
      </c>
      <c r="J609" t="inlineStr">
        <is>
          <t/>
        </is>
      </c>
      <c r="K609" t="n">
        <v>0.0</v>
      </c>
      <c r="L609" t="n">
        <v>0.0</v>
      </c>
      <c r="M609" t="n">
        <v>0.0</v>
      </c>
      <c r="N609" t="n">
        <v>0.0</v>
      </c>
      <c r="O609" t="n">
        <v>0.0</v>
      </c>
      <c r="P609" t="n">
        <v>0.0</v>
      </c>
      <c r="Q609" t="inlineStr">
        <is>
          <t/>
        </is>
      </c>
      <c r="R609" t="inlineStr">
        <is>
          <t/>
        </is>
      </c>
      <c r="S609" t="n">
        <v>0.0</v>
      </c>
      <c r="T609" t="n">
        <v>0.0</v>
      </c>
      <c r="U609" t="n">
        <v>0.0</v>
      </c>
      <c r="V609" t="n">
        <v>0.0</v>
      </c>
      <c r="W609" t="inlineStr">
        <is>
          <t/>
        </is>
      </c>
      <c r="X609" t="n">
        <v>0.0</v>
      </c>
      <c r="Y609" t="n">
        <v>0.0</v>
      </c>
      <c r="Z609" t="n">
        <v>0.0</v>
      </c>
      <c r="AA609" t="n">
        <v>0.0</v>
      </c>
      <c r="AB609" t="n">
        <v>0.0</v>
      </c>
      <c r="AC609" t="n">
        <v>0.0</v>
      </c>
      <c r="AD609" t="n">
        <v>2.0</v>
      </c>
      <c r="AE609" t="n">
        <v>0.0</v>
      </c>
      <c r="AF609" t="n">
        <v>0.0</v>
      </c>
      <c r="AG609" t="n">
        <v>0.0</v>
      </c>
      <c r="AH609" t="n">
        <v>0.0</v>
      </c>
      <c r="AI609" t="n">
        <v>0.0</v>
      </c>
      <c r="AJ609" t="n">
        <v>0.0</v>
      </c>
      <c r="AK609" t="n">
        <v>14.0</v>
      </c>
      <c r="AL609" t="inlineStr">
        <is>
          <t/>
        </is>
      </c>
    </row>
    <row r="610">
      <c r="A610" t="inlineStr">
        <is>
          <t>疫情之后我习惯了囤货…</t>
        </is>
      </c>
      <c r="B610" t="inlineStr">
        <is>
          <t>69d76d42000000001a0366d2</t>
        </is>
      </c>
      <c r="C610" s="609" t="n">
        <f>HYPERLINK("https://www.xiaohongshu.com/explore/69d76d42000000001a0366d2?xsec_token=TBabSJw1DqF320Z_FWL3yrQ3DD-fAbn4BcCPcGW6AscIE=&amp;xsec_source=pc_trdark","https://www.xiaohongshu.com/explore/69d76d42000000001a0366d2?xsec_token=TBabSJw1DqF320Z_FWL3yrQ3DD-fAbn4BcCPcGW6AscIE=&amp;xsec_source=pc_trdark")</f>
        <v>0.0</v>
      </c>
      <c r="D610" t="inlineStr">
        <is>
          <t>婉婉上班吃什么</t>
        </is>
      </c>
      <c r="E610" t="inlineStr">
        <is>
          <t>11434449706</t>
        </is>
      </c>
      <c r="F610" t="inlineStr">
        <is>
          <t>2026-04-09 17:11:30</t>
        </is>
      </c>
      <c r="G610" t="inlineStr">
        <is>
          <t>图文</t>
        </is>
      </c>
      <c r="H610" t="inlineStr">
        <is>
          <t>手剥虾仁 无冰衣无添加 低脂餐一人食 上班带饭 顺丰包邮 5盒装</t>
        </is>
      </c>
      <c r="I610" t="inlineStr">
        <is>
          <t>694baba01d450d00013662f0</t>
        </is>
      </c>
      <c r="J610" t="inlineStr">
        <is>
          <t/>
        </is>
      </c>
      <c r="K610" t="n">
        <v>0.0</v>
      </c>
      <c r="L610" t="n">
        <v>0.0</v>
      </c>
      <c r="M610" t="n">
        <v>0.0</v>
      </c>
      <c r="N610" t="n">
        <v>0.0</v>
      </c>
      <c r="O610" t="n">
        <v>0.0</v>
      </c>
      <c r="P610" t="n">
        <v>0.0</v>
      </c>
      <c r="Q610" t="inlineStr">
        <is>
          <t/>
        </is>
      </c>
      <c r="R610" t="inlineStr">
        <is>
          <t/>
        </is>
      </c>
      <c r="S610" t="n">
        <v>0.0</v>
      </c>
      <c r="T610" t="n">
        <v>0.0</v>
      </c>
      <c r="U610" t="n">
        <v>0.0</v>
      </c>
      <c r="V610" t="n">
        <v>0.0</v>
      </c>
      <c r="W610" t="inlineStr">
        <is>
          <t/>
        </is>
      </c>
      <c r="X610" t="n">
        <v>0.0</v>
      </c>
      <c r="Y610" t="n">
        <v>0.0</v>
      </c>
      <c r="Z610" t="n">
        <v>0.0</v>
      </c>
      <c r="AA610" t="n">
        <v>0.0</v>
      </c>
      <c r="AB610" t="n">
        <v>0.0</v>
      </c>
      <c r="AC610" t="n">
        <v>0.0</v>
      </c>
      <c r="AD610" t="n">
        <v>2.0</v>
      </c>
      <c r="AE610" t="n">
        <v>0.0</v>
      </c>
      <c r="AF610" t="n">
        <v>0.0</v>
      </c>
      <c r="AG610" t="n">
        <v>0.0</v>
      </c>
      <c r="AH610" t="n">
        <v>0.0</v>
      </c>
      <c r="AI610" t="n">
        <v>0.0</v>
      </c>
      <c r="AJ610" t="n">
        <v>0.0</v>
      </c>
      <c r="AK610" t="n">
        <v>35.5</v>
      </c>
      <c r="AL610" t="inlineStr">
        <is>
          <t/>
        </is>
      </c>
    </row>
    <row r="611">
      <c r="A611" t="inlineStr">
        <is>
          <t>在家煎三文鱼一整条才300块，餐厅看了都沉默</t>
        </is>
      </c>
      <c r="B611" t="inlineStr">
        <is>
          <t>69d4e50d0000000020039031</t>
        </is>
      </c>
      <c r="C611" s="610" t="n">
        <f>HYPERLINK("https://www.xiaohongshu.com/explore/69d4e50d0000000020039031?xsec_token=TBCfzrc-PQxdd2ruCVqHUjYn4WUC43_O8dA4C93uibOOI=&amp;xsec_source=pc_trdark","https://www.xiaohongshu.com/explore/69d4e50d0000000020039031?xsec_token=TBCfzrc-PQxdd2ruCVqHUjYn4WUC43_O8dA4C93uibOOI=&amp;xsec_source=pc_trdark")</f>
        <v>0.0</v>
      </c>
      <c r="D611" t="inlineStr">
        <is>
          <t>鲜水湾</t>
        </is>
      </c>
      <c r="E611" t="inlineStr">
        <is>
          <t>49316638994</t>
        </is>
      </c>
      <c r="F611" t="inlineStr">
        <is>
          <t>2026-04-07 19:05:49</t>
        </is>
      </c>
      <c r="G611" t="inlineStr">
        <is>
          <t>图文</t>
        </is>
      </c>
      <c r="H611" t="inlineStr">
        <is>
          <t>智利三文鱼切块·整条三文鱼·深海鱼一人食健康饮食</t>
        </is>
      </c>
      <c r="I611" t="inlineStr">
        <is>
          <t>691ac562a524ee0001b51d7b</t>
        </is>
      </c>
      <c r="J611" t="inlineStr">
        <is>
          <t/>
        </is>
      </c>
      <c r="K611" t="n">
        <v>0.0</v>
      </c>
      <c r="L611" t="n">
        <v>0.0</v>
      </c>
      <c r="M611" t="n">
        <v>0.0</v>
      </c>
      <c r="N611" t="n">
        <v>0.0</v>
      </c>
      <c r="O611" t="n">
        <v>0.0</v>
      </c>
      <c r="P611" t="n">
        <v>0.0</v>
      </c>
      <c r="Q611" t="inlineStr">
        <is>
          <t/>
        </is>
      </c>
      <c r="R611" t="inlineStr">
        <is>
          <t/>
        </is>
      </c>
      <c r="S611" t="n">
        <v>0.0</v>
      </c>
      <c r="T611" t="n">
        <v>0.0</v>
      </c>
      <c r="U611" t="n">
        <v>0.0</v>
      </c>
      <c r="V611" t="n">
        <v>0.0</v>
      </c>
      <c r="W611" t="inlineStr">
        <is>
          <t/>
        </is>
      </c>
      <c r="X611" t="n">
        <v>0.0</v>
      </c>
      <c r="Y611" t="n">
        <v>0.0</v>
      </c>
      <c r="Z611" t="n">
        <v>0.0</v>
      </c>
      <c r="AA611" t="n">
        <v>0.0</v>
      </c>
      <c r="AB611" t="n">
        <v>0.0</v>
      </c>
      <c r="AC611" t="n">
        <v>0.0</v>
      </c>
      <c r="AD611" t="n">
        <v>2.0</v>
      </c>
      <c r="AE611" t="n">
        <v>0.0</v>
      </c>
      <c r="AF611" t="n">
        <v>0.0</v>
      </c>
      <c r="AG611" t="n">
        <v>0.0</v>
      </c>
      <c r="AH611" t="n">
        <v>0.0</v>
      </c>
      <c r="AI611" t="n">
        <v>0.0</v>
      </c>
      <c r="AJ611" t="n">
        <v>0.0</v>
      </c>
      <c r="AK611" t="n">
        <v>7.0</v>
      </c>
      <c r="AL611" t="inlineStr">
        <is>
          <t/>
        </is>
      </c>
    </row>
    <row r="612">
      <c r="A612" t="inlineStr">
        <is>
          <t>100块吃不了一顿火锅，但承包我一周减脂餐！</t>
        </is>
      </c>
      <c r="B612" t="inlineStr">
        <is>
          <t>69d1b8260000000020038c95</t>
        </is>
      </c>
      <c r="C612" s="611" t="n">
        <f>HYPERLINK("https://www.xiaohongshu.com/explore/69d1b8260000000020038c95?xsec_token=TBT5TAUGV3LcD_GYbSvfENi3aZt3y-wlpNxjD9AzfoxOw=&amp;xsec_source=pc_trdark","https://www.xiaohongshu.com/explore/69d1b8260000000020038c95?xsec_token=TBT5TAUGV3LcD_GYbSvfENi3aZt3y-wlpNxjD9AzfoxOw=&amp;xsec_source=pc_trdark")</f>
        <v>0.0</v>
      </c>
      <c r="D612" t="inlineStr">
        <is>
          <t>鲜水湾</t>
        </is>
      </c>
      <c r="E612" t="inlineStr">
        <is>
          <t>49316638994</t>
        </is>
      </c>
      <c r="F612" t="inlineStr">
        <is>
          <t>2026-04-05 09:17:26</t>
        </is>
      </c>
      <c r="G612" t="inlineStr">
        <is>
          <t>图文</t>
        </is>
      </c>
      <c r="H612" t="inlineStr">
        <is>
          <t>手剥虾仁 无冰衣无添加 低脂餐一人食 上班带饭 顺丰包邮 5盒装</t>
        </is>
      </c>
      <c r="I612" t="inlineStr">
        <is>
          <t>694baba01d450d00013662f0</t>
        </is>
      </c>
      <c r="J612" t="inlineStr">
        <is>
          <t/>
        </is>
      </c>
      <c r="K612" t="n">
        <v>0.0</v>
      </c>
      <c r="L612" t="n">
        <v>0.0</v>
      </c>
      <c r="M612" t="n">
        <v>1.0</v>
      </c>
      <c r="N612" t="n">
        <v>0.5</v>
      </c>
      <c r="O612" t="n">
        <v>1.0</v>
      </c>
      <c r="P612" t="n">
        <v>0.0</v>
      </c>
      <c r="Q612" t="n">
        <v>0.0</v>
      </c>
      <c r="R612" t="n">
        <v>0.0</v>
      </c>
      <c r="S612" t="n">
        <v>0.0</v>
      </c>
      <c r="T612" t="n">
        <v>0.0</v>
      </c>
      <c r="U612" t="n">
        <v>0.0</v>
      </c>
      <c r="V612" t="n">
        <v>0.0</v>
      </c>
      <c r="W612" t="inlineStr">
        <is>
          <t/>
        </is>
      </c>
      <c r="X612" t="n">
        <v>0.0</v>
      </c>
      <c r="Y612" t="n">
        <v>0.0</v>
      </c>
      <c r="Z612" t="n">
        <v>0.0</v>
      </c>
      <c r="AA612" t="n">
        <v>0.0</v>
      </c>
      <c r="AB612" t="n">
        <v>0.0</v>
      </c>
      <c r="AC612" t="n">
        <v>0.0</v>
      </c>
      <c r="AD612" t="n">
        <v>2.0</v>
      </c>
      <c r="AE612" t="n">
        <v>0.0</v>
      </c>
      <c r="AF612" t="n">
        <v>0.0</v>
      </c>
      <c r="AG612" t="n">
        <v>0.0</v>
      </c>
      <c r="AH612" t="n">
        <v>0.0</v>
      </c>
      <c r="AI612" t="n">
        <v>0.0</v>
      </c>
      <c r="AJ612" t="n">
        <v>0.0</v>
      </c>
      <c r="AK612" t="n">
        <v>7.5</v>
      </c>
      <c r="AL612" t="inlineStr">
        <is>
          <t/>
        </is>
      </c>
    </row>
    <row r="613">
      <c r="A613" t="inlineStr">
        <is>
          <t>感谢315！终于让大家认识无保水剂虾仁🙏</t>
        </is>
      </c>
      <c r="B613" t="inlineStr">
        <is>
          <t>69ca0e530000000022025ec0</t>
        </is>
      </c>
      <c r="C613" s="612" t="n">
        <f>HYPERLINK("https://www.xiaohongshu.com/explore/69ca0e530000000022025ec0?xsec_token=TBZMwIQ43aS0K0DsaEHGlBqhhKgiVyCr3Q8easCS383gA=&amp;xsec_source=pc_trdark","https://www.xiaohongshu.com/explore/69ca0e530000000022025ec0?xsec_token=TBZMwIQ43aS0K0DsaEHGlBqhhKgiVyCr3Q8easCS383gA=&amp;xsec_source=pc_trdark")</f>
        <v>0.0</v>
      </c>
      <c r="D613" t="inlineStr">
        <is>
          <t>鲜水湾</t>
        </is>
      </c>
      <c r="E613" t="inlineStr">
        <is>
          <t>49316638994</t>
        </is>
      </c>
      <c r="F613" t="inlineStr">
        <is>
          <t>2026-03-30 13:46:59</t>
        </is>
      </c>
      <c r="G613" t="inlineStr">
        <is>
          <t>图文</t>
        </is>
      </c>
      <c r="H613" t="inlineStr">
        <is>
          <t>手剥虾仁 无冰衣无添加 低脂餐一人食 上班带饭 顺丰包邮 5盒装</t>
        </is>
      </c>
      <c r="I613" t="inlineStr">
        <is>
          <t>694baba01d450d00013662f0</t>
        </is>
      </c>
      <c r="J613" t="inlineStr">
        <is>
          <t/>
        </is>
      </c>
      <c r="K613" t="n">
        <v>0.0</v>
      </c>
      <c r="L613" t="n">
        <v>0.0</v>
      </c>
      <c r="M613" t="n">
        <v>0.0</v>
      </c>
      <c r="N613" t="n">
        <v>0.0</v>
      </c>
      <c r="O613" t="n">
        <v>0.0</v>
      </c>
      <c r="P613" t="n">
        <v>0.0</v>
      </c>
      <c r="Q613" t="inlineStr">
        <is>
          <t/>
        </is>
      </c>
      <c r="R613" t="inlineStr">
        <is>
          <t/>
        </is>
      </c>
      <c r="S613" t="n">
        <v>0.0</v>
      </c>
      <c r="T613" t="n">
        <v>0.0</v>
      </c>
      <c r="U613" t="n">
        <v>0.0</v>
      </c>
      <c r="V613" t="n">
        <v>0.0</v>
      </c>
      <c r="W613" t="inlineStr">
        <is>
          <t/>
        </is>
      </c>
      <c r="X613" t="n">
        <v>0.0</v>
      </c>
      <c r="Y613" t="n">
        <v>0.0</v>
      </c>
      <c r="Z613" t="n">
        <v>0.0</v>
      </c>
      <c r="AA613" t="n">
        <v>0.0</v>
      </c>
      <c r="AB613" t="n">
        <v>0.0</v>
      </c>
      <c r="AC613" t="n">
        <v>0.0</v>
      </c>
      <c r="AD613" t="n">
        <v>2.0</v>
      </c>
      <c r="AE613" t="n">
        <v>0.0</v>
      </c>
      <c r="AF613" t="n">
        <v>0.0</v>
      </c>
      <c r="AG613" t="n">
        <v>0.0</v>
      </c>
      <c r="AH613" t="n">
        <v>0.0</v>
      </c>
      <c r="AI613" t="n">
        <v>0.0</v>
      </c>
      <c r="AJ613" t="n">
        <v>0.0</v>
      </c>
      <c r="AK613" t="n">
        <v>4.5</v>
      </c>
      <c r="AL613" t="inlineStr">
        <is>
          <t/>
        </is>
      </c>
    </row>
    <row r="614">
      <c r="A614" t="inlineStr">
        <is>
          <t>无保水虾仁才是孕妈妈、宝宝辅食的首选</t>
        </is>
      </c>
      <c r="B614" t="inlineStr">
        <is>
          <t>69c8cd4e0000000022028710</t>
        </is>
      </c>
      <c r="C614" s="613" t="n">
        <f>HYPERLINK("https://www.xiaohongshu.com/explore/69c8cd4e0000000022028710?xsec_token=TBSs0bsvi6YGXB042lLCz_JLk-P_R2ttQQGAlg49okX5c=&amp;xsec_source=pc_trdark","https://www.xiaohongshu.com/explore/69c8cd4e0000000022028710?xsec_token=TBSs0bsvi6YGXB042lLCz_JLk-P_R2ttQQGAlg49okX5c=&amp;xsec_source=pc_trdark")</f>
        <v>0.0</v>
      </c>
      <c r="D614" t="inlineStr">
        <is>
          <t>鲜水湾</t>
        </is>
      </c>
      <c r="E614" t="inlineStr">
        <is>
          <t>49316638994</t>
        </is>
      </c>
      <c r="F614" t="inlineStr">
        <is>
          <t>2026-03-29 14:57:18</t>
        </is>
      </c>
      <c r="G614" t="inlineStr">
        <is>
          <t>图文</t>
        </is>
      </c>
      <c r="H614" t="inlineStr">
        <is>
          <t>手剥虾仁 无冰衣无添加 低脂餐一人食 上班带饭 顺丰包邮 5盒装</t>
        </is>
      </c>
      <c r="I614" t="inlineStr">
        <is>
          <t>694baba01d450d00013662f0</t>
        </is>
      </c>
      <c r="J614" t="inlineStr">
        <is>
          <t/>
        </is>
      </c>
      <c r="K614" t="n">
        <v>0.0</v>
      </c>
      <c r="L614" t="n">
        <v>0.0</v>
      </c>
      <c r="M614" t="n">
        <v>0.0</v>
      </c>
      <c r="N614" t="n">
        <v>0.0</v>
      </c>
      <c r="O614" t="n">
        <v>0.0</v>
      </c>
      <c r="P614" t="n">
        <v>0.0</v>
      </c>
      <c r="Q614" t="inlineStr">
        <is>
          <t/>
        </is>
      </c>
      <c r="R614" t="inlineStr">
        <is>
          <t/>
        </is>
      </c>
      <c r="S614" t="n">
        <v>0.0</v>
      </c>
      <c r="T614" t="n">
        <v>0.0</v>
      </c>
      <c r="U614" t="n">
        <v>0.0</v>
      </c>
      <c r="V614" t="n">
        <v>0.0</v>
      </c>
      <c r="W614" t="inlineStr">
        <is>
          <t/>
        </is>
      </c>
      <c r="X614" t="n">
        <v>0.0</v>
      </c>
      <c r="Y614" t="n">
        <v>0.0</v>
      </c>
      <c r="Z614" t="n">
        <v>0.0</v>
      </c>
      <c r="AA614" t="n">
        <v>0.0</v>
      </c>
      <c r="AB614" t="n">
        <v>0.0</v>
      </c>
      <c r="AC614" t="n">
        <v>0.0</v>
      </c>
      <c r="AD614" t="n">
        <v>2.0</v>
      </c>
      <c r="AE614" t="n">
        <v>0.0</v>
      </c>
      <c r="AF614" t="n">
        <v>1.0</v>
      </c>
      <c r="AG614" t="n">
        <v>0.0</v>
      </c>
      <c r="AH614" t="n">
        <v>0.0</v>
      </c>
      <c r="AI614" t="n">
        <v>0.0</v>
      </c>
      <c r="AJ614" t="n">
        <v>0.0</v>
      </c>
      <c r="AK614" t="n">
        <v>17.5</v>
      </c>
      <c r="AL614" t="inlineStr">
        <is>
          <t/>
        </is>
      </c>
    </row>
    <row r="615">
      <c r="A615" t="inlineStr">
        <is>
          <t>某姆对不起，我移情这个一人食大虾仁了！🍤</t>
        </is>
      </c>
      <c r="B615" t="inlineStr">
        <is>
          <t>69bbe546000000001f0000ea</t>
        </is>
      </c>
      <c r="C615" s="614" t="n">
        <f>HYPERLINK("https://www.xiaohongshu.com/explore/69bbe546000000001f0000ea?xsec_token=TBbjiHoA30T3IRnkbtYIm1O-OLltaFji99JgmbCIl7rZU=&amp;xsec_source=pc_trdark","https://www.xiaohongshu.com/explore/69bbe546000000001f0000ea?xsec_token=TBbjiHoA30T3IRnkbtYIm1O-OLltaFji99JgmbCIl7rZU=&amp;xsec_source=pc_trdark")</f>
        <v>0.0</v>
      </c>
      <c r="D615" t="inlineStr">
        <is>
          <t>鲜水湾</t>
        </is>
      </c>
      <c r="E615" t="inlineStr">
        <is>
          <t>49316638994</t>
        </is>
      </c>
      <c r="F615" t="inlineStr">
        <is>
          <t>2026-03-19 20:00:06</t>
        </is>
      </c>
      <c r="G615" t="inlineStr">
        <is>
          <t>图文</t>
        </is>
      </c>
      <c r="H615" t="inlineStr">
        <is>
          <t>手剥虾仁 无冰衣无添加 低脂餐一人食 上班带饭 顺丰包邮 5盒装</t>
        </is>
      </c>
      <c r="I615" t="inlineStr">
        <is>
          <t>694baba01d450d00013662f0</t>
        </is>
      </c>
      <c r="J615" t="inlineStr">
        <is>
          <t/>
        </is>
      </c>
      <c r="K615" t="n">
        <v>0.0</v>
      </c>
      <c r="L615" t="n">
        <v>0.0</v>
      </c>
      <c r="M615" t="n">
        <v>0.0</v>
      </c>
      <c r="N615" t="n">
        <v>0.0</v>
      </c>
      <c r="O615" t="n">
        <v>0.0</v>
      </c>
      <c r="P615" t="n">
        <v>0.0</v>
      </c>
      <c r="Q615" t="inlineStr">
        <is>
          <t/>
        </is>
      </c>
      <c r="R615" t="inlineStr">
        <is>
          <t/>
        </is>
      </c>
      <c r="S615" t="n">
        <v>0.0</v>
      </c>
      <c r="T615" t="n">
        <v>0.0</v>
      </c>
      <c r="U615" t="n">
        <v>0.0</v>
      </c>
      <c r="V615" t="n">
        <v>0.0</v>
      </c>
      <c r="W615" t="inlineStr">
        <is>
          <t/>
        </is>
      </c>
      <c r="X615" t="n">
        <v>0.0</v>
      </c>
      <c r="Y615" t="n">
        <v>0.0</v>
      </c>
      <c r="Z615" t="n">
        <v>0.0</v>
      </c>
      <c r="AA615" t="n">
        <v>0.0</v>
      </c>
      <c r="AB615" t="n">
        <v>0.0</v>
      </c>
      <c r="AC615" t="n">
        <v>0.0</v>
      </c>
      <c r="AD615" t="n">
        <v>2.0</v>
      </c>
      <c r="AE615" t="n">
        <v>0.0</v>
      </c>
      <c r="AF615" t="n">
        <v>0.0</v>
      </c>
      <c r="AG615" t="n">
        <v>0.0</v>
      </c>
      <c r="AH615" t="n">
        <v>0.0</v>
      </c>
      <c r="AI615" t="n">
        <v>0.0</v>
      </c>
      <c r="AJ615" t="n">
        <v>0.0</v>
      </c>
      <c r="AK615" t="n">
        <v>7.5</v>
      </c>
      <c r="AL615" t="inlineStr">
        <is>
          <t/>
        </is>
      </c>
    </row>
    <row r="616">
      <c r="A616" t="inlineStr">
        <is>
          <t>为啥还去超市买虾？网上买真的便宜又实惠！</t>
        </is>
      </c>
      <c r="B616" t="inlineStr">
        <is>
          <t>69aaef50000000000e00d86f</t>
        </is>
      </c>
      <c r="C616" s="615" t="n">
        <f>HYPERLINK("https://www.xiaohongshu.com/explore/69aaef50000000000e00d86f?xsec_token=TB8xU8BGf5cxJmpLtWj3tacdza317oGd4fGjCaUsYSGsU=&amp;xsec_source=pc_trdark","https://www.xiaohongshu.com/explore/69aaef50000000000e00d86f?xsec_token=TB8xU8BGf5cxJmpLtWj3tacdza317oGd4fGjCaUsYSGsU=&amp;xsec_source=pc_trdark")</f>
        <v>0.0</v>
      </c>
      <c r="D616" t="inlineStr">
        <is>
          <t>鲜水湾</t>
        </is>
      </c>
      <c r="E616" t="inlineStr">
        <is>
          <t>49316638994</t>
        </is>
      </c>
      <c r="F616" t="inlineStr">
        <is>
          <t>2026-03-06 23:14:24</t>
        </is>
      </c>
      <c r="G616" t="inlineStr">
        <is>
          <t>图文</t>
        </is>
      </c>
      <c r="H616" t="inlineStr">
        <is>
          <t>大虾基围虾王牌大虾厄瓜多尔白虾盐冻虾仁海洋大虾送礼顺丰包邮</t>
        </is>
      </c>
      <c r="I616" t="inlineStr">
        <is>
          <t>690aeb7be379430001e686ac</t>
        </is>
      </c>
      <c r="J616" t="inlineStr">
        <is>
          <t/>
        </is>
      </c>
      <c r="K616" t="n">
        <v>0.0</v>
      </c>
      <c r="L616" t="n">
        <v>0.0</v>
      </c>
      <c r="M616" t="n">
        <v>0.0</v>
      </c>
      <c r="N616" t="n">
        <v>0.0</v>
      </c>
      <c r="O616" t="n">
        <v>0.0</v>
      </c>
      <c r="P616" t="n">
        <v>0.0</v>
      </c>
      <c r="Q616" t="inlineStr">
        <is>
          <t/>
        </is>
      </c>
      <c r="R616" t="inlineStr">
        <is>
          <t/>
        </is>
      </c>
      <c r="S616" t="n">
        <v>0.0</v>
      </c>
      <c r="T616" t="n">
        <v>0.0</v>
      </c>
      <c r="U616" t="n">
        <v>0.0</v>
      </c>
      <c r="V616" t="n">
        <v>0.0</v>
      </c>
      <c r="W616" t="inlineStr">
        <is>
          <t/>
        </is>
      </c>
      <c r="X616" t="n">
        <v>0.0</v>
      </c>
      <c r="Y616" t="n">
        <v>0.0</v>
      </c>
      <c r="Z616" t="n">
        <v>0.0</v>
      </c>
      <c r="AA616" t="n">
        <v>0.0</v>
      </c>
      <c r="AB616" t="n">
        <v>0.0</v>
      </c>
      <c r="AC616" t="n">
        <v>0.0</v>
      </c>
      <c r="AD616" t="n">
        <v>2.0</v>
      </c>
      <c r="AE616" t="n">
        <v>0.0</v>
      </c>
      <c r="AF616" t="n">
        <v>0.0</v>
      </c>
      <c r="AG616" t="n">
        <v>0.0</v>
      </c>
      <c r="AH616" t="n">
        <v>0.0</v>
      </c>
      <c r="AI616" t="n">
        <v>0.0</v>
      </c>
      <c r="AJ616" t="n">
        <v>0.0</v>
      </c>
      <c r="AK616" t="n">
        <v>2.5</v>
      </c>
      <c r="AL616" t="inlineStr">
        <is>
          <t/>
        </is>
      </c>
    </row>
    <row r="617">
      <c r="A617" t="inlineStr">
        <is>
          <t>一盒25r🔥日料店半成品爽吃</t>
        </is>
      </c>
      <c r="B617" t="inlineStr">
        <is>
          <t>69a78f0f00000000220334a8</t>
        </is>
      </c>
      <c r="C617" s="616" t="n">
        <f>HYPERLINK("https://www.xiaohongshu.com/explore/69a78f0f00000000220334a8?xsec_token=TBfaHJOfbObHzNAqAc3bkGMxRuuc5M21heVwl3DOClwEY=&amp;xsec_source=pc_trdark","https://www.xiaohongshu.com/explore/69a78f0f00000000220334a8?xsec_token=TBfaHJOfbObHzNAqAc3bkGMxRuuc5M21heVwl3DOClwEY=&amp;xsec_source=pc_trdark")</f>
        <v>0.0</v>
      </c>
      <c r="D617" t="inlineStr">
        <is>
          <t>鲜水湾甄选</t>
        </is>
      </c>
      <c r="E617" t="inlineStr">
        <is>
          <t>27401929161</t>
        </is>
      </c>
      <c r="F617" t="inlineStr">
        <is>
          <t>2026-03-04 09:46:55</t>
        </is>
      </c>
      <c r="G617" t="inlineStr">
        <is>
          <t>图文</t>
        </is>
      </c>
      <c r="H617" t="inlineStr">
        <is>
          <t>北极甜虾头籽甜虾元宝虾北极熊冰虾孕妈妈宝宝辅食顺丰</t>
        </is>
      </c>
      <c r="I617" t="inlineStr">
        <is>
          <t>6953717eb8f0bb000115158d</t>
        </is>
      </c>
      <c r="J617" t="inlineStr">
        <is>
          <t/>
        </is>
      </c>
      <c r="K617" t="n">
        <v>0.0</v>
      </c>
      <c r="L617" t="n">
        <v>0.0</v>
      </c>
      <c r="M617" t="n">
        <v>0.0</v>
      </c>
      <c r="N617" t="n">
        <v>0.0</v>
      </c>
      <c r="O617" t="n">
        <v>0.0</v>
      </c>
      <c r="P617" t="n">
        <v>0.0</v>
      </c>
      <c r="Q617" t="inlineStr">
        <is>
          <t/>
        </is>
      </c>
      <c r="R617" t="inlineStr">
        <is>
          <t/>
        </is>
      </c>
      <c r="S617" t="n">
        <v>0.0</v>
      </c>
      <c r="T617" t="n">
        <v>0.0</v>
      </c>
      <c r="U617" t="n">
        <v>0.0</v>
      </c>
      <c r="V617" t="n">
        <v>0.0</v>
      </c>
      <c r="W617" t="inlineStr">
        <is>
          <t/>
        </is>
      </c>
      <c r="X617" t="n">
        <v>0.0</v>
      </c>
      <c r="Y617" t="n">
        <v>0.0</v>
      </c>
      <c r="Z617" t="n">
        <v>1.0</v>
      </c>
      <c r="AA617" t="n">
        <v>0.0</v>
      </c>
      <c r="AB617" t="n">
        <v>0.0</v>
      </c>
      <c r="AC617" t="n">
        <v>0.0</v>
      </c>
      <c r="AD617" t="n">
        <v>2.0</v>
      </c>
      <c r="AE617" t="n">
        <v>0.0</v>
      </c>
      <c r="AF617" t="n">
        <v>0.0</v>
      </c>
      <c r="AG617" t="n">
        <v>0.0</v>
      </c>
      <c r="AH617" t="n">
        <v>0.0</v>
      </c>
      <c r="AI617" t="n">
        <v>0.0</v>
      </c>
      <c r="AJ617" t="n">
        <v>0.0</v>
      </c>
      <c r="AK617" t="n">
        <v>9.5</v>
      </c>
      <c r="AL617" t="inlineStr">
        <is>
          <t/>
        </is>
      </c>
    </row>
    <row r="618">
      <c r="A618" t="inlineStr">
        <is>
          <t>年前买北极甜虾的！年后都来回购了🤤</t>
        </is>
      </c>
      <c r="B618" t="inlineStr">
        <is>
          <t>699d4f80000000000b0134d4</t>
        </is>
      </c>
      <c r="C618" s="617" t="n">
        <f>HYPERLINK("https://www.xiaohongshu.com/explore/699d4f80000000000b0134d4?xsec_token=TBeFZqWudA4ECFcaumXjqu0Il1B7A1a0D94UGunWJ0iX8=&amp;xsec_source=pc_trdark","https://www.xiaohongshu.com/explore/699d4f80000000000b0134d4?xsec_token=TBeFZqWudA4ECFcaumXjqu0Il1B7A1a0D94UGunWJ0iX8=&amp;xsec_source=pc_trdark")</f>
        <v>0.0</v>
      </c>
      <c r="D618" t="inlineStr">
        <is>
          <t>鲜水湾甄选</t>
        </is>
      </c>
      <c r="E618" t="inlineStr">
        <is>
          <t>27401929161</t>
        </is>
      </c>
      <c r="F618" t="inlineStr">
        <is>
          <t>2026-02-24 15:13:04</t>
        </is>
      </c>
      <c r="G618" t="inlineStr">
        <is>
          <t>图文</t>
        </is>
      </c>
      <c r="H618" t="inlineStr">
        <is>
          <t>北极甜虾头籽甜虾元宝虾北极熊冰虾孕妈妈宝宝辅食顺丰</t>
        </is>
      </c>
      <c r="I618" t="inlineStr">
        <is>
          <t>6953717eb8f0bb000115158d</t>
        </is>
      </c>
      <c r="J618" t="inlineStr">
        <is>
          <t/>
        </is>
      </c>
      <c r="K618" t="n">
        <v>0.0</v>
      </c>
      <c r="L618" t="n">
        <v>0.0</v>
      </c>
      <c r="M618" t="n">
        <v>2.0</v>
      </c>
      <c r="N618" t="n">
        <v>1.0</v>
      </c>
      <c r="O618" t="n">
        <v>1.0</v>
      </c>
      <c r="P618" t="n">
        <v>0.0</v>
      </c>
      <c r="Q618" t="n">
        <v>0.0</v>
      </c>
      <c r="R618" t="n">
        <v>0.0</v>
      </c>
      <c r="S618" t="n">
        <v>0.0</v>
      </c>
      <c r="T618" t="n">
        <v>0.0</v>
      </c>
      <c r="U618" t="n">
        <v>0.0</v>
      </c>
      <c r="V618" t="n">
        <v>0.0</v>
      </c>
      <c r="W618" t="inlineStr">
        <is>
          <t/>
        </is>
      </c>
      <c r="X618" t="n">
        <v>0.0</v>
      </c>
      <c r="Y618" t="n">
        <v>0.0</v>
      </c>
      <c r="Z618" t="n">
        <v>0.0</v>
      </c>
      <c r="AA618" t="n">
        <v>0.0</v>
      </c>
      <c r="AB618" t="n">
        <v>0.0</v>
      </c>
      <c r="AC618" t="n">
        <v>0.0</v>
      </c>
      <c r="AD618" t="n">
        <v>2.0</v>
      </c>
      <c r="AE618" t="n">
        <v>0.0</v>
      </c>
      <c r="AF618" t="n">
        <v>0.0</v>
      </c>
      <c r="AG618" t="n">
        <v>0.0</v>
      </c>
      <c r="AH618" t="n">
        <v>0.0</v>
      </c>
      <c r="AI618" t="n">
        <v>0.0</v>
      </c>
      <c r="AJ618" t="n">
        <v>0.0</v>
      </c>
      <c r="AK618" t="n">
        <v>14.5</v>
      </c>
      <c r="AL618" t="inlineStr">
        <is>
          <t/>
        </is>
      </c>
    </row>
    <row r="619">
      <c r="A619" t="inlineStr">
        <is>
          <t>千万别小看300块的购买力！</t>
        </is>
      </c>
      <c r="B619" t="inlineStr">
        <is>
          <t>697c8086000000001a01c2f5</t>
        </is>
      </c>
      <c r="C619" s="618" t="n">
        <f>HYPERLINK("https://www.xiaohongshu.com/explore/697c8086000000001a01c2f5?xsec_token=TBV-62_c6Sms9X18ENcOcpiMePbi1gQl70HCE08Zq-6uI=&amp;xsec_source=pc_trdark","https://www.xiaohongshu.com/explore/697c8086000000001a01c2f5?xsec_token=TBV-62_c6Sms9X18ENcOcpiMePbi1gQl70HCE08Zq-6uI=&amp;xsec_source=pc_trdark")</f>
        <v>0.0</v>
      </c>
      <c r="D619" t="inlineStr">
        <is>
          <t>鲜水湾</t>
        </is>
      </c>
      <c r="E619" t="inlineStr">
        <is>
          <t>49316638994</t>
        </is>
      </c>
      <c r="F619" t="inlineStr">
        <is>
          <t>2026-01-30 17:57:26</t>
        </is>
      </c>
      <c r="G619" t="inlineStr">
        <is>
          <t>图文</t>
        </is>
      </c>
      <c r="H619" t="inlineStr">
        <is>
          <t>智利三文鱼切块·整条三文鱼·深海鱼一人食健康饮食</t>
        </is>
      </c>
      <c r="I619" t="inlineStr">
        <is>
          <t>691ac562a524ee0001b51d7b</t>
        </is>
      </c>
      <c r="J619" t="inlineStr">
        <is>
          <t/>
        </is>
      </c>
      <c r="K619" t="n">
        <v>0.0</v>
      </c>
      <c r="L619" t="n">
        <v>0.0</v>
      </c>
      <c r="M619" t="n">
        <v>0.0</v>
      </c>
      <c r="N619" t="n">
        <v>0.0</v>
      </c>
      <c r="O619" t="n">
        <v>0.0</v>
      </c>
      <c r="P619" t="n">
        <v>0.0</v>
      </c>
      <c r="Q619" t="inlineStr">
        <is>
          <t/>
        </is>
      </c>
      <c r="R619" t="inlineStr">
        <is>
          <t/>
        </is>
      </c>
      <c r="S619" t="n">
        <v>0.0</v>
      </c>
      <c r="T619" t="n">
        <v>0.0</v>
      </c>
      <c r="U619" t="n">
        <v>0.0</v>
      </c>
      <c r="V619" t="n">
        <v>0.0</v>
      </c>
      <c r="W619" t="inlineStr">
        <is>
          <t/>
        </is>
      </c>
      <c r="X619" t="n">
        <v>0.0</v>
      </c>
      <c r="Y619" t="n">
        <v>0.0</v>
      </c>
      <c r="Z619" t="n">
        <v>0.0</v>
      </c>
      <c r="AA619" t="n">
        <v>0.0</v>
      </c>
      <c r="AB619" t="n">
        <v>0.0</v>
      </c>
      <c r="AC619" t="n">
        <v>0.0</v>
      </c>
      <c r="AD619" t="n">
        <v>2.0</v>
      </c>
      <c r="AE619" t="n">
        <v>0.0</v>
      </c>
      <c r="AF619" t="n">
        <v>0.0</v>
      </c>
      <c r="AG619" t="n">
        <v>0.0</v>
      </c>
      <c r="AH619" t="n">
        <v>0.0</v>
      </c>
      <c r="AI619" t="n">
        <v>0.0</v>
      </c>
      <c r="AJ619" t="n">
        <v>0.0</v>
      </c>
      <c r="AK619" t="n">
        <v>2.5</v>
      </c>
      <c r="AL619" t="inlineStr">
        <is>
          <t/>
        </is>
      </c>
    </row>
    <row r="620">
      <c r="A620" t="inlineStr">
        <is>
          <t>跟爸妈商量后，决定推出整条三文鱼100单免邮</t>
        </is>
      </c>
      <c r="B620" t="inlineStr">
        <is>
          <t>6942ae0f000000001e03583f</t>
        </is>
      </c>
      <c r="C620" s="619" t="n">
        <f>HYPERLINK("https://www.xiaohongshu.com/explore/6942ae0f000000001e03583f?xsec_token=TB0tDM60Z2n8tclFaINyevIS3N7QYleAKe-QjjTaQbIp0=&amp;xsec_source=pc_trdark","https://www.xiaohongshu.com/explore/6942ae0f000000001e03583f?xsec_token=TB0tDM60Z2n8tclFaINyevIS3N7QYleAKe-QjjTaQbIp0=&amp;xsec_source=pc_trdark")</f>
        <v>0.0</v>
      </c>
      <c r="D620" t="inlineStr">
        <is>
          <t>鲜水湾</t>
        </is>
      </c>
      <c r="E620" t="inlineStr">
        <is>
          <t>49316638994</t>
        </is>
      </c>
      <c r="F620" t="inlineStr">
        <is>
          <t>2025-12-17 21:20:15</t>
        </is>
      </c>
      <c r="G620" t="inlineStr">
        <is>
          <t>图文</t>
        </is>
      </c>
      <c r="H620" t="inlineStr">
        <is>
          <t>智利三文鱼切块·整条三文鱼·深海鱼一人食健康饮食</t>
        </is>
      </c>
      <c r="I620" t="inlineStr">
        <is>
          <t>691ac562a524ee0001b51d7b</t>
        </is>
      </c>
      <c r="J620" t="inlineStr">
        <is>
          <t/>
        </is>
      </c>
      <c r="K620" t="n">
        <v>0.0</v>
      </c>
      <c r="L620" t="n">
        <v>0.0</v>
      </c>
      <c r="M620" t="n">
        <v>0.0</v>
      </c>
      <c r="N620" t="n">
        <v>0.0</v>
      </c>
      <c r="O620" t="n">
        <v>0.0</v>
      </c>
      <c r="P620" t="n">
        <v>0.0</v>
      </c>
      <c r="Q620" t="inlineStr">
        <is>
          <t/>
        </is>
      </c>
      <c r="R620" t="inlineStr">
        <is>
          <t/>
        </is>
      </c>
      <c r="S620" t="n">
        <v>0.0</v>
      </c>
      <c r="T620" t="n">
        <v>0.0</v>
      </c>
      <c r="U620" t="n">
        <v>0.0</v>
      </c>
      <c r="V620" t="n">
        <v>0.0</v>
      </c>
      <c r="W620" t="inlineStr">
        <is>
          <t/>
        </is>
      </c>
      <c r="X620" t="n">
        <v>0.0</v>
      </c>
      <c r="Y620" t="n">
        <v>0.0</v>
      </c>
      <c r="Z620" t="n">
        <v>0.0</v>
      </c>
      <c r="AA620" t="n">
        <v>0.0</v>
      </c>
      <c r="AB620" t="n">
        <v>0.0</v>
      </c>
      <c r="AC620" t="n">
        <v>0.0</v>
      </c>
      <c r="AD620" t="n">
        <v>2.0</v>
      </c>
      <c r="AE620" t="n">
        <v>0.0</v>
      </c>
      <c r="AF620" t="n">
        <v>0.0</v>
      </c>
      <c r="AG620" t="n">
        <v>0.0</v>
      </c>
      <c r="AH620" t="n">
        <v>0.0</v>
      </c>
      <c r="AI620" t="n">
        <v>0.0</v>
      </c>
      <c r="AJ620" t="n">
        <v>0.0</v>
      </c>
      <c r="AK620" t="n">
        <v>3.5</v>
      </c>
      <c r="AL620" t="inlineStr">
        <is>
          <t/>
        </is>
      </c>
    </row>
    <row r="621">
      <c r="A621" t="inlineStr">
        <is>
          <t>厨房小白看这里！0失败的香煎三文鱼教程✅</t>
        </is>
      </c>
      <c r="B621" t="inlineStr">
        <is>
          <t>69415ddb000000001e034d33</t>
        </is>
      </c>
      <c r="C621" s="620" t="n">
        <f>HYPERLINK("https://www.xiaohongshu.com/explore/69415ddb000000001e034d33?xsec_token=TBv6go0WlLO6PYi5tzBr5K9YRgNpyTaicAvnbadSUBCKA=&amp;xsec_source=pc_trdark","https://www.xiaohongshu.com/explore/69415ddb000000001e034d33?xsec_token=TBv6go0WlLO6PYi5tzBr5K9YRgNpyTaicAvnbadSUBCKA=&amp;xsec_source=pc_trdark")</f>
        <v>0.0</v>
      </c>
      <c r="D621" t="inlineStr">
        <is>
          <t>鲜水湾</t>
        </is>
      </c>
      <c r="E621" t="inlineStr">
        <is>
          <t>49316638994</t>
        </is>
      </c>
      <c r="F621" t="inlineStr">
        <is>
          <t>2025-12-16 21:25:47</t>
        </is>
      </c>
      <c r="G621" t="inlineStr">
        <is>
          <t>图文</t>
        </is>
      </c>
      <c r="H621" t="inlineStr">
        <is>
          <t>智利三文鱼切块·整条三文鱼·深海鱼一人食健康饮食</t>
        </is>
      </c>
      <c r="I621" t="inlineStr">
        <is>
          <t>691ac562a524ee0001b51d7b</t>
        </is>
      </c>
      <c r="J621" t="inlineStr">
        <is>
          <t/>
        </is>
      </c>
      <c r="K621" t="n">
        <v>0.0</v>
      </c>
      <c r="L621" t="n">
        <v>0.0</v>
      </c>
      <c r="M621" t="n">
        <v>0.0</v>
      </c>
      <c r="N621" t="n">
        <v>0.0</v>
      </c>
      <c r="O621" t="n">
        <v>0.0</v>
      </c>
      <c r="P621" t="n">
        <v>0.0</v>
      </c>
      <c r="Q621" t="inlineStr">
        <is>
          <t/>
        </is>
      </c>
      <c r="R621" t="inlineStr">
        <is>
          <t/>
        </is>
      </c>
      <c r="S621" t="n">
        <v>0.0</v>
      </c>
      <c r="T621" t="n">
        <v>0.0</v>
      </c>
      <c r="U621" t="n">
        <v>0.0</v>
      </c>
      <c r="V621" t="n">
        <v>0.0</v>
      </c>
      <c r="W621" t="inlineStr">
        <is>
          <t/>
        </is>
      </c>
      <c r="X621" t="n">
        <v>0.0</v>
      </c>
      <c r="Y621" t="n">
        <v>0.0</v>
      </c>
      <c r="Z621" t="n">
        <v>0.0</v>
      </c>
      <c r="AA621" t="n">
        <v>0.0</v>
      </c>
      <c r="AB621" t="n">
        <v>0.0</v>
      </c>
      <c r="AC621" t="n">
        <v>0.0</v>
      </c>
      <c r="AD621" t="n">
        <v>2.0</v>
      </c>
      <c r="AE621" t="n">
        <v>0.0</v>
      </c>
      <c r="AF621" t="n">
        <v>0.0</v>
      </c>
      <c r="AG621" t="n">
        <v>0.0</v>
      </c>
      <c r="AH621" t="n">
        <v>0.0</v>
      </c>
      <c r="AI621" t="n">
        <v>0.0</v>
      </c>
      <c r="AJ621" t="n">
        <v>0.0</v>
      </c>
      <c r="AK621" t="n">
        <v>5.5</v>
      </c>
      <c r="AL621" t="inlineStr">
        <is>
          <t/>
        </is>
      </c>
    </row>
    <row r="622">
      <c r="A622" t="inlineStr">
        <is>
          <t>山东大生蚝肥了！49.9五斤顺丰包邮到家</t>
        </is>
      </c>
      <c r="B622" t="inlineStr">
        <is>
          <t>6940ef3c000000001e02c2f8</t>
        </is>
      </c>
      <c r="C622" s="621" t="n">
        <f>HYPERLINK("https://www.xiaohongshu.com/explore/6940ef3c000000001e02c2f8?xsec_token=TBzm36tUj4jhogPihZGtakWUx_qiRbauHFRKJ3QaYzcoQ=&amp;xsec_source=pc_trdark","https://www.xiaohongshu.com/explore/6940ef3c000000001e02c2f8?xsec_token=TBzm36tUj4jhogPihZGtakWUx_qiRbauHFRKJ3QaYzcoQ=&amp;xsec_source=pc_trdark")</f>
        <v>0.0</v>
      </c>
      <c r="D622" t="inlineStr">
        <is>
          <t>婉婉上班吃什么</t>
        </is>
      </c>
      <c r="E622" t="inlineStr">
        <is>
          <t>11434449706</t>
        </is>
      </c>
      <c r="F622" t="inlineStr">
        <is>
          <t>2025-12-16 13:33:48</t>
        </is>
      </c>
      <c r="G622" t="inlineStr">
        <is>
          <t>视频</t>
        </is>
      </c>
      <c r="H622" t="inlineStr">
        <is>
          <t>生蚝乳山生蚝海蛎子顺丰包邮</t>
        </is>
      </c>
      <c r="I622" t="inlineStr">
        <is>
          <t>690c70971b787900010866cc</t>
        </is>
      </c>
      <c r="J622" t="n">
        <v>21.0</v>
      </c>
      <c r="K622" t="n">
        <v>0.0</v>
      </c>
      <c r="L622" t="n">
        <v>0.0</v>
      </c>
      <c r="M622" t="n">
        <v>0.0</v>
      </c>
      <c r="N622" t="n">
        <v>0.0</v>
      </c>
      <c r="O622" t="n">
        <v>0.0</v>
      </c>
      <c r="P622" t="n">
        <v>0.0</v>
      </c>
      <c r="Q622" t="inlineStr">
        <is>
          <t/>
        </is>
      </c>
      <c r="R622" t="inlineStr">
        <is>
          <t/>
        </is>
      </c>
      <c r="S622" t="n">
        <v>0.0</v>
      </c>
      <c r="T622" t="n">
        <v>0.0</v>
      </c>
      <c r="U622" t="n">
        <v>0.0</v>
      </c>
      <c r="V622" t="n">
        <v>0.0</v>
      </c>
      <c r="W622" t="inlineStr">
        <is>
          <t/>
        </is>
      </c>
      <c r="X622" t="n">
        <v>0.0</v>
      </c>
      <c r="Y622" t="n">
        <v>0.0</v>
      </c>
      <c r="Z622" t="n">
        <v>0.0</v>
      </c>
      <c r="AA622" t="n">
        <v>0.0</v>
      </c>
      <c r="AB622" t="n">
        <v>0.0</v>
      </c>
      <c r="AC622" t="n">
        <v>0.0</v>
      </c>
      <c r="AD622" t="n">
        <v>2.0</v>
      </c>
      <c r="AE622" t="n">
        <v>0.0</v>
      </c>
      <c r="AF622" t="n">
        <v>0.0</v>
      </c>
      <c r="AG622" t="n">
        <v>0.0</v>
      </c>
      <c r="AH622" t="n">
        <v>0.0</v>
      </c>
      <c r="AI622" t="n">
        <v>0.0</v>
      </c>
      <c r="AJ622" t="n">
        <v>0.0</v>
      </c>
      <c r="AK622" t="n">
        <v>12.5</v>
      </c>
      <c r="AL622" t="n">
        <v>0.3333333333333333</v>
      </c>
    </row>
    <row r="623">
      <c r="A623" t="inlineStr">
        <is>
          <t>爆浆的生蚝能吃吗？</t>
        </is>
      </c>
      <c r="B623" t="inlineStr">
        <is>
          <t>691ed184000000001f008fde</t>
        </is>
      </c>
      <c r="C623" s="622" t="n">
        <f>HYPERLINK("https://www.xiaohongshu.com/explore/691ed184000000001f008fde?xsec_token=TBP5gqTrG7DCZJhae0kWWz8FB-IXxbZH93VjaVQAM6cMc=&amp;xsec_source=pc_trdark","https://www.xiaohongshu.com/explore/691ed184000000001f008fde?xsec_token=TBP5gqTrG7DCZJhae0kWWz8FB-IXxbZH93VjaVQAM6cMc=&amp;xsec_source=pc_trdark")</f>
        <v>0.0</v>
      </c>
      <c r="D623" t="inlineStr">
        <is>
          <t>婉婉上班吃什么</t>
        </is>
      </c>
      <c r="E623" t="inlineStr">
        <is>
          <t>11434449706</t>
        </is>
      </c>
      <c r="F623" t="inlineStr">
        <is>
          <t>2025-11-20 17:29:55</t>
        </is>
      </c>
      <c r="G623" t="inlineStr">
        <is>
          <t>视频</t>
        </is>
      </c>
      <c r="H623" t="inlineStr">
        <is>
          <t>生蚝乳山生蚝海蛎子顺丰包邮</t>
        </is>
      </c>
      <c r="I623" t="inlineStr">
        <is>
          <t>690c70971b787900010866cc</t>
        </is>
      </c>
      <c r="J623" t="n">
        <v>33.0</v>
      </c>
      <c r="K623" t="n">
        <v>0.0</v>
      </c>
      <c r="L623" t="n">
        <v>0.0</v>
      </c>
      <c r="M623" t="n">
        <v>0.0</v>
      </c>
      <c r="N623" t="n">
        <v>0.0</v>
      </c>
      <c r="O623" t="n">
        <v>0.0</v>
      </c>
      <c r="P623" t="n">
        <v>0.0</v>
      </c>
      <c r="Q623" t="inlineStr">
        <is>
          <t/>
        </is>
      </c>
      <c r="R623" t="inlineStr">
        <is>
          <t/>
        </is>
      </c>
      <c r="S623" t="n">
        <v>0.0</v>
      </c>
      <c r="T623" t="n">
        <v>0.0</v>
      </c>
      <c r="U623" t="n">
        <v>0.0</v>
      </c>
      <c r="V623" t="n">
        <v>0.0</v>
      </c>
      <c r="W623" t="inlineStr">
        <is>
          <t/>
        </is>
      </c>
      <c r="X623" t="n">
        <v>0.0</v>
      </c>
      <c r="Y623" t="n">
        <v>0.0</v>
      </c>
      <c r="Z623" t="n">
        <v>0.0</v>
      </c>
      <c r="AA623" t="n">
        <v>0.0</v>
      </c>
      <c r="AB623" t="n">
        <v>0.0</v>
      </c>
      <c r="AC623" t="n">
        <v>0.0</v>
      </c>
      <c r="AD623" t="n">
        <v>2.0</v>
      </c>
      <c r="AE623" t="n">
        <v>0.0</v>
      </c>
      <c r="AF623" t="n">
        <v>0.0</v>
      </c>
      <c r="AG623" t="n">
        <v>0.0</v>
      </c>
      <c r="AH623" t="n">
        <v>0.0</v>
      </c>
      <c r="AI623" t="n">
        <v>0.0</v>
      </c>
      <c r="AJ623" t="n">
        <v>0.0</v>
      </c>
      <c r="AK623" t="n">
        <v>17.5</v>
      </c>
      <c r="AL623" t="n">
        <v>0.3333333333333333</v>
      </c>
    </row>
    <row r="624">
      <c r="A624" t="inlineStr">
        <is>
          <t>沉浸式懒人减脂备菜，69块吃一周</t>
        </is>
      </c>
      <c r="B624" t="inlineStr">
        <is>
          <t>6a6b12f00000000032033ee7</t>
        </is>
      </c>
      <c r="C624" s="623" t="n">
        <f>HYPERLINK("https://www.xiaohongshu.com/explore/6a6b12f00000000032033ee7?xsec_token=TBHA1sOilTIahikB8-qFTo9kJGPBJKj0Dm6KT9hHhgYRs=&amp;xsec_source=pc_trdark","https://www.xiaohongshu.com/explore/6a6b12f00000000032033ee7?xsec_token=TBHA1sOilTIahikB8-qFTo9kJGPBJKj0Dm6KT9hHhgYRs=&amp;xsec_source=pc_trdark")</f>
        <v>0.0</v>
      </c>
      <c r="D624" t="inlineStr">
        <is>
          <t>鲜水湾甄选</t>
        </is>
      </c>
      <c r="E624" t="inlineStr">
        <is>
          <t>27401929161</t>
        </is>
      </c>
      <c r="F624" t="inlineStr">
        <is>
          <t>2026-07-30 17:01:36</t>
        </is>
      </c>
      <c r="G624" t="inlineStr">
        <is>
          <t>图文</t>
        </is>
      </c>
      <c r="H624" t="inlineStr">
        <is>
          <t>手剥虾仁 无冰衣无添加 低脂餐一人食 上班带饭 顺丰包邮 5盒装</t>
        </is>
      </c>
      <c r="I624" t="inlineStr">
        <is>
          <t>694baba01d450d00013662f0</t>
        </is>
      </c>
      <c r="J624" t="inlineStr">
        <is>
          <t/>
        </is>
      </c>
      <c r="K624" t="n">
        <v>0.0</v>
      </c>
      <c r="L624" t="n">
        <v>0.0</v>
      </c>
      <c r="M624" t="n">
        <v>0.0</v>
      </c>
      <c r="N624" t="n">
        <v>0.0</v>
      </c>
      <c r="O624" t="n">
        <v>0.0</v>
      </c>
      <c r="P624" t="n">
        <v>0.0</v>
      </c>
      <c r="Q624" t="inlineStr">
        <is>
          <t/>
        </is>
      </c>
      <c r="R624" t="inlineStr">
        <is>
          <t/>
        </is>
      </c>
      <c r="S624" t="n">
        <v>0.0</v>
      </c>
      <c r="T624" t="n">
        <v>0.0</v>
      </c>
      <c r="U624" t="n">
        <v>0.0</v>
      </c>
      <c r="V624" t="n">
        <v>0.0</v>
      </c>
      <c r="W624" t="inlineStr">
        <is>
          <t/>
        </is>
      </c>
      <c r="X624" t="n">
        <v>0.0</v>
      </c>
      <c r="Y624" t="n">
        <v>0.0</v>
      </c>
      <c r="Z624" t="n">
        <v>0.0</v>
      </c>
      <c r="AA624" t="n">
        <v>0.0</v>
      </c>
      <c r="AB624" t="n">
        <v>0.0</v>
      </c>
      <c r="AC624" t="n">
        <v>0.0</v>
      </c>
      <c r="AD624" t="n">
        <v>1.0</v>
      </c>
      <c r="AE624" t="n">
        <v>0.0</v>
      </c>
      <c r="AF624" t="n">
        <v>0.0</v>
      </c>
      <c r="AG624" t="n">
        <v>0.0</v>
      </c>
      <c r="AH624" t="n">
        <v>0.0</v>
      </c>
      <c r="AI624" t="n">
        <v>0.0</v>
      </c>
      <c r="AJ624" t="n">
        <v>0.0</v>
      </c>
      <c r="AK624" t="n">
        <v>7.0</v>
      </c>
      <c r="AL624" t="inlineStr">
        <is>
          <t/>
        </is>
      </c>
    </row>
    <row r="625">
      <c r="A625" t="inlineStr">
        <is>
          <t>控体期别饿自己，我靠虾仁撑下来了！！！</t>
        </is>
      </c>
      <c r="B625" t="inlineStr">
        <is>
          <t>6a696580000000000f02850d</t>
        </is>
      </c>
      <c r="C625" s="624" t="n">
        <f>HYPERLINK("https://www.xiaohongshu.com/explore/6a696580000000000f02850d?xsec_token=TBJ6ASIbBevmLmI2amyjDnmX_FtiTeDlvxORRGn9kLYEk=&amp;xsec_source=pc_trdark","https://www.xiaohongshu.com/explore/6a696580000000000f02850d?xsec_token=TBJ6ASIbBevmLmI2amyjDnmX_FtiTeDlvxORRGn9kLYEk=&amp;xsec_source=pc_trdark")</f>
        <v>0.0</v>
      </c>
      <c r="D625" t="inlineStr">
        <is>
          <t>鲜水湾甄选</t>
        </is>
      </c>
      <c r="E625" t="inlineStr">
        <is>
          <t>27401929161</t>
        </is>
      </c>
      <c r="F625" t="inlineStr">
        <is>
          <t>2026-07-29 10:29:20</t>
        </is>
      </c>
      <c r="G625" t="inlineStr">
        <is>
          <t>图文</t>
        </is>
      </c>
      <c r="H625" t="inlineStr">
        <is>
          <t>手剥虾仁 无冰衣无添加 低脂餐一人食 上班带饭 顺丰包邮 5盒装</t>
        </is>
      </c>
      <c r="I625" t="inlineStr">
        <is>
          <t>694baba01d450d00013662f0</t>
        </is>
      </c>
      <c r="J625" t="inlineStr">
        <is>
          <t/>
        </is>
      </c>
      <c r="K625" t="n">
        <v>0.0</v>
      </c>
      <c r="L625" t="n">
        <v>0.0</v>
      </c>
      <c r="M625" t="n">
        <v>0.0</v>
      </c>
      <c r="N625" t="n">
        <v>0.0</v>
      </c>
      <c r="O625" t="n">
        <v>0.0</v>
      </c>
      <c r="P625" t="n">
        <v>0.0</v>
      </c>
      <c r="Q625" t="inlineStr">
        <is>
          <t/>
        </is>
      </c>
      <c r="R625" t="inlineStr">
        <is>
          <t/>
        </is>
      </c>
      <c r="S625" t="n">
        <v>0.0</v>
      </c>
      <c r="T625" t="n">
        <v>0.0</v>
      </c>
      <c r="U625" t="n">
        <v>0.0</v>
      </c>
      <c r="V625" t="n">
        <v>0.0</v>
      </c>
      <c r="W625" t="inlineStr">
        <is>
          <t/>
        </is>
      </c>
      <c r="X625" t="n">
        <v>0.0</v>
      </c>
      <c r="Y625" t="n">
        <v>0.0</v>
      </c>
      <c r="Z625" t="n">
        <v>0.0</v>
      </c>
      <c r="AA625" t="n">
        <v>0.0</v>
      </c>
      <c r="AB625" t="n">
        <v>0.0</v>
      </c>
      <c r="AC625" t="n">
        <v>0.0</v>
      </c>
      <c r="AD625" t="n">
        <v>1.0</v>
      </c>
      <c r="AE625" t="n">
        <v>0.0</v>
      </c>
      <c r="AF625" t="n">
        <v>0.0</v>
      </c>
      <c r="AG625" t="n">
        <v>0.0</v>
      </c>
      <c r="AH625" t="n">
        <v>0.0</v>
      </c>
      <c r="AI625" t="n">
        <v>0.0</v>
      </c>
      <c r="AJ625" t="n">
        <v>0.0</v>
      </c>
      <c r="AK625" t="n">
        <v>2.0</v>
      </c>
      <c r="AL625" t="inlineStr">
        <is>
          <t/>
        </is>
      </c>
    </row>
    <row r="626">
      <c r="A626" t="inlineStr">
        <is>
          <t>跟点外卖说不通，虾仁减脂餐一餐一包！！</t>
        </is>
      </c>
      <c r="B626" t="inlineStr">
        <is>
          <t>6a6817a1000000001102c62d</t>
        </is>
      </c>
      <c r="C626" s="625" t="n">
        <f>HYPERLINK("https://www.xiaohongshu.com/explore/6a6817a1000000001102c62d?xsec_token=TBuVqV6OAJJIOGGQlO2UOOSJNdTvv-OsxzTM0ATKjjNDQ=&amp;xsec_source=pc_trdark","https://www.xiaohongshu.com/explore/6a6817a1000000001102c62d?xsec_token=TBuVqV6OAJJIOGGQlO2UOOSJNdTvv-OsxzTM0ATKjjNDQ=&amp;xsec_source=pc_trdark")</f>
        <v>0.0</v>
      </c>
      <c r="D626" t="inlineStr">
        <is>
          <t>鲜水湾甄选</t>
        </is>
      </c>
      <c r="E626" t="inlineStr">
        <is>
          <t>27401929161</t>
        </is>
      </c>
      <c r="F626" t="inlineStr">
        <is>
          <t>2026-07-28 10:44:49</t>
        </is>
      </c>
      <c r="G626" t="inlineStr">
        <is>
          <t>图文</t>
        </is>
      </c>
      <c r="H626" t="inlineStr">
        <is>
          <t>手剥虾仁 无冰衣无添加 低脂餐一人食 上班带饭 顺丰包邮 5盒装</t>
        </is>
      </c>
      <c r="I626" t="inlineStr">
        <is>
          <t>694baba01d450d00013662f0</t>
        </is>
      </c>
      <c r="J626" t="inlineStr">
        <is>
          <t/>
        </is>
      </c>
      <c r="K626" t="n">
        <v>0.0</v>
      </c>
      <c r="L626" t="n">
        <v>0.0</v>
      </c>
      <c r="M626" t="n">
        <v>0.0</v>
      </c>
      <c r="N626" t="n">
        <v>0.0</v>
      </c>
      <c r="O626" t="n">
        <v>0.0</v>
      </c>
      <c r="P626" t="n">
        <v>0.0</v>
      </c>
      <c r="Q626" t="inlineStr">
        <is>
          <t/>
        </is>
      </c>
      <c r="R626" t="inlineStr">
        <is>
          <t/>
        </is>
      </c>
      <c r="S626" t="n">
        <v>0.0</v>
      </c>
      <c r="T626" t="n">
        <v>0.0</v>
      </c>
      <c r="U626" t="n">
        <v>0.0</v>
      </c>
      <c r="V626" t="n">
        <v>0.0</v>
      </c>
      <c r="W626" t="inlineStr">
        <is>
          <t/>
        </is>
      </c>
      <c r="X626" t="n">
        <v>0.0</v>
      </c>
      <c r="Y626" t="n">
        <v>0.0</v>
      </c>
      <c r="Z626" t="n">
        <v>0.0</v>
      </c>
      <c r="AA626" t="n">
        <v>0.0</v>
      </c>
      <c r="AB626" t="n">
        <v>0.0</v>
      </c>
      <c r="AC626" t="n">
        <v>0.0</v>
      </c>
      <c r="AD626" t="n">
        <v>1.0</v>
      </c>
      <c r="AE626" t="n">
        <v>0.0</v>
      </c>
      <c r="AF626" t="n">
        <v>0.0</v>
      </c>
      <c r="AG626" t="n">
        <v>0.0</v>
      </c>
      <c r="AH626" t="n">
        <v>0.0</v>
      </c>
      <c r="AI626" t="n">
        <v>0.0</v>
      </c>
      <c r="AJ626" t="n">
        <v>0.0</v>
      </c>
      <c r="AK626" t="n">
        <v>1.0</v>
      </c>
      <c r="AL626" t="inlineStr">
        <is>
          <t/>
        </is>
      </c>
    </row>
    <row r="627">
      <c r="A627" t="inlineStr">
        <is>
          <t>和老爸商讨后，连夜上架一人食小包装</t>
        </is>
      </c>
      <c r="B627" t="inlineStr">
        <is>
          <t>6a675e7a000000000f016efe</t>
        </is>
      </c>
      <c r="C627" s="626" t="n">
        <f>HYPERLINK("https://www.xiaohongshu.com/explore/6a675e7a000000000f016efe?xsec_token=TBUg_D-BIUqM0ucIsEuUBe2HPRMo1QmUOgBWyBIac0beQ=&amp;xsec_source=pc_trdark","https://www.xiaohongshu.com/explore/6a675e7a000000000f016efe?xsec_token=TBUg_D-BIUqM0ucIsEuUBe2HPRMo1QmUOgBWyBIac0beQ=&amp;xsec_source=pc_trdark")</f>
        <v>0.0</v>
      </c>
      <c r="D627" t="inlineStr">
        <is>
          <t>鲜水湾甄选</t>
        </is>
      </c>
      <c r="E627" t="inlineStr">
        <is>
          <t>27401929161</t>
        </is>
      </c>
      <c r="F627" t="inlineStr">
        <is>
          <t>2026-07-27 21:34:50</t>
        </is>
      </c>
      <c r="G627" t="inlineStr">
        <is>
          <t>图文</t>
        </is>
      </c>
      <c r="H627" t="inlineStr">
        <is>
          <t>手剥虾仁 无冰衣无添加 低脂餐一人食 上班带饭 顺丰包邮 5盒装</t>
        </is>
      </c>
      <c r="I627" t="inlineStr">
        <is>
          <t>694baba01d450d00013662f0</t>
        </is>
      </c>
      <c r="J627" t="inlineStr">
        <is>
          <t/>
        </is>
      </c>
      <c r="K627" t="n">
        <v>0.0</v>
      </c>
      <c r="L627" t="n">
        <v>0.0</v>
      </c>
      <c r="M627" t="n">
        <v>0.0</v>
      </c>
      <c r="N627" t="n">
        <v>0.0</v>
      </c>
      <c r="O627" t="n">
        <v>0.0</v>
      </c>
      <c r="P627" t="n">
        <v>0.0</v>
      </c>
      <c r="Q627" t="inlineStr">
        <is>
          <t/>
        </is>
      </c>
      <c r="R627" t="inlineStr">
        <is>
          <t/>
        </is>
      </c>
      <c r="S627" t="n">
        <v>0.0</v>
      </c>
      <c r="T627" t="n">
        <v>0.0</v>
      </c>
      <c r="U627" t="n">
        <v>0.0</v>
      </c>
      <c r="V627" t="n">
        <v>0.0</v>
      </c>
      <c r="W627" t="inlineStr">
        <is>
          <t/>
        </is>
      </c>
      <c r="X627" t="n">
        <v>0.0</v>
      </c>
      <c r="Y627" t="n">
        <v>0.0</v>
      </c>
      <c r="Z627" t="n">
        <v>0.0</v>
      </c>
      <c r="AA627" t="n">
        <v>0.0</v>
      </c>
      <c r="AB627" t="n">
        <v>0.0</v>
      </c>
      <c r="AC627" t="n">
        <v>0.0</v>
      </c>
      <c r="AD627" t="n">
        <v>1.0</v>
      </c>
      <c r="AE627" t="n">
        <v>0.0</v>
      </c>
      <c r="AF627" t="n">
        <v>0.0</v>
      </c>
      <c r="AG627" t="n">
        <v>0.0</v>
      </c>
      <c r="AH627" t="n">
        <v>0.0</v>
      </c>
      <c r="AI627" t="n">
        <v>0.0</v>
      </c>
      <c r="AJ627" t="n">
        <v>0.0</v>
      </c>
      <c r="AK627" t="n">
        <v>4.0</v>
      </c>
      <c r="AL627" t="inlineStr">
        <is>
          <t/>
        </is>
      </c>
    </row>
    <row r="628">
      <c r="A628" t="inlineStr">
        <is>
          <t>区区300块解决了一周的上班带饭</t>
        </is>
      </c>
      <c r="B628" t="inlineStr">
        <is>
          <t>6a60d5db000000001c00d27b</t>
        </is>
      </c>
      <c r="C628" s="627" t="n">
        <f>HYPERLINK("https://www.xiaohongshu.com/explore/6a60d5db000000001c00d27b?xsec_token=TB_DG8qGiltVfTeMFvJTNQBwB7ntsPgeRC7DD3pVgbMvI=&amp;xsec_source=pc_trdark","https://www.xiaohongshu.com/explore/6a60d5db000000001c00d27b?xsec_token=TB_DG8qGiltVfTeMFvJTNQBwB7ntsPgeRC7DD3pVgbMvI=&amp;xsec_source=pc_trdark")</f>
        <v>0.0</v>
      </c>
      <c r="D628" t="inlineStr">
        <is>
          <t>鲜水湾</t>
        </is>
      </c>
      <c r="E628" t="inlineStr">
        <is>
          <t>49316638994</t>
        </is>
      </c>
      <c r="F628" t="inlineStr">
        <is>
          <t>2026-07-22 22:38:19</t>
        </is>
      </c>
      <c r="G628" t="inlineStr">
        <is>
          <t>图文</t>
        </is>
      </c>
      <c r="H628" t="inlineStr">
        <is>
          <t>智利尾端中段整条三文鱼 8斤深海鱼低脂餐囤货一周备菜顺丰包邮</t>
        </is>
      </c>
      <c r="I628" t="inlineStr">
        <is>
          <t>69fab80d64eb410001ece0c0</t>
        </is>
      </c>
      <c r="J628" t="inlineStr">
        <is>
          <t/>
        </is>
      </c>
      <c r="K628" t="n">
        <v>0.0</v>
      </c>
      <c r="L628" t="n">
        <v>0.0</v>
      </c>
      <c r="M628" t="n">
        <v>0.0</v>
      </c>
      <c r="N628" t="n">
        <v>0.0</v>
      </c>
      <c r="O628" t="n">
        <v>0.0</v>
      </c>
      <c r="P628" t="n">
        <v>0.0</v>
      </c>
      <c r="Q628" t="inlineStr">
        <is>
          <t/>
        </is>
      </c>
      <c r="R628" t="inlineStr">
        <is>
          <t/>
        </is>
      </c>
      <c r="S628" t="n">
        <v>0.0</v>
      </c>
      <c r="T628" t="n">
        <v>0.0</v>
      </c>
      <c r="U628" t="n">
        <v>0.0</v>
      </c>
      <c r="V628" t="n">
        <v>0.0</v>
      </c>
      <c r="W628" t="inlineStr">
        <is>
          <t/>
        </is>
      </c>
      <c r="X628" t="n">
        <v>0.0</v>
      </c>
      <c r="Y628" t="n">
        <v>0.0</v>
      </c>
      <c r="Z628" t="n">
        <v>0.0</v>
      </c>
      <c r="AA628" t="n">
        <v>0.0</v>
      </c>
      <c r="AB628" t="n">
        <v>0.0</v>
      </c>
      <c r="AC628" t="n">
        <v>0.0</v>
      </c>
      <c r="AD628" t="n">
        <v>1.0</v>
      </c>
      <c r="AE628" t="n">
        <v>0.0</v>
      </c>
      <c r="AF628" t="n">
        <v>0.0</v>
      </c>
      <c r="AG628" t="n">
        <v>0.0</v>
      </c>
      <c r="AH628" t="n">
        <v>0.0</v>
      </c>
      <c r="AI628" t="n">
        <v>0.0</v>
      </c>
      <c r="AJ628" t="n">
        <v>0.0</v>
      </c>
      <c r="AK628" t="n">
        <v>6.0</v>
      </c>
      <c r="AL628" t="inlineStr">
        <is>
          <t/>
        </is>
      </c>
    </row>
    <row r="629">
      <c r="A629" t="inlineStr">
        <is>
          <t>5年健身人！！！吃的干净真的会上瘾！！</t>
        </is>
      </c>
      <c r="B629" t="inlineStr">
        <is>
          <t>6a5f6f3c000000000c015220</t>
        </is>
      </c>
      <c r="C629" s="628" t="n">
        <f>HYPERLINK("https://www.xiaohongshu.com/explore/6a5f6f3c000000000c015220?xsec_token=TBNiP87dDl0mbMa3fu0C81MbjR5WOmLZ-6japxWUB2rFI=&amp;xsec_source=pc_trdark","https://www.xiaohongshu.com/explore/6a5f6f3c000000000c015220?xsec_token=TBNiP87dDl0mbMa3fu0C81MbjR5WOmLZ-6japxWUB2rFI=&amp;xsec_source=pc_trdark")</f>
        <v>0.0</v>
      </c>
      <c r="D629" t="inlineStr">
        <is>
          <t>菲菲上班吃什么</t>
        </is>
      </c>
      <c r="E629" t="inlineStr">
        <is>
          <t>49936530607</t>
        </is>
      </c>
      <c r="F629" t="inlineStr">
        <is>
          <t>2026-07-21 21:08:12</t>
        </is>
      </c>
      <c r="G629" t="inlineStr">
        <is>
          <t>图文</t>
        </is>
      </c>
      <c r="H629" t="inlineStr">
        <is>
          <t>手剥虾仁 无冰衣无添加 低脂餐一人食 上班带饭 顺丰包邮 5盒装</t>
        </is>
      </c>
      <c r="I629" t="inlineStr">
        <is>
          <t>694baba01d450d00013662f0</t>
        </is>
      </c>
      <c r="J629" t="inlineStr">
        <is>
          <t/>
        </is>
      </c>
      <c r="K629" t="n">
        <v>0.0</v>
      </c>
      <c r="L629" t="n">
        <v>0.0</v>
      </c>
      <c r="M629" t="n">
        <v>0.0</v>
      </c>
      <c r="N629" t="n">
        <v>0.0</v>
      </c>
      <c r="O629" t="n">
        <v>0.0</v>
      </c>
      <c r="P629" t="n">
        <v>0.0</v>
      </c>
      <c r="Q629" t="inlineStr">
        <is>
          <t/>
        </is>
      </c>
      <c r="R629" t="inlineStr">
        <is>
          <t/>
        </is>
      </c>
      <c r="S629" t="n">
        <v>0.0</v>
      </c>
      <c r="T629" t="n">
        <v>0.0</v>
      </c>
      <c r="U629" t="n">
        <v>0.0</v>
      </c>
      <c r="V629" t="n">
        <v>0.0</v>
      </c>
      <c r="W629" t="inlineStr">
        <is>
          <t/>
        </is>
      </c>
      <c r="X629" t="n">
        <v>0.0</v>
      </c>
      <c r="Y629" t="n">
        <v>0.0</v>
      </c>
      <c r="Z629" t="n">
        <v>0.0</v>
      </c>
      <c r="AA629" t="n">
        <v>0.0</v>
      </c>
      <c r="AB629" t="n">
        <v>0.0</v>
      </c>
      <c r="AC629" t="n">
        <v>0.0</v>
      </c>
      <c r="AD629" t="n">
        <v>1.0</v>
      </c>
      <c r="AE629" t="n">
        <v>0.0</v>
      </c>
      <c r="AF629" t="n">
        <v>0.0</v>
      </c>
      <c r="AG629" t="n">
        <v>0.0</v>
      </c>
      <c r="AH629" t="n">
        <v>0.0</v>
      </c>
      <c r="AI629" t="n">
        <v>0.0</v>
      </c>
      <c r="AJ629" t="n">
        <v>0.0</v>
      </c>
      <c r="AK629" t="n">
        <v>5.0</v>
      </c>
      <c r="AL629" t="inlineStr">
        <is>
          <t/>
        </is>
      </c>
    </row>
    <row r="630">
      <c r="A630" t="inlineStr">
        <is>
          <t>我妈让我赶紧宣传，控体虾仁不能断！！！</t>
        </is>
      </c>
      <c r="B630" t="inlineStr">
        <is>
          <t>6a5dff16000000001d02020f</t>
        </is>
      </c>
      <c r="C630" s="629" t="n">
        <f>HYPERLINK("https://www.xiaohongshu.com/explore/6a5dff16000000001d02020f?xsec_token=TBhNPC94_6xvOzlNirloUV2Ibm6slUAt_mDfIQfAg0tSY=&amp;xsec_source=pc_trdark","https://www.xiaohongshu.com/explore/6a5dff16000000001d02020f?xsec_token=TBhNPC94_6xvOzlNirloUV2Ibm6slUAt_mDfIQfAg0tSY=&amp;xsec_source=pc_trdark")</f>
        <v>0.0</v>
      </c>
      <c r="D630" t="inlineStr">
        <is>
          <t>菲菲上班吃什么</t>
        </is>
      </c>
      <c r="E630" t="inlineStr">
        <is>
          <t>49936530607</t>
        </is>
      </c>
      <c r="F630" t="inlineStr">
        <is>
          <t>2026-07-20 18:57:26</t>
        </is>
      </c>
      <c r="G630" t="inlineStr">
        <is>
          <t>图文</t>
        </is>
      </c>
      <c r="H630" t="inlineStr">
        <is>
          <t>手剥虾仁 无冰衣无添加 低脂餐一人食 上班带饭 顺丰包邮 5盒装</t>
        </is>
      </c>
      <c r="I630" t="inlineStr">
        <is>
          <t>694baba01d450d00013662f0</t>
        </is>
      </c>
      <c r="J630" t="inlineStr">
        <is>
          <t/>
        </is>
      </c>
      <c r="K630" t="n">
        <v>0.0</v>
      </c>
      <c r="L630" t="n">
        <v>0.0</v>
      </c>
      <c r="M630" t="n">
        <v>0.0</v>
      </c>
      <c r="N630" t="n">
        <v>0.0</v>
      </c>
      <c r="O630" t="n">
        <v>0.0</v>
      </c>
      <c r="P630" t="n">
        <v>0.0</v>
      </c>
      <c r="Q630" t="inlineStr">
        <is>
          <t/>
        </is>
      </c>
      <c r="R630" t="inlineStr">
        <is>
          <t/>
        </is>
      </c>
      <c r="S630" t="n">
        <v>0.0</v>
      </c>
      <c r="T630" t="n">
        <v>0.0</v>
      </c>
      <c r="U630" t="n">
        <v>0.0</v>
      </c>
      <c r="V630" t="n">
        <v>0.0</v>
      </c>
      <c r="W630" t="inlineStr">
        <is>
          <t/>
        </is>
      </c>
      <c r="X630" t="n">
        <v>0.0</v>
      </c>
      <c r="Y630" t="n">
        <v>0.0</v>
      </c>
      <c r="Z630" t="n">
        <v>0.0</v>
      </c>
      <c r="AA630" t="n">
        <v>0.0</v>
      </c>
      <c r="AB630" t="n">
        <v>0.0</v>
      </c>
      <c r="AC630" t="n">
        <v>0.0</v>
      </c>
      <c r="AD630" t="n">
        <v>1.0</v>
      </c>
      <c r="AE630" t="n">
        <v>0.0</v>
      </c>
      <c r="AF630" t="n">
        <v>0.0</v>
      </c>
      <c r="AG630" t="n">
        <v>0.0</v>
      </c>
      <c r="AH630" t="n">
        <v>0.0</v>
      </c>
      <c r="AI630" t="n">
        <v>0.0</v>
      </c>
      <c r="AJ630" t="n">
        <v>0.0</v>
      </c>
      <c r="AK630" t="n">
        <v>1.0</v>
      </c>
      <c r="AL630" t="inlineStr">
        <is>
          <t/>
        </is>
      </c>
    </row>
    <row r="631">
      <c r="A631" t="inlineStr">
        <is>
          <t>再也不用反复解冻了！专为一人食设计小包装</t>
        </is>
      </c>
      <c r="B631" t="inlineStr">
        <is>
          <t>6a5cac5c000000001302766a</t>
        </is>
      </c>
      <c r="C631" s="630" t="n">
        <f>HYPERLINK("https://www.xiaohongshu.com/explore/6a5cac5c000000001302766a?xsec_token=TBcqCuVCCi2LPEDZ4T1AgR0RvnmQf8GtPVF7HWjVLb6jA=&amp;xsec_source=pc_trdark","https://www.xiaohongshu.com/explore/6a5cac5c000000001302766a?xsec_token=TBcqCuVCCi2LPEDZ4T1AgR0RvnmQf8GtPVF7HWjVLb6jA=&amp;xsec_source=pc_trdark")</f>
        <v>0.0</v>
      </c>
      <c r="D631" t="inlineStr">
        <is>
          <t>菲菲上班吃什么</t>
        </is>
      </c>
      <c r="E631" t="inlineStr">
        <is>
          <t>49936530607</t>
        </is>
      </c>
      <c r="F631" t="inlineStr">
        <is>
          <t>2026-07-19 18:52:12</t>
        </is>
      </c>
      <c r="G631" t="inlineStr">
        <is>
          <t>图文</t>
        </is>
      </c>
      <c r="H631" t="inlineStr">
        <is>
          <t>手剥虾仁 无冰衣无添加 低脂餐一人食 上班带饭 顺丰包邮 5盒装</t>
        </is>
      </c>
      <c r="I631" t="inlineStr">
        <is>
          <t>694baba01d450d00013662f0</t>
        </is>
      </c>
      <c r="J631" t="inlineStr">
        <is>
          <t/>
        </is>
      </c>
      <c r="K631" t="n">
        <v>0.0</v>
      </c>
      <c r="L631" t="n">
        <v>0.0</v>
      </c>
      <c r="M631" t="n">
        <v>0.0</v>
      </c>
      <c r="N631" t="n">
        <v>0.0</v>
      </c>
      <c r="O631" t="n">
        <v>0.0</v>
      </c>
      <c r="P631" t="n">
        <v>0.0</v>
      </c>
      <c r="Q631" t="inlineStr">
        <is>
          <t/>
        </is>
      </c>
      <c r="R631" t="inlineStr">
        <is>
          <t/>
        </is>
      </c>
      <c r="S631" t="n">
        <v>0.0</v>
      </c>
      <c r="T631" t="n">
        <v>0.0</v>
      </c>
      <c r="U631" t="n">
        <v>0.0</v>
      </c>
      <c r="V631" t="n">
        <v>0.0</v>
      </c>
      <c r="W631" t="inlineStr">
        <is>
          <t/>
        </is>
      </c>
      <c r="X631" t="n">
        <v>0.0</v>
      </c>
      <c r="Y631" t="n">
        <v>0.0</v>
      </c>
      <c r="Z631" t="n">
        <v>0.0</v>
      </c>
      <c r="AA631" t="n">
        <v>0.0</v>
      </c>
      <c r="AB631" t="n">
        <v>0.0</v>
      </c>
      <c r="AC631" t="n">
        <v>0.0</v>
      </c>
      <c r="AD631" t="n">
        <v>1.0</v>
      </c>
      <c r="AE631" t="n">
        <v>0.0</v>
      </c>
      <c r="AF631" t="n">
        <v>0.0</v>
      </c>
      <c r="AG631" t="n">
        <v>0.0</v>
      </c>
      <c r="AH631" t="n">
        <v>0.0</v>
      </c>
      <c r="AI631" t="n">
        <v>0.0</v>
      </c>
      <c r="AJ631" t="n">
        <v>0.0</v>
      </c>
      <c r="AK631" t="n">
        <v>7.0</v>
      </c>
      <c r="AL631" t="inlineStr">
        <is>
          <t/>
        </is>
      </c>
    </row>
    <row r="632">
      <c r="A632" t="inlineStr">
        <is>
          <t>独居打工人一餐一包，真的很懂一人食</t>
        </is>
      </c>
      <c r="B632" t="inlineStr">
        <is>
          <t>6a5c3e52000000000e0360fa</t>
        </is>
      </c>
      <c r="C632" s="631" t="n">
        <f>HYPERLINK("https://www.xiaohongshu.com/explore/6a5c3e52000000000e0360fa?xsec_token=TBcqCuVCCi2LPEDZ4T1AgR0d2fhnL2hl2rMIEV6qxgfpc=&amp;xsec_source=pc_trdark","https://www.xiaohongshu.com/explore/6a5c3e52000000000e0360fa?xsec_token=TBcqCuVCCi2LPEDZ4T1AgR0d2fhnL2hl2rMIEV6qxgfpc=&amp;xsec_source=pc_trdark")</f>
        <v>0.0</v>
      </c>
      <c r="D632" t="inlineStr">
        <is>
          <t>菲菲上班吃什么</t>
        </is>
      </c>
      <c r="E632" t="inlineStr">
        <is>
          <t>49936530607</t>
        </is>
      </c>
      <c r="F632" t="inlineStr">
        <is>
          <t>2026-07-19 11:02:42</t>
        </is>
      </c>
      <c r="G632" t="inlineStr">
        <is>
          <t>图文</t>
        </is>
      </c>
      <c r="H632" t="inlineStr">
        <is>
          <t>手剥虾仁 无冰衣无添加 低脂餐一人食 上班带饭 顺丰包邮 5盒装</t>
        </is>
      </c>
      <c r="I632" t="inlineStr">
        <is>
          <t>694baba01d450d00013662f0</t>
        </is>
      </c>
      <c r="J632" t="inlineStr">
        <is>
          <t/>
        </is>
      </c>
      <c r="K632" t="n">
        <v>0.0</v>
      </c>
      <c r="L632" t="n">
        <v>0.0</v>
      </c>
      <c r="M632" t="n">
        <v>0.0</v>
      </c>
      <c r="N632" t="n">
        <v>0.0</v>
      </c>
      <c r="O632" t="n">
        <v>0.0</v>
      </c>
      <c r="P632" t="n">
        <v>0.0</v>
      </c>
      <c r="Q632" t="inlineStr">
        <is>
          <t/>
        </is>
      </c>
      <c r="R632" t="inlineStr">
        <is>
          <t/>
        </is>
      </c>
      <c r="S632" t="n">
        <v>0.0</v>
      </c>
      <c r="T632" t="n">
        <v>0.0</v>
      </c>
      <c r="U632" t="n">
        <v>0.0</v>
      </c>
      <c r="V632" t="n">
        <v>0.0</v>
      </c>
      <c r="W632" t="inlineStr">
        <is>
          <t/>
        </is>
      </c>
      <c r="X632" t="n">
        <v>0.0</v>
      </c>
      <c r="Y632" t="n">
        <v>0.0</v>
      </c>
      <c r="Z632" t="n">
        <v>0.0</v>
      </c>
      <c r="AA632" t="n">
        <v>0.0</v>
      </c>
      <c r="AB632" t="n">
        <v>0.0</v>
      </c>
      <c r="AC632" t="n">
        <v>0.0</v>
      </c>
      <c r="AD632" t="n">
        <v>1.0</v>
      </c>
      <c r="AE632" t="n">
        <v>0.0</v>
      </c>
      <c r="AF632" t="n">
        <v>0.0</v>
      </c>
      <c r="AG632" t="n">
        <v>0.0</v>
      </c>
      <c r="AH632" t="n">
        <v>0.0</v>
      </c>
      <c r="AI632" t="n">
        <v>0.0</v>
      </c>
      <c r="AJ632" t="n">
        <v>0.0</v>
      </c>
      <c r="AK632" t="n">
        <v>2.0</v>
      </c>
      <c r="AL632" t="inlineStr">
        <is>
          <t/>
        </is>
      </c>
    </row>
    <row r="633">
      <c r="A633" t="inlineStr">
        <is>
          <t>区区70来块，承包了我一个月减脂的快乐</t>
        </is>
      </c>
      <c r="B633" t="inlineStr">
        <is>
          <t>6a5b2eed000000001d00edb5</t>
        </is>
      </c>
      <c r="C633" s="632" t="n">
        <f>HYPERLINK("https://www.xiaohongshu.com/explore/6a5b2eed000000001d00edb5?xsec_token=TBQiR21gM1WD-mfbMRSFpueyNQR674P4JztbB8JRJPJQs=&amp;xsec_source=pc_trdark","https://www.xiaohongshu.com/explore/6a5b2eed000000001d00edb5?xsec_token=TBQiR21gM1WD-mfbMRSFpueyNQR674P4JztbB8JRJPJQs=&amp;xsec_source=pc_trdark")</f>
        <v>0.0</v>
      </c>
      <c r="D633" t="inlineStr">
        <is>
          <t>菲菲上班吃什么</t>
        </is>
      </c>
      <c r="E633" t="inlineStr">
        <is>
          <t>49936530607</t>
        </is>
      </c>
      <c r="F633" t="inlineStr">
        <is>
          <t>2026-07-18 15:44:45</t>
        </is>
      </c>
      <c r="G633" t="inlineStr">
        <is>
          <t>图文</t>
        </is>
      </c>
      <c r="H633" t="inlineStr">
        <is>
          <t>手剥虾仁 无冰衣无添加 低脂餐一人食 上班带饭 顺丰包邮 5盒装</t>
        </is>
      </c>
      <c r="I633" t="inlineStr">
        <is>
          <t>694baba01d450d00013662f0</t>
        </is>
      </c>
      <c r="J633" t="inlineStr">
        <is>
          <t/>
        </is>
      </c>
      <c r="K633" t="n">
        <v>0.0</v>
      </c>
      <c r="L633" t="n">
        <v>0.0</v>
      </c>
      <c r="M633" t="n">
        <v>0.0</v>
      </c>
      <c r="N633" t="n">
        <v>0.0</v>
      </c>
      <c r="O633" t="n">
        <v>0.0</v>
      </c>
      <c r="P633" t="n">
        <v>0.0</v>
      </c>
      <c r="Q633" t="inlineStr">
        <is>
          <t/>
        </is>
      </c>
      <c r="R633" t="inlineStr">
        <is>
          <t/>
        </is>
      </c>
      <c r="S633" t="n">
        <v>0.0</v>
      </c>
      <c r="T633" t="n">
        <v>0.0</v>
      </c>
      <c r="U633" t="n">
        <v>0.0</v>
      </c>
      <c r="V633" t="n">
        <v>0.0</v>
      </c>
      <c r="W633" t="inlineStr">
        <is>
          <t/>
        </is>
      </c>
      <c r="X633" t="n">
        <v>0.0</v>
      </c>
      <c r="Y633" t="n">
        <v>0.0</v>
      </c>
      <c r="Z633" t="n">
        <v>0.0</v>
      </c>
      <c r="AA633" t="n">
        <v>0.0</v>
      </c>
      <c r="AB633" t="n">
        <v>0.0</v>
      </c>
      <c r="AC633" t="n">
        <v>0.0</v>
      </c>
      <c r="AD633" t="n">
        <v>1.0</v>
      </c>
      <c r="AE633" t="n">
        <v>0.0</v>
      </c>
      <c r="AF633" t="n">
        <v>0.0</v>
      </c>
      <c r="AG633" t="n">
        <v>0.0</v>
      </c>
      <c r="AH633" t="n">
        <v>0.0</v>
      </c>
      <c r="AI633" t="n">
        <v>0.0</v>
      </c>
      <c r="AJ633" t="n">
        <v>0.0</v>
      </c>
      <c r="AK633" t="n">
        <v>19.0</v>
      </c>
      <c r="AL633" t="inlineStr">
        <is>
          <t/>
        </is>
      </c>
    </row>
    <row r="634">
      <c r="A634" t="inlineStr">
        <is>
          <t>三伏天减脂餐，打工人终于不用将就了…</t>
        </is>
      </c>
      <c r="B634" t="inlineStr">
        <is>
          <t>6a59e2ad0000000013027398</t>
        </is>
      </c>
      <c r="C634" s="633" t="n">
        <f>HYPERLINK("https://www.xiaohongshu.com/explore/6a59e2ad0000000013027398?xsec_token=TBznzFg2a5AgktvQj-m55hPpvTquZ1jHjxoXpHm-aWkCs=&amp;xsec_source=pc_trdark","https://www.xiaohongshu.com/explore/6a59e2ad0000000013027398?xsec_token=TBznzFg2a5AgktvQj-m55hPpvTquZ1jHjxoXpHm-aWkCs=&amp;xsec_source=pc_trdark")</f>
        <v>0.0</v>
      </c>
      <c r="D634" t="inlineStr">
        <is>
          <t>菲菲上班吃什么</t>
        </is>
      </c>
      <c r="E634" t="inlineStr">
        <is>
          <t>49936530607</t>
        </is>
      </c>
      <c r="F634" t="inlineStr">
        <is>
          <t>2026-07-17 16:07:09</t>
        </is>
      </c>
      <c r="G634" t="inlineStr">
        <is>
          <t>图文</t>
        </is>
      </c>
      <c r="H634" t="inlineStr">
        <is>
          <t>手剥虾仁 无冰衣无添加 低脂餐一人食 上班带饭 顺丰包邮 5盒装</t>
        </is>
      </c>
      <c r="I634" t="inlineStr">
        <is>
          <t>694baba01d450d00013662f0</t>
        </is>
      </c>
      <c r="J634" t="inlineStr">
        <is>
          <t/>
        </is>
      </c>
      <c r="K634" t="n">
        <v>0.0</v>
      </c>
      <c r="L634" t="n">
        <v>0.0</v>
      </c>
      <c r="M634" t="n">
        <v>0.0</v>
      </c>
      <c r="N634" t="n">
        <v>0.0</v>
      </c>
      <c r="O634" t="n">
        <v>0.0</v>
      </c>
      <c r="P634" t="n">
        <v>0.0</v>
      </c>
      <c r="Q634" t="inlineStr">
        <is>
          <t/>
        </is>
      </c>
      <c r="R634" t="inlineStr">
        <is>
          <t/>
        </is>
      </c>
      <c r="S634" t="n">
        <v>0.0</v>
      </c>
      <c r="T634" t="n">
        <v>0.0</v>
      </c>
      <c r="U634" t="n">
        <v>0.0</v>
      </c>
      <c r="V634" t="n">
        <v>0.0</v>
      </c>
      <c r="W634" t="inlineStr">
        <is>
          <t/>
        </is>
      </c>
      <c r="X634" t="n">
        <v>0.0</v>
      </c>
      <c r="Y634" t="n">
        <v>0.0</v>
      </c>
      <c r="Z634" t="n">
        <v>0.0</v>
      </c>
      <c r="AA634" t="n">
        <v>0.0</v>
      </c>
      <c r="AB634" t="n">
        <v>0.0</v>
      </c>
      <c r="AC634" t="n">
        <v>0.0</v>
      </c>
      <c r="AD634" t="n">
        <v>1.0</v>
      </c>
      <c r="AE634" t="n">
        <v>0.0</v>
      </c>
      <c r="AF634" t="n">
        <v>0.0</v>
      </c>
      <c r="AG634" t="n">
        <v>0.0</v>
      </c>
      <c r="AH634" t="n">
        <v>0.0</v>
      </c>
      <c r="AI634" t="n">
        <v>0.0</v>
      </c>
      <c r="AJ634" t="n">
        <v>0.0</v>
      </c>
      <c r="AK634" t="n">
        <v>0.0</v>
      </c>
      <c r="AL634" t="inlineStr">
        <is>
          <t/>
        </is>
      </c>
    </row>
    <row r="635">
      <c r="A635" t="inlineStr">
        <is>
          <t>身材管理期晚餐最爱！没有之一！！！</t>
        </is>
      </c>
      <c r="B635" t="inlineStr">
        <is>
          <t>6a59c465000000000f012592</t>
        </is>
      </c>
      <c r="C635" s="634" t="n">
        <f>HYPERLINK("https://www.xiaohongshu.com/explore/6a59c465000000000f012592?xsec_token=TBznzFg2a5AgktvQj-m55hPs6QO2665UsqOKpe1BVlKr0=&amp;xsec_source=pc_trdark","https://www.xiaohongshu.com/explore/6a59c465000000000f012592?xsec_token=TBznzFg2a5AgktvQj-m55hPs6QO2665UsqOKpe1BVlKr0=&amp;xsec_source=pc_trdark")</f>
        <v>0.0</v>
      </c>
      <c r="D635" t="inlineStr">
        <is>
          <t>婉婉上班吃什么</t>
        </is>
      </c>
      <c r="E635" t="inlineStr">
        <is>
          <t>11434449706</t>
        </is>
      </c>
      <c r="F635" t="inlineStr">
        <is>
          <t>2026-07-17 13:57:57</t>
        </is>
      </c>
      <c r="G635" t="inlineStr">
        <is>
          <t>图文</t>
        </is>
      </c>
      <c r="H635" t="inlineStr">
        <is>
          <t>智利三文鱼切块·整条三文鱼·深海鱼一人食健康饮食</t>
        </is>
      </c>
      <c r="I635" t="inlineStr">
        <is>
          <t>691ac562a524ee0001b51d7b</t>
        </is>
      </c>
      <c r="J635" t="inlineStr">
        <is>
          <t/>
        </is>
      </c>
      <c r="K635" t="n">
        <v>0.0</v>
      </c>
      <c r="L635" t="n">
        <v>0.0</v>
      </c>
      <c r="M635" t="n">
        <v>1.0</v>
      </c>
      <c r="N635" t="n">
        <v>1.0</v>
      </c>
      <c r="O635" t="n">
        <v>1.0</v>
      </c>
      <c r="P635" t="n">
        <v>0.0</v>
      </c>
      <c r="Q635" t="n">
        <v>0.0</v>
      </c>
      <c r="R635" t="n">
        <v>0.0</v>
      </c>
      <c r="S635" t="n">
        <v>0.0</v>
      </c>
      <c r="T635" t="n">
        <v>0.0</v>
      </c>
      <c r="U635" t="n">
        <v>0.0</v>
      </c>
      <c r="V635" t="n">
        <v>0.0</v>
      </c>
      <c r="W635" t="inlineStr">
        <is>
          <t/>
        </is>
      </c>
      <c r="X635" t="n">
        <v>0.0</v>
      </c>
      <c r="Y635" t="n">
        <v>0.0</v>
      </c>
      <c r="Z635" t="n">
        <v>0.0</v>
      </c>
      <c r="AA635" t="n">
        <v>0.0</v>
      </c>
      <c r="AB635" t="n">
        <v>0.0</v>
      </c>
      <c r="AC635" t="n">
        <v>0.0</v>
      </c>
      <c r="AD635" t="n">
        <v>1.0</v>
      </c>
      <c r="AE635" t="n">
        <v>0.0</v>
      </c>
      <c r="AF635" t="n">
        <v>0.0</v>
      </c>
      <c r="AG635" t="n">
        <v>0.0</v>
      </c>
      <c r="AH635" t="n">
        <v>0.0</v>
      </c>
      <c r="AI635" t="n">
        <v>0.0</v>
      </c>
      <c r="AJ635" t="n">
        <v>0.0</v>
      </c>
      <c r="AK635" t="n">
        <v>3.0</v>
      </c>
      <c r="AL635" t="inlineStr">
        <is>
          <t/>
        </is>
      </c>
    </row>
    <row r="636">
      <c r="A636" t="inlineStr">
        <is>
          <t>谁懂啊😭60块独立小包装虾仁承包我一周快乐</t>
        </is>
      </c>
      <c r="B636" t="inlineStr">
        <is>
          <t>6a58e0e5000000001d022244</t>
        </is>
      </c>
      <c r="C636" s="635" t="n">
        <f>HYPERLINK("https://www.xiaohongshu.com/explore/6a58e0e5000000001d022244?xsec_token=TBvlNKL7oOw9geyiSau-qu9S-qORVuYqI-fdvP7H0el_E=&amp;xsec_source=pc_trdark","https://www.xiaohongshu.com/explore/6a58e0e5000000001d022244?xsec_token=TBvlNKL7oOw9geyiSau-qu9S-qORVuYqI-fdvP7H0el_E=&amp;xsec_source=pc_trdark")</f>
        <v>0.0</v>
      </c>
      <c r="D636" t="inlineStr">
        <is>
          <t>菲菲上班吃什么</t>
        </is>
      </c>
      <c r="E636" t="inlineStr">
        <is>
          <t>49936530607</t>
        </is>
      </c>
      <c r="F636" t="inlineStr">
        <is>
          <t>2026-07-16 21:47:17</t>
        </is>
      </c>
      <c r="G636" t="inlineStr">
        <is>
          <t>图文</t>
        </is>
      </c>
      <c r="H636" t="inlineStr">
        <is>
          <t>手剥虾仁 无冰衣无添加 低脂餐一人食 上班带饭 顺丰包邮 5盒装</t>
        </is>
      </c>
      <c r="I636" t="inlineStr">
        <is>
          <t>694baba01d450d00013662f0</t>
        </is>
      </c>
      <c r="J636" t="inlineStr">
        <is>
          <t/>
        </is>
      </c>
      <c r="K636" t="n">
        <v>0.0</v>
      </c>
      <c r="L636" t="n">
        <v>0.0</v>
      </c>
      <c r="M636" t="n">
        <v>0.0</v>
      </c>
      <c r="N636" t="n">
        <v>0.0</v>
      </c>
      <c r="O636" t="n">
        <v>0.0</v>
      </c>
      <c r="P636" t="n">
        <v>0.0</v>
      </c>
      <c r="Q636" t="inlineStr">
        <is>
          <t/>
        </is>
      </c>
      <c r="R636" t="inlineStr">
        <is>
          <t/>
        </is>
      </c>
      <c r="S636" t="n">
        <v>0.0</v>
      </c>
      <c r="T636" t="n">
        <v>0.0</v>
      </c>
      <c r="U636" t="n">
        <v>0.0</v>
      </c>
      <c r="V636" t="n">
        <v>0.0</v>
      </c>
      <c r="W636" t="inlineStr">
        <is>
          <t/>
        </is>
      </c>
      <c r="X636" t="n">
        <v>0.0</v>
      </c>
      <c r="Y636" t="n">
        <v>0.0</v>
      </c>
      <c r="Z636" t="n">
        <v>0.0</v>
      </c>
      <c r="AA636" t="n">
        <v>0.0</v>
      </c>
      <c r="AB636" t="n">
        <v>0.0</v>
      </c>
      <c r="AC636" t="n">
        <v>0.0</v>
      </c>
      <c r="AD636" t="n">
        <v>1.0</v>
      </c>
      <c r="AE636" t="n">
        <v>0.0</v>
      </c>
      <c r="AF636" t="n">
        <v>0.0</v>
      </c>
      <c r="AG636" t="n">
        <v>0.0</v>
      </c>
      <c r="AH636" t="n">
        <v>0.0</v>
      </c>
      <c r="AI636" t="n">
        <v>0.0</v>
      </c>
      <c r="AJ636" t="n">
        <v>0.0</v>
      </c>
      <c r="AK636" t="n">
        <v>0.0</v>
      </c>
      <c r="AL636" t="inlineStr">
        <is>
          <t/>
        </is>
      </c>
    </row>
    <row r="637">
      <c r="A637" t="inlineStr">
        <is>
          <t>办公室午饭被问最多的，居然是一餐一包虾仁</t>
        </is>
      </c>
      <c r="B637" t="inlineStr">
        <is>
          <t>6a58c897000000001b01ea7f</t>
        </is>
      </c>
      <c r="C637" s="636" t="n">
        <f>HYPERLINK("https://www.xiaohongshu.com/explore/6a58c897000000001b01ea7f?xsec_token=TBvlNKL7oOw9geyiSau-qu9YYO_oqms2VmVB0COXGx850=&amp;xsec_source=pc_trdark","https://www.xiaohongshu.com/explore/6a58c897000000001b01ea7f?xsec_token=TBvlNKL7oOw9geyiSau-qu9YYO_oqms2VmVB0COXGx850=&amp;xsec_source=pc_trdark")</f>
        <v>0.0</v>
      </c>
      <c r="D637" t="inlineStr">
        <is>
          <t>菲菲上班吃什么</t>
        </is>
      </c>
      <c r="E637" t="inlineStr">
        <is>
          <t>49936530607</t>
        </is>
      </c>
      <c r="F637" t="inlineStr">
        <is>
          <t>2026-07-16 20:03:35</t>
        </is>
      </c>
      <c r="G637" t="inlineStr">
        <is>
          <t>图文</t>
        </is>
      </c>
      <c r="H637" t="inlineStr">
        <is>
          <t>手剥虾仁 无冰衣无添加 低脂餐一人食 上班带饭 顺丰包邮 5盒装</t>
        </is>
      </c>
      <c r="I637" t="inlineStr">
        <is>
          <t>694baba01d450d00013662f0</t>
        </is>
      </c>
      <c r="J637" t="inlineStr">
        <is>
          <t/>
        </is>
      </c>
      <c r="K637" t="n">
        <v>0.0</v>
      </c>
      <c r="L637" t="n">
        <v>0.0</v>
      </c>
      <c r="M637" t="n">
        <v>0.0</v>
      </c>
      <c r="N637" t="n">
        <v>0.0</v>
      </c>
      <c r="O637" t="n">
        <v>0.0</v>
      </c>
      <c r="P637" t="n">
        <v>0.0</v>
      </c>
      <c r="Q637" t="inlineStr">
        <is>
          <t/>
        </is>
      </c>
      <c r="R637" t="inlineStr">
        <is>
          <t/>
        </is>
      </c>
      <c r="S637" t="n">
        <v>0.0</v>
      </c>
      <c r="T637" t="n">
        <v>0.0</v>
      </c>
      <c r="U637" t="n">
        <v>0.0</v>
      </c>
      <c r="V637" t="n">
        <v>0.0</v>
      </c>
      <c r="W637" t="inlineStr">
        <is>
          <t/>
        </is>
      </c>
      <c r="X637" t="n">
        <v>0.0</v>
      </c>
      <c r="Y637" t="n">
        <v>0.0</v>
      </c>
      <c r="Z637" t="n">
        <v>0.0</v>
      </c>
      <c r="AA637" t="n">
        <v>0.0</v>
      </c>
      <c r="AB637" t="n">
        <v>0.0</v>
      </c>
      <c r="AC637" t="n">
        <v>0.0</v>
      </c>
      <c r="AD637" t="n">
        <v>1.0</v>
      </c>
      <c r="AE637" t="n">
        <v>0.0</v>
      </c>
      <c r="AF637" t="n">
        <v>0.0</v>
      </c>
      <c r="AG637" t="n">
        <v>0.0</v>
      </c>
      <c r="AH637" t="n">
        <v>0.0</v>
      </c>
      <c r="AI637" t="n">
        <v>0.0</v>
      </c>
      <c r="AJ637" t="n">
        <v>0.0</v>
      </c>
      <c r="AK637" t="n">
        <v>0.0</v>
      </c>
      <c r="AL637" t="inlineStr">
        <is>
          <t/>
        </is>
      </c>
    </row>
    <row r="638">
      <c r="A638" t="inlineStr">
        <is>
          <t>pxx对不起！我们xhs的虾仁赢麻了</t>
        </is>
      </c>
      <c r="B638" t="inlineStr">
        <is>
          <t>6a588d4a000000001d022848</t>
        </is>
      </c>
      <c r="C638" s="637" t="n">
        <f>HYPERLINK("https://www.xiaohongshu.com/explore/6a588d4a000000001d022848?xsec_token=TBvlNKL7oOw9geyiSau-qu9XrO5ZZxURQqlVrZIEJtAzE=&amp;xsec_source=pc_trdark","https://www.xiaohongshu.com/explore/6a588d4a000000001d022848?xsec_token=TBvlNKL7oOw9geyiSau-qu9XrO5ZZxURQqlVrZIEJtAzE=&amp;xsec_source=pc_trdark")</f>
        <v>0.0</v>
      </c>
      <c r="D638" t="inlineStr">
        <is>
          <t>鲜水湾</t>
        </is>
      </c>
      <c r="E638" t="inlineStr">
        <is>
          <t>49316638994</t>
        </is>
      </c>
      <c r="F638" t="inlineStr">
        <is>
          <t>2026-07-16 15:50:34</t>
        </is>
      </c>
      <c r="G638" t="inlineStr">
        <is>
          <t>图文</t>
        </is>
      </c>
      <c r="H638" t="inlineStr">
        <is>
          <t>手剥虾仁 无冰衣无添加 低脂餐一人食 上班带饭 顺丰包邮 5盒装</t>
        </is>
      </c>
      <c r="I638" t="inlineStr">
        <is>
          <t>694baba01d450d00013662f0</t>
        </is>
      </c>
      <c r="J638" t="inlineStr">
        <is>
          <t/>
        </is>
      </c>
      <c r="K638" t="n">
        <v>0.0</v>
      </c>
      <c r="L638" t="n">
        <v>0.0</v>
      </c>
      <c r="M638" t="n">
        <v>0.0</v>
      </c>
      <c r="N638" t="n">
        <v>0.0</v>
      </c>
      <c r="O638" t="n">
        <v>0.0</v>
      </c>
      <c r="P638" t="n">
        <v>0.0</v>
      </c>
      <c r="Q638" t="inlineStr">
        <is>
          <t/>
        </is>
      </c>
      <c r="R638" t="inlineStr">
        <is>
          <t/>
        </is>
      </c>
      <c r="S638" t="n">
        <v>0.0</v>
      </c>
      <c r="T638" t="n">
        <v>0.0</v>
      </c>
      <c r="U638" t="n">
        <v>0.0</v>
      </c>
      <c r="V638" t="n">
        <v>0.0</v>
      </c>
      <c r="W638" t="inlineStr">
        <is>
          <t/>
        </is>
      </c>
      <c r="X638" t="n">
        <v>0.0</v>
      </c>
      <c r="Y638" t="n">
        <v>0.0</v>
      </c>
      <c r="Z638" t="n">
        <v>0.0</v>
      </c>
      <c r="AA638" t="n">
        <v>0.0</v>
      </c>
      <c r="AB638" t="n">
        <v>0.0</v>
      </c>
      <c r="AC638" t="n">
        <v>0.0</v>
      </c>
      <c r="AD638" t="n">
        <v>1.0</v>
      </c>
      <c r="AE638" t="n">
        <v>0.0</v>
      </c>
      <c r="AF638" t="n">
        <v>0.0</v>
      </c>
      <c r="AG638" t="n">
        <v>0.0</v>
      </c>
      <c r="AH638" t="n">
        <v>0.0</v>
      </c>
      <c r="AI638" t="n">
        <v>0.0</v>
      </c>
      <c r="AJ638" t="n">
        <v>0.0</v>
      </c>
      <c r="AK638" t="n">
        <v>1.0</v>
      </c>
      <c r="AL638" t="inlineStr">
        <is>
          <t/>
        </is>
      </c>
    </row>
    <row r="639">
      <c r="A639" t="inlineStr">
        <is>
          <t>夏日控体真不贵！月薪3k照样实现虾仁自由🤩</t>
        </is>
      </c>
      <c r="B639" t="inlineStr">
        <is>
          <t>6a588101000000000f00b478</t>
        </is>
      </c>
      <c r="C639" s="638" t="n">
        <f>HYPERLINK("https://www.xiaohongshu.com/explore/6a588101000000000f00b478?xsec_token=TBvlNKL7oOw9geyiSau-qu9fT-LimB07cuepld2Tm9rIs=&amp;xsec_source=pc_trdark","https://www.xiaohongshu.com/explore/6a588101000000000f00b478?xsec_token=TBvlNKL7oOw9geyiSau-qu9fT-LimB07cuepld2Tm9rIs=&amp;xsec_source=pc_trdark")</f>
        <v>0.0</v>
      </c>
      <c r="D639" t="inlineStr">
        <is>
          <t>菲菲上班吃什么</t>
        </is>
      </c>
      <c r="E639" t="inlineStr">
        <is>
          <t>49936530607</t>
        </is>
      </c>
      <c r="F639" t="inlineStr">
        <is>
          <t>2026-07-16 14:58:09</t>
        </is>
      </c>
      <c r="G639" t="inlineStr">
        <is>
          <t>图文</t>
        </is>
      </c>
      <c r="H639" t="inlineStr">
        <is>
          <t>手剥虾仁 无冰衣无添加 低脂餐一人食 上班带饭 顺丰包邮 5盒装</t>
        </is>
      </c>
      <c r="I639" t="inlineStr">
        <is>
          <t>694baba01d450d00013662f0</t>
        </is>
      </c>
      <c r="J639" t="inlineStr">
        <is>
          <t/>
        </is>
      </c>
      <c r="K639" t="n">
        <v>0.0</v>
      </c>
      <c r="L639" t="n">
        <v>0.0</v>
      </c>
      <c r="M639" t="n">
        <v>0.0</v>
      </c>
      <c r="N639" t="n">
        <v>0.0</v>
      </c>
      <c r="O639" t="n">
        <v>0.0</v>
      </c>
      <c r="P639" t="n">
        <v>0.0</v>
      </c>
      <c r="Q639" t="inlineStr">
        <is>
          <t/>
        </is>
      </c>
      <c r="R639" t="inlineStr">
        <is>
          <t/>
        </is>
      </c>
      <c r="S639" t="n">
        <v>0.0</v>
      </c>
      <c r="T639" t="n">
        <v>0.0</v>
      </c>
      <c r="U639" t="n">
        <v>0.0</v>
      </c>
      <c r="V639" t="n">
        <v>0.0</v>
      </c>
      <c r="W639" t="inlineStr">
        <is>
          <t/>
        </is>
      </c>
      <c r="X639" t="n">
        <v>0.0</v>
      </c>
      <c r="Y639" t="n">
        <v>0.0</v>
      </c>
      <c r="Z639" t="n">
        <v>0.0</v>
      </c>
      <c r="AA639" t="n">
        <v>0.0</v>
      </c>
      <c r="AB639" t="n">
        <v>0.0</v>
      </c>
      <c r="AC639" t="n">
        <v>0.0</v>
      </c>
      <c r="AD639" t="n">
        <v>1.0</v>
      </c>
      <c r="AE639" t="n">
        <v>0.0</v>
      </c>
      <c r="AF639" t="n">
        <v>0.0</v>
      </c>
      <c r="AG639" t="n">
        <v>0.0</v>
      </c>
      <c r="AH639" t="n">
        <v>0.0</v>
      </c>
      <c r="AI639" t="n">
        <v>0.0</v>
      </c>
      <c r="AJ639" t="n">
        <v>0.0</v>
      </c>
      <c r="AK639" t="n">
        <v>0.0</v>
      </c>
      <c r="AL639" t="inlineStr">
        <is>
          <t/>
        </is>
      </c>
    </row>
    <row r="640">
      <c r="A640" t="inlineStr">
        <is>
          <t>真心建议自律期的女孩都来试试这个虾仁！</t>
        </is>
      </c>
      <c r="B640" t="inlineStr">
        <is>
          <t>6a5755fc00000000080018f3</t>
        </is>
      </c>
      <c r="C640" s="639" t="n">
        <f>HYPERLINK("https://www.xiaohongshu.com/explore/6a5755fc00000000080018f3?xsec_token=TB3zADzSb113WZKv-nEzvX6egagfCTD6PfEHSxOkJ2DE0=&amp;xsec_source=pc_trdark","https://www.xiaohongshu.com/explore/6a5755fc00000000080018f3?xsec_token=TB3zADzSb113WZKv-nEzvX6egagfCTD6PfEHSxOkJ2DE0=&amp;xsec_source=pc_trdark")</f>
        <v>0.0</v>
      </c>
      <c r="D640" t="inlineStr">
        <is>
          <t>婉婉上班吃什么</t>
        </is>
      </c>
      <c r="E640" t="inlineStr">
        <is>
          <t>11434449706</t>
        </is>
      </c>
      <c r="F640" t="inlineStr">
        <is>
          <t>2026-07-15 17:42:20</t>
        </is>
      </c>
      <c r="G640" t="inlineStr">
        <is>
          <t>图文</t>
        </is>
      </c>
      <c r="H640" t="inlineStr">
        <is>
          <t>手剥虾仁 无冰衣无添加 低脂餐一人食 上班带饭 顺丰包邮 5盒装</t>
        </is>
      </c>
      <c r="I640" t="inlineStr">
        <is>
          <t>694baba01d450d00013662f0</t>
        </is>
      </c>
      <c r="J640" t="inlineStr">
        <is>
          <t/>
        </is>
      </c>
      <c r="K640" t="n">
        <v>0.0</v>
      </c>
      <c r="L640" t="n">
        <v>0.0</v>
      </c>
      <c r="M640" t="n">
        <v>0.0</v>
      </c>
      <c r="N640" t="n">
        <v>0.0</v>
      </c>
      <c r="O640" t="n">
        <v>0.0</v>
      </c>
      <c r="P640" t="n">
        <v>0.0</v>
      </c>
      <c r="Q640" t="inlineStr">
        <is>
          <t/>
        </is>
      </c>
      <c r="R640" t="inlineStr">
        <is>
          <t/>
        </is>
      </c>
      <c r="S640" t="n">
        <v>0.0</v>
      </c>
      <c r="T640" t="n">
        <v>0.0</v>
      </c>
      <c r="U640" t="n">
        <v>0.0</v>
      </c>
      <c r="V640" t="n">
        <v>0.0</v>
      </c>
      <c r="W640" t="inlineStr">
        <is>
          <t/>
        </is>
      </c>
      <c r="X640" t="n">
        <v>0.0</v>
      </c>
      <c r="Y640" t="n">
        <v>0.0</v>
      </c>
      <c r="Z640" t="n">
        <v>0.0</v>
      </c>
      <c r="AA640" t="n">
        <v>0.0</v>
      </c>
      <c r="AB640" t="n">
        <v>0.0</v>
      </c>
      <c r="AC640" t="n">
        <v>0.0</v>
      </c>
      <c r="AD640" t="n">
        <v>1.0</v>
      </c>
      <c r="AE640" t="n">
        <v>0.0</v>
      </c>
      <c r="AF640" t="n">
        <v>0.0</v>
      </c>
      <c r="AG640" t="n">
        <v>0.0</v>
      </c>
      <c r="AH640" t="n">
        <v>0.0</v>
      </c>
      <c r="AI640" t="n">
        <v>0.0</v>
      </c>
      <c r="AJ640" t="n">
        <v>0.0</v>
      </c>
      <c r="AK640" t="n">
        <v>4.0</v>
      </c>
      <c r="AL640" t="inlineStr">
        <is>
          <t/>
        </is>
      </c>
    </row>
    <row r="641">
      <c r="A641" t="inlineStr">
        <is>
          <t>一次一袋，真的太适合独居一人食了！！！</t>
        </is>
      </c>
      <c r="B641" t="inlineStr">
        <is>
          <t>6a5619610000000006035607</t>
        </is>
      </c>
      <c r="C641" s="640" t="n">
        <f>HYPERLINK("https://www.xiaohongshu.com/explore/6a5619610000000006035607?xsec_token=TB9bhMHu11lwl7C-NRH9-rDMk_nkvgaJkFZGxKd0qw5Vg=&amp;xsec_source=pc_trdark","https://www.xiaohongshu.com/explore/6a5619610000000006035607?xsec_token=TB9bhMHu11lwl7C-NRH9-rDMk_nkvgaJkFZGxKd0qw5Vg=&amp;xsec_source=pc_trdark")</f>
        <v>0.0</v>
      </c>
      <c r="D641" t="inlineStr">
        <is>
          <t>菲菲上班吃什么</t>
        </is>
      </c>
      <c r="E641" t="inlineStr">
        <is>
          <t>49936530607</t>
        </is>
      </c>
      <c r="F641" t="inlineStr">
        <is>
          <t>2026-07-14 19:11:29</t>
        </is>
      </c>
      <c r="G641" t="inlineStr">
        <is>
          <t>图文</t>
        </is>
      </c>
      <c r="H641" t="inlineStr">
        <is>
          <t>手剥虾仁 无冰衣无添加 低脂餐一人食 上班带饭 顺丰包邮 5盒装</t>
        </is>
      </c>
      <c r="I641" t="inlineStr">
        <is>
          <t>694baba01d450d00013662f0</t>
        </is>
      </c>
      <c r="J641" t="inlineStr">
        <is>
          <t/>
        </is>
      </c>
      <c r="K641" t="n">
        <v>0.0</v>
      </c>
      <c r="L641" t="n">
        <v>0.0</v>
      </c>
      <c r="M641" t="n">
        <v>0.0</v>
      </c>
      <c r="N641" t="n">
        <v>0.0</v>
      </c>
      <c r="O641" t="n">
        <v>0.0</v>
      </c>
      <c r="P641" t="n">
        <v>0.0</v>
      </c>
      <c r="Q641" t="inlineStr">
        <is>
          <t/>
        </is>
      </c>
      <c r="R641" t="inlineStr">
        <is>
          <t/>
        </is>
      </c>
      <c r="S641" t="n">
        <v>0.0</v>
      </c>
      <c r="T641" t="n">
        <v>0.0</v>
      </c>
      <c r="U641" t="n">
        <v>0.0</v>
      </c>
      <c r="V641" t="n">
        <v>0.0</v>
      </c>
      <c r="W641" t="inlineStr">
        <is>
          <t/>
        </is>
      </c>
      <c r="X641" t="n">
        <v>0.0</v>
      </c>
      <c r="Y641" t="n">
        <v>0.0</v>
      </c>
      <c r="Z641" t="n">
        <v>0.0</v>
      </c>
      <c r="AA641" t="n">
        <v>0.0</v>
      </c>
      <c r="AB641" t="n">
        <v>0.0</v>
      </c>
      <c r="AC641" t="n">
        <v>0.0</v>
      </c>
      <c r="AD641" t="n">
        <v>1.0</v>
      </c>
      <c r="AE641" t="n">
        <v>0.0</v>
      </c>
      <c r="AF641" t="n">
        <v>0.0</v>
      </c>
      <c r="AG641" t="n">
        <v>0.0</v>
      </c>
      <c r="AH641" t="n">
        <v>0.0</v>
      </c>
      <c r="AI641" t="n">
        <v>0.0</v>
      </c>
      <c r="AJ641" t="n">
        <v>0.0</v>
      </c>
      <c r="AK641" t="n">
        <v>25.0</v>
      </c>
      <c r="AL641" t="inlineStr">
        <is>
          <t/>
        </is>
      </c>
    </row>
    <row r="642">
      <c r="A642" t="inlineStr">
        <is>
          <t>和老爸商量后，决定推出低卡独立小包装！</t>
        </is>
      </c>
      <c r="B642" t="inlineStr">
        <is>
          <t>6a547859000000001101397b</t>
        </is>
      </c>
      <c r="C642" s="641" t="n">
        <f>HYPERLINK("https://www.xiaohongshu.com/explore/6a547859000000001101397b?xsec_token=TBnijnMEPEnSTDzzHBYv-GM6-yfpEJ7JRqGvePZVEsIJ4=&amp;xsec_source=pc_trdark","https://www.xiaohongshu.com/explore/6a547859000000001101397b?xsec_token=TBnijnMEPEnSTDzzHBYv-GM6-yfpEJ7JRqGvePZVEsIJ4=&amp;xsec_source=pc_trdark")</f>
        <v>0.0</v>
      </c>
      <c r="D642" t="inlineStr">
        <is>
          <t>鲜水湾甄选</t>
        </is>
      </c>
      <c r="E642" t="inlineStr">
        <is>
          <t>27401929161</t>
        </is>
      </c>
      <c r="F642" t="inlineStr">
        <is>
          <t>2026-07-13 13:32:09</t>
        </is>
      </c>
      <c r="G642" t="inlineStr">
        <is>
          <t>图文</t>
        </is>
      </c>
      <c r="H642" t="inlineStr">
        <is>
          <t>手剥虾仁 无冰衣无添加 低脂餐一人食 上班带饭 顺丰包邮 5盒装</t>
        </is>
      </c>
      <c r="I642" t="inlineStr">
        <is>
          <t>694baba01d450d00013662f0</t>
        </is>
      </c>
      <c r="J642" t="inlineStr">
        <is>
          <t/>
        </is>
      </c>
      <c r="K642" t="n">
        <v>0.0</v>
      </c>
      <c r="L642" t="n">
        <v>0.0</v>
      </c>
      <c r="M642" t="n">
        <v>0.0</v>
      </c>
      <c r="N642" t="n">
        <v>0.0</v>
      </c>
      <c r="O642" t="n">
        <v>0.0</v>
      </c>
      <c r="P642" t="n">
        <v>0.0</v>
      </c>
      <c r="Q642" t="inlineStr">
        <is>
          <t/>
        </is>
      </c>
      <c r="R642" t="inlineStr">
        <is>
          <t/>
        </is>
      </c>
      <c r="S642" t="n">
        <v>0.0</v>
      </c>
      <c r="T642" t="n">
        <v>0.0</v>
      </c>
      <c r="U642" t="n">
        <v>0.0</v>
      </c>
      <c r="V642" t="n">
        <v>0.0</v>
      </c>
      <c r="W642" t="inlineStr">
        <is>
          <t/>
        </is>
      </c>
      <c r="X642" t="n">
        <v>0.0</v>
      </c>
      <c r="Y642" t="n">
        <v>0.0</v>
      </c>
      <c r="Z642" t="n">
        <v>0.0</v>
      </c>
      <c r="AA642" t="n">
        <v>0.0</v>
      </c>
      <c r="AB642" t="n">
        <v>0.0</v>
      </c>
      <c r="AC642" t="n">
        <v>0.0</v>
      </c>
      <c r="AD642" t="n">
        <v>1.0</v>
      </c>
      <c r="AE642" t="n">
        <v>0.0</v>
      </c>
      <c r="AF642" t="n">
        <v>0.0</v>
      </c>
      <c r="AG642" t="n">
        <v>0.0</v>
      </c>
      <c r="AH642" t="n">
        <v>0.0</v>
      </c>
      <c r="AI642" t="n">
        <v>0.0</v>
      </c>
      <c r="AJ642" t="n">
        <v>0.0</v>
      </c>
      <c r="AK642" t="n">
        <v>277.0</v>
      </c>
      <c r="AL642" t="inlineStr">
        <is>
          <t/>
        </is>
      </c>
    </row>
    <row r="643">
      <c r="A643" t="inlineStr">
        <is>
          <t>和老爸商量后，推出了100g一袋的小包装虾仁</t>
        </is>
      </c>
      <c r="B643" t="inlineStr">
        <is>
          <t>6a5452ef000000000702825d</t>
        </is>
      </c>
      <c r="C643" s="642" t="n">
        <f>HYPERLINK("https://www.xiaohongshu.com/explore/6a5452ef000000000702825d?xsec_token=TBnijnMEPEnSTDzzHBYv-GM8aVw7vDPsSxY34nlYo2130=&amp;xsec_source=pc_trdark","https://www.xiaohongshu.com/explore/6a5452ef000000000702825d?xsec_token=TBnijnMEPEnSTDzzHBYv-GM8aVw7vDPsSxY34nlYo2130=&amp;xsec_source=pc_trdark")</f>
        <v>0.0</v>
      </c>
      <c r="D643" t="inlineStr">
        <is>
          <t>鲜水湾</t>
        </is>
      </c>
      <c r="E643" t="inlineStr">
        <is>
          <t>49316638994</t>
        </is>
      </c>
      <c r="F643" t="inlineStr">
        <is>
          <t>2026-07-13 10:52:31</t>
        </is>
      </c>
      <c r="G643" t="inlineStr">
        <is>
          <t>图文</t>
        </is>
      </c>
      <c r="H643" t="inlineStr">
        <is>
          <t>手剥虾仁 无冰衣无添加 低脂餐一人食 上班带饭 顺丰包邮 5盒装</t>
        </is>
      </c>
      <c r="I643" t="inlineStr">
        <is>
          <t>694baba01d450d00013662f0</t>
        </is>
      </c>
      <c r="J643" t="inlineStr">
        <is>
          <t/>
        </is>
      </c>
      <c r="K643" t="n">
        <v>0.0</v>
      </c>
      <c r="L643" t="n">
        <v>0.0</v>
      </c>
      <c r="M643" t="n">
        <v>0.0</v>
      </c>
      <c r="N643" t="n">
        <v>0.0</v>
      </c>
      <c r="O643" t="n">
        <v>0.0</v>
      </c>
      <c r="P643" t="n">
        <v>0.0</v>
      </c>
      <c r="Q643" t="inlineStr">
        <is>
          <t/>
        </is>
      </c>
      <c r="R643" t="inlineStr">
        <is>
          <t/>
        </is>
      </c>
      <c r="S643" t="n">
        <v>0.0</v>
      </c>
      <c r="T643" t="n">
        <v>0.0</v>
      </c>
      <c r="U643" t="n">
        <v>0.0</v>
      </c>
      <c r="V643" t="n">
        <v>0.0</v>
      </c>
      <c r="W643" t="inlineStr">
        <is>
          <t/>
        </is>
      </c>
      <c r="X643" t="n">
        <v>0.0</v>
      </c>
      <c r="Y643" t="n">
        <v>0.0</v>
      </c>
      <c r="Z643" t="n">
        <v>0.0</v>
      </c>
      <c r="AA643" t="n">
        <v>0.0</v>
      </c>
      <c r="AB643" t="n">
        <v>0.0</v>
      </c>
      <c r="AC643" t="n">
        <v>0.0</v>
      </c>
      <c r="AD643" t="n">
        <v>1.0</v>
      </c>
      <c r="AE643" t="n">
        <v>0.0</v>
      </c>
      <c r="AF643" t="n">
        <v>0.0</v>
      </c>
      <c r="AG643" t="n">
        <v>0.0</v>
      </c>
      <c r="AH643" t="n">
        <v>0.0</v>
      </c>
      <c r="AI643" t="n">
        <v>0.0</v>
      </c>
      <c r="AJ643" t="n">
        <v>0.0</v>
      </c>
      <c r="AK643" t="n">
        <v>7.0</v>
      </c>
      <c r="AL643" t="inlineStr">
        <is>
          <t/>
        </is>
      </c>
    </row>
    <row r="644">
      <c r="A644" t="inlineStr">
        <is>
          <t>健身人别再囤鸡胸了，我宣布换小包装了！</t>
        </is>
      </c>
      <c r="B644" t="inlineStr">
        <is>
          <t>6a5331800000000021019aeb</t>
        </is>
      </c>
      <c r="C644" s="643" t="n">
        <f>HYPERLINK("https://www.xiaohongshu.com/explore/6a5331800000000021019aeb?xsec_token=TBFK5Se19N-rY8UMGPamuX6YI4X9scn5pt_VDdQXi-G0o=&amp;xsec_source=pc_trdark","https://www.xiaohongshu.com/explore/6a5331800000000021019aeb?xsec_token=TBFK5Se19N-rY8UMGPamuX6YI4X9scn5pt_VDdQXi-G0o=&amp;xsec_source=pc_trdark")</f>
        <v>0.0</v>
      </c>
      <c r="D644" t="inlineStr">
        <is>
          <t>菲菲上班吃什么</t>
        </is>
      </c>
      <c r="E644" t="inlineStr">
        <is>
          <t>49936530607</t>
        </is>
      </c>
      <c r="F644" t="inlineStr">
        <is>
          <t>2026-07-12 14:17:36</t>
        </is>
      </c>
      <c r="G644" t="inlineStr">
        <is>
          <t>图文</t>
        </is>
      </c>
      <c r="H644" t="inlineStr">
        <is>
          <t>手剥虾仁 无冰衣无添加 低脂餐一人食 上班带饭 顺丰包邮 5盒装</t>
        </is>
      </c>
      <c r="I644" t="inlineStr">
        <is>
          <t>694baba01d450d00013662f0</t>
        </is>
      </c>
      <c r="J644" t="inlineStr">
        <is>
          <t/>
        </is>
      </c>
      <c r="K644" t="n">
        <v>0.0</v>
      </c>
      <c r="L644" t="n">
        <v>0.0</v>
      </c>
      <c r="M644" t="n">
        <v>0.0</v>
      </c>
      <c r="N644" t="n">
        <v>0.0</v>
      </c>
      <c r="O644" t="n">
        <v>0.0</v>
      </c>
      <c r="P644" t="n">
        <v>0.0</v>
      </c>
      <c r="Q644" t="inlineStr">
        <is>
          <t/>
        </is>
      </c>
      <c r="R644" t="inlineStr">
        <is>
          <t/>
        </is>
      </c>
      <c r="S644" t="n">
        <v>0.0</v>
      </c>
      <c r="T644" t="n">
        <v>0.0</v>
      </c>
      <c r="U644" t="n">
        <v>0.0</v>
      </c>
      <c r="V644" t="n">
        <v>0.0</v>
      </c>
      <c r="W644" t="inlineStr">
        <is>
          <t/>
        </is>
      </c>
      <c r="X644" t="n">
        <v>0.0</v>
      </c>
      <c r="Y644" t="n">
        <v>0.0</v>
      </c>
      <c r="Z644" t="n">
        <v>0.0</v>
      </c>
      <c r="AA644" t="n">
        <v>0.0</v>
      </c>
      <c r="AB644" t="n">
        <v>0.0</v>
      </c>
      <c r="AC644" t="n">
        <v>0.0</v>
      </c>
      <c r="AD644" t="n">
        <v>1.0</v>
      </c>
      <c r="AE644" t="n">
        <v>0.0</v>
      </c>
      <c r="AF644" t="n">
        <v>0.0</v>
      </c>
      <c r="AG644" t="n">
        <v>0.0</v>
      </c>
      <c r="AH644" t="n">
        <v>0.0</v>
      </c>
      <c r="AI644" t="n">
        <v>0.0</v>
      </c>
      <c r="AJ644" t="n">
        <v>0.0</v>
      </c>
      <c r="AK644" t="n">
        <v>1.0</v>
      </c>
      <c r="AL644" t="inlineStr">
        <is>
          <t/>
        </is>
      </c>
    </row>
    <row r="645">
      <c r="A645" t="inlineStr">
        <is>
          <t>独居一人食最大的变化，是戒掉了大包装</t>
        </is>
      </c>
      <c r="B645" t="inlineStr">
        <is>
          <t>6a50f867000000002103df3b</t>
        </is>
      </c>
      <c r="C645" s="644" t="n">
        <f>HYPERLINK("https://www.xiaohongshu.com/explore/6a50f867000000002103df3b?xsec_token=TBJUAT_bOmtyXvbJR8RCxT5M8Sxl47iMpX52Cc8L3sutU=&amp;xsec_source=pc_trdark","https://www.xiaohongshu.com/explore/6a50f867000000002103df3b?xsec_token=TBJUAT_bOmtyXvbJR8RCxT5M8Sxl47iMpX52Cc8L3sutU=&amp;xsec_source=pc_trdark")</f>
        <v>0.0</v>
      </c>
      <c r="D645" t="inlineStr">
        <is>
          <t>菲菲上班吃什么</t>
        </is>
      </c>
      <c r="E645" t="inlineStr">
        <is>
          <t>49936530607</t>
        </is>
      </c>
      <c r="F645" t="inlineStr">
        <is>
          <t>2026-07-10 21:49:27</t>
        </is>
      </c>
      <c r="G645" t="inlineStr">
        <is>
          <t>图文</t>
        </is>
      </c>
      <c r="H645" t="inlineStr">
        <is>
          <t>手剥虾仁 无冰衣无添加 低脂餐一人食 上班带饭 顺丰包邮 5盒装</t>
        </is>
      </c>
      <c r="I645" t="inlineStr">
        <is>
          <t>694baba01d450d00013662f0</t>
        </is>
      </c>
      <c r="J645" t="inlineStr">
        <is>
          <t/>
        </is>
      </c>
      <c r="K645" t="n">
        <v>0.0</v>
      </c>
      <c r="L645" t="n">
        <v>0.0</v>
      </c>
      <c r="M645" t="n">
        <v>0.0</v>
      </c>
      <c r="N645" t="n">
        <v>0.0</v>
      </c>
      <c r="O645" t="n">
        <v>0.0</v>
      </c>
      <c r="P645" t="n">
        <v>0.0</v>
      </c>
      <c r="Q645" t="inlineStr">
        <is>
          <t/>
        </is>
      </c>
      <c r="R645" t="inlineStr">
        <is>
          <t/>
        </is>
      </c>
      <c r="S645" t="n">
        <v>0.0</v>
      </c>
      <c r="T645" t="n">
        <v>0.0</v>
      </c>
      <c r="U645" t="n">
        <v>0.0</v>
      </c>
      <c r="V645" t="n">
        <v>0.0</v>
      </c>
      <c r="W645" t="inlineStr">
        <is>
          <t/>
        </is>
      </c>
      <c r="X645" t="n">
        <v>0.0</v>
      </c>
      <c r="Y645" t="n">
        <v>0.0</v>
      </c>
      <c r="Z645" t="n">
        <v>0.0</v>
      </c>
      <c r="AA645" t="n">
        <v>0.0</v>
      </c>
      <c r="AB645" t="n">
        <v>0.0</v>
      </c>
      <c r="AC645" t="n">
        <v>0.0</v>
      </c>
      <c r="AD645" t="n">
        <v>1.0</v>
      </c>
      <c r="AE645" t="n">
        <v>0.0</v>
      </c>
      <c r="AF645" t="n">
        <v>0.0</v>
      </c>
      <c r="AG645" t="n">
        <v>0.0</v>
      </c>
      <c r="AH645" t="n">
        <v>0.0</v>
      </c>
      <c r="AI645" t="n">
        <v>0.0</v>
      </c>
      <c r="AJ645" t="n">
        <v>0.0</v>
      </c>
      <c r="AK645" t="n">
        <v>7.0</v>
      </c>
      <c r="AL645" t="inlineStr">
        <is>
          <t/>
        </is>
      </c>
    </row>
    <row r="646">
      <c r="A646" t="inlineStr">
        <is>
          <t>打工人的控体餐，真的不用每天想吃什么</t>
        </is>
      </c>
      <c r="B646" t="inlineStr">
        <is>
          <t>6a50cce6000000000702762d</t>
        </is>
      </c>
      <c r="C646" s="645" t="n">
        <f>HYPERLINK("https://www.xiaohongshu.com/explore/6a50cce6000000000702762d?xsec_token=TBJUAT_bOmtyXvbJR8RCxT5B2J7oGV3wEIi_UfJqXIAsE=&amp;xsec_source=pc_trdark","https://www.xiaohongshu.com/explore/6a50cce6000000000702762d?xsec_token=TBJUAT_bOmtyXvbJR8RCxT5B2J7oGV3wEIi_UfJqXIAsE=&amp;xsec_source=pc_trdark")</f>
        <v>0.0</v>
      </c>
      <c r="D646" t="inlineStr">
        <is>
          <t>菲菲上班吃什么</t>
        </is>
      </c>
      <c r="E646" t="inlineStr">
        <is>
          <t>49936530607</t>
        </is>
      </c>
      <c r="F646" t="inlineStr">
        <is>
          <t>2026-07-10 18:43:50</t>
        </is>
      </c>
      <c r="G646" t="inlineStr">
        <is>
          <t>图文</t>
        </is>
      </c>
      <c r="H646" t="inlineStr">
        <is>
          <t>手剥虾仁 无冰衣无添加 低脂餐一人食 上班带饭 顺丰包邮 5盒装</t>
        </is>
      </c>
      <c r="I646" t="inlineStr">
        <is>
          <t>694baba01d450d00013662f0</t>
        </is>
      </c>
      <c r="J646" t="inlineStr">
        <is>
          <t/>
        </is>
      </c>
      <c r="K646" t="n">
        <v>0.0</v>
      </c>
      <c r="L646" t="n">
        <v>0.0</v>
      </c>
      <c r="M646" t="n">
        <v>0.0</v>
      </c>
      <c r="N646" t="n">
        <v>0.0</v>
      </c>
      <c r="O646" t="n">
        <v>0.0</v>
      </c>
      <c r="P646" t="n">
        <v>0.0</v>
      </c>
      <c r="Q646" t="inlineStr">
        <is>
          <t/>
        </is>
      </c>
      <c r="R646" t="inlineStr">
        <is>
          <t/>
        </is>
      </c>
      <c r="S646" t="n">
        <v>0.0</v>
      </c>
      <c r="T646" t="n">
        <v>0.0</v>
      </c>
      <c r="U646" t="n">
        <v>0.0</v>
      </c>
      <c r="V646" t="n">
        <v>0.0</v>
      </c>
      <c r="W646" t="inlineStr">
        <is>
          <t/>
        </is>
      </c>
      <c r="X646" t="n">
        <v>0.0</v>
      </c>
      <c r="Y646" t="n">
        <v>0.0</v>
      </c>
      <c r="Z646" t="n">
        <v>1.0</v>
      </c>
      <c r="AA646" t="n">
        <v>0.0</v>
      </c>
      <c r="AB646" t="n">
        <v>0.0</v>
      </c>
      <c r="AC646" t="n">
        <v>0.0</v>
      </c>
      <c r="AD646" t="n">
        <v>1.0</v>
      </c>
      <c r="AE646" t="n">
        <v>0.0</v>
      </c>
      <c r="AF646" t="n">
        <v>0.0</v>
      </c>
      <c r="AG646" t="n">
        <v>0.0</v>
      </c>
      <c r="AH646" t="n">
        <v>0.0</v>
      </c>
      <c r="AI646" t="n">
        <v>0.0</v>
      </c>
      <c r="AJ646" t="n">
        <v>0.0</v>
      </c>
      <c r="AK646" t="n">
        <v>1.0</v>
      </c>
      <c r="AL646" t="inlineStr">
        <is>
          <t/>
        </is>
      </c>
    </row>
    <row r="647">
      <c r="A647" t="inlineStr">
        <is>
          <t>可惜你不是自律人，不懂这碗三文鱼的快乐‼️</t>
        </is>
      </c>
      <c r="B647" t="inlineStr">
        <is>
          <t>6a50635c0000000021018072</t>
        </is>
      </c>
      <c r="C647" s="646" t="n">
        <f>HYPERLINK("https://www.xiaohongshu.com/explore/6a50635c0000000021018072?xsec_token=TBJUAT_bOmtyXvbJR8RCxT5CnGZRG_ib_616KewwUbkEY=&amp;xsec_source=pc_trdark","https://www.xiaohongshu.com/explore/6a50635c0000000021018072?xsec_token=TBJUAT_bOmtyXvbJR8RCxT5CnGZRG_ib_616KewwUbkEY=&amp;xsec_source=pc_trdark")</f>
        <v>0.0</v>
      </c>
      <c r="D647" t="inlineStr">
        <is>
          <t>鲜水湾</t>
        </is>
      </c>
      <c r="E647" t="inlineStr">
        <is>
          <t>49316638994</t>
        </is>
      </c>
      <c r="F647" t="inlineStr">
        <is>
          <t>2026-07-10 11:13:32</t>
        </is>
      </c>
      <c r="G647" t="inlineStr">
        <is>
          <t>图文</t>
        </is>
      </c>
      <c r="H647" t="inlineStr">
        <is>
          <t>智利三文鱼切块·整条三文鱼·深海鱼一人食健康饮食</t>
        </is>
      </c>
      <c r="I647" t="inlineStr">
        <is>
          <t>691ac562a524ee0001b51d7b</t>
        </is>
      </c>
      <c r="J647" t="inlineStr">
        <is>
          <t/>
        </is>
      </c>
      <c r="K647" t="n">
        <v>0.0</v>
      </c>
      <c r="L647" t="n">
        <v>0.0</v>
      </c>
      <c r="M647" t="n">
        <v>0.0</v>
      </c>
      <c r="N647" t="n">
        <v>0.0</v>
      </c>
      <c r="O647" t="n">
        <v>0.0</v>
      </c>
      <c r="P647" t="n">
        <v>0.0</v>
      </c>
      <c r="Q647" t="inlineStr">
        <is>
          <t/>
        </is>
      </c>
      <c r="R647" t="inlineStr">
        <is>
          <t/>
        </is>
      </c>
      <c r="S647" t="n">
        <v>0.0</v>
      </c>
      <c r="T647" t="n">
        <v>0.0</v>
      </c>
      <c r="U647" t="n">
        <v>0.0</v>
      </c>
      <c r="V647" t="n">
        <v>0.0</v>
      </c>
      <c r="W647" t="inlineStr">
        <is>
          <t/>
        </is>
      </c>
      <c r="X647" t="n">
        <v>0.0</v>
      </c>
      <c r="Y647" t="n">
        <v>0.0</v>
      </c>
      <c r="Z647" t="n">
        <v>0.0</v>
      </c>
      <c r="AA647" t="n">
        <v>0.0</v>
      </c>
      <c r="AB647" t="n">
        <v>0.0</v>
      </c>
      <c r="AC647" t="n">
        <v>0.0</v>
      </c>
      <c r="AD647" t="n">
        <v>1.0</v>
      </c>
      <c r="AE647" t="n">
        <v>0.0</v>
      </c>
      <c r="AF647" t="n">
        <v>0.0</v>
      </c>
      <c r="AG647" t="n">
        <v>0.0</v>
      </c>
      <c r="AH647" t="n">
        <v>0.0</v>
      </c>
      <c r="AI647" t="n">
        <v>0.0</v>
      </c>
      <c r="AJ647" t="n">
        <v>0.0</v>
      </c>
      <c r="AK647" t="n">
        <v>6.0</v>
      </c>
      <c r="AL647" t="inlineStr">
        <is>
          <t/>
        </is>
      </c>
    </row>
    <row r="648">
      <c r="A648" t="inlineStr">
        <is>
          <t>独居，真的别让大包装劝退一人食了</t>
        </is>
      </c>
      <c r="B648" t="inlineStr">
        <is>
          <t>6a4f8bd2000000002103c28f</t>
        </is>
      </c>
      <c r="C648" s="647" t="n">
        <f>HYPERLINK("https://www.xiaohongshu.com/explore/6a4f8bd2000000002103c28f?xsec_token=TBFAmOxEStEk-753Ha7GZ-q0q99-kKulhNjrAAik5h23M=&amp;xsec_source=pc_trdark","https://www.xiaohongshu.com/explore/6a4f8bd2000000002103c28f?xsec_token=TBFAmOxEStEk-753Ha7GZ-q0q99-kKulhNjrAAik5h23M=&amp;xsec_source=pc_trdark")</f>
        <v>0.0</v>
      </c>
      <c r="D648" t="inlineStr">
        <is>
          <t>菲菲上班吃什么</t>
        </is>
      </c>
      <c r="E648" t="inlineStr">
        <is>
          <t>49936530607</t>
        </is>
      </c>
      <c r="F648" t="inlineStr">
        <is>
          <t>2026-07-09 19:53:54</t>
        </is>
      </c>
      <c r="G648" t="inlineStr">
        <is>
          <t>图文</t>
        </is>
      </c>
      <c r="H648" t="inlineStr">
        <is>
          <t>手剥虾仁 无冰衣无添加 低脂餐一人食 上班带饭 顺丰包邮 5盒装</t>
        </is>
      </c>
      <c r="I648" t="inlineStr">
        <is>
          <t>694baba01d450d00013662f0</t>
        </is>
      </c>
      <c r="J648" t="inlineStr">
        <is>
          <t/>
        </is>
      </c>
      <c r="K648" t="n">
        <v>0.0</v>
      </c>
      <c r="L648" t="n">
        <v>0.0</v>
      </c>
      <c r="M648" t="n">
        <v>0.0</v>
      </c>
      <c r="N648" t="n">
        <v>0.0</v>
      </c>
      <c r="O648" t="n">
        <v>0.0</v>
      </c>
      <c r="P648" t="n">
        <v>0.0</v>
      </c>
      <c r="Q648" t="inlineStr">
        <is>
          <t/>
        </is>
      </c>
      <c r="R648" t="inlineStr">
        <is>
          <t/>
        </is>
      </c>
      <c r="S648" t="n">
        <v>0.0</v>
      </c>
      <c r="T648" t="n">
        <v>0.0</v>
      </c>
      <c r="U648" t="n">
        <v>0.0</v>
      </c>
      <c r="V648" t="n">
        <v>0.0</v>
      </c>
      <c r="W648" t="inlineStr">
        <is>
          <t/>
        </is>
      </c>
      <c r="X648" t="n">
        <v>0.0</v>
      </c>
      <c r="Y648" t="n">
        <v>0.0</v>
      </c>
      <c r="Z648" t="n">
        <v>0.0</v>
      </c>
      <c r="AA648" t="n">
        <v>0.0</v>
      </c>
      <c r="AB648" t="n">
        <v>0.0</v>
      </c>
      <c r="AC648" t="n">
        <v>0.0</v>
      </c>
      <c r="AD648" t="n">
        <v>1.0</v>
      </c>
      <c r="AE648" t="n">
        <v>0.0</v>
      </c>
      <c r="AF648" t="n">
        <v>0.0</v>
      </c>
      <c r="AG648" t="n">
        <v>0.0</v>
      </c>
      <c r="AH648" t="n">
        <v>0.0</v>
      </c>
      <c r="AI648" t="n">
        <v>0.0</v>
      </c>
      <c r="AJ648" t="n">
        <v>0.0</v>
      </c>
      <c r="AK648" t="n">
        <v>3.0</v>
      </c>
      <c r="AL648" t="inlineStr">
        <is>
          <t/>
        </is>
      </c>
    </row>
    <row r="649">
      <c r="A649" t="inlineStr">
        <is>
          <t>我宣布！午休党终于不用卡点抢外卖了！！！</t>
        </is>
      </c>
      <c r="B649" t="inlineStr">
        <is>
          <t>6a4f58c9000000002103c61d</t>
        </is>
      </c>
      <c r="C649" s="648" t="n">
        <f>HYPERLINK("https://www.xiaohongshu.com/explore/6a4f58c9000000002103c61d?xsec_token=TBFAmOxEStEk-753Ha7GZ-qyA3N1q86gRwvdZbQUkmEP8=&amp;xsec_source=pc_trdark","https://www.xiaohongshu.com/explore/6a4f58c9000000002103c61d?xsec_token=TBFAmOxEStEk-753Ha7GZ-qyA3N1q86gRwvdZbQUkmEP8=&amp;xsec_source=pc_trdark")</f>
        <v>0.0</v>
      </c>
      <c r="D649" t="inlineStr">
        <is>
          <t>菲菲上班吃什么</t>
        </is>
      </c>
      <c r="E649" t="inlineStr">
        <is>
          <t>49936530607</t>
        </is>
      </c>
      <c r="F649" t="inlineStr">
        <is>
          <t>2026-07-09 16:16:09</t>
        </is>
      </c>
      <c r="G649" t="inlineStr">
        <is>
          <t>图文</t>
        </is>
      </c>
      <c r="H649" t="inlineStr">
        <is>
          <t>手剥虾仁 无冰衣无添加 低脂餐一人食 上班带饭 顺丰包邮 5盒装</t>
        </is>
      </c>
      <c r="I649" t="inlineStr">
        <is>
          <t>694baba01d450d00013662f0</t>
        </is>
      </c>
      <c r="J649" t="inlineStr">
        <is>
          <t/>
        </is>
      </c>
      <c r="K649" t="n">
        <v>0.0</v>
      </c>
      <c r="L649" t="n">
        <v>0.0</v>
      </c>
      <c r="M649" t="n">
        <v>0.0</v>
      </c>
      <c r="N649" t="n">
        <v>0.0</v>
      </c>
      <c r="O649" t="n">
        <v>0.0</v>
      </c>
      <c r="P649" t="n">
        <v>0.0</v>
      </c>
      <c r="Q649" t="inlineStr">
        <is>
          <t/>
        </is>
      </c>
      <c r="R649" t="inlineStr">
        <is>
          <t/>
        </is>
      </c>
      <c r="S649" t="n">
        <v>0.0</v>
      </c>
      <c r="T649" t="n">
        <v>0.0</v>
      </c>
      <c r="U649" t="n">
        <v>0.0</v>
      </c>
      <c r="V649" t="n">
        <v>0.0</v>
      </c>
      <c r="W649" t="inlineStr">
        <is>
          <t/>
        </is>
      </c>
      <c r="X649" t="n">
        <v>0.0</v>
      </c>
      <c r="Y649" t="n">
        <v>0.0</v>
      </c>
      <c r="Z649" t="n">
        <v>0.0</v>
      </c>
      <c r="AA649" t="n">
        <v>0.0</v>
      </c>
      <c r="AB649" t="n">
        <v>0.0</v>
      </c>
      <c r="AC649" t="n">
        <v>0.0</v>
      </c>
      <c r="AD649" t="n">
        <v>1.0</v>
      </c>
      <c r="AE649" t="n">
        <v>0.0</v>
      </c>
      <c r="AF649" t="n">
        <v>0.0</v>
      </c>
      <c r="AG649" t="n">
        <v>0.0</v>
      </c>
      <c r="AH649" t="n">
        <v>0.0</v>
      </c>
      <c r="AI649" t="n">
        <v>0.0</v>
      </c>
      <c r="AJ649" t="n">
        <v>0.0</v>
      </c>
      <c r="AK649" t="n">
        <v>10.0</v>
      </c>
      <c r="AL649" t="inlineStr">
        <is>
          <t/>
        </is>
      </c>
    </row>
    <row r="650">
      <c r="A650" t="inlineStr">
        <is>
          <t>不敢相信😱100块承包了我十顿轻食餐</t>
        </is>
      </c>
      <c r="B650" t="inlineStr">
        <is>
          <t>6a4f5549000000001102f73d</t>
        </is>
      </c>
      <c r="C650" s="649" t="n">
        <f>HYPERLINK("https://www.xiaohongshu.com/explore/6a4f5549000000001102f73d?xsec_token=TBFAmOxEStEk-753Ha7GZ-q8f6WHC6cUgHmofovmQQX70=&amp;xsec_source=pc_trdark","https://www.xiaohongshu.com/explore/6a4f5549000000001102f73d?xsec_token=TBFAmOxEStEk-753Ha7GZ-q8f6WHC6cUgHmofovmQQX70=&amp;xsec_source=pc_trdark")</f>
        <v>0.0</v>
      </c>
      <c r="D650" t="inlineStr">
        <is>
          <t>鲜水湾甄选</t>
        </is>
      </c>
      <c r="E650" t="inlineStr">
        <is>
          <t>27401929161</t>
        </is>
      </c>
      <c r="F650" t="inlineStr">
        <is>
          <t>2026-07-09 16:01:13</t>
        </is>
      </c>
      <c r="G650" t="inlineStr">
        <is>
          <t>图文</t>
        </is>
      </c>
      <c r="H650" t="inlineStr">
        <is>
          <t>手剥虾仁 无冰衣无添加 低脂餐一人食 上班带饭 顺丰包邮 5盒装</t>
        </is>
      </c>
      <c r="I650" t="inlineStr">
        <is>
          <t>694baba01d450d00013662f0</t>
        </is>
      </c>
      <c r="J650" t="inlineStr">
        <is>
          <t/>
        </is>
      </c>
      <c r="K650" t="n">
        <v>0.0</v>
      </c>
      <c r="L650" t="n">
        <v>0.0</v>
      </c>
      <c r="M650" t="n">
        <v>0.0</v>
      </c>
      <c r="N650" t="n">
        <v>0.0</v>
      </c>
      <c r="O650" t="n">
        <v>0.0</v>
      </c>
      <c r="P650" t="n">
        <v>0.0</v>
      </c>
      <c r="Q650" t="inlineStr">
        <is>
          <t/>
        </is>
      </c>
      <c r="R650" t="inlineStr">
        <is>
          <t/>
        </is>
      </c>
      <c r="S650" t="n">
        <v>0.0</v>
      </c>
      <c r="T650" t="n">
        <v>0.0</v>
      </c>
      <c r="U650" t="n">
        <v>0.0</v>
      </c>
      <c r="V650" t="n">
        <v>0.0</v>
      </c>
      <c r="W650" t="inlineStr">
        <is>
          <t/>
        </is>
      </c>
      <c r="X650" t="n">
        <v>0.0</v>
      </c>
      <c r="Y650" t="n">
        <v>0.0</v>
      </c>
      <c r="Z650" t="n">
        <v>0.0</v>
      </c>
      <c r="AA650" t="n">
        <v>0.0</v>
      </c>
      <c r="AB650" t="n">
        <v>0.0</v>
      </c>
      <c r="AC650" t="n">
        <v>0.0</v>
      </c>
      <c r="AD650" t="n">
        <v>1.0</v>
      </c>
      <c r="AE650" t="n">
        <v>0.0</v>
      </c>
      <c r="AF650" t="n">
        <v>0.0</v>
      </c>
      <c r="AG650" t="n">
        <v>0.0</v>
      </c>
      <c r="AH650" t="n">
        <v>0.0</v>
      </c>
      <c r="AI650" t="n">
        <v>0.0</v>
      </c>
      <c r="AJ650" t="n">
        <v>0.0</v>
      </c>
      <c r="AK650" t="n">
        <v>5.0</v>
      </c>
      <c r="AL650" t="inlineStr">
        <is>
          <t/>
        </is>
      </c>
    </row>
    <row r="651">
      <c r="A651" t="inlineStr">
        <is>
          <t>跟顾客沟通后，推出专为独居姐妹做的小包装</t>
        </is>
      </c>
      <c r="B651" t="inlineStr">
        <is>
          <t>6a4d0c400000000011016d8e</t>
        </is>
      </c>
      <c r="C651" s="650" t="n">
        <f>HYPERLINK("https://www.xiaohongshu.com/explore/6a4d0c400000000011016d8e?xsec_token=TB_h-LxY0T3CKUVqNJJaetsB6Sq-v3sZrbd1b4qFSdxu8=&amp;xsec_source=pc_trdark","https://www.xiaohongshu.com/explore/6a4d0c400000000011016d8e?xsec_token=TB_h-LxY0T3CKUVqNJJaetsB6Sq-v3sZrbd1b4qFSdxu8=&amp;xsec_source=pc_trdark")</f>
        <v>0.0</v>
      </c>
      <c r="D651" t="inlineStr">
        <is>
          <t>鲜水湾甄选</t>
        </is>
      </c>
      <c r="E651" t="inlineStr">
        <is>
          <t>27401929161</t>
        </is>
      </c>
      <c r="F651" t="inlineStr">
        <is>
          <t>2026-07-07 22:25:04</t>
        </is>
      </c>
      <c r="G651" t="inlineStr">
        <is>
          <t>图文</t>
        </is>
      </c>
      <c r="H651" t="inlineStr">
        <is>
          <t>手剥虾仁 无冰衣无添加 低脂餐一人食 上班带饭 顺丰包邮 5盒装</t>
        </is>
      </c>
      <c r="I651" t="inlineStr">
        <is>
          <t>694baba01d450d00013662f0</t>
        </is>
      </c>
      <c r="J651" t="inlineStr">
        <is>
          <t/>
        </is>
      </c>
      <c r="K651" t="n">
        <v>0.0</v>
      </c>
      <c r="L651" t="n">
        <v>0.0</v>
      </c>
      <c r="M651" t="n">
        <v>0.0</v>
      </c>
      <c r="N651" t="n">
        <v>0.0</v>
      </c>
      <c r="O651" t="n">
        <v>0.0</v>
      </c>
      <c r="P651" t="n">
        <v>0.0</v>
      </c>
      <c r="Q651" t="inlineStr">
        <is>
          <t/>
        </is>
      </c>
      <c r="R651" t="inlineStr">
        <is>
          <t/>
        </is>
      </c>
      <c r="S651" t="n">
        <v>0.0</v>
      </c>
      <c r="T651" t="n">
        <v>0.0</v>
      </c>
      <c r="U651" t="n">
        <v>0.0</v>
      </c>
      <c r="V651" t="n">
        <v>0.0</v>
      </c>
      <c r="W651" t="inlineStr">
        <is>
          <t/>
        </is>
      </c>
      <c r="X651" t="n">
        <v>0.0</v>
      </c>
      <c r="Y651" t="n">
        <v>0.0</v>
      </c>
      <c r="Z651" t="n">
        <v>0.0</v>
      </c>
      <c r="AA651" t="n">
        <v>0.0</v>
      </c>
      <c r="AB651" t="n">
        <v>0.0</v>
      </c>
      <c r="AC651" t="n">
        <v>0.0</v>
      </c>
      <c r="AD651" t="n">
        <v>1.0</v>
      </c>
      <c r="AE651" t="n">
        <v>0.0</v>
      </c>
      <c r="AF651" t="n">
        <v>0.0</v>
      </c>
      <c r="AG651" t="n">
        <v>0.0</v>
      </c>
      <c r="AH651" t="n">
        <v>0.0</v>
      </c>
      <c r="AI651" t="n">
        <v>0.0</v>
      </c>
      <c r="AJ651" t="n">
        <v>0.0</v>
      </c>
      <c r="AK651" t="n">
        <v>7.0</v>
      </c>
      <c r="AL651" t="inlineStr">
        <is>
          <t/>
        </is>
      </c>
    </row>
    <row r="652">
      <c r="A652" t="inlineStr">
        <is>
          <t>我爸：69r5袋！我妈：69r5袋包邮！我：ok ！！</t>
        </is>
      </c>
      <c r="B652" t="inlineStr">
        <is>
          <t>6a4cbb750000000008031039</t>
        </is>
      </c>
      <c r="C652" s="651" t="n">
        <f>HYPERLINK("https://www.xiaohongshu.com/explore/6a4cbb750000000008031039?xsec_token=TBUTHXond34IOioCHeuH06uf1Wpw8kebaUlngRRfw_hRE=&amp;xsec_source=pc_trdark","https://www.xiaohongshu.com/explore/6a4cbb750000000008031039?xsec_token=TBUTHXond34IOioCHeuH06uf1Wpw8kebaUlngRRfw_hRE=&amp;xsec_source=pc_trdark")</f>
        <v>0.0</v>
      </c>
      <c r="D652" t="inlineStr">
        <is>
          <t>鲜水湾</t>
        </is>
      </c>
      <c r="E652" t="inlineStr">
        <is>
          <t>49316638994</t>
        </is>
      </c>
      <c r="F652" t="inlineStr">
        <is>
          <t>2026-07-07 16:40:21</t>
        </is>
      </c>
      <c r="G652" t="inlineStr">
        <is>
          <t>图文</t>
        </is>
      </c>
      <c r="H652" t="inlineStr">
        <is>
          <t>手剥虾仁 无冰衣无添加 低脂餐一人食 上班带饭 顺丰包邮 5盒装</t>
        </is>
      </c>
      <c r="I652" t="inlineStr">
        <is>
          <t>694baba01d450d00013662f0</t>
        </is>
      </c>
      <c r="J652" t="inlineStr">
        <is>
          <t/>
        </is>
      </c>
      <c r="K652" t="n">
        <v>0.0</v>
      </c>
      <c r="L652" t="n">
        <v>0.0</v>
      </c>
      <c r="M652" t="n">
        <v>0.0</v>
      </c>
      <c r="N652" t="n">
        <v>0.0</v>
      </c>
      <c r="O652" t="n">
        <v>0.0</v>
      </c>
      <c r="P652" t="n">
        <v>0.0</v>
      </c>
      <c r="Q652" t="inlineStr">
        <is>
          <t/>
        </is>
      </c>
      <c r="R652" t="inlineStr">
        <is>
          <t/>
        </is>
      </c>
      <c r="S652" t="n">
        <v>0.0</v>
      </c>
      <c r="T652" t="n">
        <v>0.0</v>
      </c>
      <c r="U652" t="n">
        <v>0.0</v>
      </c>
      <c r="V652" t="n">
        <v>0.0</v>
      </c>
      <c r="W652" t="inlineStr">
        <is>
          <t/>
        </is>
      </c>
      <c r="X652" t="n">
        <v>0.0</v>
      </c>
      <c r="Y652" t="n">
        <v>0.0</v>
      </c>
      <c r="Z652" t="n">
        <v>0.0</v>
      </c>
      <c r="AA652" t="n">
        <v>0.0</v>
      </c>
      <c r="AB652" t="n">
        <v>0.0</v>
      </c>
      <c r="AC652" t="n">
        <v>0.0</v>
      </c>
      <c r="AD652" t="n">
        <v>1.0</v>
      </c>
      <c r="AE652" t="n">
        <v>0.0</v>
      </c>
      <c r="AF652" t="n">
        <v>0.0</v>
      </c>
      <c r="AG652" t="n">
        <v>0.0</v>
      </c>
      <c r="AH652" t="n">
        <v>0.0</v>
      </c>
      <c r="AI652" t="n">
        <v>0.0</v>
      </c>
      <c r="AJ652" t="n">
        <v>0.0</v>
      </c>
      <c r="AK652" t="n">
        <v>0.0</v>
      </c>
      <c r="AL652" t="inlineStr">
        <is>
          <t/>
        </is>
      </c>
    </row>
    <row r="653">
      <c r="A653" t="inlineStr">
        <is>
          <t>区区70来块，承包了我一个月减脂的快乐</t>
        </is>
      </c>
      <c r="B653" t="inlineStr">
        <is>
          <t>6a4c985f0000000007027d95</t>
        </is>
      </c>
      <c r="C653" s="652" t="n">
        <f>HYPERLINK("https://www.xiaohongshu.com/explore/6a4c985f0000000007027d95?xsec_token=TBUTHXond34IOioCHeuH06uSdq3nZt-D-p2jWi6Tds364=&amp;xsec_source=pc_trdark","https://www.xiaohongshu.com/explore/6a4c985f0000000007027d95?xsec_token=TBUTHXond34IOioCHeuH06uSdq3nZt-D-p2jWi6Tds364=&amp;xsec_source=pc_trdark")</f>
        <v>0.0</v>
      </c>
      <c r="D653" t="inlineStr">
        <is>
          <t>菲菲上班吃什么</t>
        </is>
      </c>
      <c r="E653" t="inlineStr">
        <is>
          <t>49936530607</t>
        </is>
      </c>
      <c r="F653" t="inlineStr">
        <is>
          <t>2026-07-07 14:10:39</t>
        </is>
      </c>
      <c r="G653" t="inlineStr">
        <is>
          <t>图文</t>
        </is>
      </c>
      <c r="H653" t="inlineStr">
        <is>
          <t>手剥虾仁 无冰衣无添加 低脂餐一人食 上班带饭 顺丰包邮 5盒装</t>
        </is>
      </c>
      <c r="I653" t="inlineStr">
        <is>
          <t>694baba01d450d00013662f0</t>
        </is>
      </c>
      <c r="J653" t="inlineStr">
        <is>
          <t/>
        </is>
      </c>
      <c r="K653" t="n">
        <v>0.0</v>
      </c>
      <c r="L653" t="n">
        <v>0.0</v>
      </c>
      <c r="M653" t="n">
        <v>1.0</v>
      </c>
      <c r="N653" t="n">
        <v>1.0</v>
      </c>
      <c r="O653" t="n">
        <v>1.0</v>
      </c>
      <c r="P653" t="n">
        <v>0.0</v>
      </c>
      <c r="Q653" t="n">
        <v>0.0</v>
      </c>
      <c r="R653" t="n">
        <v>0.0</v>
      </c>
      <c r="S653" t="n">
        <v>0.0</v>
      </c>
      <c r="T653" t="n">
        <v>0.0</v>
      </c>
      <c r="U653" t="n">
        <v>0.0</v>
      </c>
      <c r="V653" t="n">
        <v>0.0</v>
      </c>
      <c r="W653" t="inlineStr">
        <is>
          <t/>
        </is>
      </c>
      <c r="X653" t="n">
        <v>0.0</v>
      </c>
      <c r="Y653" t="n">
        <v>0.0</v>
      </c>
      <c r="Z653" t="n">
        <v>0.0</v>
      </c>
      <c r="AA653" t="n">
        <v>0.0</v>
      </c>
      <c r="AB653" t="n">
        <v>0.0</v>
      </c>
      <c r="AC653" t="n">
        <v>0.0</v>
      </c>
      <c r="AD653" t="n">
        <v>1.0</v>
      </c>
      <c r="AE653" t="n">
        <v>0.0</v>
      </c>
      <c r="AF653" t="n">
        <v>0.0</v>
      </c>
      <c r="AG653" t="n">
        <v>0.0</v>
      </c>
      <c r="AH653" t="n">
        <v>0.0</v>
      </c>
      <c r="AI653" t="n">
        <v>0.0</v>
      </c>
      <c r="AJ653" t="n">
        <v>0.0</v>
      </c>
      <c r="AK653" t="n">
        <v>3.0</v>
      </c>
      <c r="AL653" t="inlineStr">
        <is>
          <t/>
        </is>
      </c>
    </row>
    <row r="654">
      <c r="A654" t="inlineStr">
        <is>
          <t>独居后才懂，一人食独立小包装真的很爽！！！</t>
        </is>
      </c>
      <c r="B654" t="inlineStr">
        <is>
          <t>6a4b89d70000000007013e01</t>
        </is>
      </c>
      <c r="C654" s="653" t="n">
        <f>HYPERLINK("https://www.xiaohongshu.com/explore/6a4b89d70000000007013e01?xsec_token=TBbJ-JHK-PBbJgek6K72FYkV1NhZqXpkEvijqCrHiokf0=&amp;xsec_source=pc_trdark","https://www.xiaohongshu.com/explore/6a4b89d70000000007013e01?xsec_token=TBbJ-JHK-PBbJgek6K72FYkV1NhZqXpkEvijqCrHiokf0=&amp;xsec_source=pc_trdark")</f>
        <v>0.0</v>
      </c>
      <c r="D654" t="inlineStr">
        <is>
          <t>菲菲上班吃什么</t>
        </is>
      </c>
      <c r="E654" t="inlineStr">
        <is>
          <t>49936530607</t>
        </is>
      </c>
      <c r="F654" t="inlineStr">
        <is>
          <t>2026-07-06 18:56:23</t>
        </is>
      </c>
      <c r="G654" t="inlineStr">
        <is>
          <t>图文</t>
        </is>
      </c>
      <c r="H654" t="inlineStr">
        <is>
          <t>手剥虾仁 无冰衣无添加 低脂餐一人食 上班带饭 顺丰包邮 5盒装</t>
        </is>
      </c>
      <c r="I654" t="inlineStr">
        <is>
          <t>694baba01d450d00013662f0</t>
        </is>
      </c>
      <c r="J654" t="inlineStr">
        <is>
          <t/>
        </is>
      </c>
      <c r="K654" t="n">
        <v>0.0</v>
      </c>
      <c r="L654" t="n">
        <v>0.0</v>
      </c>
      <c r="M654" t="n">
        <v>0.0</v>
      </c>
      <c r="N654" t="n">
        <v>0.0</v>
      </c>
      <c r="O654" t="n">
        <v>0.0</v>
      </c>
      <c r="P654" t="n">
        <v>0.0</v>
      </c>
      <c r="Q654" t="inlineStr">
        <is>
          <t/>
        </is>
      </c>
      <c r="R654" t="inlineStr">
        <is>
          <t/>
        </is>
      </c>
      <c r="S654" t="n">
        <v>0.0</v>
      </c>
      <c r="T654" t="n">
        <v>0.0</v>
      </c>
      <c r="U654" t="n">
        <v>0.0</v>
      </c>
      <c r="V654" t="n">
        <v>0.0</v>
      </c>
      <c r="W654" t="inlineStr">
        <is>
          <t/>
        </is>
      </c>
      <c r="X654" t="n">
        <v>0.0</v>
      </c>
      <c r="Y654" t="n">
        <v>0.0</v>
      </c>
      <c r="Z654" t="n">
        <v>0.0</v>
      </c>
      <c r="AA654" t="n">
        <v>0.0</v>
      </c>
      <c r="AB654" t="n">
        <v>0.0</v>
      </c>
      <c r="AC654" t="n">
        <v>0.0</v>
      </c>
      <c r="AD654" t="n">
        <v>1.0</v>
      </c>
      <c r="AE654" t="n">
        <v>0.0</v>
      </c>
      <c r="AF654" t="n">
        <v>0.0</v>
      </c>
      <c r="AG654" t="n">
        <v>0.0</v>
      </c>
      <c r="AH654" t="n">
        <v>0.0</v>
      </c>
      <c r="AI654" t="n">
        <v>0.0</v>
      </c>
      <c r="AJ654" t="n">
        <v>0.0</v>
      </c>
      <c r="AK654" t="n">
        <v>17.0</v>
      </c>
      <c r="AL654" t="inlineStr">
        <is>
          <t/>
        </is>
      </c>
    </row>
    <row r="655">
      <c r="A655" t="inlineStr">
        <is>
          <t>谁懂！60块独立小包装虾仁，承包我一周减脂餐</t>
        </is>
      </c>
      <c r="B655" t="inlineStr">
        <is>
          <t>6a4b190e0000000006023fac</t>
        </is>
      </c>
      <c r="C655" s="654" t="n">
        <f>HYPERLINK("https://www.xiaohongshu.com/explore/6a4b190e0000000006023fac?xsec_token=TBbJ-JHK-PBbJgek6K72FYkTEXpyPqYh8or42CaWIK7cM=&amp;xsec_source=pc_trdark","https://www.xiaohongshu.com/explore/6a4b190e0000000006023fac?xsec_token=TBbJ-JHK-PBbJgek6K72FYkTEXpyPqYh8or42CaWIK7cM=&amp;xsec_source=pc_trdark")</f>
        <v>0.0</v>
      </c>
      <c r="D655" t="inlineStr">
        <is>
          <t>菲菲上班吃什么</t>
        </is>
      </c>
      <c r="E655" t="inlineStr">
        <is>
          <t>49936530607</t>
        </is>
      </c>
      <c r="F655" t="inlineStr">
        <is>
          <t>2026-07-06 10:55:10</t>
        </is>
      </c>
      <c r="G655" t="inlineStr">
        <is>
          <t>图文</t>
        </is>
      </c>
      <c r="H655" t="inlineStr">
        <is>
          <t>手剥虾仁 无冰衣无添加 低脂餐一人食 上班带饭 顺丰包邮 5盒装</t>
        </is>
      </c>
      <c r="I655" t="inlineStr">
        <is>
          <t>694baba01d450d00013662f0</t>
        </is>
      </c>
      <c r="J655" t="inlineStr">
        <is>
          <t/>
        </is>
      </c>
      <c r="K655" t="n">
        <v>0.0</v>
      </c>
      <c r="L655" t="n">
        <v>0.0</v>
      </c>
      <c r="M655" t="n">
        <v>0.0</v>
      </c>
      <c r="N655" t="n">
        <v>0.0</v>
      </c>
      <c r="O655" t="n">
        <v>0.0</v>
      </c>
      <c r="P655" t="n">
        <v>0.0</v>
      </c>
      <c r="Q655" t="inlineStr">
        <is>
          <t/>
        </is>
      </c>
      <c r="R655" t="inlineStr">
        <is>
          <t/>
        </is>
      </c>
      <c r="S655" t="n">
        <v>0.0</v>
      </c>
      <c r="T655" t="n">
        <v>0.0</v>
      </c>
      <c r="U655" t="n">
        <v>0.0</v>
      </c>
      <c r="V655" t="n">
        <v>0.0</v>
      </c>
      <c r="W655" t="inlineStr">
        <is>
          <t/>
        </is>
      </c>
      <c r="X655" t="n">
        <v>0.0</v>
      </c>
      <c r="Y655" t="n">
        <v>0.0</v>
      </c>
      <c r="Z655" t="n">
        <v>0.0</v>
      </c>
      <c r="AA655" t="n">
        <v>0.0</v>
      </c>
      <c r="AB655" t="n">
        <v>0.0</v>
      </c>
      <c r="AC655" t="n">
        <v>0.0</v>
      </c>
      <c r="AD655" t="n">
        <v>1.0</v>
      </c>
      <c r="AE655" t="n">
        <v>0.0</v>
      </c>
      <c r="AF655" t="n">
        <v>0.0</v>
      </c>
      <c r="AG655" t="n">
        <v>0.0</v>
      </c>
      <c r="AH655" t="n">
        <v>0.0</v>
      </c>
      <c r="AI655" t="n">
        <v>0.0</v>
      </c>
      <c r="AJ655" t="n">
        <v>0.0</v>
      </c>
      <c r="AK655" t="n">
        <v>10.0</v>
      </c>
      <c r="AL655" t="inlineStr">
        <is>
          <t/>
        </is>
      </c>
    </row>
    <row r="656">
      <c r="A656" t="inlineStr">
        <is>
          <t>沉浸式懒人减脂备菜，69块吃一周！！！！</t>
        </is>
      </c>
      <c r="B656" t="inlineStr">
        <is>
          <t>6a491f0f000000001102f645</t>
        </is>
      </c>
      <c r="C656" s="655" t="n">
        <f>HYPERLINK("https://www.xiaohongshu.com/explore/6a491f0f000000001102f645?xsec_token=TBdy3WzTYpUaCubN7g4FIBO2sCl1ChKmwbj2OqSQ3QZiA=&amp;xsec_source=pc_trdark","https://www.xiaohongshu.com/explore/6a491f0f000000001102f645?xsec_token=TBdy3WzTYpUaCubN7g4FIBO2sCl1ChKmwbj2OqSQ3QZiA=&amp;xsec_source=pc_trdark")</f>
        <v>0.0</v>
      </c>
      <c r="D656" t="inlineStr">
        <is>
          <t>鲜水湾甄选</t>
        </is>
      </c>
      <c r="E656" t="inlineStr">
        <is>
          <t>27401929161</t>
        </is>
      </c>
      <c r="F656" t="inlineStr">
        <is>
          <t>2026-07-04 23:29:00</t>
        </is>
      </c>
      <c r="G656" t="inlineStr">
        <is>
          <t>图文</t>
        </is>
      </c>
      <c r="H656" t="inlineStr">
        <is>
          <t>手剥虾仁 无冰衣无添加 低脂餐一人食 上班带饭 顺丰包邮 5盒装</t>
        </is>
      </c>
      <c r="I656" t="inlineStr">
        <is>
          <t>694baba01d450d00013662f0</t>
        </is>
      </c>
      <c r="J656" t="inlineStr">
        <is>
          <t/>
        </is>
      </c>
      <c r="K656" t="n">
        <v>0.0</v>
      </c>
      <c r="L656" t="n">
        <v>0.0</v>
      </c>
      <c r="M656" t="n">
        <v>1.0</v>
      </c>
      <c r="N656" t="n">
        <v>1.0</v>
      </c>
      <c r="O656" t="n">
        <v>1.0</v>
      </c>
      <c r="P656" t="n">
        <v>0.0</v>
      </c>
      <c r="Q656" t="n">
        <v>0.0</v>
      </c>
      <c r="R656" t="n">
        <v>0.0</v>
      </c>
      <c r="S656" t="n">
        <v>0.0</v>
      </c>
      <c r="T656" t="n">
        <v>0.0</v>
      </c>
      <c r="U656" t="n">
        <v>0.0</v>
      </c>
      <c r="V656" t="n">
        <v>0.0</v>
      </c>
      <c r="W656" t="inlineStr">
        <is>
          <t/>
        </is>
      </c>
      <c r="X656" t="n">
        <v>0.0</v>
      </c>
      <c r="Y656" t="n">
        <v>0.0</v>
      </c>
      <c r="Z656" t="n">
        <v>0.0</v>
      </c>
      <c r="AA656" t="n">
        <v>0.0</v>
      </c>
      <c r="AB656" t="n">
        <v>0.0</v>
      </c>
      <c r="AC656" t="n">
        <v>0.0</v>
      </c>
      <c r="AD656" t="n">
        <v>1.0</v>
      </c>
      <c r="AE656" t="n">
        <v>0.0</v>
      </c>
      <c r="AF656" t="n">
        <v>0.0</v>
      </c>
      <c r="AG656" t="n">
        <v>0.0</v>
      </c>
      <c r="AH656" t="n">
        <v>0.0</v>
      </c>
      <c r="AI656" t="n">
        <v>0.0</v>
      </c>
      <c r="AJ656" t="n">
        <v>0.0</v>
      </c>
      <c r="AK656" t="n">
        <v>3.0</v>
      </c>
      <c r="AL656" t="inlineStr">
        <is>
          <t/>
        </is>
      </c>
    </row>
    <row r="657">
      <c r="A657" t="inlineStr">
        <is>
          <t>早八人饭盒，一人食减脂餐直接赢麻了…</t>
        </is>
      </c>
      <c r="B657" t="inlineStr">
        <is>
          <t>6a491ef8000000000f028638</t>
        </is>
      </c>
      <c r="C657" s="656" t="n">
        <f>HYPERLINK("https://www.xiaohongshu.com/explore/6a491ef8000000000f028638?xsec_token=TBdy3WzTYpUaCubN7g4FIBOzSde6nsV37Wx-mVSL9bO5s=&amp;xsec_source=pc_trdark","https://www.xiaohongshu.com/explore/6a491ef8000000000f028638?xsec_token=TBdy3WzTYpUaCubN7g4FIBOzSde6nsV37Wx-mVSL9bO5s=&amp;xsec_source=pc_trdark")</f>
        <v>0.0</v>
      </c>
      <c r="D657" t="inlineStr">
        <is>
          <t>鲜水湾甄选</t>
        </is>
      </c>
      <c r="E657" t="inlineStr">
        <is>
          <t>27401929161</t>
        </is>
      </c>
      <c r="F657" t="inlineStr">
        <is>
          <t>2026-07-04 22:55:52</t>
        </is>
      </c>
      <c r="G657" t="inlineStr">
        <is>
          <t>图文</t>
        </is>
      </c>
      <c r="H657" t="inlineStr">
        <is>
          <t>手剥虾仁 无冰衣无添加 低脂餐一人食 上班带饭 顺丰包邮 5盒装</t>
        </is>
      </c>
      <c r="I657" t="inlineStr">
        <is>
          <t>694baba01d450d00013662f0</t>
        </is>
      </c>
      <c r="J657" t="inlineStr">
        <is>
          <t/>
        </is>
      </c>
      <c r="K657" t="n">
        <v>0.0</v>
      </c>
      <c r="L657" t="n">
        <v>0.0</v>
      </c>
      <c r="M657" t="n">
        <v>0.0</v>
      </c>
      <c r="N657" t="n">
        <v>0.0</v>
      </c>
      <c r="O657" t="n">
        <v>0.0</v>
      </c>
      <c r="P657" t="n">
        <v>0.0</v>
      </c>
      <c r="Q657" t="inlineStr">
        <is>
          <t/>
        </is>
      </c>
      <c r="R657" t="inlineStr">
        <is>
          <t/>
        </is>
      </c>
      <c r="S657" t="n">
        <v>0.0</v>
      </c>
      <c r="T657" t="n">
        <v>0.0</v>
      </c>
      <c r="U657" t="n">
        <v>0.0</v>
      </c>
      <c r="V657" t="n">
        <v>0.0</v>
      </c>
      <c r="W657" t="inlineStr">
        <is>
          <t/>
        </is>
      </c>
      <c r="X657" t="n">
        <v>0.0</v>
      </c>
      <c r="Y657" t="n">
        <v>0.0</v>
      </c>
      <c r="Z657" t="n">
        <v>0.0</v>
      </c>
      <c r="AA657" t="n">
        <v>0.0</v>
      </c>
      <c r="AB657" t="n">
        <v>0.0</v>
      </c>
      <c r="AC657" t="n">
        <v>0.0</v>
      </c>
      <c r="AD657" t="n">
        <v>1.0</v>
      </c>
      <c r="AE657" t="n">
        <v>0.0</v>
      </c>
      <c r="AF657" t="n">
        <v>0.0</v>
      </c>
      <c r="AG657" t="n">
        <v>0.0</v>
      </c>
      <c r="AH657" t="n">
        <v>0.0</v>
      </c>
      <c r="AI657" t="n">
        <v>0.0</v>
      </c>
      <c r="AJ657" t="n">
        <v>0.0</v>
      </c>
      <c r="AK657" t="n">
        <v>5.0</v>
      </c>
      <c r="AL657" t="inlineStr">
        <is>
          <t/>
        </is>
      </c>
    </row>
    <row r="658">
      <c r="A658" t="inlineStr">
        <is>
          <t>太适合一人食了，一次一包独立分装</t>
        </is>
      </c>
      <c r="B658" t="inlineStr">
        <is>
          <t>6a475b4a0000000008031cb5</t>
        </is>
      </c>
      <c r="C658" s="657" t="n">
        <f>HYPERLINK("https://www.xiaohongshu.com/explore/6a475b4a0000000008031cb5?xsec_token=TBfioABv3EUaNcb0n3V9sKZlxHMG_NDbhtqprJVjDYWJE=&amp;xsec_source=pc_trdark","https://www.xiaohongshu.com/explore/6a475b4a0000000008031cb5?xsec_token=TBfioABv3EUaNcb0n3V9sKZlxHMG_NDbhtqprJVjDYWJE=&amp;xsec_source=pc_trdark")</f>
        <v>0.0</v>
      </c>
      <c r="D658" t="inlineStr">
        <is>
          <t>鲜水湾</t>
        </is>
      </c>
      <c r="E658" t="inlineStr">
        <is>
          <t>49316638994</t>
        </is>
      </c>
      <c r="F658" t="inlineStr">
        <is>
          <t>2026-07-03 14:48:42</t>
        </is>
      </c>
      <c r="G658" t="inlineStr">
        <is>
          <t>图文</t>
        </is>
      </c>
      <c r="H658" t="inlineStr">
        <is>
          <t>手剥虾仁 无冰衣无添加 低脂餐一人食 上班带饭 顺丰包邮 5盒装</t>
        </is>
      </c>
      <c r="I658" t="inlineStr">
        <is>
          <t>694baba01d450d00013662f0</t>
        </is>
      </c>
      <c r="J658" t="inlineStr">
        <is>
          <t/>
        </is>
      </c>
      <c r="K658" t="n">
        <v>0.0</v>
      </c>
      <c r="L658" t="n">
        <v>0.0</v>
      </c>
      <c r="M658" t="n">
        <v>0.0</v>
      </c>
      <c r="N658" t="n">
        <v>0.0</v>
      </c>
      <c r="O658" t="n">
        <v>0.0</v>
      </c>
      <c r="P658" t="n">
        <v>0.0</v>
      </c>
      <c r="Q658" t="inlineStr">
        <is>
          <t/>
        </is>
      </c>
      <c r="R658" t="inlineStr">
        <is>
          <t/>
        </is>
      </c>
      <c r="S658" t="n">
        <v>0.0</v>
      </c>
      <c r="T658" t="n">
        <v>0.0</v>
      </c>
      <c r="U658" t="n">
        <v>0.0</v>
      </c>
      <c r="V658" t="n">
        <v>0.0</v>
      </c>
      <c r="W658" t="inlineStr">
        <is>
          <t/>
        </is>
      </c>
      <c r="X658" t="n">
        <v>0.0</v>
      </c>
      <c r="Y658" t="n">
        <v>0.0</v>
      </c>
      <c r="Z658" t="n">
        <v>0.0</v>
      </c>
      <c r="AA658" t="n">
        <v>0.0</v>
      </c>
      <c r="AB658" t="n">
        <v>0.0</v>
      </c>
      <c r="AC658" t="n">
        <v>0.0</v>
      </c>
      <c r="AD658" t="n">
        <v>1.0</v>
      </c>
      <c r="AE658" t="n">
        <v>0.0</v>
      </c>
      <c r="AF658" t="n">
        <v>0.0</v>
      </c>
      <c r="AG658" t="n">
        <v>0.0</v>
      </c>
      <c r="AH658" t="n">
        <v>0.0</v>
      </c>
      <c r="AI658" t="n">
        <v>0.0</v>
      </c>
      <c r="AJ658" t="n">
        <v>0.0</v>
      </c>
      <c r="AK658" t="n">
        <v>8.0</v>
      </c>
      <c r="AL658" t="inlineStr">
        <is>
          <t/>
        </is>
      </c>
    </row>
    <row r="659">
      <c r="A659" t="inlineStr">
        <is>
          <t>区区69元，承包了我一星期的减脂餐✅</t>
        </is>
      </c>
      <c r="B659" t="inlineStr">
        <is>
          <t>6a471d030000000007021640</t>
        </is>
      </c>
      <c r="C659" s="658" t="n">
        <f>HYPERLINK("https://www.xiaohongshu.com/explore/6a471d030000000007021640?xsec_token=TBfioABv3EUaNcb0n3V9sKZuslBMIWTSqZ5stX-3g8dnA=&amp;xsec_source=pc_trdark","https://www.xiaohongshu.com/explore/6a471d030000000007021640?xsec_token=TBfioABv3EUaNcb0n3V9sKZuslBMIWTSqZ5stX-3g8dnA=&amp;xsec_source=pc_trdark")</f>
        <v>0.0</v>
      </c>
      <c r="D659" t="inlineStr">
        <is>
          <t>菲菲上班吃什么</t>
        </is>
      </c>
      <c r="E659" t="inlineStr">
        <is>
          <t>49936530607</t>
        </is>
      </c>
      <c r="F659" t="inlineStr">
        <is>
          <t>2026-07-03 10:22:59</t>
        </is>
      </c>
      <c r="G659" t="inlineStr">
        <is>
          <t>图文</t>
        </is>
      </c>
      <c r="H659" t="inlineStr">
        <is>
          <t>手剥虾仁 无冰衣无添加 低脂餐一人食 上班带饭 顺丰包邮 5盒装</t>
        </is>
      </c>
      <c r="I659" t="inlineStr">
        <is>
          <t>694baba01d450d00013662f0</t>
        </is>
      </c>
      <c r="J659" t="inlineStr">
        <is>
          <t/>
        </is>
      </c>
      <c r="K659" t="n">
        <v>0.0</v>
      </c>
      <c r="L659" t="n">
        <v>0.0</v>
      </c>
      <c r="M659" t="n">
        <v>0.0</v>
      </c>
      <c r="N659" t="n">
        <v>0.0</v>
      </c>
      <c r="O659" t="n">
        <v>0.0</v>
      </c>
      <c r="P659" t="n">
        <v>0.0</v>
      </c>
      <c r="Q659" t="inlineStr">
        <is>
          <t/>
        </is>
      </c>
      <c r="R659" t="inlineStr">
        <is>
          <t/>
        </is>
      </c>
      <c r="S659" t="n">
        <v>0.0</v>
      </c>
      <c r="T659" t="n">
        <v>0.0</v>
      </c>
      <c r="U659" t="n">
        <v>0.0</v>
      </c>
      <c r="V659" t="n">
        <v>0.0</v>
      </c>
      <c r="W659" t="inlineStr">
        <is>
          <t/>
        </is>
      </c>
      <c r="X659" t="n">
        <v>0.0</v>
      </c>
      <c r="Y659" t="n">
        <v>0.0</v>
      </c>
      <c r="Z659" t="n">
        <v>0.0</v>
      </c>
      <c r="AA659" t="n">
        <v>0.0</v>
      </c>
      <c r="AB659" t="n">
        <v>0.0</v>
      </c>
      <c r="AC659" t="n">
        <v>0.0</v>
      </c>
      <c r="AD659" t="n">
        <v>1.0</v>
      </c>
      <c r="AE659" t="n">
        <v>0.0</v>
      </c>
      <c r="AF659" t="n">
        <v>0.0</v>
      </c>
      <c r="AG659" t="n">
        <v>0.0</v>
      </c>
      <c r="AH659" t="n">
        <v>0.0</v>
      </c>
      <c r="AI659" t="n">
        <v>0.0</v>
      </c>
      <c r="AJ659" t="n">
        <v>0.0</v>
      </c>
      <c r="AK659" t="n">
        <v>7.0</v>
      </c>
      <c r="AL659" t="inlineStr">
        <is>
          <t/>
        </is>
      </c>
    </row>
    <row r="660">
      <c r="A660" t="inlineStr">
        <is>
          <t>我宣布！这一餐一包就是早八人独爱的减脂餐</t>
        </is>
      </c>
      <c r="B660" t="inlineStr">
        <is>
          <t>6a4677b100000000070272f3</t>
        </is>
      </c>
      <c r="C660" s="659" t="n">
        <f>HYPERLINK("https://www.xiaohongshu.com/explore/6a4677b100000000070272f3?xsec_token=TBh16dqEaGc_HtFtaLZGOnECw3snC6UDS8_wi-qsMV3aE=&amp;xsec_source=pc_trdark","https://www.xiaohongshu.com/explore/6a4677b100000000070272f3?xsec_token=TBh16dqEaGc_HtFtaLZGOnECw3snC6UDS8_wi-qsMV3aE=&amp;xsec_source=pc_trdark")</f>
        <v>0.0</v>
      </c>
      <c r="D660" t="inlineStr">
        <is>
          <t>菲菲上班吃什么</t>
        </is>
      </c>
      <c r="E660" t="inlineStr">
        <is>
          <t>49936530607</t>
        </is>
      </c>
      <c r="F660" t="inlineStr">
        <is>
          <t>2026-07-02 22:37:37</t>
        </is>
      </c>
      <c r="G660" t="inlineStr">
        <is>
          <t>图文</t>
        </is>
      </c>
      <c r="H660" t="inlineStr">
        <is>
          <t>手剥虾仁 无冰衣无添加 低脂餐一人食 上班带饭 顺丰包邮 5盒装</t>
        </is>
      </c>
      <c r="I660" t="inlineStr">
        <is>
          <t>694baba01d450d00013662f0</t>
        </is>
      </c>
      <c r="J660" t="inlineStr">
        <is>
          <t/>
        </is>
      </c>
      <c r="K660" t="n">
        <v>0.0</v>
      </c>
      <c r="L660" t="n">
        <v>0.0</v>
      </c>
      <c r="M660" t="n">
        <v>0.0</v>
      </c>
      <c r="N660" t="n">
        <v>0.0</v>
      </c>
      <c r="O660" t="n">
        <v>0.0</v>
      </c>
      <c r="P660" t="n">
        <v>0.0</v>
      </c>
      <c r="Q660" t="inlineStr">
        <is>
          <t/>
        </is>
      </c>
      <c r="R660" t="inlineStr">
        <is>
          <t/>
        </is>
      </c>
      <c r="S660" t="n">
        <v>0.0</v>
      </c>
      <c r="T660" t="n">
        <v>0.0</v>
      </c>
      <c r="U660" t="n">
        <v>0.0</v>
      </c>
      <c r="V660" t="n">
        <v>0.0</v>
      </c>
      <c r="W660" t="inlineStr">
        <is>
          <t/>
        </is>
      </c>
      <c r="X660" t="n">
        <v>0.0</v>
      </c>
      <c r="Y660" t="n">
        <v>0.0</v>
      </c>
      <c r="Z660" t="n">
        <v>0.0</v>
      </c>
      <c r="AA660" t="n">
        <v>0.0</v>
      </c>
      <c r="AB660" t="n">
        <v>0.0</v>
      </c>
      <c r="AC660" t="n">
        <v>0.0</v>
      </c>
      <c r="AD660" t="n">
        <v>1.0</v>
      </c>
      <c r="AE660" t="n">
        <v>0.0</v>
      </c>
      <c r="AF660" t="n">
        <v>0.0</v>
      </c>
      <c r="AG660" t="n">
        <v>0.0</v>
      </c>
      <c r="AH660" t="n">
        <v>0.0</v>
      </c>
      <c r="AI660" t="n">
        <v>0.0</v>
      </c>
      <c r="AJ660" t="n">
        <v>0.0</v>
      </c>
      <c r="AK660" t="n">
        <v>4.0</v>
      </c>
      <c r="AL660" t="inlineStr">
        <is>
          <t/>
        </is>
      </c>
    </row>
    <row r="661">
      <c r="A661" t="inlineStr">
        <is>
          <t>100块解决打工人半个月的轻食餐！</t>
        </is>
      </c>
      <c r="B661" t="inlineStr">
        <is>
          <t>6a466634000000001101831c</t>
        </is>
      </c>
      <c r="C661" s="660" t="n">
        <f>HYPERLINK("https://www.xiaohongshu.com/explore/6a466634000000001101831c?xsec_token=TBh16dqEaGc_HtFtaLZGOnEHjQu5pitxeEyywr3qgkGbc=&amp;xsec_source=pc_trdark","https://www.xiaohongshu.com/explore/6a466634000000001101831c?xsec_token=TBh16dqEaGc_HtFtaLZGOnEHjQu5pitxeEyywr3qgkGbc=&amp;xsec_source=pc_trdark")</f>
        <v>0.0</v>
      </c>
      <c r="D661" t="inlineStr">
        <is>
          <t>鲜水湾甄选</t>
        </is>
      </c>
      <c r="E661" t="inlineStr">
        <is>
          <t>27401929161</t>
        </is>
      </c>
      <c r="F661" t="inlineStr">
        <is>
          <t>2026-07-02 21:23:00</t>
        </is>
      </c>
      <c r="G661" t="inlineStr">
        <is>
          <t>图文</t>
        </is>
      </c>
      <c r="H661" t="inlineStr">
        <is>
          <t>手剥虾仁 无冰衣无添加 低脂餐一人食 上班带饭 顺丰包邮 5盒装</t>
        </is>
      </c>
      <c r="I661" t="inlineStr">
        <is>
          <t>694baba01d450d00013662f0</t>
        </is>
      </c>
      <c r="J661" t="inlineStr">
        <is>
          <t/>
        </is>
      </c>
      <c r="K661" t="n">
        <v>0.0</v>
      </c>
      <c r="L661" t="n">
        <v>0.0</v>
      </c>
      <c r="M661" t="n">
        <v>0.0</v>
      </c>
      <c r="N661" t="n">
        <v>0.0</v>
      </c>
      <c r="O661" t="n">
        <v>0.0</v>
      </c>
      <c r="P661" t="n">
        <v>0.0</v>
      </c>
      <c r="Q661" t="inlineStr">
        <is>
          <t/>
        </is>
      </c>
      <c r="R661" t="inlineStr">
        <is>
          <t/>
        </is>
      </c>
      <c r="S661" t="n">
        <v>0.0</v>
      </c>
      <c r="T661" t="n">
        <v>0.0</v>
      </c>
      <c r="U661" t="n">
        <v>0.0</v>
      </c>
      <c r="V661" t="n">
        <v>0.0</v>
      </c>
      <c r="W661" t="inlineStr">
        <is>
          <t/>
        </is>
      </c>
      <c r="X661" t="n">
        <v>0.0</v>
      </c>
      <c r="Y661" t="n">
        <v>0.0</v>
      </c>
      <c r="Z661" t="n">
        <v>0.0</v>
      </c>
      <c r="AA661" t="n">
        <v>0.0</v>
      </c>
      <c r="AB661" t="n">
        <v>0.0</v>
      </c>
      <c r="AC661" t="n">
        <v>0.0</v>
      </c>
      <c r="AD661" t="n">
        <v>1.0</v>
      </c>
      <c r="AE661" t="n">
        <v>0.0</v>
      </c>
      <c r="AF661" t="n">
        <v>0.0</v>
      </c>
      <c r="AG661" t="n">
        <v>0.0</v>
      </c>
      <c r="AH661" t="n">
        <v>0.0</v>
      </c>
      <c r="AI661" t="n">
        <v>0.0</v>
      </c>
      <c r="AJ661" t="n">
        <v>0.0</v>
      </c>
      <c r="AK661" t="n">
        <v>9.0</v>
      </c>
      <c r="AL661" t="inlineStr">
        <is>
          <t/>
        </is>
      </c>
    </row>
    <row r="662">
      <c r="A662" t="inlineStr">
        <is>
          <t>和爸妈商量后，推出为早八人设计的小包装</t>
        </is>
      </c>
      <c r="B662" t="inlineStr">
        <is>
          <t>6a466205000000000803e104</t>
        </is>
      </c>
      <c r="C662" s="661" t="n">
        <f>HYPERLINK("https://www.xiaohongshu.com/explore/6a466205000000000803e104?xsec_token=TBh16dqEaGc_HtFtaLZGOnEGYVwgqKTRnPeEAfSouYWIE=&amp;xsec_source=pc_trdark","https://www.xiaohongshu.com/explore/6a466205000000000803e104?xsec_token=TBh16dqEaGc_HtFtaLZGOnEGYVwgqKTRnPeEAfSouYWIE=&amp;xsec_source=pc_trdark")</f>
        <v>0.0</v>
      </c>
      <c r="D662" t="inlineStr">
        <is>
          <t>菲菲上班吃什么</t>
        </is>
      </c>
      <c r="E662" t="inlineStr">
        <is>
          <t>49936530607</t>
        </is>
      </c>
      <c r="F662" t="inlineStr">
        <is>
          <t>2026-07-02 21:05:09</t>
        </is>
      </c>
      <c r="G662" t="inlineStr">
        <is>
          <t>图文</t>
        </is>
      </c>
      <c r="H662" t="inlineStr">
        <is>
          <t>手剥虾仁 无冰衣无添加 低脂餐一人食 上班带饭 顺丰包邮 5盒装</t>
        </is>
      </c>
      <c r="I662" t="inlineStr">
        <is>
          <t>694baba01d450d00013662f0</t>
        </is>
      </c>
      <c r="J662" t="inlineStr">
        <is>
          <t/>
        </is>
      </c>
      <c r="K662" t="n">
        <v>0.0</v>
      </c>
      <c r="L662" t="n">
        <v>0.0</v>
      </c>
      <c r="M662" t="n">
        <v>0.0</v>
      </c>
      <c r="N662" t="n">
        <v>0.0</v>
      </c>
      <c r="O662" t="n">
        <v>0.0</v>
      </c>
      <c r="P662" t="n">
        <v>0.0</v>
      </c>
      <c r="Q662" t="inlineStr">
        <is>
          <t/>
        </is>
      </c>
      <c r="R662" t="inlineStr">
        <is>
          <t/>
        </is>
      </c>
      <c r="S662" t="n">
        <v>0.0</v>
      </c>
      <c r="T662" t="n">
        <v>0.0</v>
      </c>
      <c r="U662" t="n">
        <v>0.0</v>
      </c>
      <c r="V662" t="n">
        <v>0.0</v>
      </c>
      <c r="W662" t="inlineStr">
        <is>
          <t/>
        </is>
      </c>
      <c r="X662" t="n">
        <v>0.0</v>
      </c>
      <c r="Y662" t="n">
        <v>0.0</v>
      </c>
      <c r="Z662" t="n">
        <v>0.0</v>
      </c>
      <c r="AA662" t="n">
        <v>0.0</v>
      </c>
      <c r="AB662" t="n">
        <v>0.0</v>
      </c>
      <c r="AC662" t="n">
        <v>0.0</v>
      </c>
      <c r="AD662" t="n">
        <v>1.0</v>
      </c>
      <c r="AE662" t="n">
        <v>0.0</v>
      </c>
      <c r="AF662" t="n">
        <v>0.0</v>
      </c>
      <c r="AG662" t="n">
        <v>0.0</v>
      </c>
      <c r="AH662" t="n">
        <v>0.0</v>
      </c>
      <c r="AI662" t="n">
        <v>0.0</v>
      </c>
      <c r="AJ662" t="n">
        <v>0.0</v>
      </c>
      <c r="AK662" t="n">
        <v>8.0</v>
      </c>
      <c r="AL662" t="inlineStr">
        <is>
          <t/>
        </is>
      </c>
    </row>
    <row r="663">
      <c r="A663" t="inlineStr">
        <is>
          <t>真心建议身材管理期的姐妹这样吃</t>
        </is>
      </c>
      <c r="B663" t="inlineStr">
        <is>
          <t>6a44a86e000000002100b47f</t>
        </is>
      </c>
      <c r="C663" s="662" t="n">
        <f>HYPERLINK("https://www.xiaohongshu.com/explore/6a44a86e000000002100b47f?xsec_token=TBsNLvvwxdidvAFeSxmUSQxWpYbBDZhOqPhzN2fb905fs=&amp;xsec_source=pc_trdark","https://www.xiaohongshu.com/explore/6a44a86e000000002100b47f?xsec_token=TBsNLvvwxdidvAFeSxmUSQxWpYbBDZhOqPhzN2fb905fs=&amp;xsec_source=pc_trdark")</f>
        <v>0.0</v>
      </c>
      <c r="D663" t="inlineStr">
        <is>
          <t>婉婉上班吃什么</t>
        </is>
      </c>
      <c r="E663" t="inlineStr">
        <is>
          <t>11434449706</t>
        </is>
      </c>
      <c r="F663" t="inlineStr">
        <is>
          <t>2026-07-01 13:41:02</t>
        </is>
      </c>
      <c r="G663" t="inlineStr">
        <is>
          <t>图文</t>
        </is>
      </c>
      <c r="H663" t="inlineStr">
        <is>
          <t>手剥虾仁 无冰衣无添加 低脂餐一人食 上班带饭 顺丰包邮 5盒装</t>
        </is>
      </c>
      <c r="I663" t="inlineStr">
        <is>
          <t>694baba01d450d00013662f0</t>
        </is>
      </c>
      <c r="J663" t="inlineStr">
        <is>
          <t/>
        </is>
      </c>
      <c r="K663" t="n">
        <v>0.0</v>
      </c>
      <c r="L663" t="n">
        <v>0.0</v>
      </c>
      <c r="M663" t="n">
        <v>0.0</v>
      </c>
      <c r="N663" t="n">
        <v>0.0</v>
      </c>
      <c r="O663" t="n">
        <v>0.0</v>
      </c>
      <c r="P663" t="n">
        <v>0.0</v>
      </c>
      <c r="Q663" t="inlineStr">
        <is>
          <t/>
        </is>
      </c>
      <c r="R663" t="inlineStr">
        <is>
          <t/>
        </is>
      </c>
      <c r="S663" t="n">
        <v>0.0</v>
      </c>
      <c r="T663" t="n">
        <v>0.0</v>
      </c>
      <c r="U663" t="n">
        <v>0.0</v>
      </c>
      <c r="V663" t="n">
        <v>0.0</v>
      </c>
      <c r="W663" t="inlineStr">
        <is>
          <t/>
        </is>
      </c>
      <c r="X663" t="n">
        <v>0.0</v>
      </c>
      <c r="Y663" t="n">
        <v>0.0</v>
      </c>
      <c r="Z663" t="n">
        <v>0.0</v>
      </c>
      <c r="AA663" t="n">
        <v>0.0</v>
      </c>
      <c r="AB663" t="n">
        <v>0.0</v>
      </c>
      <c r="AC663" t="n">
        <v>0.0</v>
      </c>
      <c r="AD663" t="n">
        <v>1.0</v>
      </c>
      <c r="AE663" t="n">
        <v>0.0</v>
      </c>
      <c r="AF663" t="n">
        <v>0.0</v>
      </c>
      <c r="AG663" t="n">
        <v>0.0</v>
      </c>
      <c r="AH663" t="n">
        <v>0.0</v>
      </c>
      <c r="AI663" t="n">
        <v>0.0</v>
      </c>
      <c r="AJ663" t="n">
        <v>0.0</v>
      </c>
      <c r="AK663" t="n">
        <v>2.0</v>
      </c>
      <c r="AL663" t="inlineStr">
        <is>
          <t/>
        </is>
      </c>
    </row>
    <row r="664">
      <c r="A664" t="inlineStr">
        <is>
          <t>我爸说：真的低估69块的购买力了！！！</t>
        </is>
      </c>
      <c r="B664" t="inlineStr">
        <is>
          <t>6a43b3fa000000002201591d</t>
        </is>
      </c>
      <c r="C664" s="663" t="n">
        <f>HYPERLINK("https://www.xiaohongshu.com/explore/6a43b3fa000000002201591d?xsec_token=TBHlcLEn6fokKWIeUTfT7NlbHSchIcFI3lW7iCszCKBW8=&amp;xsec_source=pc_trdark","https://www.xiaohongshu.com/explore/6a43b3fa000000002201591d?xsec_token=TBHlcLEn6fokKWIeUTfT7NlbHSchIcFI3lW7iCszCKBW8=&amp;xsec_source=pc_trdark")</f>
        <v>0.0</v>
      </c>
      <c r="D664" t="inlineStr">
        <is>
          <t>菲菲上班吃什么</t>
        </is>
      </c>
      <c r="E664" t="inlineStr">
        <is>
          <t>49936530607</t>
        </is>
      </c>
      <c r="F664" t="inlineStr">
        <is>
          <t>2026-06-30 20:18:02</t>
        </is>
      </c>
      <c r="G664" t="inlineStr">
        <is>
          <t>图文</t>
        </is>
      </c>
      <c r="H664" t="inlineStr">
        <is>
          <t>手剥虾仁 无冰衣无添加 低脂餐一人食 上班带饭 顺丰包邮 5盒装</t>
        </is>
      </c>
      <c r="I664" t="inlineStr">
        <is>
          <t>694baba01d450d00013662f0</t>
        </is>
      </c>
      <c r="J664" t="inlineStr">
        <is>
          <t/>
        </is>
      </c>
      <c r="K664" t="n">
        <v>0.0</v>
      </c>
      <c r="L664" t="n">
        <v>0.0</v>
      </c>
      <c r="M664" t="n">
        <v>0.0</v>
      </c>
      <c r="N664" t="n">
        <v>0.0</v>
      </c>
      <c r="O664" t="n">
        <v>0.0</v>
      </c>
      <c r="P664" t="n">
        <v>0.0</v>
      </c>
      <c r="Q664" t="inlineStr">
        <is>
          <t/>
        </is>
      </c>
      <c r="R664" t="inlineStr">
        <is>
          <t/>
        </is>
      </c>
      <c r="S664" t="n">
        <v>0.0</v>
      </c>
      <c r="T664" t="n">
        <v>0.0</v>
      </c>
      <c r="U664" t="n">
        <v>0.0</v>
      </c>
      <c r="V664" t="n">
        <v>0.0</v>
      </c>
      <c r="W664" t="inlineStr">
        <is>
          <t/>
        </is>
      </c>
      <c r="X664" t="n">
        <v>0.0</v>
      </c>
      <c r="Y664" t="n">
        <v>0.0</v>
      </c>
      <c r="Z664" t="n">
        <v>0.0</v>
      </c>
      <c r="AA664" t="n">
        <v>0.0</v>
      </c>
      <c r="AB664" t="n">
        <v>0.0</v>
      </c>
      <c r="AC664" t="n">
        <v>0.0</v>
      </c>
      <c r="AD664" t="n">
        <v>1.0</v>
      </c>
      <c r="AE664" t="n">
        <v>0.0</v>
      </c>
      <c r="AF664" t="n">
        <v>0.0</v>
      </c>
      <c r="AG664" t="n">
        <v>0.0</v>
      </c>
      <c r="AH664" t="n">
        <v>0.0</v>
      </c>
      <c r="AI664" t="n">
        <v>0.0</v>
      </c>
      <c r="AJ664" t="n">
        <v>0.0</v>
      </c>
      <c r="AK664" t="n">
        <v>65.0</v>
      </c>
      <c r="AL664" t="inlineStr">
        <is>
          <t/>
        </is>
      </c>
    </row>
    <row r="665">
      <c r="A665" t="inlineStr">
        <is>
          <t>以为70块没多少，结果又够我吃一个星期的了</t>
        </is>
      </c>
      <c r="B665" t="inlineStr">
        <is>
          <t>6a439f7b00000000110101b7</t>
        </is>
      </c>
      <c r="C665" s="664" t="n">
        <f>HYPERLINK("https://www.xiaohongshu.com/explore/6a439f7b00000000110101b7?xsec_token=TBHlcLEn6fokKWIeUTfT7NlYyQ3LYhLgqCDs02RCIhqm4=&amp;xsec_source=pc_trdark","https://www.xiaohongshu.com/explore/6a439f7b00000000110101b7?xsec_token=TBHlcLEn6fokKWIeUTfT7NlYyQ3LYhLgqCDs02RCIhqm4=&amp;xsec_source=pc_trdark")</f>
        <v>0.0</v>
      </c>
      <c r="D665" t="inlineStr">
        <is>
          <t>鲜水湾甄选</t>
        </is>
      </c>
      <c r="E665" t="inlineStr">
        <is>
          <t>27401929161</t>
        </is>
      </c>
      <c r="F665" t="inlineStr">
        <is>
          <t>2026-06-30 18:50:35</t>
        </is>
      </c>
      <c r="G665" t="inlineStr">
        <is>
          <t>图文</t>
        </is>
      </c>
      <c r="H665" t="inlineStr">
        <is>
          <t>手剥虾仁 无冰衣无添加 低脂餐一人食 上班带饭 顺丰包邮 5盒装</t>
        </is>
      </c>
      <c r="I665" t="inlineStr">
        <is>
          <t>694baba01d450d00013662f0</t>
        </is>
      </c>
      <c r="J665" t="inlineStr">
        <is>
          <t/>
        </is>
      </c>
      <c r="K665" t="n">
        <v>0.0</v>
      </c>
      <c r="L665" t="n">
        <v>0.0</v>
      </c>
      <c r="M665" t="n">
        <v>0.0</v>
      </c>
      <c r="N665" t="n">
        <v>0.0</v>
      </c>
      <c r="O665" t="n">
        <v>0.0</v>
      </c>
      <c r="P665" t="n">
        <v>0.0</v>
      </c>
      <c r="Q665" t="inlineStr">
        <is>
          <t/>
        </is>
      </c>
      <c r="R665" t="inlineStr">
        <is>
          <t/>
        </is>
      </c>
      <c r="S665" t="n">
        <v>0.0</v>
      </c>
      <c r="T665" t="n">
        <v>0.0</v>
      </c>
      <c r="U665" t="n">
        <v>0.0</v>
      </c>
      <c r="V665" t="n">
        <v>0.0</v>
      </c>
      <c r="W665" t="inlineStr">
        <is>
          <t/>
        </is>
      </c>
      <c r="X665" t="n">
        <v>0.0</v>
      </c>
      <c r="Y665" t="n">
        <v>0.0</v>
      </c>
      <c r="Z665" t="n">
        <v>0.0</v>
      </c>
      <c r="AA665" t="n">
        <v>0.0</v>
      </c>
      <c r="AB665" t="n">
        <v>0.0</v>
      </c>
      <c r="AC665" t="n">
        <v>0.0</v>
      </c>
      <c r="AD665" t="n">
        <v>1.0</v>
      </c>
      <c r="AE665" t="n">
        <v>0.0</v>
      </c>
      <c r="AF665" t="n">
        <v>0.0</v>
      </c>
      <c r="AG665" t="n">
        <v>0.0</v>
      </c>
      <c r="AH665" t="n">
        <v>0.0</v>
      </c>
      <c r="AI665" t="n">
        <v>0.0</v>
      </c>
      <c r="AJ665" t="n">
        <v>0.0</v>
      </c>
      <c r="AK665" t="n">
        <v>30.0</v>
      </c>
      <c r="AL665" t="inlineStr">
        <is>
          <t/>
        </is>
      </c>
    </row>
    <row r="666">
      <c r="A666" t="inlineStr">
        <is>
          <t>和老爹商量了，推出独居女生一人食包装虾仁</t>
        </is>
      </c>
      <c r="B666" t="inlineStr">
        <is>
          <t>6a42402e000000001101e23d</t>
        </is>
      </c>
      <c r="C666" s="665" t="n">
        <f>HYPERLINK("https://www.xiaohongshu.com/explore/6a42402e000000001101e23d?xsec_token=TBuZ9ZXJUs9vOVh3V3slJbLNG4ma2ByPStn7Oi_gFqs6k=&amp;xsec_source=pc_trdark","https://www.xiaohongshu.com/explore/6a42402e000000001101e23d?xsec_token=TBuZ9ZXJUs9vOVh3V3slJbLNG4ma2ByPStn7Oi_gFqs6k=&amp;xsec_source=pc_trdark")</f>
        <v>0.0</v>
      </c>
      <c r="D666" t="inlineStr">
        <is>
          <t>鲜水湾甄选</t>
        </is>
      </c>
      <c r="E666" t="inlineStr">
        <is>
          <t>27401929161</t>
        </is>
      </c>
      <c r="F666" t="inlineStr">
        <is>
          <t>2026-06-29 17:51:42</t>
        </is>
      </c>
      <c r="G666" t="inlineStr">
        <is>
          <t>图文</t>
        </is>
      </c>
      <c r="H666" t="inlineStr">
        <is>
          <t>手剥虾仁 无冰衣无添加 低脂餐一人食 上班带饭 顺丰包邮 5盒装</t>
        </is>
      </c>
      <c r="I666" t="inlineStr">
        <is>
          <t>694baba01d450d00013662f0</t>
        </is>
      </c>
      <c r="J666" t="inlineStr">
        <is>
          <t/>
        </is>
      </c>
      <c r="K666" t="n">
        <v>0.0</v>
      </c>
      <c r="L666" t="n">
        <v>0.0</v>
      </c>
      <c r="M666" t="n">
        <v>1.0</v>
      </c>
      <c r="N666" t="n">
        <v>1.0</v>
      </c>
      <c r="O666" t="n">
        <v>1.0</v>
      </c>
      <c r="P666" t="n">
        <v>0.0</v>
      </c>
      <c r="Q666" t="n">
        <v>0.0</v>
      </c>
      <c r="R666" t="n">
        <v>0.0</v>
      </c>
      <c r="S666" t="n">
        <v>0.0</v>
      </c>
      <c r="T666" t="n">
        <v>0.0</v>
      </c>
      <c r="U666" t="n">
        <v>0.0</v>
      </c>
      <c r="V666" t="n">
        <v>0.0</v>
      </c>
      <c r="W666" t="inlineStr">
        <is>
          <t/>
        </is>
      </c>
      <c r="X666" t="n">
        <v>0.0</v>
      </c>
      <c r="Y666" t="n">
        <v>1.0</v>
      </c>
      <c r="Z666" t="n">
        <v>0.0</v>
      </c>
      <c r="AA666" t="n">
        <v>0.0</v>
      </c>
      <c r="AB666" t="n">
        <v>0.0</v>
      </c>
      <c r="AC666" t="n">
        <v>0.0</v>
      </c>
      <c r="AD666" t="n">
        <v>1.0</v>
      </c>
      <c r="AE666" t="n">
        <v>0.0</v>
      </c>
      <c r="AF666" t="n">
        <v>0.0</v>
      </c>
      <c r="AG666" t="n">
        <v>0.0</v>
      </c>
      <c r="AH666" t="n">
        <v>0.0</v>
      </c>
      <c r="AI666" t="n">
        <v>0.0</v>
      </c>
      <c r="AJ666" t="n">
        <v>0.0</v>
      </c>
      <c r="AK666" t="n">
        <v>30.0</v>
      </c>
      <c r="AL666" t="inlineStr">
        <is>
          <t/>
        </is>
      </c>
    </row>
    <row r="667">
      <c r="A667" t="inlineStr">
        <is>
          <t>太绝了，这才是适合上班带饭姐妹的虾仁</t>
        </is>
      </c>
      <c r="B667" t="inlineStr">
        <is>
          <t>6a3e3afa0000000022016dcc</t>
        </is>
      </c>
      <c r="C667" s="666" t="n">
        <f>HYPERLINK("https://www.xiaohongshu.com/explore/6a3e3afa0000000022016dcc?xsec_token=TBr0r0iKecestw8rIiwqZdvu7k6xCR6qucIGujrnsRZlE=&amp;xsec_source=pc_trdark","https://www.xiaohongshu.com/explore/6a3e3afa0000000022016dcc?xsec_token=TBr0r0iKecestw8rIiwqZdvu7k6xCR6qucIGujrnsRZlE=&amp;xsec_source=pc_trdark")</f>
        <v>0.0</v>
      </c>
      <c r="D667" t="inlineStr">
        <is>
          <t>婉婉上班吃什么</t>
        </is>
      </c>
      <c r="E667" t="inlineStr">
        <is>
          <t>11434449706</t>
        </is>
      </c>
      <c r="F667" t="inlineStr">
        <is>
          <t>2026-06-26 16:40:26</t>
        </is>
      </c>
      <c r="G667" t="inlineStr">
        <is>
          <t>图文</t>
        </is>
      </c>
      <c r="H667" t="inlineStr">
        <is>
          <t>手剥虾仁 无冰衣无添加 低脂餐一人食 上班带饭 顺丰包邮 5盒装</t>
        </is>
      </c>
      <c r="I667" t="inlineStr">
        <is>
          <t>694baba01d450d00013662f0</t>
        </is>
      </c>
      <c r="J667" t="inlineStr">
        <is>
          <t/>
        </is>
      </c>
      <c r="K667" t="n">
        <v>0.0</v>
      </c>
      <c r="L667" t="n">
        <v>0.0</v>
      </c>
      <c r="M667" t="n">
        <v>1.0</v>
      </c>
      <c r="N667" t="n">
        <v>1.0</v>
      </c>
      <c r="O667" t="n">
        <v>1.0</v>
      </c>
      <c r="P667" t="n">
        <v>0.0</v>
      </c>
      <c r="Q667" t="n">
        <v>0.0</v>
      </c>
      <c r="R667" t="n">
        <v>0.0</v>
      </c>
      <c r="S667" t="n">
        <v>0.0</v>
      </c>
      <c r="T667" t="n">
        <v>0.0</v>
      </c>
      <c r="U667" t="n">
        <v>0.0</v>
      </c>
      <c r="V667" t="n">
        <v>0.0</v>
      </c>
      <c r="W667" t="inlineStr">
        <is>
          <t/>
        </is>
      </c>
      <c r="X667" t="n">
        <v>0.0</v>
      </c>
      <c r="Y667" t="n">
        <v>1.0</v>
      </c>
      <c r="Z667" t="n">
        <v>0.0</v>
      </c>
      <c r="AA667" t="n">
        <v>0.0</v>
      </c>
      <c r="AB667" t="n">
        <v>0.0</v>
      </c>
      <c r="AC667" t="n">
        <v>0.0</v>
      </c>
      <c r="AD667" t="n">
        <v>1.0</v>
      </c>
      <c r="AE667" t="n">
        <v>0.0</v>
      </c>
      <c r="AF667" t="n">
        <v>0.0</v>
      </c>
      <c r="AG667" t="n">
        <v>0.0</v>
      </c>
      <c r="AH667" t="n">
        <v>0.0</v>
      </c>
      <c r="AI667" t="n">
        <v>0.0</v>
      </c>
      <c r="AJ667" t="n">
        <v>0.0</v>
      </c>
      <c r="AK667" t="n">
        <v>2.0</v>
      </c>
      <c r="AL667" t="inlineStr">
        <is>
          <t/>
        </is>
      </c>
    </row>
    <row r="668">
      <c r="A668" t="inlineStr">
        <is>
          <t>早八打工人，懒人减脂被这个虾仁治好了</t>
        </is>
      </c>
      <c r="B668" t="inlineStr">
        <is>
          <t>6a3d28d8000000000f006d3a</t>
        </is>
      </c>
      <c r="C668" s="667" t="n">
        <f>HYPERLINK("https://www.xiaohongshu.com/explore/6a3d28d8000000000f006d3a?xsec_token=TB86hQ-xkUBjAY90uToPmFjf9YVGrXeXWYfD9lha5oHUA=&amp;xsec_source=pc_trdark","https://www.xiaohongshu.com/explore/6a3d28d8000000000f006d3a?xsec_token=TB86hQ-xkUBjAY90uToPmFjf9YVGrXeXWYfD9lha5oHUA=&amp;xsec_source=pc_trdark")</f>
        <v>0.0</v>
      </c>
      <c r="D668" t="inlineStr">
        <is>
          <t>鲜水湾甄选</t>
        </is>
      </c>
      <c r="E668" t="inlineStr">
        <is>
          <t>27401929161</t>
        </is>
      </c>
      <c r="F668" t="inlineStr">
        <is>
          <t>2026-06-25 21:10:48</t>
        </is>
      </c>
      <c r="G668" t="inlineStr">
        <is>
          <t>图文</t>
        </is>
      </c>
      <c r="H668" t="inlineStr">
        <is>
          <t>手剥虾仁 无冰衣无添加 低脂餐一人食 上班带饭 顺丰包邮 5盒装</t>
        </is>
      </c>
      <c r="I668" t="inlineStr">
        <is>
          <t>694baba01d450d00013662f0</t>
        </is>
      </c>
      <c r="J668" t="inlineStr">
        <is>
          <t/>
        </is>
      </c>
      <c r="K668" t="n">
        <v>0.0</v>
      </c>
      <c r="L668" t="n">
        <v>0.0</v>
      </c>
      <c r="M668" t="n">
        <v>0.0</v>
      </c>
      <c r="N668" t="n">
        <v>0.0</v>
      </c>
      <c r="O668" t="n">
        <v>0.0</v>
      </c>
      <c r="P668" t="n">
        <v>0.0</v>
      </c>
      <c r="Q668" t="inlineStr">
        <is>
          <t/>
        </is>
      </c>
      <c r="R668" t="inlineStr">
        <is>
          <t/>
        </is>
      </c>
      <c r="S668" t="n">
        <v>0.0</v>
      </c>
      <c r="T668" t="n">
        <v>0.0</v>
      </c>
      <c r="U668" t="n">
        <v>0.0</v>
      </c>
      <c r="V668" t="n">
        <v>0.0</v>
      </c>
      <c r="W668" t="inlineStr">
        <is>
          <t/>
        </is>
      </c>
      <c r="X668" t="n">
        <v>0.0</v>
      </c>
      <c r="Y668" t="n">
        <v>0.0</v>
      </c>
      <c r="Z668" t="n">
        <v>0.0</v>
      </c>
      <c r="AA668" t="n">
        <v>0.0</v>
      </c>
      <c r="AB668" t="n">
        <v>0.0</v>
      </c>
      <c r="AC668" t="n">
        <v>0.0</v>
      </c>
      <c r="AD668" t="n">
        <v>1.0</v>
      </c>
      <c r="AE668" t="n">
        <v>0.0</v>
      </c>
      <c r="AF668" t="n">
        <v>0.0</v>
      </c>
      <c r="AG668" t="n">
        <v>0.0</v>
      </c>
      <c r="AH668" t="n">
        <v>0.0</v>
      </c>
      <c r="AI668" t="n">
        <v>0.0</v>
      </c>
      <c r="AJ668" t="n">
        <v>0.0</v>
      </c>
      <c r="AK668" t="n">
        <v>1.0</v>
      </c>
      <c r="AL668" t="inlineStr">
        <is>
          <t/>
        </is>
      </c>
    </row>
    <row r="669">
      <c r="A669" t="inlineStr">
        <is>
          <t>控体期发现一个比液断还牛的方法</t>
        </is>
      </c>
      <c r="B669" t="inlineStr">
        <is>
          <t>6a3d28c00000000021016d8b</t>
        </is>
      </c>
      <c r="C669" s="668" t="n">
        <f>HYPERLINK("https://www.xiaohongshu.com/explore/6a3d28c00000000021016d8b?xsec_token=TB86hQ-xkUBjAY90uToPmFjW2WRpLsNsc8Ry_f5xncuxA=&amp;xsec_source=pc_trdark","https://www.xiaohongshu.com/explore/6a3d28c00000000021016d8b?xsec_token=TB86hQ-xkUBjAY90uToPmFjW2WRpLsNsc8Ry_f5xncuxA=&amp;xsec_source=pc_trdark")</f>
        <v>0.0</v>
      </c>
      <c r="D669" t="inlineStr">
        <is>
          <t>菲菲上班吃什么</t>
        </is>
      </c>
      <c r="E669" t="inlineStr">
        <is>
          <t>49936530607</t>
        </is>
      </c>
      <c r="F669" t="inlineStr">
        <is>
          <t>2026-06-25 21:10:24</t>
        </is>
      </c>
      <c r="G669" t="inlineStr">
        <is>
          <t>图文</t>
        </is>
      </c>
      <c r="H669" t="inlineStr">
        <is>
          <t>手剥虾仁 无冰衣无添加 低脂餐一人食 上班带饭 顺丰包邮 5盒装</t>
        </is>
      </c>
      <c r="I669" t="inlineStr">
        <is>
          <t>694baba01d450d00013662f0</t>
        </is>
      </c>
      <c r="J669" t="inlineStr">
        <is>
          <t/>
        </is>
      </c>
      <c r="K669" t="n">
        <v>0.0</v>
      </c>
      <c r="L669" t="n">
        <v>0.0</v>
      </c>
      <c r="M669" t="n">
        <v>0.0</v>
      </c>
      <c r="N669" t="n">
        <v>0.0</v>
      </c>
      <c r="O669" t="n">
        <v>0.0</v>
      </c>
      <c r="P669" t="n">
        <v>0.0</v>
      </c>
      <c r="Q669" t="inlineStr">
        <is>
          <t/>
        </is>
      </c>
      <c r="R669" t="inlineStr">
        <is>
          <t/>
        </is>
      </c>
      <c r="S669" t="n">
        <v>0.0</v>
      </c>
      <c r="T669" t="n">
        <v>0.0</v>
      </c>
      <c r="U669" t="n">
        <v>0.0</v>
      </c>
      <c r="V669" t="n">
        <v>0.0</v>
      </c>
      <c r="W669" t="inlineStr">
        <is>
          <t/>
        </is>
      </c>
      <c r="X669" t="n">
        <v>0.0</v>
      </c>
      <c r="Y669" t="n">
        <v>0.0</v>
      </c>
      <c r="Z669" t="n">
        <v>0.0</v>
      </c>
      <c r="AA669" t="n">
        <v>0.0</v>
      </c>
      <c r="AB669" t="n">
        <v>0.0</v>
      </c>
      <c r="AC669" t="n">
        <v>0.0</v>
      </c>
      <c r="AD669" t="n">
        <v>1.0</v>
      </c>
      <c r="AE669" t="n">
        <v>0.0</v>
      </c>
      <c r="AF669" t="n">
        <v>0.0</v>
      </c>
      <c r="AG669" t="n">
        <v>0.0</v>
      </c>
      <c r="AH669" t="n">
        <v>0.0</v>
      </c>
      <c r="AI669" t="n">
        <v>0.0</v>
      </c>
      <c r="AJ669" t="n">
        <v>0.0</v>
      </c>
      <c r="AK669" t="n">
        <v>33.0</v>
      </c>
      <c r="AL669" t="inlineStr">
        <is>
          <t/>
        </is>
      </c>
    </row>
    <row r="670">
      <c r="A670" t="inlineStr">
        <is>
          <t>我也没想到100块竟承包我一周轻食餐</t>
        </is>
      </c>
      <c r="B670" t="inlineStr">
        <is>
          <t>6a3bcd02000000000f0159f9</t>
        </is>
      </c>
      <c r="C670" s="669" t="n">
        <f>HYPERLINK("https://www.xiaohongshu.com/explore/6a3bcd02000000000f0159f9?xsec_token=TB5Q_AKgvJfz9cep0BZIf0XYEET7Xt1f2XuJDhgZbfLYo=&amp;xsec_source=pc_trdark","https://www.xiaohongshu.com/explore/6a3bcd02000000000f0159f9?xsec_token=TB5Q_AKgvJfz9cep0BZIf0XYEET7Xt1f2XuJDhgZbfLYo=&amp;xsec_source=pc_trdark")</f>
        <v>0.0</v>
      </c>
      <c r="D670" t="inlineStr">
        <is>
          <t>鲜水湾甄选</t>
        </is>
      </c>
      <c r="E670" t="inlineStr">
        <is>
          <t>27401929161</t>
        </is>
      </c>
      <c r="F670" t="inlineStr">
        <is>
          <t>2026-06-24 21:26:00</t>
        </is>
      </c>
      <c r="G670" t="inlineStr">
        <is>
          <t>图文</t>
        </is>
      </c>
      <c r="H670" t="inlineStr">
        <is>
          <t>手剥虾仁 无冰衣无添加 低脂餐一人食 上班带饭 顺丰包邮 5盒装</t>
        </is>
      </c>
      <c r="I670" t="inlineStr">
        <is>
          <t>694baba01d450d00013662f0</t>
        </is>
      </c>
      <c r="J670" t="inlineStr">
        <is>
          <t/>
        </is>
      </c>
      <c r="K670" t="n">
        <v>0.0</v>
      </c>
      <c r="L670" t="n">
        <v>0.0</v>
      </c>
      <c r="M670" t="n">
        <v>0.0</v>
      </c>
      <c r="N670" t="n">
        <v>0.0</v>
      </c>
      <c r="O670" t="n">
        <v>0.0</v>
      </c>
      <c r="P670" t="n">
        <v>0.0</v>
      </c>
      <c r="Q670" t="inlineStr">
        <is>
          <t/>
        </is>
      </c>
      <c r="R670" t="inlineStr">
        <is>
          <t/>
        </is>
      </c>
      <c r="S670" t="n">
        <v>0.0</v>
      </c>
      <c r="T670" t="n">
        <v>0.0</v>
      </c>
      <c r="U670" t="n">
        <v>0.0</v>
      </c>
      <c r="V670" t="n">
        <v>0.0</v>
      </c>
      <c r="W670" t="inlineStr">
        <is>
          <t/>
        </is>
      </c>
      <c r="X670" t="n">
        <v>0.0</v>
      </c>
      <c r="Y670" t="n">
        <v>0.0</v>
      </c>
      <c r="Z670" t="n">
        <v>0.0</v>
      </c>
      <c r="AA670" t="n">
        <v>0.0</v>
      </c>
      <c r="AB670" t="n">
        <v>0.0</v>
      </c>
      <c r="AC670" t="n">
        <v>0.0</v>
      </c>
      <c r="AD670" t="n">
        <v>1.0</v>
      </c>
      <c r="AE670" t="n">
        <v>0.0</v>
      </c>
      <c r="AF670" t="n">
        <v>0.0</v>
      </c>
      <c r="AG670" t="n">
        <v>0.0</v>
      </c>
      <c r="AH670" t="n">
        <v>0.0</v>
      </c>
      <c r="AI670" t="n">
        <v>0.0</v>
      </c>
      <c r="AJ670" t="n">
        <v>0.0</v>
      </c>
      <c r="AK670" t="n">
        <v>0.0</v>
      </c>
      <c r="AL670" t="inlineStr">
        <is>
          <t/>
        </is>
      </c>
    </row>
    <row r="671">
      <c r="A671" t="inlineStr">
        <is>
          <t>同事以为我天天吃虾很贵，其实真不是…</t>
        </is>
      </c>
      <c r="B671" t="inlineStr">
        <is>
          <t>6a3ba8570000000011004d0d</t>
        </is>
      </c>
      <c r="C671" s="670" t="n">
        <f>HYPERLINK("https://www.xiaohongshu.com/explore/6a3ba8570000000011004d0d?xsec_token=TB5Q_AKgvJfz9cep0BZIf0XUn6xmLt_UCcels07uF1jEc=&amp;xsec_source=pc_trdark","https://www.xiaohongshu.com/explore/6a3ba8570000000011004d0d?xsec_token=TB5Q_AKgvJfz9cep0BZIf0XUn6xmLt_UCcels07uF1jEc=&amp;xsec_source=pc_trdark")</f>
        <v>0.0</v>
      </c>
      <c r="D671" t="inlineStr">
        <is>
          <t>鲜水湾甄选</t>
        </is>
      </c>
      <c r="E671" t="inlineStr">
        <is>
          <t>27401929161</t>
        </is>
      </c>
      <c r="F671" t="inlineStr">
        <is>
          <t>2026-06-24 17:50:15</t>
        </is>
      </c>
      <c r="G671" t="inlineStr">
        <is>
          <t>图文</t>
        </is>
      </c>
      <c r="H671" t="inlineStr">
        <is>
          <t>手剥虾仁 无冰衣无添加 低脂餐一人食 上班带饭 顺丰包邮 5盒装</t>
        </is>
      </c>
      <c r="I671" t="inlineStr">
        <is>
          <t>694baba01d450d00013662f0</t>
        </is>
      </c>
      <c r="J671" t="inlineStr">
        <is>
          <t/>
        </is>
      </c>
      <c r="K671" t="n">
        <v>0.0</v>
      </c>
      <c r="L671" t="n">
        <v>0.0</v>
      </c>
      <c r="M671" t="n">
        <v>1.0</v>
      </c>
      <c r="N671" t="n">
        <v>1.0</v>
      </c>
      <c r="O671" t="n">
        <v>1.0</v>
      </c>
      <c r="P671" t="n">
        <v>0.0</v>
      </c>
      <c r="Q671" t="n">
        <v>0.0</v>
      </c>
      <c r="R671" t="n">
        <v>0.0</v>
      </c>
      <c r="S671" t="n">
        <v>0.0</v>
      </c>
      <c r="T671" t="n">
        <v>0.0</v>
      </c>
      <c r="U671" t="n">
        <v>0.0</v>
      </c>
      <c r="V671" t="n">
        <v>0.0</v>
      </c>
      <c r="W671" t="inlineStr">
        <is>
          <t/>
        </is>
      </c>
      <c r="X671" t="n">
        <v>0.0</v>
      </c>
      <c r="Y671" t="n">
        <v>0.0</v>
      </c>
      <c r="Z671" t="n">
        <v>0.0</v>
      </c>
      <c r="AA671" t="n">
        <v>0.0</v>
      </c>
      <c r="AB671" t="n">
        <v>0.0</v>
      </c>
      <c r="AC671" t="n">
        <v>0.0</v>
      </c>
      <c r="AD671" t="n">
        <v>1.0</v>
      </c>
      <c r="AE671" t="n">
        <v>0.0</v>
      </c>
      <c r="AF671" t="n">
        <v>0.0</v>
      </c>
      <c r="AG671" t="n">
        <v>0.0</v>
      </c>
      <c r="AH671" t="n">
        <v>0.0</v>
      </c>
      <c r="AI671" t="n">
        <v>0.0</v>
      </c>
      <c r="AJ671" t="n">
        <v>0.0</v>
      </c>
      <c r="AK671" t="n">
        <v>41.0</v>
      </c>
      <c r="AL671" t="inlineStr">
        <is>
          <t/>
        </is>
      </c>
    </row>
    <row r="672">
      <c r="A672" t="inlineStr">
        <is>
          <t>我也不想吃啊，但100块能让我吃一周减脂餐！</t>
        </is>
      </c>
      <c r="B672" t="inlineStr">
        <is>
          <t>6a3ba7f10000000021023b12</t>
        </is>
      </c>
      <c r="C672" s="671" t="n">
        <f>HYPERLINK("https://www.xiaohongshu.com/explore/6a3ba7f10000000021023b12?xsec_token=TB5Q_AKgvJfz9cep0BZIf0XYpeV4I8Xvt1u7dy6ciWgWM=&amp;xsec_source=pc_trdark","https://www.xiaohongshu.com/explore/6a3ba7f10000000021023b12?xsec_token=TB5Q_AKgvJfz9cep0BZIf0XYpeV4I8Xvt1u7dy6ciWgWM=&amp;xsec_source=pc_trdark")</f>
        <v>0.0</v>
      </c>
      <c r="D672" t="inlineStr">
        <is>
          <t>菲菲上班吃什么</t>
        </is>
      </c>
      <c r="E672" t="inlineStr">
        <is>
          <t>49936530607</t>
        </is>
      </c>
      <c r="F672" t="inlineStr">
        <is>
          <t>2026-06-24 17:48:33</t>
        </is>
      </c>
      <c r="G672" t="inlineStr">
        <is>
          <t>图文</t>
        </is>
      </c>
      <c r="H672" t="inlineStr">
        <is>
          <t>手剥虾仁 无冰衣无添加 低脂餐一人食 上班带饭 顺丰包邮 5盒装</t>
        </is>
      </c>
      <c r="I672" t="inlineStr">
        <is>
          <t>694baba01d450d00013662f0</t>
        </is>
      </c>
      <c r="J672" t="inlineStr">
        <is>
          <t/>
        </is>
      </c>
      <c r="K672" t="n">
        <v>0.0</v>
      </c>
      <c r="L672" t="n">
        <v>0.0</v>
      </c>
      <c r="M672" t="n">
        <v>0.0</v>
      </c>
      <c r="N672" t="n">
        <v>0.0</v>
      </c>
      <c r="O672" t="n">
        <v>0.0</v>
      </c>
      <c r="P672" t="n">
        <v>0.0</v>
      </c>
      <c r="Q672" t="inlineStr">
        <is>
          <t/>
        </is>
      </c>
      <c r="R672" t="inlineStr">
        <is>
          <t/>
        </is>
      </c>
      <c r="S672" t="n">
        <v>0.0</v>
      </c>
      <c r="T672" t="n">
        <v>0.0</v>
      </c>
      <c r="U672" t="n">
        <v>0.0</v>
      </c>
      <c r="V672" t="n">
        <v>0.0</v>
      </c>
      <c r="W672" t="inlineStr">
        <is>
          <t/>
        </is>
      </c>
      <c r="X672" t="n">
        <v>0.0</v>
      </c>
      <c r="Y672" t="n">
        <v>0.0</v>
      </c>
      <c r="Z672" t="n">
        <v>0.0</v>
      </c>
      <c r="AA672" t="n">
        <v>0.0</v>
      </c>
      <c r="AB672" t="n">
        <v>0.0</v>
      </c>
      <c r="AC672" t="n">
        <v>0.0</v>
      </c>
      <c r="AD672" t="n">
        <v>1.0</v>
      </c>
      <c r="AE672" t="n">
        <v>0.0</v>
      </c>
      <c r="AF672" t="n">
        <v>0.0</v>
      </c>
      <c r="AG672" t="n">
        <v>0.0</v>
      </c>
      <c r="AH672" t="n">
        <v>0.0</v>
      </c>
      <c r="AI672" t="n">
        <v>0.0</v>
      </c>
      <c r="AJ672" t="n">
        <v>0.0</v>
      </c>
      <c r="AK672" t="n">
        <v>13.0</v>
      </c>
      <c r="AL672" t="inlineStr">
        <is>
          <t/>
        </is>
      </c>
    </row>
    <row r="673">
      <c r="A673" t="inlineStr">
        <is>
          <t>以前一份轻食外卖三四十，虾仁少得可怜……</t>
        </is>
      </c>
      <c r="B673" t="inlineStr">
        <is>
          <t>6a3a16b70000000011005d83</t>
        </is>
      </c>
      <c r="C673" s="672" t="n">
        <f>HYPERLINK("https://www.xiaohongshu.com/explore/6a3a16b70000000011005d83?xsec_token=TB6JLlH-I5wyeOIL4LxmWU3v2--o9hcIXGFVXw19McnOw=&amp;xsec_source=pc_trdark","https://www.xiaohongshu.com/explore/6a3a16b70000000011005d83?xsec_token=TB6JLlH-I5wyeOIL4LxmWU3v2--o9hcIXGFVXw19McnOw=&amp;xsec_source=pc_trdark")</f>
        <v>0.0</v>
      </c>
      <c r="D673" t="inlineStr">
        <is>
          <t>鲜水湾甄选</t>
        </is>
      </c>
      <c r="E673" t="inlineStr">
        <is>
          <t>27401929161</t>
        </is>
      </c>
      <c r="F673" t="inlineStr">
        <is>
          <t>2026-06-23 13:16:39</t>
        </is>
      </c>
      <c r="G673" t="inlineStr">
        <is>
          <t>图文</t>
        </is>
      </c>
      <c r="H673" t="inlineStr">
        <is>
          <t>手剥虾仁 无冰衣无添加 低脂餐一人食 上班带饭 顺丰包邮 5盒装</t>
        </is>
      </c>
      <c r="I673" t="inlineStr">
        <is>
          <t>694baba01d450d00013662f0</t>
        </is>
      </c>
      <c r="J673" t="inlineStr">
        <is>
          <t/>
        </is>
      </c>
      <c r="K673" t="n">
        <v>0.0</v>
      </c>
      <c r="L673" t="n">
        <v>0.0</v>
      </c>
      <c r="M673" t="n">
        <v>0.0</v>
      </c>
      <c r="N673" t="n">
        <v>0.0</v>
      </c>
      <c r="O673" t="n">
        <v>0.0</v>
      </c>
      <c r="P673" t="n">
        <v>0.0</v>
      </c>
      <c r="Q673" t="inlineStr">
        <is>
          <t/>
        </is>
      </c>
      <c r="R673" t="inlineStr">
        <is>
          <t/>
        </is>
      </c>
      <c r="S673" t="n">
        <v>0.0</v>
      </c>
      <c r="T673" t="n">
        <v>0.0</v>
      </c>
      <c r="U673" t="n">
        <v>0.0</v>
      </c>
      <c r="V673" t="n">
        <v>0.0</v>
      </c>
      <c r="W673" t="inlineStr">
        <is>
          <t/>
        </is>
      </c>
      <c r="X673" t="n">
        <v>0.0</v>
      </c>
      <c r="Y673" t="n">
        <v>0.0</v>
      </c>
      <c r="Z673" t="n">
        <v>0.0</v>
      </c>
      <c r="AA673" t="n">
        <v>0.0</v>
      </c>
      <c r="AB673" t="n">
        <v>0.0</v>
      </c>
      <c r="AC673" t="n">
        <v>0.0</v>
      </c>
      <c r="AD673" t="n">
        <v>1.0</v>
      </c>
      <c r="AE673" t="n">
        <v>0.0</v>
      </c>
      <c r="AF673" t="n">
        <v>0.0</v>
      </c>
      <c r="AG673" t="n">
        <v>0.0</v>
      </c>
      <c r="AH673" t="n">
        <v>0.0</v>
      </c>
      <c r="AI673" t="n">
        <v>0.0</v>
      </c>
      <c r="AJ673" t="n">
        <v>0.0</v>
      </c>
      <c r="AK673" t="n">
        <v>7.0</v>
      </c>
      <c r="AL673" t="inlineStr">
        <is>
          <t/>
        </is>
      </c>
    </row>
    <row r="674">
      <c r="A674" t="inlineStr">
        <is>
          <t>第一次对爬坡后吃虾仁起了敬意……</t>
        </is>
      </c>
      <c r="B674" t="inlineStr">
        <is>
          <t>6a39290c000000001003f518</t>
        </is>
      </c>
      <c r="C674" s="673" t="n">
        <f>HYPERLINK("https://www.xiaohongshu.com/explore/6a39290c000000001003f518?xsec_token=TBkripse3NS7kS6gQvPzXTTUsd_WlkJbu1jukfDn9ondo=&amp;xsec_source=pc_trdark","https://www.xiaohongshu.com/explore/6a39290c000000001003f518?xsec_token=TBkripse3NS7kS6gQvPzXTTUsd_WlkJbu1jukfDn9ondo=&amp;xsec_source=pc_trdark")</f>
        <v>0.0</v>
      </c>
      <c r="D674" t="inlineStr">
        <is>
          <t>鲜水湾甄选</t>
        </is>
      </c>
      <c r="E674" t="inlineStr">
        <is>
          <t>27401929161</t>
        </is>
      </c>
      <c r="F674" t="inlineStr">
        <is>
          <t>2026-06-22 21:29:00</t>
        </is>
      </c>
      <c r="G674" t="inlineStr">
        <is>
          <t>图文</t>
        </is>
      </c>
      <c r="H674" t="inlineStr">
        <is>
          <t>手剥虾仁 无冰衣无添加 低脂餐一人食 上班带饭 顺丰包邮 5盒装</t>
        </is>
      </c>
      <c r="I674" t="inlineStr">
        <is>
          <t>694baba01d450d00013662f0</t>
        </is>
      </c>
      <c r="J674" t="inlineStr">
        <is>
          <t/>
        </is>
      </c>
      <c r="K674" t="n">
        <v>0.0</v>
      </c>
      <c r="L674" t="n">
        <v>0.0</v>
      </c>
      <c r="M674" t="n">
        <v>0.0</v>
      </c>
      <c r="N674" t="n">
        <v>0.0</v>
      </c>
      <c r="O674" t="n">
        <v>0.0</v>
      </c>
      <c r="P674" t="n">
        <v>0.0</v>
      </c>
      <c r="Q674" t="inlineStr">
        <is>
          <t/>
        </is>
      </c>
      <c r="R674" t="inlineStr">
        <is>
          <t/>
        </is>
      </c>
      <c r="S674" t="n">
        <v>0.0</v>
      </c>
      <c r="T674" t="n">
        <v>0.0</v>
      </c>
      <c r="U674" t="n">
        <v>0.0</v>
      </c>
      <c r="V674" t="n">
        <v>0.0</v>
      </c>
      <c r="W674" t="inlineStr">
        <is>
          <t/>
        </is>
      </c>
      <c r="X674" t="n">
        <v>0.0</v>
      </c>
      <c r="Y674" t="n">
        <v>0.0</v>
      </c>
      <c r="Z674" t="n">
        <v>0.0</v>
      </c>
      <c r="AA674" t="n">
        <v>0.0</v>
      </c>
      <c r="AB674" t="n">
        <v>0.0</v>
      </c>
      <c r="AC674" t="n">
        <v>0.0</v>
      </c>
      <c r="AD674" t="n">
        <v>1.0</v>
      </c>
      <c r="AE674" t="n">
        <v>0.0</v>
      </c>
      <c r="AF674" t="n">
        <v>0.0</v>
      </c>
      <c r="AG674" t="n">
        <v>0.0</v>
      </c>
      <c r="AH674" t="n">
        <v>0.0</v>
      </c>
      <c r="AI674" t="n">
        <v>0.0</v>
      </c>
      <c r="AJ674" t="n">
        <v>0.0</v>
      </c>
      <c r="AK674" t="n">
        <v>8.0</v>
      </c>
      <c r="AL674" t="inlineStr">
        <is>
          <t/>
        </is>
      </c>
    </row>
    <row r="675">
      <c r="A675" t="inlineStr">
        <is>
          <t>减脂餐加点虾仁...真的没那么难熬</t>
        </is>
      </c>
      <c r="B675" t="inlineStr">
        <is>
          <t>6a3900f70000000021009a9b</t>
        </is>
      </c>
      <c r="C675" s="674" t="n">
        <f>HYPERLINK("https://www.xiaohongshu.com/explore/6a3900f70000000021009a9b?xsec_token=TBkripse3NS7kS6gQvPzXTTbGrNZCxpczR40ZsJuWXc5M=&amp;xsec_source=pc_trdark","https://www.xiaohongshu.com/explore/6a3900f70000000021009a9b?xsec_token=TBkripse3NS7kS6gQvPzXTTbGrNZCxpczR40ZsJuWXc5M=&amp;xsec_source=pc_trdark")</f>
        <v>0.0</v>
      </c>
      <c r="D675" t="inlineStr">
        <is>
          <t>婉婉上班吃什么</t>
        </is>
      </c>
      <c r="E675" t="inlineStr">
        <is>
          <t>11434449706</t>
        </is>
      </c>
      <c r="F675" t="inlineStr">
        <is>
          <t>2026-06-22 17:31:35</t>
        </is>
      </c>
      <c r="G675" t="inlineStr">
        <is>
          <t>图文</t>
        </is>
      </c>
      <c r="H675" t="inlineStr">
        <is>
          <t>手剥虾仁 无冰衣无添加 低脂餐一人食 上班带饭 顺丰包邮 5盒装</t>
        </is>
      </c>
      <c r="I675" t="inlineStr">
        <is>
          <t>694baba01d450d00013662f0</t>
        </is>
      </c>
      <c r="J675" t="inlineStr">
        <is>
          <t/>
        </is>
      </c>
      <c r="K675" t="n">
        <v>0.0</v>
      </c>
      <c r="L675" t="n">
        <v>0.0</v>
      </c>
      <c r="M675" t="n">
        <v>0.0</v>
      </c>
      <c r="N675" t="n">
        <v>0.0</v>
      </c>
      <c r="O675" t="n">
        <v>0.0</v>
      </c>
      <c r="P675" t="n">
        <v>0.0</v>
      </c>
      <c r="Q675" t="inlineStr">
        <is>
          <t/>
        </is>
      </c>
      <c r="R675" t="inlineStr">
        <is>
          <t/>
        </is>
      </c>
      <c r="S675" t="n">
        <v>0.0</v>
      </c>
      <c r="T675" t="n">
        <v>0.0</v>
      </c>
      <c r="U675" t="n">
        <v>0.0</v>
      </c>
      <c r="V675" t="n">
        <v>0.0</v>
      </c>
      <c r="W675" t="inlineStr">
        <is>
          <t/>
        </is>
      </c>
      <c r="X675" t="n">
        <v>0.0</v>
      </c>
      <c r="Y675" t="n">
        <v>0.0</v>
      </c>
      <c r="Z675" t="n">
        <v>0.0</v>
      </c>
      <c r="AA675" t="n">
        <v>0.0</v>
      </c>
      <c r="AB675" t="n">
        <v>0.0</v>
      </c>
      <c r="AC675" t="n">
        <v>0.0</v>
      </c>
      <c r="AD675" t="n">
        <v>1.0</v>
      </c>
      <c r="AE675" t="n">
        <v>0.0</v>
      </c>
      <c r="AF675" t="n">
        <v>0.0</v>
      </c>
      <c r="AG675" t="n">
        <v>0.0</v>
      </c>
      <c r="AH675" t="n">
        <v>0.0</v>
      </c>
      <c r="AI675" t="n">
        <v>0.0</v>
      </c>
      <c r="AJ675" t="n">
        <v>0.0</v>
      </c>
      <c r="AK675" t="n">
        <v>26.0</v>
      </c>
      <c r="AL675" t="inlineStr">
        <is>
          <t/>
        </is>
      </c>
    </row>
    <row r="676">
      <c r="A676" t="inlineStr">
        <is>
          <t>今年坠成功的消费降级，69吃一周！</t>
        </is>
      </c>
      <c r="B676" t="inlineStr">
        <is>
          <t>6a377e16000000001003f5e7</t>
        </is>
      </c>
      <c r="C676" s="675" t="n">
        <f>HYPERLINK("https://www.xiaohongshu.com/explore/6a377e16000000001003f5e7?xsec_token=TBlJFBwGekCcU74xocKG_L-CDib_wrFa9SlkICEz9kdkU=&amp;xsec_source=pc_trdark","https://www.xiaohongshu.com/explore/6a377e16000000001003f5e7?xsec_token=TBlJFBwGekCcU74xocKG_L-CDib_wrFa9SlkICEz9kdkU=&amp;xsec_source=pc_trdark")</f>
        <v>0.0</v>
      </c>
      <c r="D676" t="inlineStr">
        <is>
          <t>鲜水湾甄选</t>
        </is>
      </c>
      <c r="E676" t="inlineStr">
        <is>
          <t>27401929161</t>
        </is>
      </c>
      <c r="F676" t="inlineStr">
        <is>
          <t>2026-06-21 14:00:54</t>
        </is>
      </c>
      <c r="G676" t="inlineStr">
        <is>
          <t>图文</t>
        </is>
      </c>
      <c r="H676" t="inlineStr">
        <is>
          <t>手剥虾仁 无冰衣无添加 低脂餐一人食 上班带饭 顺丰包邮 5盒装</t>
        </is>
      </c>
      <c r="I676" t="inlineStr">
        <is>
          <t>694baba01d450d00013662f0</t>
        </is>
      </c>
      <c r="J676" t="inlineStr">
        <is>
          <t/>
        </is>
      </c>
      <c r="K676" t="n">
        <v>0.0</v>
      </c>
      <c r="L676" t="n">
        <v>0.0</v>
      </c>
      <c r="M676" t="n">
        <v>0.0</v>
      </c>
      <c r="N676" t="n">
        <v>0.0</v>
      </c>
      <c r="O676" t="n">
        <v>0.0</v>
      </c>
      <c r="P676" t="n">
        <v>0.0</v>
      </c>
      <c r="Q676" t="inlineStr">
        <is>
          <t/>
        </is>
      </c>
      <c r="R676" t="inlineStr">
        <is>
          <t/>
        </is>
      </c>
      <c r="S676" t="n">
        <v>0.0</v>
      </c>
      <c r="T676" t="n">
        <v>0.0</v>
      </c>
      <c r="U676" t="n">
        <v>0.0</v>
      </c>
      <c r="V676" t="n">
        <v>0.0</v>
      </c>
      <c r="W676" t="inlineStr">
        <is>
          <t/>
        </is>
      </c>
      <c r="X676" t="n">
        <v>0.0</v>
      </c>
      <c r="Y676" t="n">
        <v>0.0</v>
      </c>
      <c r="Z676" t="n">
        <v>0.0</v>
      </c>
      <c r="AA676" t="n">
        <v>0.0</v>
      </c>
      <c r="AB676" t="n">
        <v>0.0</v>
      </c>
      <c r="AC676" t="n">
        <v>0.0</v>
      </c>
      <c r="AD676" t="n">
        <v>1.0</v>
      </c>
      <c r="AE676" t="n">
        <v>0.0</v>
      </c>
      <c r="AF676" t="n">
        <v>0.0</v>
      </c>
      <c r="AG676" t="n">
        <v>0.0</v>
      </c>
      <c r="AH676" t="n">
        <v>0.0</v>
      </c>
      <c r="AI676" t="n">
        <v>0.0</v>
      </c>
      <c r="AJ676" t="n">
        <v>0.0</v>
      </c>
      <c r="AK676" t="n">
        <v>24.0</v>
      </c>
      <c r="AL676" t="inlineStr">
        <is>
          <t/>
        </is>
      </c>
    </row>
    <row r="677">
      <c r="A677" t="inlineStr">
        <is>
          <t>69 元的购买力，控体期解决一周工作餐</t>
        </is>
      </c>
      <c r="B677" t="inlineStr">
        <is>
          <t>6a366845000000001003c573</t>
        </is>
      </c>
      <c r="C677" s="676" t="n">
        <f>HYPERLINK("https://www.xiaohongshu.com/explore/6a366845000000001003c573?xsec_token=TBE86BM1eseE26ZPjz1xH88S2HZNK_kSpZ0b3Fm1iyPo8=&amp;xsec_source=pc_trdark","https://www.xiaohongshu.com/explore/6a366845000000001003c573?xsec_token=TBE86BM1eseE26ZPjz1xH88S2HZNK_kSpZ0b3Fm1iyPo8=&amp;xsec_source=pc_trdark")</f>
        <v>0.0</v>
      </c>
      <c r="D677" t="inlineStr">
        <is>
          <t>鲜水湾甄选</t>
        </is>
      </c>
      <c r="E677" t="inlineStr">
        <is>
          <t>27401929161</t>
        </is>
      </c>
      <c r="F677" t="inlineStr">
        <is>
          <t>2026-06-20 21:15:00</t>
        </is>
      </c>
      <c r="G677" t="inlineStr">
        <is>
          <t>图文</t>
        </is>
      </c>
      <c r="H677" t="inlineStr">
        <is>
          <t>手剥虾仁 无冰衣无添加 低脂餐一人食 上班带饭 顺丰包邮 5盒装</t>
        </is>
      </c>
      <c r="I677" t="inlineStr">
        <is>
          <t>694baba01d450d00013662f0</t>
        </is>
      </c>
      <c r="J677" t="inlineStr">
        <is>
          <t/>
        </is>
      </c>
      <c r="K677" t="n">
        <v>0.0</v>
      </c>
      <c r="L677" t="n">
        <v>0.0</v>
      </c>
      <c r="M677" t="n">
        <v>0.0</v>
      </c>
      <c r="N677" t="n">
        <v>0.0</v>
      </c>
      <c r="O677" t="n">
        <v>0.0</v>
      </c>
      <c r="P677" t="n">
        <v>0.0</v>
      </c>
      <c r="Q677" t="inlineStr">
        <is>
          <t/>
        </is>
      </c>
      <c r="R677" t="inlineStr">
        <is>
          <t/>
        </is>
      </c>
      <c r="S677" t="n">
        <v>0.0</v>
      </c>
      <c r="T677" t="n">
        <v>0.0</v>
      </c>
      <c r="U677" t="n">
        <v>0.0</v>
      </c>
      <c r="V677" t="n">
        <v>0.0</v>
      </c>
      <c r="W677" t="inlineStr">
        <is>
          <t/>
        </is>
      </c>
      <c r="X677" t="n">
        <v>0.0</v>
      </c>
      <c r="Y677" t="n">
        <v>0.0</v>
      </c>
      <c r="Z677" t="n">
        <v>0.0</v>
      </c>
      <c r="AA677" t="n">
        <v>0.0</v>
      </c>
      <c r="AB677" t="n">
        <v>0.0</v>
      </c>
      <c r="AC677" t="n">
        <v>0.0</v>
      </c>
      <c r="AD677" t="n">
        <v>1.0</v>
      </c>
      <c r="AE677" t="n">
        <v>0.0</v>
      </c>
      <c r="AF677" t="n">
        <v>0.0</v>
      </c>
      <c r="AG677" t="n">
        <v>0.0</v>
      </c>
      <c r="AH677" t="n">
        <v>0.0</v>
      </c>
      <c r="AI677" t="n">
        <v>0.0</v>
      </c>
      <c r="AJ677" t="n">
        <v>0.0</v>
      </c>
      <c r="AK677" t="n">
        <v>2.0</v>
      </c>
      <c r="AL677" t="inlineStr">
        <is>
          <t/>
        </is>
      </c>
    </row>
    <row r="678">
      <c r="A678" t="inlineStr">
        <is>
          <t>感谢老板，一人食独立小包装太方便啦❗️</t>
        </is>
      </c>
      <c r="B678" t="inlineStr">
        <is>
          <t>6a36573c000000000f030f1e</t>
        </is>
      </c>
      <c r="C678" s="677" t="n">
        <f>HYPERLINK("https://www.xiaohongshu.com/explore/6a36573c000000000f030f1e?xsec_token=TBE86BM1eseE26ZPjz1xH88dckulQM7PYefhpQa7fvOaY=&amp;xsec_source=pc_trdark","https://www.xiaohongshu.com/explore/6a36573c000000000f030f1e?xsec_token=TBE86BM1eseE26ZPjz1xH88dckulQM7PYefhpQa7fvOaY=&amp;xsec_source=pc_trdark")</f>
        <v>0.0</v>
      </c>
      <c r="D678" t="inlineStr">
        <is>
          <t>鲜水湾甄选</t>
        </is>
      </c>
      <c r="E678" t="inlineStr">
        <is>
          <t>27401929161</t>
        </is>
      </c>
      <c r="F678" t="inlineStr">
        <is>
          <t>2026-06-20 17:02:52</t>
        </is>
      </c>
      <c r="G678" t="inlineStr">
        <is>
          <t>图文</t>
        </is>
      </c>
      <c r="H678" t="inlineStr">
        <is>
          <t>手剥虾仁 无冰衣无添加 低脂餐一人食 上班带饭 顺丰包邮 5盒装</t>
        </is>
      </c>
      <c r="I678" t="inlineStr">
        <is>
          <t>694baba01d450d00013662f0</t>
        </is>
      </c>
      <c r="J678" t="inlineStr">
        <is>
          <t/>
        </is>
      </c>
      <c r="K678" t="n">
        <v>0.0</v>
      </c>
      <c r="L678" t="n">
        <v>0.0</v>
      </c>
      <c r="M678" t="n">
        <v>0.0</v>
      </c>
      <c r="N678" t="n">
        <v>0.0</v>
      </c>
      <c r="O678" t="n">
        <v>0.0</v>
      </c>
      <c r="P678" t="n">
        <v>0.0</v>
      </c>
      <c r="Q678" t="inlineStr">
        <is>
          <t/>
        </is>
      </c>
      <c r="R678" t="inlineStr">
        <is>
          <t/>
        </is>
      </c>
      <c r="S678" t="n">
        <v>0.0</v>
      </c>
      <c r="T678" t="n">
        <v>0.0</v>
      </c>
      <c r="U678" t="n">
        <v>0.0</v>
      </c>
      <c r="V678" t="n">
        <v>0.0</v>
      </c>
      <c r="W678" t="inlineStr">
        <is>
          <t/>
        </is>
      </c>
      <c r="X678" t="n">
        <v>0.0</v>
      </c>
      <c r="Y678" t="n">
        <v>0.0</v>
      </c>
      <c r="Z678" t="n">
        <v>0.0</v>
      </c>
      <c r="AA678" t="n">
        <v>0.0</v>
      </c>
      <c r="AB678" t="n">
        <v>0.0</v>
      </c>
      <c r="AC678" t="n">
        <v>0.0</v>
      </c>
      <c r="AD678" t="n">
        <v>1.0</v>
      </c>
      <c r="AE678" t="n">
        <v>0.0</v>
      </c>
      <c r="AF678" t="n">
        <v>0.0</v>
      </c>
      <c r="AG678" t="n">
        <v>0.0</v>
      </c>
      <c r="AH678" t="n">
        <v>0.0</v>
      </c>
      <c r="AI678" t="n">
        <v>0.0</v>
      </c>
      <c r="AJ678" t="n">
        <v>0.0</v>
      </c>
      <c r="AK678" t="n">
        <v>9.0</v>
      </c>
      <c r="AL678" t="inlineStr">
        <is>
          <t/>
        </is>
      </c>
    </row>
    <row r="679">
      <c r="A679" t="inlineStr">
        <is>
          <t>普通人减脂真不贵，69够吃一周了</t>
        </is>
      </c>
      <c r="B679" t="inlineStr">
        <is>
          <t>6a351d1a00000000060326d1</t>
        </is>
      </c>
      <c r="C679" s="678" t="n">
        <f>HYPERLINK("https://www.xiaohongshu.com/explore/6a351d1a00000000060326d1?xsec_token=TB1bf8Ny1FwqE1zeGfH_TuGAU1eTNGMrfm2jNZe29z4ao=&amp;xsec_source=pc_trdark","https://www.xiaohongshu.com/explore/6a351d1a00000000060326d1?xsec_token=TB1bf8Ny1FwqE1zeGfH_TuGAU1eTNGMrfm2jNZe29z4ao=&amp;xsec_source=pc_trdark")</f>
        <v>0.0</v>
      </c>
      <c r="D679" t="inlineStr">
        <is>
          <t>菲菲上班吃什么</t>
        </is>
      </c>
      <c r="E679" t="inlineStr">
        <is>
          <t>49936530607</t>
        </is>
      </c>
      <c r="F679" t="inlineStr">
        <is>
          <t>2026-06-19 20:23:00</t>
        </is>
      </c>
      <c r="G679" t="inlineStr">
        <is>
          <t>图文</t>
        </is>
      </c>
      <c r="H679" t="inlineStr">
        <is>
          <t>手剥虾仁 无冰衣无添加 低脂餐一人食 上班带饭 顺丰包邮 5盒装</t>
        </is>
      </c>
      <c r="I679" t="inlineStr">
        <is>
          <t>694baba01d450d00013662f0</t>
        </is>
      </c>
      <c r="J679" t="inlineStr">
        <is>
          <t/>
        </is>
      </c>
      <c r="K679" t="n">
        <v>0.0</v>
      </c>
      <c r="L679" t="n">
        <v>0.0</v>
      </c>
      <c r="M679" t="n">
        <v>0.0</v>
      </c>
      <c r="N679" t="n">
        <v>0.0</v>
      </c>
      <c r="O679" t="n">
        <v>0.0</v>
      </c>
      <c r="P679" t="n">
        <v>0.0</v>
      </c>
      <c r="Q679" t="inlineStr">
        <is>
          <t/>
        </is>
      </c>
      <c r="R679" t="inlineStr">
        <is>
          <t/>
        </is>
      </c>
      <c r="S679" t="n">
        <v>0.0</v>
      </c>
      <c r="T679" t="n">
        <v>0.0</v>
      </c>
      <c r="U679" t="n">
        <v>0.0</v>
      </c>
      <c r="V679" t="n">
        <v>0.0</v>
      </c>
      <c r="W679" t="inlineStr">
        <is>
          <t/>
        </is>
      </c>
      <c r="X679" t="n">
        <v>0.0</v>
      </c>
      <c r="Y679" t="n">
        <v>0.0</v>
      </c>
      <c r="Z679" t="n">
        <v>0.0</v>
      </c>
      <c r="AA679" t="n">
        <v>0.0</v>
      </c>
      <c r="AB679" t="n">
        <v>0.0</v>
      </c>
      <c r="AC679" t="n">
        <v>0.0</v>
      </c>
      <c r="AD679" t="n">
        <v>1.0</v>
      </c>
      <c r="AE679" t="n">
        <v>0.0</v>
      </c>
      <c r="AF679" t="n">
        <v>0.0</v>
      </c>
      <c r="AG679" t="n">
        <v>0.0</v>
      </c>
      <c r="AH679" t="n">
        <v>0.0</v>
      </c>
      <c r="AI679" t="n">
        <v>0.0</v>
      </c>
      <c r="AJ679" t="n">
        <v>0.0</v>
      </c>
      <c r="AK679" t="n">
        <v>24.0</v>
      </c>
      <c r="AL679" t="inlineStr">
        <is>
          <t/>
        </is>
      </c>
    </row>
    <row r="680">
      <c r="A680" t="inlineStr">
        <is>
          <t>感谢315，让我家无添加虾仁又爆单了！！！</t>
        </is>
      </c>
      <c r="B680" t="inlineStr">
        <is>
          <t>6a351ce0000000001003e78b</t>
        </is>
      </c>
      <c r="C680" s="679" t="n">
        <f>HYPERLINK("https://www.xiaohongshu.com/explore/6a351ce0000000001003e78b?xsec_token=TB1bf8Ny1FwqE1zeGfH_TuGDddzr5V-vSO5B3lxJxbKrU=&amp;xsec_source=pc_trdark","https://www.xiaohongshu.com/explore/6a351ce0000000001003e78b?xsec_token=TB1bf8Ny1FwqE1zeGfH_TuGDddzr5V-vSO5B3lxJxbKrU=&amp;xsec_source=pc_trdark")</f>
        <v>0.0</v>
      </c>
      <c r="D680" t="inlineStr">
        <is>
          <t>鲜水湾甄选</t>
        </is>
      </c>
      <c r="E680" t="inlineStr">
        <is>
          <t>27401929161</t>
        </is>
      </c>
      <c r="F680" t="inlineStr">
        <is>
          <t>2026-06-19 18:41:36</t>
        </is>
      </c>
      <c r="G680" t="inlineStr">
        <is>
          <t>图文</t>
        </is>
      </c>
      <c r="H680" t="inlineStr">
        <is>
          <t>手剥虾仁 无冰衣无添加 低脂餐一人食 上班带饭 顺丰包邮 5盒装</t>
        </is>
      </c>
      <c r="I680" t="inlineStr">
        <is>
          <t>694baba01d450d00013662f0</t>
        </is>
      </c>
      <c r="J680" t="inlineStr">
        <is>
          <t/>
        </is>
      </c>
      <c r="K680" t="n">
        <v>0.0</v>
      </c>
      <c r="L680" t="n">
        <v>0.0</v>
      </c>
      <c r="M680" t="n">
        <v>1.0</v>
      </c>
      <c r="N680" t="n">
        <v>1.0</v>
      </c>
      <c r="O680" t="n">
        <v>1.0</v>
      </c>
      <c r="P680" t="n">
        <v>0.0</v>
      </c>
      <c r="Q680" t="n">
        <v>0.0</v>
      </c>
      <c r="R680" t="n">
        <v>0.0</v>
      </c>
      <c r="S680" t="n">
        <v>0.0</v>
      </c>
      <c r="T680" t="n">
        <v>0.0</v>
      </c>
      <c r="U680" t="n">
        <v>0.0</v>
      </c>
      <c r="V680" t="n">
        <v>0.0</v>
      </c>
      <c r="W680" t="inlineStr">
        <is>
          <t/>
        </is>
      </c>
      <c r="X680" t="n">
        <v>0.0</v>
      </c>
      <c r="Y680" t="n">
        <v>0.0</v>
      </c>
      <c r="Z680" t="n">
        <v>0.0</v>
      </c>
      <c r="AA680" t="n">
        <v>0.0</v>
      </c>
      <c r="AB680" t="n">
        <v>0.0</v>
      </c>
      <c r="AC680" t="n">
        <v>0.0</v>
      </c>
      <c r="AD680" t="n">
        <v>1.0</v>
      </c>
      <c r="AE680" t="n">
        <v>0.0</v>
      </c>
      <c r="AF680" t="n">
        <v>0.0</v>
      </c>
      <c r="AG680" t="n">
        <v>0.0</v>
      </c>
      <c r="AH680" t="n">
        <v>0.0</v>
      </c>
      <c r="AI680" t="n">
        <v>0.0</v>
      </c>
      <c r="AJ680" t="n">
        <v>0.0</v>
      </c>
      <c r="AK680" t="n">
        <v>6.0</v>
      </c>
      <c r="AL680" t="inlineStr">
        <is>
          <t/>
        </is>
      </c>
    </row>
    <row r="681">
      <c r="A681" t="inlineStr">
        <is>
          <t>爸妈觉得我每天吃一包虾仁很奢侈……</t>
        </is>
      </c>
      <c r="B681" t="inlineStr">
        <is>
          <t>6a33dd9e0000000011018b55</t>
        </is>
      </c>
      <c r="C681" s="680" t="n">
        <f>HYPERLINK("https://www.xiaohongshu.com/explore/6a33dd9e0000000011018b55?xsec_token=TBLOmNlJwiJ1B1XpWxIXpNmfLvH0Poi0iaKhmdM1VI9T8=&amp;xsec_source=pc_trdark","https://www.xiaohongshu.com/explore/6a33dd9e0000000011018b55?xsec_token=TBLOmNlJwiJ1B1XpWxIXpNmfLvH0Poi0iaKhmdM1VI9T8=&amp;xsec_source=pc_trdark")</f>
        <v>0.0</v>
      </c>
      <c r="D681" t="inlineStr">
        <is>
          <t>鲜水湾甄选</t>
        </is>
      </c>
      <c r="E681" t="inlineStr">
        <is>
          <t>27401929161</t>
        </is>
      </c>
      <c r="F681" t="inlineStr">
        <is>
          <t>2026-06-18 19:59:26</t>
        </is>
      </c>
      <c r="G681" t="inlineStr">
        <is>
          <t>图文</t>
        </is>
      </c>
      <c r="H681" t="inlineStr">
        <is>
          <t>手剥虾仁 无冰衣无添加 低脂餐一人食 上班带饭 顺丰包邮 5盒装</t>
        </is>
      </c>
      <c r="I681" t="inlineStr">
        <is>
          <t>694baba01d450d00013662f0</t>
        </is>
      </c>
      <c r="J681" t="inlineStr">
        <is>
          <t/>
        </is>
      </c>
      <c r="K681" t="n">
        <v>0.0</v>
      </c>
      <c r="L681" t="n">
        <v>0.0</v>
      </c>
      <c r="M681" t="n">
        <v>1.0</v>
      </c>
      <c r="N681" t="n">
        <v>1.0</v>
      </c>
      <c r="O681" t="n">
        <v>1.0</v>
      </c>
      <c r="P681" t="n">
        <v>0.0</v>
      </c>
      <c r="Q681" t="n">
        <v>0.0</v>
      </c>
      <c r="R681" t="n">
        <v>0.0</v>
      </c>
      <c r="S681" t="n">
        <v>0.0</v>
      </c>
      <c r="T681" t="n">
        <v>0.0</v>
      </c>
      <c r="U681" t="n">
        <v>0.0</v>
      </c>
      <c r="V681" t="n">
        <v>0.0</v>
      </c>
      <c r="W681" t="inlineStr">
        <is>
          <t/>
        </is>
      </c>
      <c r="X681" t="n">
        <v>0.0</v>
      </c>
      <c r="Y681" t="n">
        <v>0.0</v>
      </c>
      <c r="Z681" t="n">
        <v>0.0</v>
      </c>
      <c r="AA681" t="n">
        <v>0.0</v>
      </c>
      <c r="AB681" t="n">
        <v>0.0</v>
      </c>
      <c r="AC681" t="n">
        <v>0.0</v>
      </c>
      <c r="AD681" t="n">
        <v>1.0</v>
      </c>
      <c r="AE681" t="n">
        <v>0.0</v>
      </c>
      <c r="AF681" t="n">
        <v>0.0</v>
      </c>
      <c r="AG681" t="n">
        <v>0.0</v>
      </c>
      <c r="AH681" t="n">
        <v>0.0</v>
      </c>
      <c r="AI681" t="n">
        <v>0.0</v>
      </c>
      <c r="AJ681" t="n">
        <v>0.0</v>
      </c>
      <c r="AK681" t="n">
        <v>31.0</v>
      </c>
      <c r="AL681" t="inlineStr">
        <is>
          <t/>
        </is>
      </c>
    </row>
    <row r="682">
      <c r="A682" t="inlineStr">
        <is>
          <t>轻食吃不起了。。。还是自己煮虾仁香</t>
        </is>
      </c>
      <c r="B682" t="inlineStr">
        <is>
          <t>6a33901d0000000021019fbc</t>
        </is>
      </c>
      <c r="C682" s="681" t="n">
        <f>HYPERLINK("https://www.xiaohongshu.com/explore/6a33901d0000000021019fbc?xsec_token=TBLOmNlJwiJ1B1XpWxIXpNmQyG7BCLmas2SzBPs5C75Fc=&amp;xsec_source=pc_trdark","https://www.xiaohongshu.com/explore/6a33901d0000000021019fbc?xsec_token=TBLOmNlJwiJ1B1XpWxIXpNmQyG7BCLmas2SzBPs5C75Fc=&amp;xsec_source=pc_trdark")</f>
        <v>0.0</v>
      </c>
      <c r="D682" t="inlineStr">
        <is>
          <t>婉婉上班吃什么</t>
        </is>
      </c>
      <c r="E682" t="inlineStr">
        <is>
          <t>11434449706</t>
        </is>
      </c>
      <c r="F682" t="inlineStr">
        <is>
          <t>2026-06-18 14:28:46</t>
        </is>
      </c>
      <c r="G682" t="inlineStr">
        <is>
          <t>图文</t>
        </is>
      </c>
      <c r="H682" t="inlineStr">
        <is>
          <t>手剥虾仁 无冰衣无添加 低脂餐一人食 上班带饭 顺丰包邮 5盒装</t>
        </is>
      </c>
      <c r="I682" t="inlineStr">
        <is>
          <t>694baba01d450d00013662f0</t>
        </is>
      </c>
      <c r="J682" t="inlineStr">
        <is>
          <t/>
        </is>
      </c>
      <c r="K682" t="n">
        <v>0.0</v>
      </c>
      <c r="L682" t="n">
        <v>0.0</v>
      </c>
      <c r="M682" t="n">
        <v>0.0</v>
      </c>
      <c r="N682" t="n">
        <v>0.0</v>
      </c>
      <c r="O682" t="n">
        <v>0.0</v>
      </c>
      <c r="P682" t="n">
        <v>0.0</v>
      </c>
      <c r="Q682" t="inlineStr">
        <is>
          <t/>
        </is>
      </c>
      <c r="R682" t="inlineStr">
        <is>
          <t/>
        </is>
      </c>
      <c r="S682" t="n">
        <v>0.0</v>
      </c>
      <c r="T682" t="n">
        <v>0.0</v>
      </c>
      <c r="U682" t="n">
        <v>0.0</v>
      </c>
      <c r="V682" t="n">
        <v>0.0</v>
      </c>
      <c r="W682" t="inlineStr">
        <is>
          <t/>
        </is>
      </c>
      <c r="X682" t="n">
        <v>0.0</v>
      </c>
      <c r="Y682" t="n">
        <v>0.0</v>
      </c>
      <c r="Z682" t="n">
        <v>0.0</v>
      </c>
      <c r="AA682" t="n">
        <v>0.0</v>
      </c>
      <c r="AB682" t="n">
        <v>0.0</v>
      </c>
      <c r="AC682" t="n">
        <v>0.0</v>
      </c>
      <c r="AD682" t="n">
        <v>1.0</v>
      </c>
      <c r="AE682" t="n">
        <v>0.0</v>
      </c>
      <c r="AF682" t="n">
        <v>0.0</v>
      </c>
      <c r="AG682" t="n">
        <v>0.0</v>
      </c>
      <c r="AH682" t="n">
        <v>0.0</v>
      </c>
      <c r="AI682" t="n">
        <v>0.0</v>
      </c>
      <c r="AJ682" t="n">
        <v>0.0</v>
      </c>
      <c r="AK682" t="n">
        <v>5.0</v>
      </c>
      <c r="AL682" t="inlineStr">
        <is>
          <t/>
        </is>
      </c>
    </row>
    <row r="683">
      <c r="A683" t="inlineStr">
        <is>
          <t>带娃后才懂，冰箱囤鱼有多省心</t>
        </is>
      </c>
      <c r="B683" t="inlineStr">
        <is>
          <t>6a32c4d200000000060369e1</t>
        </is>
      </c>
      <c r="C683" s="682" t="n">
        <f>HYPERLINK("https://www.xiaohongshu.com/explore/6a32c4d200000000060369e1?xsec_token=TBgwqICxjpF4PaPju8orzP47S64NT74L_T26WW51j5BXc=&amp;xsec_source=pc_trdark","https://www.xiaohongshu.com/explore/6a32c4d200000000060369e1?xsec_token=TBgwqICxjpF4PaPju8orzP47S64NT74L_T26WW51j5BXc=&amp;xsec_source=pc_trdark")</f>
        <v>0.0</v>
      </c>
      <c r="D683" t="inlineStr">
        <is>
          <t>鲜水湾</t>
        </is>
      </c>
      <c r="E683" t="inlineStr">
        <is>
          <t>49316638994</t>
        </is>
      </c>
      <c r="F683" t="inlineStr">
        <is>
          <t>2026-06-18 00:01:22</t>
        </is>
      </c>
      <c r="G683" t="inlineStr">
        <is>
          <t>图文</t>
        </is>
      </c>
      <c r="H683" t="inlineStr">
        <is>
          <t>智利尾端中段整条三文鱼 8斤深海鱼低脂餐囤货一周备菜顺丰包邮</t>
        </is>
      </c>
      <c r="I683" t="inlineStr">
        <is>
          <t>69fab80d64eb410001ece0c0</t>
        </is>
      </c>
      <c r="J683" t="inlineStr">
        <is>
          <t/>
        </is>
      </c>
      <c r="K683" t="n">
        <v>0.0</v>
      </c>
      <c r="L683" t="n">
        <v>0.0</v>
      </c>
      <c r="M683" t="n">
        <v>0.0</v>
      </c>
      <c r="N683" t="n">
        <v>0.0</v>
      </c>
      <c r="O683" t="n">
        <v>0.0</v>
      </c>
      <c r="P683" t="n">
        <v>0.0</v>
      </c>
      <c r="Q683" t="inlineStr">
        <is>
          <t/>
        </is>
      </c>
      <c r="R683" t="inlineStr">
        <is>
          <t/>
        </is>
      </c>
      <c r="S683" t="n">
        <v>0.0</v>
      </c>
      <c r="T683" t="n">
        <v>0.0</v>
      </c>
      <c r="U683" t="n">
        <v>0.0</v>
      </c>
      <c r="V683" t="n">
        <v>0.0</v>
      </c>
      <c r="W683" t="inlineStr">
        <is>
          <t/>
        </is>
      </c>
      <c r="X683" t="n">
        <v>0.0</v>
      </c>
      <c r="Y683" t="n">
        <v>0.0</v>
      </c>
      <c r="Z683" t="n">
        <v>0.0</v>
      </c>
      <c r="AA683" t="n">
        <v>0.0</v>
      </c>
      <c r="AB683" t="n">
        <v>0.0</v>
      </c>
      <c r="AC683" t="n">
        <v>0.0</v>
      </c>
      <c r="AD683" t="n">
        <v>1.0</v>
      </c>
      <c r="AE683" t="n">
        <v>0.0</v>
      </c>
      <c r="AF683" t="n">
        <v>0.0</v>
      </c>
      <c r="AG683" t="n">
        <v>0.0</v>
      </c>
      <c r="AH683" t="n">
        <v>0.0</v>
      </c>
      <c r="AI683" t="n">
        <v>0.0</v>
      </c>
      <c r="AJ683" t="n">
        <v>0.0</v>
      </c>
      <c r="AK683" t="n">
        <v>6.0</v>
      </c>
      <c r="AL683" t="inlineStr">
        <is>
          <t/>
        </is>
      </c>
    </row>
    <row r="684">
      <c r="A684" t="inlineStr">
        <is>
          <t>别再花30多点轻食了自己煮虾仁更香</t>
        </is>
      </c>
      <c r="B684" t="inlineStr">
        <is>
          <t>6a32ad0100000000070121d8</t>
        </is>
      </c>
      <c r="C684" s="683" t="n">
        <f>HYPERLINK("https://www.xiaohongshu.com/explore/6a32ad0100000000070121d8?xsec_token=TBgwqICxjpF4PaPju8orzP449eW3hbT37iDhlJo7yTGtM=&amp;xsec_source=pc_trdark","https://www.xiaohongshu.com/explore/6a32ad0100000000070121d8?xsec_token=TBgwqICxjpF4PaPju8orzP449eW3hbT37iDhlJo7yTGtM=&amp;xsec_source=pc_trdark")</f>
        <v>0.0</v>
      </c>
      <c r="D684" t="inlineStr">
        <is>
          <t>婉婉上班吃什么</t>
        </is>
      </c>
      <c r="E684" t="inlineStr">
        <is>
          <t>11434449706</t>
        </is>
      </c>
      <c r="F684" t="inlineStr">
        <is>
          <t>2026-06-17 22:19:45</t>
        </is>
      </c>
      <c r="G684" t="inlineStr">
        <is>
          <t>图文</t>
        </is>
      </c>
      <c r="H684" t="inlineStr">
        <is>
          <t>手剥虾仁 无冰衣无添加 低脂餐一人食 上班带饭 顺丰包邮 5盒装</t>
        </is>
      </c>
      <c r="I684" t="inlineStr">
        <is>
          <t>694baba01d450d00013662f0</t>
        </is>
      </c>
      <c r="J684" t="inlineStr">
        <is>
          <t/>
        </is>
      </c>
      <c r="K684" t="n">
        <v>68.0</v>
      </c>
      <c r="L684" t="n">
        <v>1.0</v>
      </c>
      <c r="M684" t="n">
        <v>1.0</v>
      </c>
      <c r="N684" t="n">
        <v>1.0</v>
      </c>
      <c r="O684" t="n">
        <v>1.0</v>
      </c>
      <c r="P684" t="n">
        <v>1.0</v>
      </c>
      <c r="Q684" t="n">
        <v>1.0</v>
      </c>
      <c r="R684" t="n">
        <v>1.0</v>
      </c>
      <c r="S684" t="n">
        <v>0.0</v>
      </c>
      <c r="T684" t="n">
        <v>0.0</v>
      </c>
      <c r="U684" t="n">
        <v>0.0</v>
      </c>
      <c r="V684" t="n">
        <v>0.0</v>
      </c>
      <c r="W684" t="n">
        <v>0.0</v>
      </c>
      <c r="X684" t="n">
        <v>0.0</v>
      </c>
      <c r="Y684" t="n">
        <v>1.0</v>
      </c>
      <c r="Z684" t="n">
        <v>0.0</v>
      </c>
      <c r="AA684" t="n">
        <v>0.0</v>
      </c>
      <c r="AB684" t="n">
        <v>0.0</v>
      </c>
      <c r="AC684" t="n">
        <v>0.0</v>
      </c>
      <c r="AD684" t="n">
        <v>1.0</v>
      </c>
      <c r="AE684" t="n">
        <v>0.0</v>
      </c>
      <c r="AF684" t="n">
        <v>0.0</v>
      </c>
      <c r="AG684" t="n">
        <v>0.0</v>
      </c>
      <c r="AH684" t="n">
        <v>0.0</v>
      </c>
      <c r="AI684" t="n">
        <v>0.0</v>
      </c>
      <c r="AJ684" t="n">
        <v>0.0</v>
      </c>
      <c r="AK684" t="n">
        <v>80.0</v>
      </c>
      <c r="AL684" t="inlineStr">
        <is>
          <t/>
        </is>
      </c>
    </row>
    <row r="685">
      <c r="A685" t="inlineStr">
        <is>
          <t>区区69元，承包了我一周减脂的快乐！！！</t>
        </is>
      </c>
      <c r="B685" t="inlineStr">
        <is>
          <t>6a3282760000000008032509</t>
        </is>
      </c>
      <c r="C685" s="684" t="n">
        <f>HYPERLINK("https://www.xiaohongshu.com/explore/6a3282760000000008032509?xsec_token=TBgwqICxjpF4PaPju8orzP47gkoDq0R7J6VAEekVWbXvc=&amp;xsec_source=pc_trdark","https://www.xiaohongshu.com/explore/6a3282760000000008032509?xsec_token=TBgwqICxjpF4PaPju8orzP47gkoDq0R7J6VAEekVWbXvc=&amp;xsec_source=pc_trdark")</f>
        <v>0.0</v>
      </c>
      <c r="D685" t="inlineStr">
        <is>
          <t>菲菲上班吃什么</t>
        </is>
      </c>
      <c r="E685" t="inlineStr">
        <is>
          <t>49936530607</t>
        </is>
      </c>
      <c r="F685" t="inlineStr">
        <is>
          <t>2026-06-17 20:17:00</t>
        </is>
      </c>
      <c r="G685" t="inlineStr">
        <is>
          <t>图文</t>
        </is>
      </c>
      <c r="H685" t="inlineStr">
        <is>
          <t>手剥虾仁 无冰衣无添加 低脂餐一人食 上班带饭 顺丰包邮 5盒装</t>
        </is>
      </c>
      <c r="I685" t="inlineStr">
        <is>
          <t>694baba01d450d00013662f0</t>
        </is>
      </c>
      <c r="J685" t="inlineStr">
        <is>
          <t/>
        </is>
      </c>
      <c r="K685" t="n">
        <v>0.0</v>
      </c>
      <c r="L685" t="n">
        <v>0.0</v>
      </c>
      <c r="M685" t="n">
        <v>0.0</v>
      </c>
      <c r="N685" t="n">
        <v>0.0</v>
      </c>
      <c r="O685" t="n">
        <v>0.0</v>
      </c>
      <c r="P685" t="n">
        <v>0.0</v>
      </c>
      <c r="Q685" t="inlineStr">
        <is>
          <t/>
        </is>
      </c>
      <c r="R685" t="inlineStr">
        <is>
          <t/>
        </is>
      </c>
      <c r="S685" t="n">
        <v>0.0</v>
      </c>
      <c r="T685" t="n">
        <v>0.0</v>
      </c>
      <c r="U685" t="n">
        <v>0.0</v>
      </c>
      <c r="V685" t="n">
        <v>0.0</v>
      </c>
      <c r="W685" t="inlineStr">
        <is>
          <t/>
        </is>
      </c>
      <c r="X685" t="n">
        <v>0.0</v>
      </c>
      <c r="Y685" t="n">
        <v>0.0</v>
      </c>
      <c r="Z685" t="n">
        <v>0.0</v>
      </c>
      <c r="AA685" t="n">
        <v>0.0</v>
      </c>
      <c r="AB685" t="n">
        <v>0.0</v>
      </c>
      <c r="AC685" t="n">
        <v>0.0</v>
      </c>
      <c r="AD685" t="n">
        <v>1.0</v>
      </c>
      <c r="AE685" t="n">
        <v>0.0</v>
      </c>
      <c r="AF685" t="n">
        <v>0.0</v>
      </c>
      <c r="AG685" t="n">
        <v>0.0</v>
      </c>
      <c r="AH685" t="n">
        <v>0.0</v>
      </c>
      <c r="AI685" t="n">
        <v>0.0</v>
      </c>
      <c r="AJ685" t="n">
        <v>0.0</v>
      </c>
      <c r="AK685" t="n">
        <v>6.0</v>
      </c>
      <c r="AL685" t="inlineStr">
        <is>
          <t/>
        </is>
      </c>
    </row>
    <row r="686">
      <c r="A686" t="inlineStr">
        <is>
          <t>😭爬坡1小时 vs 煮虾仁3分钟，我选后者…</t>
        </is>
      </c>
      <c r="B686" t="inlineStr">
        <is>
          <t>6a32812f000000002103d76f</t>
        </is>
      </c>
      <c r="C686" s="685" t="n">
        <f>HYPERLINK("https://www.xiaohongshu.com/explore/6a32812f000000002103d76f?xsec_token=TBgwqICxjpF4PaPju8orzP40eC69R-aG6A13yKlj0adqM=&amp;xsec_source=pc_trdark","https://www.xiaohongshu.com/explore/6a32812f000000002103d76f?xsec_token=TBgwqICxjpF4PaPju8orzP40eC69R-aG6A13yKlj0adqM=&amp;xsec_source=pc_trdark")</f>
        <v>0.0</v>
      </c>
      <c r="D686" t="inlineStr">
        <is>
          <t>菲菲上班吃什么</t>
        </is>
      </c>
      <c r="E686" t="inlineStr">
        <is>
          <t>49936530607</t>
        </is>
      </c>
      <c r="F686" t="inlineStr">
        <is>
          <t>2026-06-17 19:12:47</t>
        </is>
      </c>
      <c r="G686" t="inlineStr">
        <is>
          <t>图文</t>
        </is>
      </c>
      <c r="H686" t="inlineStr">
        <is>
          <t>手剥虾仁 无冰衣无添加 低脂餐一人食 上班带饭 顺丰包邮 5盒装</t>
        </is>
      </c>
      <c r="I686" t="inlineStr">
        <is>
          <t>694baba01d450d00013662f0</t>
        </is>
      </c>
      <c r="J686" t="inlineStr">
        <is>
          <t/>
        </is>
      </c>
      <c r="K686" t="n">
        <v>0.0</v>
      </c>
      <c r="L686" t="n">
        <v>0.0</v>
      </c>
      <c r="M686" t="n">
        <v>0.0</v>
      </c>
      <c r="N686" t="n">
        <v>0.0</v>
      </c>
      <c r="O686" t="n">
        <v>0.0</v>
      </c>
      <c r="P686" t="n">
        <v>0.0</v>
      </c>
      <c r="Q686" t="inlineStr">
        <is>
          <t/>
        </is>
      </c>
      <c r="R686" t="inlineStr">
        <is>
          <t/>
        </is>
      </c>
      <c r="S686" t="n">
        <v>0.0</v>
      </c>
      <c r="T686" t="n">
        <v>0.0</v>
      </c>
      <c r="U686" t="n">
        <v>0.0</v>
      </c>
      <c r="V686" t="n">
        <v>0.0</v>
      </c>
      <c r="W686" t="inlineStr">
        <is>
          <t/>
        </is>
      </c>
      <c r="X686" t="n">
        <v>0.0</v>
      </c>
      <c r="Y686" t="n">
        <v>0.0</v>
      </c>
      <c r="Z686" t="n">
        <v>0.0</v>
      </c>
      <c r="AA686" t="n">
        <v>0.0</v>
      </c>
      <c r="AB686" t="n">
        <v>0.0</v>
      </c>
      <c r="AC686" t="n">
        <v>0.0</v>
      </c>
      <c r="AD686" t="n">
        <v>1.0</v>
      </c>
      <c r="AE686" t="n">
        <v>0.0</v>
      </c>
      <c r="AF686" t="n">
        <v>0.0</v>
      </c>
      <c r="AG686" t="n">
        <v>0.0</v>
      </c>
      <c r="AH686" t="n">
        <v>0.0</v>
      </c>
      <c r="AI686" t="n">
        <v>0.0</v>
      </c>
      <c r="AJ686" t="n">
        <v>0.0</v>
      </c>
      <c r="AK686" t="n">
        <v>17.0</v>
      </c>
      <c r="AL686" t="inlineStr">
        <is>
          <t/>
        </is>
      </c>
    </row>
    <row r="687">
      <c r="A687" t="inlineStr">
        <is>
          <t>感觉现在的年轻人都低估了69r的购买力！</t>
        </is>
      </c>
      <c r="B687" t="inlineStr">
        <is>
          <t>6a325b9a0000000008031eee</t>
        </is>
      </c>
      <c r="C687" s="686" t="n">
        <f>HYPERLINK("https://www.xiaohongshu.com/explore/6a325b9a0000000008031eee?xsec_token=TBgwqICxjpF4PaPju8orzP49F6Q8e9-ky-gLVWiHdHa7I=&amp;xsec_source=pc_trdark","https://www.xiaohongshu.com/explore/6a325b9a0000000008031eee?xsec_token=TBgwqICxjpF4PaPju8orzP49F6Q8e9-ky-gLVWiHdHa7I=&amp;xsec_source=pc_trdark")</f>
        <v>0.0</v>
      </c>
      <c r="D687" t="inlineStr">
        <is>
          <t>婉婉上班吃什么</t>
        </is>
      </c>
      <c r="E687" t="inlineStr">
        <is>
          <t>11434449706</t>
        </is>
      </c>
      <c r="F687" t="inlineStr">
        <is>
          <t>2026-06-17 16:32:26</t>
        </is>
      </c>
      <c r="G687" t="inlineStr">
        <is>
          <t>图文</t>
        </is>
      </c>
      <c r="H687" t="inlineStr">
        <is>
          <t>手剥虾仁 无冰衣无添加 低脂餐一人食 上班带饭 顺丰包邮 5盒装</t>
        </is>
      </c>
      <c r="I687" t="inlineStr">
        <is>
          <t>694baba01d450d00013662f0</t>
        </is>
      </c>
      <c r="J687" t="inlineStr">
        <is>
          <t/>
        </is>
      </c>
      <c r="K687" t="n">
        <v>0.0</v>
      </c>
      <c r="L687" t="n">
        <v>0.0</v>
      </c>
      <c r="M687" t="n">
        <v>0.0</v>
      </c>
      <c r="N687" t="n">
        <v>0.0</v>
      </c>
      <c r="O687" t="n">
        <v>0.0</v>
      </c>
      <c r="P687" t="n">
        <v>0.0</v>
      </c>
      <c r="Q687" t="inlineStr">
        <is>
          <t/>
        </is>
      </c>
      <c r="R687" t="inlineStr">
        <is>
          <t/>
        </is>
      </c>
      <c r="S687" t="n">
        <v>0.0</v>
      </c>
      <c r="T687" t="n">
        <v>0.0</v>
      </c>
      <c r="U687" t="n">
        <v>0.0</v>
      </c>
      <c r="V687" t="n">
        <v>0.0</v>
      </c>
      <c r="W687" t="inlineStr">
        <is>
          <t/>
        </is>
      </c>
      <c r="X687" t="n">
        <v>0.0</v>
      </c>
      <c r="Y687" t="n">
        <v>0.0</v>
      </c>
      <c r="Z687" t="n">
        <v>0.0</v>
      </c>
      <c r="AA687" t="n">
        <v>0.0</v>
      </c>
      <c r="AB687" t="n">
        <v>0.0</v>
      </c>
      <c r="AC687" t="n">
        <v>0.0</v>
      </c>
      <c r="AD687" t="n">
        <v>1.0</v>
      </c>
      <c r="AE687" t="n">
        <v>0.0</v>
      </c>
      <c r="AF687" t="n">
        <v>0.0</v>
      </c>
      <c r="AG687" t="n">
        <v>0.0</v>
      </c>
      <c r="AH687" t="n">
        <v>0.0</v>
      </c>
      <c r="AI687" t="n">
        <v>0.0</v>
      </c>
      <c r="AJ687" t="n">
        <v>0.0</v>
      </c>
      <c r="AK687" t="n">
        <v>1.0</v>
      </c>
      <c r="AL687" t="inlineStr">
        <is>
          <t/>
        </is>
      </c>
    </row>
    <row r="688">
      <c r="A688" t="inlineStr">
        <is>
          <t>太适合减脂吃了！一次一袋</t>
        </is>
      </c>
      <c r="B688" t="inlineStr">
        <is>
          <t>6a31178a000000000702ddbc</t>
        </is>
      </c>
      <c r="C688" s="687" t="n">
        <f>HYPERLINK("https://www.xiaohongshu.com/explore/6a31178a000000000702ddbc?xsec_token=TBaa4H6FkKlwOz1o5Y9J_FFfbp978IV_cHxQEBcxhnPWs=&amp;xsec_source=pc_trdark","https://www.xiaohongshu.com/explore/6a31178a000000000702ddbc?xsec_token=TBaa4H6FkKlwOz1o5Y9J_FFfbp978IV_cHxQEBcxhnPWs=&amp;xsec_source=pc_trdark")</f>
        <v>0.0</v>
      </c>
      <c r="D688" t="inlineStr">
        <is>
          <t>鲜水湾</t>
        </is>
      </c>
      <c r="E688" t="inlineStr">
        <is>
          <t>49316638994</t>
        </is>
      </c>
      <c r="F688" t="inlineStr">
        <is>
          <t>2026-06-16 17:29:46</t>
        </is>
      </c>
      <c r="G688" t="inlineStr">
        <is>
          <t>图文</t>
        </is>
      </c>
      <c r="H688" t="inlineStr">
        <is>
          <t>智利尾端中段整条三文鱼 8斤深海鱼低脂餐囤货一周备菜顺丰包邮</t>
        </is>
      </c>
      <c r="I688" t="inlineStr">
        <is>
          <t>69fab80d64eb410001ece0c0</t>
        </is>
      </c>
      <c r="J688" t="inlineStr">
        <is>
          <t/>
        </is>
      </c>
      <c r="K688" t="n">
        <v>0.0</v>
      </c>
      <c r="L688" t="n">
        <v>0.0</v>
      </c>
      <c r="M688" t="n">
        <v>0.0</v>
      </c>
      <c r="N688" t="n">
        <v>0.0</v>
      </c>
      <c r="O688" t="n">
        <v>0.0</v>
      </c>
      <c r="P688" t="n">
        <v>0.0</v>
      </c>
      <c r="Q688" t="inlineStr">
        <is>
          <t/>
        </is>
      </c>
      <c r="R688" t="inlineStr">
        <is>
          <t/>
        </is>
      </c>
      <c r="S688" t="n">
        <v>0.0</v>
      </c>
      <c r="T688" t="n">
        <v>0.0</v>
      </c>
      <c r="U688" t="n">
        <v>0.0</v>
      </c>
      <c r="V688" t="n">
        <v>0.0</v>
      </c>
      <c r="W688" t="inlineStr">
        <is>
          <t/>
        </is>
      </c>
      <c r="X688" t="n">
        <v>0.0</v>
      </c>
      <c r="Y688" t="n">
        <v>0.0</v>
      </c>
      <c r="Z688" t="n">
        <v>0.0</v>
      </c>
      <c r="AA688" t="n">
        <v>0.0</v>
      </c>
      <c r="AB688" t="n">
        <v>0.0</v>
      </c>
      <c r="AC688" t="n">
        <v>0.0</v>
      </c>
      <c r="AD688" t="n">
        <v>1.0</v>
      </c>
      <c r="AE688" t="n">
        <v>0.0</v>
      </c>
      <c r="AF688" t="n">
        <v>0.0</v>
      </c>
      <c r="AG688" t="n">
        <v>0.0</v>
      </c>
      <c r="AH688" t="n">
        <v>0.0</v>
      </c>
      <c r="AI688" t="n">
        <v>0.0</v>
      </c>
      <c r="AJ688" t="n">
        <v>0.0</v>
      </c>
      <c r="AK688" t="n">
        <v>14.0</v>
      </c>
      <c r="AL688" t="inlineStr">
        <is>
          <t/>
        </is>
      </c>
    </row>
    <row r="689">
      <c r="A689" t="inlineStr">
        <is>
          <t>现在年轻人，严重低估了69的购买力！</t>
        </is>
      </c>
      <c r="B689" t="inlineStr">
        <is>
          <t>6a2fa999000000000701157d</t>
        </is>
      </c>
      <c r="C689" s="688" t="n">
        <f>HYPERLINK("https://www.xiaohongshu.com/explore/6a2fa999000000000701157d?xsec_token=TBOClpwOvyolzEXhDI3pDx7YNgX9fjX4_NF2wDzkhHh3w=&amp;xsec_source=pc_trdark","https://www.xiaohongshu.com/explore/6a2fa999000000000701157d?xsec_token=TBOClpwOvyolzEXhDI3pDx7YNgX9fjX4_NF2wDzkhHh3w=&amp;xsec_source=pc_trdark")</f>
        <v>0.0</v>
      </c>
      <c r="D689" t="inlineStr">
        <is>
          <t>菲菲上班吃什么</t>
        </is>
      </c>
      <c r="E689" t="inlineStr">
        <is>
          <t>49936530607</t>
        </is>
      </c>
      <c r="F689" t="inlineStr">
        <is>
          <t>2026-06-15 15:28:25</t>
        </is>
      </c>
      <c r="G689" t="inlineStr">
        <is>
          <t>图文</t>
        </is>
      </c>
      <c r="H689" t="inlineStr">
        <is>
          <t>手剥虾仁 无冰衣无添加 低脂餐一人食 上班带饭 顺丰包邮 5盒装</t>
        </is>
      </c>
      <c r="I689" t="inlineStr">
        <is>
          <t>694baba01d450d00013662f0</t>
        </is>
      </c>
      <c r="J689" t="inlineStr">
        <is>
          <t/>
        </is>
      </c>
      <c r="K689" t="n">
        <v>0.0</v>
      </c>
      <c r="L689" t="n">
        <v>0.0</v>
      </c>
      <c r="M689" t="n">
        <v>0.0</v>
      </c>
      <c r="N689" t="n">
        <v>0.0</v>
      </c>
      <c r="O689" t="n">
        <v>0.0</v>
      </c>
      <c r="P689" t="n">
        <v>0.0</v>
      </c>
      <c r="Q689" t="inlineStr">
        <is>
          <t/>
        </is>
      </c>
      <c r="R689" t="inlineStr">
        <is>
          <t/>
        </is>
      </c>
      <c r="S689" t="n">
        <v>0.0</v>
      </c>
      <c r="T689" t="n">
        <v>0.0</v>
      </c>
      <c r="U689" t="n">
        <v>0.0</v>
      </c>
      <c r="V689" t="n">
        <v>0.0</v>
      </c>
      <c r="W689" t="inlineStr">
        <is>
          <t/>
        </is>
      </c>
      <c r="X689" t="n">
        <v>0.0</v>
      </c>
      <c r="Y689" t="n">
        <v>0.0</v>
      </c>
      <c r="Z689" t="n">
        <v>0.0</v>
      </c>
      <c r="AA689" t="n">
        <v>0.0</v>
      </c>
      <c r="AB689" t="n">
        <v>0.0</v>
      </c>
      <c r="AC689" t="n">
        <v>0.0</v>
      </c>
      <c r="AD689" t="n">
        <v>1.0</v>
      </c>
      <c r="AE689" t="n">
        <v>0.0</v>
      </c>
      <c r="AF689" t="n">
        <v>0.0</v>
      </c>
      <c r="AG689" t="n">
        <v>0.0</v>
      </c>
      <c r="AH689" t="n">
        <v>0.0</v>
      </c>
      <c r="AI689" t="n">
        <v>0.0</v>
      </c>
      <c r="AJ689" t="n">
        <v>0.0</v>
      </c>
      <c r="AK689" t="n">
        <v>8.0</v>
      </c>
      <c r="AL689" t="inlineStr">
        <is>
          <t/>
        </is>
      </c>
    </row>
    <row r="690">
      <c r="A690" t="inlineStr">
        <is>
          <t>区区69💰以为没多少，结果够我吃一个月</t>
        </is>
      </c>
      <c r="B690" t="inlineStr">
        <is>
          <t>6a2e59f70000000036001a27</t>
        </is>
      </c>
      <c r="C690" s="689" t="n">
        <f>HYPERLINK("https://www.xiaohongshu.com/explore/6a2e59f70000000036001a27?xsec_token=TBhHjC2DWrdLZDWzxKRIYz5_VFTJrzQTVAzJYfY1qRBIk=&amp;xsec_source=pc_trdark","https://www.xiaohongshu.com/explore/6a2e59f70000000036001a27?xsec_token=TBhHjC2DWrdLZDWzxKRIYz5_VFTJrzQTVAzJYfY1qRBIk=&amp;xsec_source=pc_trdark")</f>
        <v>0.0</v>
      </c>
      <c r="D690" t="inlineStr">
        <is>
          <t>鲜水湾甄选</t>
        </is>
      </c>
      <c r="E690" t="inlineStr">
        <is>
          <t>27401929161</t>
        </is>
      </c>
      <c r="F690" t="inlineStr">
        <is>
          <t>2026-06-14 18:36:00</t>
        </is>
      </c>
      <c r="G690" t="inlineStr">
        <is>
          <t>图文</t>
        </is>
      </c>
      <c r="H690" t="inlineStr">
        <is>
          <t>手剥虾仁 无冰衣无添加 低脂餐一人食 上班带饭 顺丰包邮 5盒装</t>
        </is>
      </c>
      <c r="I690" t="inlineStr">
        <is>
          <t>694baba01d450d00013662f0</t>
        </is>
      </c>
      <c r="J690" t="inlineStr">
        <is>
          <t/>
        </is>
      </c>
      <c r="K690" t="n">
        <v>0.0</v>
      </c>
      <c r="L690" t="n">
        <v>0.0</v>
      </c>
      <c r="M690" t="n">
        <v>1.0</v>
      </c>
      <c r="N690" t="n">
        <v>1.0</v>
      </c>
      <c r="O690" t="n">
        <v>1.0</v>
      </c>
      <c r="P690" t="n">
        <v>0.0</v>
      </c>
      <c r="Q690" t="n">
        <v>0.0</v>
      </c>
      <c r="R690" t="n">
        <v>0.0</v>
      </c>
      <c r="S690" t="n">
        <v>0.0</v>
      </c>
      <c r="T690" t="n">
        <v>0.0</v>
      </c>
      <c r="U690" t="n">
        <v>0.0</v>
      </c>
      <c r="V690" t="n">
        <v>0.0</v>
      </c>
      <c r="W690" t="inlineStr">
        <is>
          <t/>
        </is>
      </c>
      <c r="X690" t="n">
        <v>0.0</v>
      </c>
      <c r="Y690" t="n">
        <v>0.0</v>
      </c>
      <c r="Z690" t="n">
        <v>0.0</v>
      </c>
      <c r="AA690" t="n">
        <v>0.0</v>
      </c>
      <c r="AB690" t="n">
        <v>0.0</v>
      </c>
      <c r="AC690" t="n">
        <v>0.0</v>
      </c>
      <c r="AD690" t="n">
        <v>1.0</v>
      </c>
      <c r="AE690" t="n">
        <v>0.0</v>
      </c>
      <c r="AF690" t="n">
        <v>0.0</v>
      </c>
      <c r="AG690" t="n">
        <v>0.0</v>
      </c>
      <c r="AH690" t="n">
        <v>0.0</v>
      </c>
      <c r="AI690" t="n">
        <v>0.0</v>
      </c>
      <c r="AJ690" t="n">
        <v>0.0</v>
      </c>
      <c r="AK690" t="n">
        <v>2.0</v>
      </c>
      <c r="AL690" t="inlineStr">
        <is>
          <t/>
        </is>
      </c>
    </row>
    <row r="691">
      <c r="A691" t="inlineStr">
        <is>
          <t>谁顶得住啊😭69元直接实现虾仁自由！</t>
        </is>
      </c>
      <c r="B691" t="inlineStr">
        <is>
          <t>6a2d3a69000000003502d59f</t>
        </is>
      </c>
      <c r="C691" s="690" t="n">
        <f>HYPERLINK("https://www.xiaohongshu.com/explore/6a2d3a69000000003502d59f?xsec_token=TBzgoa2COAFk8AkHvWhIePLUVcqrHunAaSx1Xk-oVLxqU=&amp;xsec_source=pc_trdark","https://www.xiaohongshu.com/explore/6a2d3a69000000003502d59f?xsec_token=TBzgoa2COAFk8AkHvWhIePLUVcqrHunAaSx1Xk-oVLxqU=&amp;xsec_source=pc_trdark")</f>
        <v>0.0</v>
      </c>
      <c r="D691" t="inlineStr">
        <is>
          <t>鲜水湾甄选</t>
        </is>
      </c>
      <c r="E691" t="inlineStr">
        <is>
          <t>27401929161</t>
        </is>
      </c>
      <c r="F691" t="inlineStr">
        <is>
          <t>2026-06-13 21:15:00</t>
        </is>
      </c>
      <c r="G691" t="inlineStr">
        <is>
          <t>图文</t>
        </is>
      </c>
      <c r="H691" t="inlineStr">
        <is>
          <t>手剥虾仁 无冰衣无添加 低脂餐一人食 上班带饭 顺丰包邮 5盒装</t>
        </is>
      </c>
      <c r="I691" t="inlineStr">
        <is>
          <t>694baba01d450d00013662f0</t>
        </is>
      </c>
      <c r="J691" t="inlineStr">
        <is>
          <t/>
        </is>
      </c>
      <c r="K691" t="n">
        <v>0.0</v>
      </c>
      <c r="L691" t="n">
        <v>0.0</v>
      </c>
      <c r="M691" t="n">
        <v>0.0</v>
      </c>
      <c r="N691" t="n">
        <v>0.0</v>
      </c>
      <c r="O691" t="n">
        <v>0.0</v>
      </c>
      <c r="P691" t="n">
        <v>0.0</v>
      </c>
      <c r="Q691" t="inlineStr">
        <is>
          <t/>
        </is>
      </c>
      <c r="R691" t="inlineStr">
        <is>
          <t/>
        </is>
      </c>
      <c r="S691" t="n">
        <v>0.0</v>
      </c>
      <c r="T691" t="n">
        <v>0.0</v>
      </c>
      <c r="U691" t="n">
        <v>0.0</v>
      </c>
      <c r="V691" t="n">
        <v>0.0</v>
      </c>
      <c r="W691" t="inlineStr">
        <is>
          <t/>
        </is>
      </c>
      <c r="X691" t="n">
        <v>0.0</v>
      </c>
      <c r="Y691" t="n">
        <v>0.0</v>
      </c>
      <c r="Z691" t="n">
        <v>0.0</v>
      </c>
      <c r="AA691" t="n">
        <v>0.0</v>
      </c>
      <c r="AB691" t="n">
        <v>0.0</v>
      </c>
      <c r="AC691" t="n">
        <v>0.0</v>
      </c>
      <c r="AD691" t="n">
        <v>1.0</v>
      </c>
      <c r="AE691" t="n">
        <v>0.0</v>
      </c>
      <c r="AF691" t="n">
        <v>0.0</v>
      </c>
      <c r="AG691" t="n">
        <v>0.0</v>
      </c>
      <c r="AH691" t="n">
        <v>0.0</v>
      </c>
      <c r="AI691" t="n">
        <v>0.0</v>
      </c>
      <c r="AJ691" t="n">
        <v>0.0</v>
      </c>
      <c r="AK691" t="n">
        <v>5.0</v>
      </c>
      <c r="AL691" t="inlineStr">
        <is>
          <t/>
        </is>
      </c>
    </row>
    <row r="692">
      <c r="A692" t="inlineStr">
        <is>
          <t>100块解决半个多月的减脂餐！ 救命！</t>
        </is>
      </c>
      <c r="B692" t="inlineStr">
        <is>
          <t>6a2cce25000000003502a1b3</t>
        </is>
      </c>
      <c r="C692" s="691" t="n">
        <f>HYPERLINK("https://www.xiaohongshu.com/explore/6a2cce25000000003502a1b3?xsec_token=TBXfyg70k-fjSy8LCGl6_2c47XePAipwitnVODoWg-DXU=&amp;xsec_source=pc_trdark","https://www.xiaohongshu.com/explore/6a2cce25000000003502a1b3?xsec_token=TBXfyg70k-fjSy8LCGl6_2c47XePAipwitnVODoWg-DXU=&amp;xsec_source=pc_trdark")</f>
        <v>0.0</v>
      </c>
      <c r="D692" t="inlineStr">
        <is>
          <t>鲜水湾甄选</t>
        </is>
      </c>
      <c r="E692" t="inlineStr">
        <is>
          <t>27401929161</t>
        </is>
      </c>
      <c r="F692" t="inlineStr">
        <is>
          <t>2026-06-13 11:27:33</t>
        </is>
      </c>
      <c r="G692" t="inlineStr">
        <is>
          <t>图文</t>
        </is>
      </c>
      <c r="H692" t="inlineStr">
        <is>
          <t>手剥虾仁 无冰衣无添加 低脂餐一人食 上班带饭 顺丰包邮 5盒装</t>
        </is>
      </c>
      <c r="I692" t="inlineStr">
        <is>
          <t>694baba01d450d00013662f0</t>
        </is>
      </c>
      <c r="J692" t="inlineStr">
        <is>
          <t/>
        </is>
      </c>
      <c r="K692" t="n">
        <v>0.0</v>
      </c>
      <c r="L692" t="n">
        <v>0.0</v>
      </c>
      <c r="M692" t="n">
        <v>0.0</v>
      </c>
      <c r="N692" t="n">
        <v>0.0</v>
      </c>
      <c r="O692" t="n">
        <v>0.0</v>
      </c>
      <c r="P692" t="n">
        <v>0.0</v>
      </c>
      <c r="Q692" t="inlineStr">
        <is>
          <t/>
        </is>
      </c>
      <c r="R692" t="inlineStr">
        <is>
          <t/>
        </is>
      </c>
      <c r="S692" t="n">
        <v>0.0</v>
      </c>
      <c r="T692" t="n">
        <v>0.0</v>
      </c>
      <c r="U692" t="n">
        <v>0.0</v>
      </c>
      <c r="V692" t="n">
        <v>0.0</v>
      </c>
      <c r="W692" t="inlineStr">
        <is>
          <t/>
        </is>
      </c>
      <c r="X692" t="n">
        <v>0.0</v>
      </c>
      <c r="Y692" t="n">
        <v>0.0</v>
      </c>
      <c r="Z692" t="n">
        <v>0.0</v>
      </c>
      <c r="AA692" t="n">
        <v>0.0</v>
      </c>
      <c r="AB692" t="n">
        <v>0.0</v>
      </c>
      <c r="AC692" t="n">
        <v>0.0</v>
      </c>
      <c r="AD692" t="n">
        <v>1.0</v>
      </c>
      <c r="AE692" t="n">
        <v>0.0</v>
      </c>
      <c r="AF692" t="n">
        <v>0.0</v>
      </c>
      <c r="AG692" t="n">
        <v>0.0</v>
      </c>
      <c r="AH692" t="n">
        <v>0.0</v>
      </c>
      <c r="AI692" t="n">
        <v>0.0</v>
      </c>
      <c r="AJ692" t="n">
        <v>0.0</v>
      </c>
      <c r="AK692" t="n">
        <v>2.0</v>
      </c>
      <c r="AL692" t="inlineStr">
        <is>
          <t/>
        </is>
      </c>
    </row>
    <row r="693">
      <c r="A693" t="inlineStr">
        <is>
          <t>今年坠成功的消费降级，69吃一周！！</t>
        </is>
      </c>
      <c r="B693" t="inlineStr">
        <is>
          <t>6a2bf40500000000220201aa</t>
        </is>
      </c>
      <c r="C693" s="692" t="n">
        <f>HYPERLINK("https://www.xiaohongshu.com/explore/6a2bf40500000000220201aa?xsec_token=TB6z4gaYVtaJENMGYq0Pmb5EbKRSa6DTw5YBPbNdxOkDI=&amp;xsec_source=pc_trdark","https://www.xiaohongshu.com/explore/6a2bf40500000000220201aa?xsec_token=TB6z4gaYVtaJENMGYq0Pmb5EbKRSa6DTw5YBPbNdxOkDI=&amp;xsec_source=pc_trdark")</f>
        <v>0.0</v>
      </c>
      <c r="D693" t="inlineStr">
        <is>
          <t>鲜水湾甄选</t>
        </is>
      </c>
      <c r="E693" t="inlineStr">
        <is>
          <t>27401929161</t>
        </is>
      </c>
      <c r="F693" t="inlineStr">
        <is>
          <t>2026-06-12 21:32:00</t>
        </is>
      </c>
      <c r="G693" t="inlineStr">
        <is>
          <t>图文</t>
        </is>
      </c>
      <c r="H693" t="inlineStr">
        <is>
          <t>手剥虾仁 无冰衣无添加 低脂餐一人食 上班带饭 顺丰包邮 5盒装</t>
        </is>
      </c>
      <c r="I693" t="inlineStr">
        <is>
          <t>694baba01d450d00013662f0</t>
        </is>
      </c>
      <c r="J693" t="inlineStr">
        <is>
          <t/>
        </is>
      </c>
      <c r="K693" t="n">
        <v>0.0</v>
      </c>
      <c r="L693" t="n">
        <v>0.0</v>
      </c>
      <c r="M693" t="n">
        <v>1.0</v>
      </c>
      <c r="N693" t="n">
        <v>1.0</v>
      </c>
      <c r="O693" t="n">
        <v>1.0</v>
      </c>
      <c r="P693" t="n">
        <v>0.0</v>
      </c>
      <c r="Q693" t="n">
        <v>0.0</v>
      </c>
      <c r="R693" t="n">
        <v>0.0</v>
      </c>
      <c r="S693" t="n">
        <v>0.0</v>
      </c>
      <c r="T693" t="n">
        <v>0.0</v>
      </c>
      <c r="U693" t="n">
        <v>0.0</v>
      </c>
      <c r="V693" t="n">
        <v>0.0</v>
      </c>
      <c r="W693" t="inlineStr">
        <is>
          <t/>
        </is>
      </c>
      <c r="X693" t="n">
        <v>0.0</v>
      </c>
      <c r="Y693" t="n">
        <v>0.0</v>
      </c>
      <c r="Z693" t="n">
        <v>0.0</v>
      </c>
      <c r="AA693" t="n">
        <v>0.0</v>
      </c>
      <c r="AB693" t="n">
        <v>0.0</v>
      </c>
      <c r="AC693" t="n">
        <v>0.0</v>
      </c>
      <c r="AD693" t="n">
        <v>1.0</v>
      </c>
      <c r="AE693" t="n">
        <v>0.0</v>
      </c>
      <c r="AF693" t="n">
        <v>0.0</v>
      </c>
      <c r="AG693" t="n">
        <v>0.0</v>
      </c>
      <c r="AH693" t="n">
        <v>0.0</v>
      </c>
      <c r="AI693" t="n">
        <v>0.0</v>
      </c>
      <c r="AJ693" t="n">
        <v>0.0</v>
      </c>
      <c r="AK693" t="n">
        <v>19.0</v>
      </c>
      <c r="AL693" t="inlineStr">
        <is>
          <t/>
        </is>
      </c>
    </row>
    <row r="694">
      <c r="A694" t="inlineStr">
        <is>
          <t>现在年轻人，严重低估了70块的购买力了</t>
        </is>
      </c>
      <c r="B694" t="inlineStr">
        <is>
          <t>6a2bd4b1000000000702e7a1</t>
        </is>
      </c>
      <c r="C694" s="693" t="n">
        <f>HYPERLINK("https://www.xiaohongshu.com/explore/6a2bd4b1000000000702e7a1?xsec_token=TB6z4gaYVtaJENMGYq0Pmb5KK-s2p2rjxx_EIl-zeaJoU=&amp;xsec_source=pc_trdark","https://www.xiaohongshu.com/explore/6a2bd4b1000000000702e7a1?xsec_token=TB6z4gaYVtaJENMGYq0Pmb5KK-s2p2rjxx_EIl-zeaJoU=&amp;xsec_source=pc_trdark")</f>
        <v>0.0</v>
      </c>
      <c r="D694" t="inlineStr">
        <is>
          <t>菲菲上班吃什么</t>
        </is>
      </c>
      <c r="E694" t="inlineStr">
        <is>
          <t>49936530607</t>
        </is>
      </c>
      <c r="F694" t="inlineStr">
        <is>
          <t>2026-06-12 17:43:13</t>
        </is>
      </c>
      <c r="G694" t="inlineStr">
        <is>
          <t>图文</t>
        </is>
      </c>
      <c r="H694" t="inlineStr">
        <is>
          <t>手剥虾仁 无冰衣无添加 低脂餐一人食 上班带饭 顺丰包邮 5盒装</t>
        </is>
      </c>
      <c r="I694" t="inlineStr">
        <is>
          <t>694baba01d450d00013662f0</t>
        </is>
      </c>
      <c r="J694" t="inlineStr">
        <is>
          <t/>
        </is>
      </c>
      <c r="K694" t="n">
        <v>0.0</v>
      </c>
      <c r="L694" t="n">
        <v>0.0</v>
      </c>
      <c r="M694" t="n">
        <v>0.0</v>
      </c>
      <c r="N694" t="n">
        <v>0.0</v>
      </c>
      <c r="O694" t="n">
        <v>0.0</v>
      </c>
      <c r="P694" t="n">
        <v>0.0</v>
      </c>
      <c r="Q694" t="inlineStr">
        <is>
          <t/>
        </is>
      </c>
      <c r="R694" t="inlineStr">
        <is>
          <t/>
        </is>
      </c>
      <c r="S694" t="n">
        <v>0.0</v>
      </c>
      <c r="T694" t="n">
        <v>0.0</v>
      </c>
      <c r="U694" t="n">
        <v>0.0</v>
      </c>
      <c r="V694" t="n">
        <v>0.0</v>
      </c>
      <c r="W694" t="inlineStr">
        <is>
          <t/>
        </is>
      </c>
      <c r="X694" t="n">
        <v>0.0</v>
      </c>
      <c r="Y694" t="n">
        <v>0.0</v>
      </c>
      <c r="Z694" t="n">
        <v>0.0</v>
      </c>
      <c r="AA694" t="n">
        <v>0.0</v>
      </c>
      <c r="AB694" t="n">
        <v>0.0</v>
      </c>
      <c r="AC694" t="n">
        <v>0.0</v>
      </c>
      <c r="AD694" t="n">
        <v>1.0</v>
      </c>
      <c r="AE694" t="n">
        <v>0.0</v>
      </c>
      <c r="AF694" t="n">
        <v>0.0</v>
      </c>
      <c r="AG694" t="n">
        <v>0.0</v>
      </c>
      <c r="AH694" t="n">
        <v>0.0</v>
      </c>
      <c r="AI694" t="n">
        <v>0.0</v>
      </c>
      <c r="AJ694" t="n">
        <v>0.0</v>
      </c>
      <c r="AK694" t="n">
        <v>2.0</v>
      </c>
      <c r="AL694" t="inlineStr">
        <is>
          <t/>
        </is>
      </c>
    </row>
    <row r="695">
      <c r="A695" t="inlineStr">
        <is>
          <t>原来虾仁才是，减脂期的六边形战士…</t>
        </is>
      </c>
      <c r="B695" t="inlineStr">
        <is>
          <t>6a295902000000000803ccb6</t>
        </is>
      </c>
      <c r="C695" s="694" t="n">
        <f>HYPERLINK("https://www.xiaohongshu.com/explore/6a295902000000000803ccb6?xsec_token=TBxlbMhL8lXm-rLMytwo4IZIffEf4XxnRXXiq8ApNbyZc=&amp;xsec_source=pc_trdark","https://www.xiaohongshu.com/explore/6a295902000000000803ccb6?xsec_token=TBxlbMhL8lXm-rLMytwo4IZIffEf4XxnRXXiq8ApNbyZc=&amp;xsec_source=pc_trdark")</f>
        <v>0.0</v>
      </c>
      <c r="D695" t="inlineStr">
        <is>
          <t>菲菲上班吃什么</t>
        </is>
      </c>
      <c r="E695" t="inlineStr">
        <is>
          <t>49936530607</t>
        </is>
      </c>
      <c r="F695" t="inlineStr">
        <is>
          <t>2026-06-10 20:30:58</t>
        </is>
      </c>
      <c r="G695" t="inlineStr">
        <is>
          <t>图文</t>
        </is>
      </c>
      <c r="H695" t="inlineStr">
        <is>
          <t>手剥虾仁 无冰衣无添加 低脂餐一人食 上班带饭 顺丰包邮 5盒装</t>
        </is>
      </c>
      <c r="I695" t="inlineStr">
        <is>
          <t>694baba01d450d00013662f0</t>
        </is>
      </c>
      <c r="J695" t="inlineStr">
        <is>
          <t/>
        </is>
      </c>
      <c r="K695" t="n">
        <v>0.0</v>
      </c>
      <c r="L695" t="n">
        <v>0.0</v>
      </c>
      <c r="M695" t="n">
        <v>0.0</v>
      </c>
      <c r="N695" t="n">
        <v>0.0</v>
      </c>
      <c r="O695" t="n">
        <v>0.0</v>
      </c>
      <c r="P695" t="n">
        <v>0.0</v>
      </c>
      <c r="Q695" t="inlineStr">
        <is>
          <t/>
        </is>
      </c>
      <c r="R695" t="inlineStr">
        <is>
          <t/>
        </is>
      </c>
      <c r="S695" t="n">
        <v>0.0</v>
      </c>
      <c r="T695" t="n">
        <v>0.0</v>
      </c>
      <c r="U695" t="n">
        <v>0.0</v>
      </c>
      <c r="V695" t="n">
        <v>0.0</v>
      </c>
      <c r="W695" t="inlineStr">
        <is>
          <t/>
        </is>
      </c>
      <c r="X695" t="n">
        <v>0.0</v>
      </c>
      <c r="Y695" t="n">
        <v>0.0</v>
      </c>
      <c r="Z695" t="n">
        <v>0.0</v>
      </c>
      <c r="AA695" t="n">
        <v>0.0</v>
      </c>
      <c r="AB695" t="n">
        <v>0.0</v>
      </c>
      <c r="AC695" t="n">
        <v>0.0</v>
      </c>
      <c r="AD695" t="n">
        <v>1.0</v>
      </c>
      <c r="AE695" t="n">
        <v>0.0</v>
      </c>
      <c r="AF695" t="n">
        <v>0.0</v>
      </c>
      <c r="AG695" t="n">
        <v>0.0</v>
      </c>
      <c r="AH695" t="n">
        <v>0.0</v>
      </c>
      <c r="AI695" t="n">
        <v>0.0</v>
      </c>
      <c r="AJ695" t="n">
        <v>0.0</v>
      </c>
      <c r="AK695" t="n">
        <v>2.0</v>
      </c>
      <c r="AL695" t="inlineStr">
        <is>
          <t/>
        </is>
      </c>
    </row>
    <row r="696">
      <c r="A696" t="inlineStr">
        <is>
          <t>别拿山母和我比，真的不够打的</t>
        </is>
      </c>
      <c r="B696" t="inlineStr">
        <is>
          <t>6a28f8cc0000000007023aba</t>
        </is>
      </c>
      <c r="C696" s="695" t="n">
        <f>HYPERLINK("https://www.xiaohongshu.com/explore/6a28f8cc0000000007023aba?xsec_token=TBjRDlWvuanGfwsOwntw7dM8c24eGL0kWwPgvlYndVz94=&amp;xsec_source=pc_trdark","https://www.xiaohongshu.com/explore/6a28f8cc0000000007023aba?xsec_token=TBjRDlWvuanGfwsOwntw7dM8c24eGL0kWwPgvlYndVz94=&amp;xsec_source=pc_trdark")</f>
        <v>0.0</v>
      </c>
      <c r="D696" t="inlineStr">
        <is>
          <t>鲜水湾</t>
        </is>
      </c>
      <c r="E696" t="inlineStr">
        <is>
          <t>49316638994</t>
        </is>
      </c>
      <c r="F696" t="inlineStr">
        <is>
          <t>2026-06-10 13:40:28</t>
        </is>
      </c>
      <c r="G696" t="inlineStr">
        <is>
          <t>图文</t>
        </is>
      </c>
      <c r="H696" t="inlineStr">
        <is>
          <t>智利三文鱼切块·整条三文鱼·深海鱼一人食健康饮食</t>
        </is>
      </c>
      <c r="I696" t="inlineStr">
        <is>
          <t>691ac562a524ee0001b51d7b</t>
        </is>
      </c>
      <c r="J696" t="inlineStr">
        <is>
          <t/>
        </is>
      </c>
      <c r="K696" t="n">
        <v>0.0</v>
      </c>
      <c r="L696" t="n">
        <v>0.0</v>
      </c>
      <c r="M696" t="n">
        <v>1.0</v>
      </c>
      <c r="N696" t="n">
        <v>1.0</v>
      </c>
      <c r="O696" t="n">
        <v>1.0</v>
      </c>
      <c r="P696" t="n">
        <v>0.0</v>
      </c>
      <c r="Q696" t="n">
        <v>0.0</v>
      </c>
      <c r="R696" t="n">
        <v>0.0</v>
      </c>
      <c r="S696" t="n">
        <v>0.0</v>
      </c>
      <c r="T696" t="n">
        <v>0.0</v>
      </c>
      <c r="U696" t="n">
        <v>0.0</v>
      </c>
      <c r="V696" t="n">
        <v>0.0</v>
      </c>
      <c r="W696" t="inlineStr">
        <is>
          <t/>
        </is>
      </c>
      <c r="X696" t="n">
        <v>0.0</v>
      </c>
      <c r="Y696" t="n">
        <v>0.0</v>
      </c>
      <c r="Z696" t="n">
        <v>0.0</v>
      </c>
      <c r="AA696" t="n">
        <v>0.0</v>
      </c>
      <c r="AB696" t="n">
        <v>0.0</v>
      </c>
      <c r="AC696" t="n">
        <v>0.0</v>
      </c>
      <c r="AD696" t="n">
        <v>1.0</v>
      </c>
      <c r="AE696" t="n">
        <v>0.0</v>
      </c>
      <c r="AF696" t="n">
        <v>0.0</v>
      </c>
      <c r="AG696" t="n">
        <v>0.0</v>
      </c>
      <c r="AH696" t="n">
        <v>0.0</v>
      </c>
      <c r="AI696" t="n">
        <v>0.0</v>
      </c>
      <c r="AJ696" t="n">
        <v>0.0</v>
      </c>
      <c r="AK696" t="n">
        <v>69.0</v>
      </c>
      <c r="AL696" t="inlineStr">
        <is>
          <t/>
        </is>
      </c>
    </row>
    <row r="697">
      <c r="A697" t="inlineStr">
        <is>
          <t>早八赶时间，我的带饭公式被同事抄走了！！！！</t>
        </is>
      </c>
      <c r="B697" t="inlineStr">
        <is>
          <t>6a2807bb000000003502941f</t>
        </is>
      </c>
      <c r="C697" s="696" t="n">
        <f>HYPERLINK("https://www.xiaohongshu.com/explore/6a2807bb000000003502941f?xsec_token=TBjRDlWvuanGfwsOwntw7dM1f9d1rUR5JC6hbqB5i6vns=&amp;xsec_source=pc_trdark","https://www.xiaohongshu.com/explore/6a2807bb000000003502941f?xsec_token=TBjRDlWvuanGfwsOwntw7dM1f9d1rUR5JC6hbqB5i6vns=&amp;xsec_source=pc_trdark")</f>
        <v>0.0</v>
      </c>
      <c r="D697" t="inlineStr">
        <is>
          <t>鲜水湾甄选</t>
        </is>
      </c>
      <c r="E697" t="inlineStr">
        <is>
          <t>27401929161</t>
        </is>
      </c>
      <c r="F697" t="inlineStr">
        <is>
          <t>2026-06-09 20:31:55</t>
        </is>
      </c>
      <c r="G697" t="inlineStr">
        <is>
          <t>图文</t>
        </is>
      </c>
      <c r="H697" t="inlineStr">
        <is>
          <t>手剥虾仁 无冰衣无添加 低脂餐一人食 上班带饭 顺丰包邮 5盒装</t>
        </is>
      </c>
      <c r="I697" t="inlineStr">
        <is>
          <t>694baba01d450d00013662f0</t>
        </is>
      </c>
      <c r="J697" t="inlineStr">
        <is>
          <t/>
        </is>
      </c>
      <c r="K697" t="n">
        <v>0.0</v>
      </c>
      <c r="L697" t="n">
        <v>0.0</v>
      </c>
      <c r="M697" t="n">
        <v>0.0</v>
      </c>
      <c r="N697" t="n">
        <v>0.0</v>
      </c>
      <c r="O697" t="n">
        <v>0.0</v>
      </c>
      <c r="P697" t="n">
        <v>0.0</v>
      </c>
      <c r="Q697" t="inlineStr">
        <is>
          <t/>
        </is>
      </c>
      <c r="R697" t="inlineStr">
        <is>
          <t/>
        </is>
      </c>
      <c r="S697" t="n">
        <v>0.0</v>
      </c>
      <c r="T697" t="n">
        <v>0.0</v>
      </c>
      <c r="U697" t="n">
        <v>0.0</v>
      </c>
      <c r="V697" t="n">
        <v>0.0</v>
      </c>
      <c r="W697" t="inlineStr">
        <is>
          <t/>
        </is>
      </c>
      <c r="X697" t="n">
        <v>0.0</v>
      </c>
      <c r="Y697" t="n">
        <v>0.0</v>
      </c>
      <c r="Z697" t="n">
        <v>0.0</v>
      </c>
      <c r="AA697" t="n">
        <v>0.0</v>
      </c>
      <c r="AB697" t="n">
        <v>0.0</v>
      </c>
      <c r="AC697" t="n">
        <v>0.0</v>
      </c>
      <c r="AD697" t="n">
        <v>1.0</v>
      </c>
      <c r="AE697" t="n">
        <v>0.0</v>
      </c>
      <c r="AF697" t="n">
        <v>0.0</v>
      </c>
      <c r="AG697" t="n">
        <v>0.0</v>
      </c>
      <c r="AH697" t="n">
        <v>0.0</v>
      </c>
      <c r="AI697" t="n">
        <v>0.0</v>
      </c>
      <c r="AJ697" t="n">
        <v>0.0</v>
      </c>
      <c r="AK697" t="n">
        <v>0.0</v>
      </c>
      <c r="AL697" t="inlineStr">
        <is>
          <t/>
        </is>
      </c>
    </row>
    <row r="698">
      <c r="A698" t="inlineStr">
        <is>
          <t>300多承包我一个月控体餐</t>
        </is>
      </c>
      <c r="B698" t="inlineStr">
        <is>
          <t>6a27ddc500000000070213ec</t>
        </is>
      </c>
      <c r="C698" s="697" t="n">
        <f>HYPERLINK("https://www.xiaohongshu.com/explore/6a27ddc500000000070213ec?xsec_token=TBvEjGJgk05ohH1lyk129F5b-0imnY4WwY8uDWJc-TkKk=&amp;xsec_source=pc_trdark","https://www.xiaohongshu.com/explore/6a27ddc500000000070213ec?xsec_token=TBvEjGJgk05ohH1lyk129F5b-0imnY4WwY8uDWJc-TkKk=&amp;xsec_source=pc_trdark")</f>
        <v>0.0</v>
      </c>
      <c r="D698" t="inlineStr">
        <is>
          <t>鲜水湾</t>
        </is>
      </c>
      <c r="E698" t="inlineStr">
        <is>
          <t>49316638994</t>
        </is>
      </c>
      <c r="F698" t="inlineStr">
        <is>
          <t>2026-06-09 17:32:53</t>
        </is>
      </c>
      <c r="G698" t="inlineStr">
        <is>
          <t>图文</t>
        </is>
      </c>
      <c r="H698" t="inlineStr">
        <is>
          <t>智利三文鱼切块·整条三文鱼·深海鱼一人食健康饮食</t>
        </is>
      </c>
      <c r="I698" t="inlineStr">
        <is>
          <t>691ac562a524ee0001b51d7b</t>
        </is>
      </c>
      <c r="J698" t="inlineStr">
        <is>
          <t/>
        </is>
      </c>
      <c r="K698" t="n">
        <v>0.0</v>
      </c>
      <c r="L698" t="n">
        <v>0.0</v>
      </c>
      <c r="M698" t="n">
        <v>1.0</v>
      </c>
      <c r="N698" t="n">
        <v>1.0</v>
      </c>
      <c r="O698" t="n">
        <v>1.0</v>
      </c>
      <c r="P698" t="n">
        <v>0.0</v>
      </c>
      <c r="Q698" t="n">
        <v>0.0</v>
      </c>
      <c r="R698" t="n">
        <v>0.0</v>
      </c>
      <c r="S698" t="n">
        <v>0.0</v>
      </c>
      <c r="T698" t="n">
        <v>0.0</v>
      </c>
      <c r="U698" t="n">
        <v>0.0</v>
      </c>
      <c r="V698" t="n">
        <v>0.0</v>
      </c>
      <c r="W698" t="inlineStr">
        <is>
          <t/>
        </is>
      </c>
      <c r="X698" t="n">
        <v>0.0</v>
      </c>
      <c r="Y698" t="n">
        <v>0.0</v>
      </c>
      <c r="Z698" t="n">
        <v>0.0</v>
      </c>
      <c r="AA698" t="n">
        <v>0.0</v>
      </c>
      <c r="AB698" t="n">
        <v>0.0</v>
      </c>
      <c r="AC698" t="n">
        <v>0.0</v>
      </c>
      <c r="AD698" t="n">
        <v>1.0</v>
      </c>
      <c r="AE698" t="n">
        <v>0.0</v>
      </c>
      <c r="AF698" t="n">
        <v>0.0</v>
      </c>
      <c r="AG698" t="n">
        <v>0.0</v>
      </c>
      <c r="AH698" t="n">
        <v>0.0</v>
      </c>
      <c r="AI698" t="n">
        <v>0.0</v>
      </c>
      <c r="AJ698" t="n">
        <v>0.0</v>
      </c>
      <c r="AK698" t="n">
        <v>17.0</v>
      </c>
      <c r="AL698" t="inlineStr">
        <is>
          <t/>
        </is>
      </c>
    </row>
    <row r="699">
      <c r="A699" t="inlineStr">
        <is>
          <t>夏天减脂期真不贵，69块够我吃一周了！！</t>
        </is>
      </c>
      <c r="B699" t="inlineStr">
        <is>
          <t>6a27b6060000000021018f8a</t>
        </is>
      </c>
      <c r="C699" s="698" t="n">
        <f>HYPERLINK("https://www.xiaohongshu.com/explore/6a27b6060000000021018f8a?xsec_token=TBvEjGJgk05ohH1lyk129F5d31h_shXCJtE5gczSaqdNw=&amp;xsec_source=pc_trdark","https://www.xiaohongshu.com/explore/6a27b6060000000021018f8a?xsec_token=TBvEjGJgk05ohH1lyk129F5d31h_shXCJtE5gczSaqdNw=&amp;xsec_source=pc_trdark")</f>
        <v>0.0</v>
      </c>
      <c r="D699" t="inlineStr">
        <is>
          <t>菲菲上班吃什么</t>
        </is>
      </c>
      <c r="E699" t="inlineStr">
        <is>
          <t>49936530607</t>
        </is>
      </c>
      <c r="F699" t="inlineStr">
        <is>
          <t>2026-06-09 14:43:18</t>
        </is>
      </c>
      <c r="G699" t="inlineStr">
        <is>
          <t>图文</t>
        </is>
      </c>
      <c r="H699" t="inlineStr">
        <is>
          <t>手剥虾仁 无冰衣无添加 低脂餐一人食 上班带饭 顺丰包邮 5盒装</t>
        </is>
      </c>
      <c r="I699" t="inlineStr">
        <is>
          <t>694baba01d450d00013662f0</t>
        </is>
      </c>
      <c r="J699" t="inlineStr">
        <is>
          <t/>
        </is>
      </c>
      <c r="K699" t="n">
        <v>0.0</v>
      </c>
      <c r="L699" t="n">
        <v>0.0</v>
      </c>
      <c r="M699" t="n">
        <v>0.0</v>
      </c>
      <c r="N699" t="n">
        <v>0.0</v>
      </c>
      <c r="O699" t="n">
        <v>0.0</v>
      </c>
      <c r="P699" t="n">
        <v>0.0</v>
      </c>
      <c r="Q699" t="inlineStr">
        <is>
          <t/>
        </is>
      </c>
      <c r="R699" t="inlineStr">
        <is>
          <t/>
        </is>
      </c>
      <c r="S699" t="n">
        <v>0.0</v>
      </c>
      <c r="T699" t="n">
        <v>0.0</v>
      </c>
      <c r="U699" t="n">
        <v>0.0</v>
      </c>
      <c r="V699" t="n">
        <v>0.0</v>
      </c>
      <c r="W699" t="inlineStr">
        <is>
          <t/>
        </is>
      </c>
      <c r="X699" t="n">
        <v>0.0</v>
      </c>
      <c r="Y699" t="n">
        <v>0.0</v>
      </c>
      <c r="Z699" t="n">
        <v>0.0</v>
      </c>
      <c r="AA699" t="n">
        <v>0.0</v>
      </c>
      <c r="AB699" t="n">
        <v>0.0</v>
      </c>
      <c r="AC699" t="n">
        <v>0.0</v>
      </c>
      <c r="AD699" t="n">
        <v>1.0</v>
      </c>
      <c r="AE699" t="n">
        <v>0.0</v>
      </c>
      <c r="AF699" t="n">
        <v>0.0</v>
      </c>
      <c r="AG699" t="n">
        <v>0.0</v>
      </c>
      <c r="AH699" t="n">
        <v>0.0</v>
      </c>
      <c r="AI699" t="n">
        <v>0.0</v>
      </c>
      <c r="AJ699" t="n">
        <v>0.0</v>
      </c>
      <c r="AK699" t="n">
        <v>2.0</v>
      </c>
      <c r="AL699" t="inlineStr">
        <is>
          <t/>
        </is>
      </c>
    </row>
    <row r="700">
      <c r="A700" t="inlineStr">
        <is>
          <t>感觉控体期掉秤最明显的还是吃虾仁😭</t>
        </is>
      </c>
      <c r="B700" t="inlineStr">
        <is>
          <t>6a26b0e50000000022020d26</t>
        </is>
      </c>
      <c r="C700" s="699" t="n">
        <f>HYPERLINK("https://www.xiaohongshu.com/explore/6a26b0e50000000022020d26?xsec_token=TB6Q3z0Jm3jMFQ1Wl1RTAnfu1yn3n7kj1y00zwXMt5u9A=&amp;xsec_source=pc_trdark","https://www.xiaohongshu.com/explore/6a26b0e50000000022020d26?xsec_token=TB6Q3z0Jm3jMFQ1Wl1RTAnfu1yn3n7kj1y00zwXMt5u9A=&amp;xsec_source=pc_trdark")</f>
        <v>0.0</v>
      </c>
      <c r="D700" t="inlineStr">
        <is>
          <t>鲜水湾甄选</t>
        </is>
      </c>
      <c r="E700" t="inlineStr">
        <is>
          <t>27401929161</t>
        </is>
      </c>
      <c r="F700" t="inlineStr">
        <is>
          <t>2026-06-08 20:09:09</t>
        </is>
      </c>
      <c r="G700" t="inlineStr">
        <is>
          <t>图文</t>
        </is>
      </c>
      <c r="H700" t="inlineStr">
        <is>
          <t>手剥虾仁 无冰衣无添加 低脂餐一人食 上班带饭 顺丰包邮 5盒装</t>
        </is>
      </c>
      <c r="I700" t="inlineStr">
        <is>
          <t>694baba01d450d00013662f0</t>
        </is>
      </c>
      <c r="J700" t="inlineStr">
        <is>
          <t/>
        </is>
      </c>
      <c r="K700" t="n">
        <v>0.0</v>
      </c>
      <c r="L700" t="n">
        <v>0.0</v>
      </c>
      <c r="M700" t="n">
        <v>1.0</v>
      </c>
      <c r="N700" t="n">
        <v>1.0</v>
      </c>
      <c r="O700" t="n">
        <v>1.0</v>
      </c>
      <c r="P700" t="n">
        <v>0.0</v>
      </c>
      <c r="Q700" t="n">
        <v>0.0</v>
      </c>
      <c r="R700" t="n">
        <v>0.0</v>
      </c>
      <c r="S700" t="n">
        <v>0.0</v>
      </c>
      <c r="T700" t="n">
        <v>0.0</v>
      </c>
      <c r="U700" t="n">
        <v>0.0</v>
      </c>
      <c r="V700" t="n">
        <v>0.0</v>
      </c>
      <c r="W700" t="inlineStr">
        <is>
          <t/>
        </is>
      </c>
      <c r="X700" t="n">
        <v>0.0</v>
      </c>
      <c r="Y700" t="n">
        <v>0.0</v>
      </c>
      <c r="Z700" t="n">
        <v>0.0</v>
      </c>
      <c r="AA700" t="n">
        <v>0.0</v>
      </c>
      <c r="AB700" t="n">
        <v>0.0</v>
      </c>
      <c r="AC700" t="n">
        <v>0.0</v>
      </c>
      <c r="AD700" t="n">
        <v>1.0</v>
      </c>
      <c r="AE700" t="n">
        <v>0.0</v>
      </c>
      <c r="AF700" t="n">
        <v>0.0</v>
      </c>
      <c r="AG700" t="n">
        <v>0.0</v>
      </c>
      <c r="AH700" t="n">
        <v>0.0</v>
      </c>
      <c r="AI700" t="n">
        <v>0.0</v>
      </c>
      <c r="AJ700" t="n">
        <v>0.0</v>
      </c>
      <c r="AK700" t="n">
        <v>5.0</v>
      </c>
      <c r="AL700" t="inlineStr">
        <is>
          <t/>
        </is>
      </c>
    </row>
    <row r="701">
      <c r="A701" t="inlineStr">
        <is>
          <t>月入3000，每天吃三文鱼真的很奢侈吗？</t>
        </is>
      </c>
      <c r="B701" t="inlineStr">
        <is>
          <t>6a2694f10000000006020988</t>
        </is>
      </c>
      <c r="C701" s="700" t="n">
        <f>HYPERLINK("https://www.xiaohongshu.com/explore/6a2694f10000000006020988?xsec_token=TB6Q3z0Jm3jMFQ1Wl1RTAnfuk3VOySMmStD_LE9amdN3M=&amp;xsec_source=pc_trdark","https://www.xiaohongshu.com/explore/6a2694f10000000006020988?xsec_token=TB6Q3z0Jm3jMFQ1Wl1RTAnfuk3VOySMmStD_LE9amdN3M=&amp;xsec_source=pc_trdark")</f>
        <v>0.0</v>
      </c>
      <c r="D701" t="inlineStr">
        <is>
          <t>鲜水湾</t>
        </is>
      </c>
      <c r="E701" t="inlineStr">
        <is>
          <t>49316638994</t>
        </is>
      </c>
      <c r="F701" t="inlineStr">
        <is>
          <t>2026-06-08 18:09:53</t>
        </is>
      </c>
      <c r="G701" t="inlineStr">
        <is>
          <t>图文</t>
        </is>
      </c>
      <c r="H701" t="inlineStr">
        <is>
          <t>智利三文鱼切块·整条三文鱼·深海鱼一人食健康饮食</t>
        </is>
      </c>
      <c r="I701" t="inlineStr">
        <is>
          <t>691ac562a524ee0001b51d7b</t>
        </is>
      </c>
      <c r="J701" t="inlineStr">
        <is>
          <t/>
        </is>
      </c>
      <c r="K701" t="n">
        <v>0.0</v>
      </c>
      <c r="L701" t="n">
        <v>0.0</v>
      </c>
      <c r="M701" t="n">
        <v>0.0</v>
      </c>
      <c r="N701" t="n">
        <v>0.0</v>
      </c>
      <c r="O701" t="n">
        <v>0.0</v>
      </c>
      <c r="P701" t="n">
        <v>0.0</v>
      </c>
      <c r="Q701" t="inlineStr">
        <is>
          <t/>
        </is>
      </c>
      <c r="R701" t="inlineStr">
        <is>
          <t/>
        </is>
      </c>
      <c r="S701" t="n">
        <v>0.0</v>
      </c>
      <c r="T701" t="n">
        <v>0.0</v>
      </c>
      <c r="U701" t="n">
        <v>0.0</v>
      </c>
      <c r="V701" t="n">
        <v>0.0</v>
      </c>
      <c r="W701" t="inlineStr">
        <is>
          <t/>
        </is>
      </c>
      <c r="X701" t="n">
        <v>0.0</v>
      </c>
      <c r="Y701" t="n">
        <v>0.0</v>
      </c>
      <c r="Z701" t="n">
        <v>0.0</v>
      </c>
      <c r="AA701" t="n">
        <v>0.0</v>
      </c>
      <c r="AB701" t="n">
        <v>0.0</v>
      </c>
      <c r="AC701" t="n">
        <v>0.0</v>
      </c>
      <c r="AD701" t="n">
        <v>1.0</v>
      </c>
      <c r="AE701" t="n">
        <v>0.0</v>
      </c>
      <c r="AF701" t="n">
        <v>0.0</v>
      </c>
      <c r="AG701" t="n">
        <v>0.0</v>
      </c>
      <c r="AH701" t="n">
        <v>0.0</v>
      </c>
      <c r="AI701" t="n">
        <v>0.0</v>
      </c>
      <c r="AJ701" t="n">
        <v>0.0</v>
      </c>
      <c r="AK701" t="n">
        <v>8.0</v>
      </c>
      <c r="AL701" t="inlineStr">
        <is>
          <t/>
        </is>
      </c>
    </row>
    <row r="702">
      <c r="A702" t="inlineStr">
        <is>
          <t>听我的！减脂还得是虾仁！才60+</t>
        </is>
      </c>
      <c r="B702" t="inlineStr">
        <is>
          <t>6a2629b30000000021015028</t>
        </is>
      </c>
      <c r="C702" s="701" t="n">
        <f>HYPERLINK("https://www.xiaohongshu.com/explore/6a2629b30000000021015028?xsec_token=TB6Q3z0Jm3jMFQ1Wl1RTAnfiMAVUBaGPSyTm2r5ClHOyI=&amp;xsec_source=pc_trdark","https://www.xiaohongshu.com/explore/6a2629b30000000021015028?xsec_token=TB6Q3z0Jm3jMFQ1Wl1RTAnfiMAVUBaGPSyTm2r5ClHOyI=&amp;xsec_source=pc_trdark")</f>
        <v>0.0</v>
      </c>
      <c r="D702" t="inlineStr">
        <is>
          <t>婉婉上班吃什么</t>
        </is>
      </c>
      <c r="E702" t="inlineStr">
        <is>
          <t>11434449706</t>
        </is>
      </c>
      <c r="F702" t="inlineStr">
        <is>
          <t>2026-06-08 10:32:19</t>
        </is>
      </c>
      <c r="G702" t="inlineStr">
        <is>
          <t>图文</t>
        </is>
      </c>
      <c r="H702" t="inlineStr">
        <is>
          <t>手剥虾仁 无冰衣无添加 低脂餐一人食 上班带饭 顺丰包邮 5盒装</t>
        </is>
      </c>
      <c r="I702" t="inlineStr">
        <is>
          <t>694baba01d450d00013662f0</t>
        </is>
      </c>
      <c r="J702" t="inlineStr">
        <is>
          <t/>
        </is>
      </c>
      <c r="K702" t="n">
        <v>0.0</v>
      </c>
      <c r="L702" t="n">
        <v>0.0</v>
      </c>
      <c r="M702" t="n">
        <v>0.0</v>
      </c>
      <c r="N702" t="n">
        <v>0.0</v>
      </c>
      <c r="O702" t="n">
        <v>0.0</v>
      </c>
      <c r="P702" t="n">
        <v>0.0</v>
      </c>
      <c r="Q702" t="inlineStr">
        <is>
          <t/>
        </is>
      </c>
      <c r="R702" t="inlineStr">
        <is>
          <t/>
        </is>
      </c>
      <c r="S702" t="n">
        <v>0.0</v>
      </c>
      <c r="T702" t="n">
        <v>0.0</v>
      </c>
      <c r="U702" t="n">
        <v>0.0</v>
      </c>
      <c r="V702" t="n">
        <v>0.0</v>
      </c>
      <c r="W702" t="inlineStr">
        <is>
          <t/>
        </is>
      </c>
      <c r="X702" t="n">
        <v>0.0</v>
      </c>
      <c r="Y702" t="n">
        <v>0.0</v>
      </c>
      <c r="Z702" t="n">
        <v>0.0</v>
      </c>
      <c r="AA702" t="n">
        <v>0.0</v>
      </c>
      <c r="AB702" t="n">
        <v>0.0</v>
      </c>
      <c r="AC702" t="n">
        <v>0.0</v>
      </c>
      <c r="AD702" t="n">
        <v>1.0</v>
      </c>
      <c r="AE702" t="n">
        <v>0.0</v>
      </c>
      <c r="AF702" t="n">
        <v>0.0</v>
      </c>
      <c r="AG702" t="n">
        <v>0.0</v>
      </c>
      <c r="AH702" t="n">
        <v>0.0</v>
      </c>
      <c r="AI702" t="n">
        <v>0.0</v>
      </c>
      <c r="AJ702" t="n">
        <v>0.0</v>
      </c>
      <c r="AK702" t="n">
        <v>1.0</v>
      </c>
      <c r="AL702" t="inlineStr">
        <is>
          <t/>
        </is>
      </c>
    </row>
    <row r="703">
      <c r="A703" t="inlineStr">
        <is>
          <t>普通人减脂省钱分享：100+吃半个月…</t>
        </is>
      </c>
      <c r="B703" t="inlineStr">
        <is>
          <t>6a23d8680000000022018a58</t>
        </is>
      </c>
      <c r="C703" s="702" t="n">
        <f>HYPERLINK("https://www.xiaohongshu.com/explore/6a23d8680000000022018a58?xsec_token=TBMokr-Q7hGTLjI-UgelFX7_vYlE_g70VGs-g87dYrt7w=&amp;xsec_source=pc_trdark","https://www.xiaohongshu.com/explore/6a23d8680000000022018a58?xsec_token=TBMokr-Q7hGTLjI-UgelFX7_vYlE_g70VGs-g87dYrt7w=&amp;xsec_source=pc_trdark")</f>
        <v>0.0</v>
      </c>
      <c r="D703" t="inlineStr">
        <is>
          <t>鲜水湾甄选</t>
        </is>
      </c>
      <c r="E703" t="inlineStr">
        <is>
          <t>27401929161</t>
        </is>
      </c>
      <c r="F703" t="inlineStr">
        <is>
          <t>2026-06-06 19:20:00</t>
        </is>
      </c>
      <c r="G703" t="inlineStr">
        <is>
          <t>图文</t>
        </is>
      </c>
      <c r="H703" t="inlineStr">
        <is>
          <t>手剥虾仁 无冰衣无添加 低脂餐一人食 上班带饭 顺丰包邮 5盒装</t>
        </is>
      </c>
      <c r="I703" t="inlineStr">
        <is>
          <t>694baba01d450d00013662f0</t>
        </is>
      </c>
      <c r="J703" t="inlineStr">
        <is>
          <t/>
        </is>
      </c>
      <c r="K703" t="n">
        <v>0.0</v>
      </c>
      <c r="L703" t="n">
        <v>0.0</v>
      </c>
      <c r="M703" t="n">
        <v>0.0</v>
      </c>
      <c r="N703" t="n">
        <v>0.0</v>
      </c>
      <c r="O703" t="n">
        <v>0.0</v>
      </c>
      <c r="P703" t="n">
        <v>0.0</v>
      </c>
      <c r="Q703" t="inlineStr">
        <is>
          <t/>
        </is>
      </c>
      <c r="R703" t="inlineStr">
        <is>
          <t/>
        </is>
      </c>
      <c r="S703" t="n">
        <v>0.0</v>
      </c>
      <c r="T703" t="n">
        <v>0.0</v>
      </c>
      <c r="U703" t="n">
        <v>0.0</v>
      </c>
      <c r="V703" t="n">
        <v>0.0</v>
      </c>
      <c r="W703" t="inlineStr">
        <is>
          <t/>
        </is>
      </c>
      <c r="X703" t="n">
        <v>0.0</v>
      </c>
      <c r="Y703" t="n">
        <v>0.0</v>
      </c>
      <c r="Z703" t="n">
        <v>0.0</v>
      </c>
      <c r="AA703" t="n">
        <v>0.0</v>
      </c>
      <c r="AB703" t="n">
        <v>0.0</v>
      </c>
      <c r="AC703" t="n">
        <v>0.0</v>
      </c>
      <c r="AD703" t="n">
        <v>1.0</v>
      </c>
      <c r="AE703" t="n">
        <v>0.0</v>
      </c>
      <c r="AF703" t="n">
        <v>0.0</v>
      </c>
      <c r="AG703" t="n">
        <v>0.0</v>
      </c>
      <c r="AH703" t="n">
        <v>0.0</v>
      </c>
      <c r="AI703" t="n">
        <v>0.0</v>
      </c>
      <c r="AJ703" t="n">
        <v>0.0</v>
      </c>
      <c r="AK703" t="n">
        <v>0.0</v>
      </c>
      <c r="AL703" t="inlineStr">
        <is>
          <t/>
        </is>
      </c>
    </row>
    <row r="704">
      <c r="A704" t="inlineStr">
        <is>
          <t>说一个热量低，但可以撑死人的东西❗️</t>
        </is>
      </c>
      <c r="B704" t="inlineStr">
        <is>
          <t>6a23d61300000000210092c5</t>
        </is>
      </c>
      <c r="C704" s="703" t="n">
        <f>HYPERLINK("https://www.xiaohongshu.com/explore/6a23d61300000000210092c5?xsec_token=TBMokr-Q7hGTLjI-UgelFX77AJfDDP0Q2g5Gl0QOdE-LQ=&amp;xsec_source=pc_trdark","https://www.xiaohongshu.com/explore/6a23d61300000000210092c5?xsec_token=TBMokr-Q7hGTLjI-UgelFX77AJfDDP0Q2g5Gl0QOdE-LQ=&amp;xsec_source=pc_trdark")</f>
        <v>0.0</v>
      </c>
      <c r="D704" t="inlineStr">
        <is>
          <t>婉婉上班吃什么</t>
        </is>
      </c>
      <c r="E704" t="inlineStr">
        <is>
          <t>11434449706</t>
        </is>
      </c>
      <c r="F704" t="inlineStr">
        <is>
          <t>2026-06-06 16:10:59</t>
        </is>
      </c>
      <c r="G704" t="inlineStr">
        <is>
          <t>图文</t>
        </is>
      </c>
      <c r="H704" t="inlineStr">
        <is>
          <t>手剥虾仁 无冰衣无添加 低脂餐一人食 上班带饭 顺丰包邮 5盒装</t>
        </is>
      </c>
      <c r="I704" t="inlineStr">
        <is>
          <t>694baba01d450d00013662f0</t>
        </is>
      </c>
      <c r="J704" t="inlineStr">
        <is>
          <t/>
        </is>
      </c>
      <c r="K704" t="n">
        <v>0.0</v>
      </c>
      <c r="L704" t="n">
        <v>0.0</v>
      </c>
      <c r="M704" t="n">
        <v>0.0</v>
      </c>
      <c r="N704" t="n">
        <v>0.0</v>
      </c>
      <c r="O704" t="n">
        <v>0.0</v>
      </c>
      <c r="P704" t="n">
        <v>0.0</v>
      </c>
      <c r="Q704" t="inlineStr">
        <is>
          <t/>
        </is>
      </c>
      <c r="R704" t="inlineStr">
        <is>
          <t/>
        </is>
      </c>
      <c r="S704" t="n">
        <v>0.0</v>
      </c>
      <c r="T704" t="n">
        <v>0.0</v>
      </c>
      <c r="U704" t="n">
        <v>0.0</v>
      </c>
      <c r="V704" t="n">
        <v>0.0</v>
      </c>
      <c r="W704" t="inlineStr">
        <is>
          <t/>
        </is>
      </c>
      <c r="X704" t="n">
        <v>0.0</v>
      </c>
      <c r="Y704" t="n">
        <v>0.0</v>
      </c>
      <c r="Z704" t="n">
        <v>0.0</v>
      </c>
      <c r="AA704" t="n">
        <v>0.0</v>
      </c>
      <c r="AB704" t="n">
        <v>0.0</v>
      </c>
      <c r="AC704" t="n">
        <v>0.0</v>
      </c>
      <c r="AD704" t="n">
        <v>1.0</v>
      </c>
      <c r="AE704" t="n">
        <v>0.0</v>
      </c>
      <c r="AF704" t="n">
        <v>0.0</v>
      </c>
      <c r="AG704" t="n">
        <v>0.0</v>
      </c>
      <c r="AH704" t="n">
        <v>0.0</v>
      </c>
      <c r="AI704" t="n">
        <v>0.0</v>
      </c>
      <c r="AJ704" t="n">
        <v>0.0</v>
      </c>
      <c r="AK704" t="n">
        <v>3.0</v>
      </c>
      <c r="AL704" t="inlineStr">
        <is>
          <t/>
        </is>
      </c>
    </row>
    <row r="705">
      <c r="A705" t="inlineStr">
        <is>
          <t>夏天减脂真不贵，69块钱够我吃一周了！！！</t>
        </is>
      </c>
      <c r="B705" t="inlineStr">
        <is>
          <t>6a238302000000002103cc4e</t>
        </is>
      </c>
      <c r="C705" s="704" t="n">
        <f>HYPERLINK("https://www.xiaohongshu.com/explore/6a238302000000002103cc4e?xsec_token=TBMokr-Q7hGTLjI-UgelFX7wfKP8Nf-8vs47OIO_gzIkY=&amp;xsec_source=pc_trdark","https://www.xiaohongshu.com/explore/6a238302000000002103cc4e?xsec_token=TBMokr-Q7hGTLjI-UgelFX7wfKP8Nf-8vs47OIO_gzIkY=&amp;xsec_source=pc_trdark")</f>
        <v>0.0</v>
      </c>
      <c r="D705" t="inlineStr">
        <is>
          <t>菲菲上班吃什么</t>
        </is>
      </c>
      <c r="E705" t="inlineStr">
        <is>
          <t>49936530607</t>
        </is>
      </c>
      <c r="F705" t="inlineStr">
        <is>
          <t>2026-06-06 10:16:34</t>
        </is>
      </c>
      <c r="G705" t="inlineStr">
        <is>
          <t>图文</t>
        </is>
      </c>
      <c r="H705" t="inlineStr">
        <is>
          <t>手剥虾仁 无冰衣无添加 低脂餐一人食 上班带饭 顺丰包邮 5盒装</t>
        </is>
      </c>
      <c r="I705" t="inlineStr">
        <is>
          <t>694baba01d450d00013662f0</t>
        </is>
      </c>
      <c r="J705" t="inlineStr">
        <is>
          <t/>
        </is>
      </c>
      <c r="K705" t="n">
        <v>0.0</v>
      </c>
      <c r="L705" t="n">
        <v>0.0</v>
      </c>
      <c r="M705" t="n">
        <v>0.0</v>
      </c>
      <c r="N705" t="n">
        <v>0.0</v>
      </c>
      <c r="O705" t="n">
        <v>0.0</v>
      </c>
      <c r="P705" t="n">
        <v>0.0</v>
      </c>
      <c r="Q705" t="inlineStr">
        <is>
          <t/>
        </is>
      </c>
      <c r="R705" t="inlineStr">
        <is>
          <t/>
        </is>
      </c>
      <c r="S705" t="n">
        <v>0.0</v>
      </c>
      <c r="T705" t="n">
        <v>0.0</v>
      </c>
      <c r="U705" t="n">
        <v>0.0</v>
      </c>
      <c r="V705" t="n">
        <v>0.0</v>
      </c>
      <c r="W705" t="inlineStr">
        <is>
          <t/>
        </is>
      </c>
      <c r="X705" t="n">
        <v>0.0</v>
      </c>
      <c r="Y705" t="n">
        <v>0.0</v>
      </c>
      <c r="Z705" t="n">
        <v>0.0</v>
      </c>
      <c r="AA705" t="n">
        <v>0.0</v>
      </c>
      <c r="AB705" t="n">
        <v>0.0</v>
      </c>
      <c r="AC705" t="n">
        <v>0.0</v>
      </c>
      <c r="AD705" t="n">
        <v>1.0</v>
      </c>
      <c r="AE705" t="n">
        <v>0.0</v>
      </c>
      <c r="AF705" t="n">
        <v>0.0</v>
      </c>
      <c r="AG705" t="n">
        <v>0.0</v>
      </c>
      <c r="AH705" t="n">
        <v>0.0</v>
      </c>
      <c r="AI705" t="n">
        <v>0.0</v>
      </c>
      <c r="AJ705" t="n">
        <v>0.0</v>
      </c>
      <c r="AK705" t="n">
        <v>5.0</v>
      </c>
      <c r="AL705" t="inlineStr">
        <is>
          <t/>
        </is>
      </c>
    </row>
    <row r="706">
      <c r="A706" t="inlineStr">
        <is>
          <t>整条7斤三文鱼，直降100再减30！</t>
        </is>
      </c>
      <c r="B706" t="inlineStr">
        <is>
          <t>6a22db7c0000000008026840</t>
        </is>
      </c>
      <c r="C706" s="705" t="n">
        <f>HYPERLINK("https://www.xiaohongshu.com/explore/6a22db7c0000000008026840?xsec_token=TBC-_2V2Jf8UHvhGX5sq95h7i6KjkKv_KeAMLSor17LsA=&amp;xsec_source=pc_trdark","https://www.xiaohongshu.com/explore/6a22db7c0000000008026840?xsec_token=TBC-_2V2Jf8UHvhGX5sq95h7i6KjkKv_KeAMLSor17LsA=&amp;xsec_source=pc_trdark")</f>
        <v>0.0</v>
      </c>
      <c r="D706" t="inlineStr">
        <is>
          <t>鲜水湾</t>
        </is>
      </c>
      <c r="E706" t="inlineStr">
        <is>
          <t>49316638994</t>
        </is>
      </c>
      <c r="F706" t="inlineStr">
        <is>
          <t>2026-06-05 22:21:48</t>
        </is>
      </c>
      <c r="G706" t="inlineStr">
        <is>
          <t>图文</t>
        </is>
      </c>
      <c r="H706" t="inlineStr">
        <is>
          <t>智利三文鱼切块·整条三文鱼·深海鱼一人食健康饮食</t>
        </is>
      </c>
      <c r="I706" t="inlineStr">
        <is>
          <t>691ac562a524ee0001b51d7b</t>
        </is>
      </c>
      <c r="J706" t="inlineStr">
        <is>
          <t/>
        </is>
      </c>
      <c r="K706" t="n">
        <v>0.0</v>
      </c>
      <c r="L706" t="n">
        <v>0.0</v>
      </c>
      <c r="M706" t="n">
        <v>0.0</v>
      </c>
      <c r="N706" t="n">
        <v>0.0</v>
      </c>
      <c r="O706" t="n">
        <v>0.0</v>
      </c>
      <c r="P706" t="n">
        <v>0.0</v>
      </c>
      <c r="Q706" t="inlineStr">
        <is>
          <t/>
        </is>
      </c>
      <c r="R706" t="inlineStr">
        <is>
          <t/>
        </is>
      </c>
      <c r="S706" t="n">
        <v>0.0</v>
      </c>
      <c r="T706" t="n">
        <v>0.0</v>
      </c>
      <c r="U706" t="n">
        <v>0.0</v>
      </c>
      <c r="V706" t="n">
        <v>0.0</v>
      </c>
      <c r="W706" t="inlineStr">
        <is>
          <t/>
        </is>
      </c>
      <c r="X706" t="n">
        <v>0.0</v>
      </c>
      <c r="Y706" t="n">
        <v>0.0</v>
      </c>
      <c r="Z706" t="n">
        <v>0.0</v>
      </c>
      <c r="AA706" t="n">
        <v>0.0</v>
      </c>
      <c r="AB706" t="n">
        <v>0.0</v>
      </c>
      <c r="AC706" t="n">
        <v>0.0</v>
      </c>
      <c r="AD706" t="n">
        <v>1.0</v>
      </c>
      <c r="AE706" t="n">
        <v>0.0</v>
      </c>
      <c r="AF706" t="n">
        <v>0.0</v>
      </c>
      <c r="AG706" t="n">
        <v>0.0</v>
      </c>
      <c r="AH706" t="n">
        <v>0.0</v>
      </c>
      <c r="AI706" t="n">
        <v>0.0</v>
      </c>
      <c r="AJ706" t="n">
        <v>0.0</v>
      </c>
      <c r="AK706" t="n">
        <v>2.0</v>
      </c>
      <c r="AL706" t="inlineStr">
        <is>
          <t/>
        </is>
      </c>
    </row>
    <row r="707">
      <c r="A707" t="inlineStr">
        <is>
          <t>爸妈觉得我每天吃一包虾仁很奢侈……</t>
        </is>
      </c>
      <c r="B707" t="inlineStr">
        <is>
          <t>6a227f9400000000080039c2</t>
        </is>
      </c>
      <c r="C707" s="706" t="n">
        <f>HYPERLINK("https://www.xiaohongshu.com/explore/6a227f9400000000080039c2?xsec_token=TBC-_2V2Jf8UHvhGX5sq95h0y2Cv1IdRSJh0TJ81c4L0g=&amp;xsec_source=pc_trdark","https://www.xiaohongshu.com/explore/6a227f9400000000080039c2?xsec_token=TBC-_2V2Jf8UHvhGX5sq95h0y2Cv1IdRSJh0TJ81c4L0g=&amp;xsec_source=pc_trdark")</f>
        <v>0.0</v>
      </c>
      <c r="D707" t="inlineStr">
        <is>
          <t>菲菲上班吃什么</t>
        </is>
      </c>
      <c r="E707" t="inlineStr">
        <is>
          <t>49936530607</t>
        </is>
      </c>
      <c r="F707" t="inlineStr">
        <is>
          <t>2026-06-05 15:49:40</t>
        </is>
      </c>
      <c r="G707" t="inlineStr">
        <is>
          <t>图文</t>
        </is>
      </c>
      <c r="H707" t="inlineStr">
        <is>
          <t>手剥虾仁 无冰衣无添加 低脂餐一人食 上班带饭 顺丰包邮 5盒装</t>
        </is>
      </c>
      <c r="I707" t="inlineStr">
        <is>
          <t>694baba01d450d00013662f0</t>
        </is>
      </c>
      <c r="J707" t="inlineStr">
        <is>
          <t/>
        </is>
      </c>
      <c r="K707" t="n">
        <v>0.0</v>
      </c>
      <c r="L707" t="n">
        <v>0.0</v>
      </c>
      <c r="M707" t="n">
        <v>0.0</v>
      </c>
      <c r="N707" t="n">
        <v>0.0</v>
      </c>
      <c r="O707" t="n">
        <v>0.0</v>
      </c>
      <c r="P707" t="n">
        <v>0.0</v>
      </c>
      <c r="Q707" t="inlineStr">
        <is>
          <t/>
        </is>
      </c>
      <c r="R707" t="inlineStr">
        <is>
          <t/>
        </is>
      </c>
      <c r="S707" t="n">
        <v>0.0</v>
      </c>
      <c r="T707" t="n">
        <v>0.0</v>
      </c>
      <c r="U707" t="n">
        <v>0.0</v>
      </c>
      <c r="V707" t="n">
        <v>0.0</v>
      </c>
      <c r="W707" t="inlineStr">
        <is>
          <t/>
        </is>
      </c>
      <c r="X707" t="n">
        <v>0.0</v>
      </c>
      <c r="Y707" t="n">
        <v>0.0</v>
      </c>
      <c r="Z707" t="n">
        <v>0.0</v>
      </c>
      <c r="AA707" t="n">
        <v>0.0</v>
      </c>
      <c r="AB707" t="n">
        <v>0.0</v>
      </c>
      <c r="AC707" t="n">
        <v>0.0</v>
      </c>
      <c r="AD707" t="n">
        <v>1.0</v>
      </c>
      <c r="AE707" t="n">
        <v>0.0</v>
      </c>
      <c r="AF707" t="n">
        <v>0.0</v>
      </c>
      <c r="AG707" t="n">
        <v>0.0</v>
      </c>
      <c r="AH707" t="n">
        <v>0.0</v>
      </c>
      <c r="AI707" t="n">
        <v>0.0</v>
      </c>
      <c r="AJ707" t="n">
        <v>0.0</v>
      </c>
      <c r="AK707" t="n">
        <v>2.0</v>
      </c>
      <c r="AL707" t="inlineStr">
        <is>
          <t/>
        </is>
      </c>
    </row>
    <row r="708">
      <c r="A708" t="inlineStr">
        <is>
          <t>沉浸式懒人减脂备菜，69块吃一周……</t>
        </is>
      </c>
      <c r="B708" t="inlineStr">
        <is>
          <t>6a2180080000000008027c08</t>
        </is>
      </c>
      <c r="C708" s="707" t="n">
        <f>HYPERLINK("https://www.xiaohongshu.com/explore/6a2180080000000008027c08?xsec_token=TBruDoYqydt0gOAY-R5iHU2waTx9ScR6j7LEXsotMR3fM=&amp;xsec_source=pc_trdark","https://www.xiaohongshu.com/explore/6a2180080000000008027c08?xsec_token=TBruDoYqydt0gOAY-R5iHU2waTx9ScR6j7LEXsotMR3fM=&amp;xsec_source=pc_trdark")</f>
        <v>0.0</v>
      </c>
      <c r="D708" t="inlineStr">
        <is>
          <t>菲菲上班吃什么</t>
        </is>
      </c>
      <c r="E708" t="inlineStr">
        <is>
          <t>49936530607</t>
        </is>
      </c>
      <c r="F708" t="inlineStr">
        <is>
          <t>2026-06-04 21:39:20</t>
        </is>
      </c>
      <c r="G708" t="inlineStr">
        <is>
          <t>图文</t>
        </is>
      </c>
      <c r="H708" t="inlineStr">
        <is>
          <t>手剥虾仁 无冰衣无添加 低脂餐一人食 上班带饭 顺丰包邮 5盒装</t>
        </is>
      </c>
      <c r="I708" t="inlineStr">
        <is>
          <t>694baba01d450d00013662f0</t>
        </is>
      </c>
      <c r="J708" t="inlineStr">
        <is>
          <t/>
        </is>
      </c>
      <c r="K708" t="n">
        <v>0.0</v>
      </c>
      <c r="L708" t="n">
        <v>0.0</v>
      </c>
      <c r="M708" t="n">
        <v>0.0</v>
      </c>
      <c r="N708" t="n">
        <v>0.0</v>
      </c>
      <c r="O708" t="n">
        <v>0.0</v>
      </c>
      <c r="P708" t="n">
        <v>0.0</v>
      </c>
      <c r="Q708" t="inlineStr">
        <is>
          <t/>
        </is>
      </c>
      <c r="R708" t="inlineStr">
        <is>
          <t/>
        </is>
      </c>
      <c r="S708" t="n">
        <v>0.0</v>
      </c>
      <c r="T708" t="n">
        <v>0.0</v>
      </c>
      <c r="U708" t="n">
        <v>0.0</v>
      </c>
      <c r="V708" t="n">
        <v>0.0</v>
      </c>
      <c r="W708" t="inlineStr">
        <is>
          <t/>
        </is>
      </c>
      <c r="X708" t="n">
        <v>0.0</v>
      </c>
      <c r="Y708" t="n">
        <v>0.0</v>
      </c>
      <c r="Z708" t="n">
        <v>0.0</v>
      </c>
      <c r="AA708" t="n">
        <v>0.0</v>
      </c>
      <c r="AB708" t="n">
        <v>0.0</v>
      </c>
      <c r="AC708" t="n">
        <v>0.0</v>
      </c>
      <c r="AD708" t="n">
        <v>1.0</v>
      </c>
      <c r="AE708" t="n">
        <v>0.0</v>
      </c>
      <c r="AF708" t="n">
        <v>0.0</v>
      </c>
      <c r="AG708" t="n">
        <v>0.0</v>
      </c>
      <c r="AH708" t="n">
        <v>0.0</v>
      </c>
      <c r="AI708" t="n">
        <v>0.0</v>
      </c>
      <c r="AJ708" t="n">
        <v>0.0</v>
      </c>
      <c r="AK708" t="n">
        <v>4.0</v>
      </c>
      <c r="AL708" t="inlineStr">
        <is>
          <t/>
        </is>
      </c>
    </row>
    <row r="709">
      <c r="A709" t="inlineStr">
        <is>
          <t>100块吃半个月轻食餐，太省了😂</t>
        </is>
      </c>
      <c r="B709" t="inlineStr">
        <is>
          <t>6a213eab000000002003861f</t>
        </is>
      </c>
      <c r="C709" s="708" t="n">
        <f>HYPERLINK("https://www.xiaohongshu.com/explore/6a213eab000000002003861f?xsec_token=TBruDoYqydt0gOAY-R5iHU27INTv4uuehr_A3_GBvFqlw=&amp;xsec_source=pc_trdark","https://www.xiaohongshu.com/explore/6a213eab000000002003861f?xsec_token=TBruDoYqydt0gOAY-R5iHU27INTv4uuehr_A3_GBvFqlw=&amp;xsec_source=pc_trdark")</f>
        <v>0.0</v>
      </c>
      <c r="D709" t="inlineStr">
        <is>
          <t>婉婉上班吃什么</t>
        </is>
      </c>
      <c r="E709" t="inlineStr">
        <is>
          <t>11434449706</t>
        </is>
      </c>
      <c r="F709" t="inlineStr">
        <is>
          <t>2026-06-04 17:00:27</t>
        </is>
      </c>
      <c r="G709" t="inlineStr">
        <is>
          <t>图文</t>
        </is>
      </c>
      <c r="H709" t="inlineStr">
        <is>
          <t>手剥虾仁 无冰衣无添加 低脂餐一人食 上班带饭 顺丰包邮 5盒装</t>
        </is>
      </c>
      <c r="I709" t="inlineStr">
        <is>
          <t>694baba01d450d00013662f0</t>
        </is>
      </c>
      <c r="J709" t="inlineStr">
        <is>
          <t/>
        </is>
      </c>
      <c r="K709" t="n">
        <v>0.0</v>
      </c>
      <c r="L709" t="n">
        <v>0.0</v>
      </c>
      <c r="M709" t="n">
        <v>0.0</v>
      </c>
      <c r="N709" t="n">
        <v>0.0</v>
      </c>
      <c r="O709" t="n">
        <v>0.0</v>
      </c>
      <c r="P709" t="n">
        <v>0.0</v>
      </c>
      <c r="Q709" t="inlineStr">
        <is>
          <t/>
        </is>
      </c>
      <c r="R709" t="inlineStr">
        <is>
          <t/>
        </is>
      </c>
      <c r="S709" t="n">
        <v>0.0</v>
      </c>
      <c r="T709" t="n">
        <v>0.0</v>
      </c>
      <c r="U709" t="n">
        <v>0.0</v>
      </c>
      <c r="V709" t="n">
        <v>0.0</v>
      </c>
      <c r="W709" t="inlineStr">
        <is>
          <t/>
        </is>
      </c>
      <c r="X709" t="n">
        <v>0.0</v>
      </c>
      <c r="Y709" t="n">
        <v>0.0</v>
      </c>
      <c r="Z709" t="n">
        <v>0.0</v>
      </c>
      <c r="AA709" t="n">
        <v>0.0</v>
      </c>
      <c r="AB709" t="n">
        <v>0.0</v>
      </c>
      <c r="AC709" t="n">
        <v>0.0</v>
      </c>
      <c r="AD709" t="n">
        <v>1.0</v>
      </c>
      <c r="AE709" t="n">
        <v>0.0</v>
      </c>
      <c r="AF709" t="n">
        <v>0.0</v>
      </c>
      <c r="AG709" t="n">
        <v>0.0</v>
      </c>
      <c r="AH709" t="n">
        <v>0.0</v>
      </c>
      <c r="AI709" t="n">
        <v>0.0</v>
      </c>
      <c r="AJ709" t="n">
        <v>0.0</v>
      </c>
      <c r="AK709" t="n">
        <v>14.0</v>
      </c>
      <c r="AL709" t="inlineStr">
        <is>
          <t/>
        </is>
      </c>
    </row>
    <row r="710">
      <c r="A710" t="inlineStr">
        <is>
          <t>健身5年建议：减脂期虾仁不要随便买……</t>
        </is>
      </c>
      <c r="B710" t="inlineStr">
        <is>
          <t>6a210fa2000000003501e231</t>
        </is>
      </c>
      <c r="C710" s="709" t="n">
        <f>HYPERLINK("https://www.xiaohongshu.com/explore/6a210fa2000000003501e231?xsec_token=TBruDoYqydt0gOAY-R5iHU2w3ZMmr6nB7F_Lgn3057r-Q=&amp;xsec_source=pc_trdark","https://www.xiaohongshu.com/explore/6a210fa2000000003501e231?xsec_token=TBruDoYqydt0gOAY-R5iHU2w3ZMmr6nB7F_Lgn3057r-Q=&amp;xsec_source=pc_trdark")</f>
        <v>0.0</v>
      </c>
      <c r="D710" t="inlineStr">
        <is>
          <t>鲜水湾甄选</t>
        </is>
      </c>
      <c r="E710" t="inlineStr">
        <is>
          <t>27401929161</t>
        </is>
      </c>
      <c r="F710" t="inlineStr">
        <is>
          <t>2026-06-04 13:39:47</t>
        </is>
      </c>
      <c r="G710" t="inlineStr">
        <is>
          <t>图文</t>
        </is>
      </c>
      <c r="H710" t="inlineStr">
        <is>
          <t>手剥虾仁 无冰衣无添加 低脂餐一人食 上班带饭 顺丰包邮 5盒装</t>
        </is>
      </c>
      <c r="I710" t="inlineStr">
        <is>
          <t>694baba01d450d00013662f0</t>
        </is>
      </c>
      <c r="J710" t="inlineStr">
        <is>
          <t/>
        </is>
      </c>
      <c r="K710" t="n">
        <v>0.0</v>
      </c>
      <c r="L710" t="n">
        <v>0.0</v>
      </c>
      <c r="M710" t="n">
        <v>0.0</v>
      </c>
      <c r="N710" t="n">
        <v>0.0</v>
      </c>
      <c r="O710" t="n">
        <v>0.0</v>
      </c>
      <c r="P710" t="n">
        <v>0.0</v>
      </c>
      <c r="Q710" t="inlineStr">
        <is>
          <t/>
        </is>
      </c>
      <c r="R710" t="inlineStr">
        <is>
          <t/>
        </is>
      </c>
      <c r="S710" t="n">
        <v>0.0</v>
      </c>
      <c r="T710" t="n">
        <v>0.0</v>
      </c>
      <c r="U710" t="n">
        <v>0.0</v>
      </c>
      <c r="V710" t="n">
        <v>0.0</v>
      </c>
      <c r="W710" t="inlineStr">
        <is>
          <t/>
        </is>
      </c>
      <c r="X710" t="n">
        <v>0.0</v>
      </c>
      <c r="Y710" t="n">
        <v>0.0</v>
      </c>
      <c r="Z710" t="n">
        <v>0.0</v>
      </c>
      <c r="AA710" t="n">
        <v>0.0</v>
      </c>
      <c r="AB710" t="n">
        <v>0.0</v>
      </c>
      <c r="AC710" t="n">
        <v>0.0</v>
      </c>
      <c r="AD710" t="n">
        <v>1.0</v>
      </c>
      <c r="AE710" t="n">
        <v>0.0</v>
      </c>
      <c r="AF710" t="n">
        <v>0.0</v>
      </c>
      <c r="AG710" t="n">
        <v>0.0</v>
      </c>
      <c r="AH710" t="n">
        <v>0.0</v>
      </c>
      <c r="AI710" t="n">
        <v>0.0</v>
      </c>
      <c r="AJ710" t="n">
        <v>0.0</v>
      </c>
      <c r="AK710" t="n">
        <v>2.0</v>
      </c>
      <c r="AL710" t="inlineStr">
        <is>
          <t/>
        </is>
      </c>
    </row>
    <row r="711">
      <c r="A711" t="inlineStr">
        <is>
          <t>手剥虾仁69管一周？一人食减脂餐！！</t>
        </is>
      </c>
      <c r="B711" t="inlineStr">
        <is>
          <t>6a2014730000000022024f58</t>
        </is>
      </c>
      <c r="C711" s="710" t="n">
        <f>HYPERLINK("https://www.xiaohongshu.com/explore/6a2014730000000022024f58?xsec_token=TBZaEUoTZZZ466F90Rpl7ukzW2jryo9wevhjzpyYeiThY=&amp;xsec_source=pc_trdark","https://www.xiaohongshu.com/explore/6a2014730000000022024f58?xsec_token=TBZaEUoTZZZ466F90Rpl7ukzW2jryo9wevhjzpyYeiThY=&amp;xsec_source=pc_trdark")</f>
        <v>0.0</v>
      </c>
      <c r="D711" t="inlineStr">
        <is>
          <t>鲜水湾甄选</t>
        </is>
      </c>
      <c r="E711" t="inlineStr">
        <is>
          <t>27401929161</t>
        </is>
      </c>
      <c r="F711" t="inlineStr">
        <is>
          <t>2026-06-03 19:48:03</t>
        </is>
      </c>
      <c r="G711" t="inlineStr">
        <is>
          <t>图文</t>
        </is>
      </c>
      <c r="H711" t="inlineStr">
        <is>
          <t>手剥虾仁 无冰衣无添加 低脂餐一人食 上班带饭 顺丰包邮 5盒装</t>
        </is>
      </c>
      <c r="I711" t="inlineStr">
        <is>
          <t>694baba01d450d00013662f0</t>
        </is>
      </c>
      <c r="J711" t="inlineStr">
        <is>
          <t/>
        </is>
      </c>
      <c r="K711" t="n">
        <v>0.0</v>
      </c>
      <c r="L711" t="n">
        <v>0.0</v>
      </c>
      <c r="M711" t="n">
        <v>0.0</v>
      </c>
      <c r="N711" t="n">
        <v>0.0</v>
      </c>
      <c r="O711" t="n">
        <v>0.0</v>
      </c>
      <c r="P711" t="n">
        <v>0.0</v>
      </c>
      <c r="Q711" t="inlineStr">
        <is>
          <t/>
        </is>
      </c>
      <c r="R711" t="inlineStr">
        <is>
          <t/>
        </is>
      </c>
      <c r="S711" t="n">
        <v>0.0</v>
      </c>
      <c r="T711" t="n">
        <v>0.0</v>
      </c>
      <c r="U711" t="n">
        <v>0.0</v>
      </c>
      <c r="V711" t="n">
        <v>0.0</v>
      </c>
      <c r="W711" t="inlineStr">
        <is>
          <t/>
        </is>
      </c>
      <c r="X711" t="n">
        <v>0.0</v>
      </c>
      <c r="Y711" t="n">
        <v>0.0</v>
      </c>
      <c r="Z711" t="n">
        <v>0.0</v>
      </c>
      <c r="AA711" t="n">
        <v>0.0</v>
      </c>
      <c r="AB711" t="n">
        <v>0.0</v>
      </c>
      <c r="AC711" t="n">
        <v>0.0</v>
      </c>
      <c r="AD711" t="n">
        <v>1.0</v>
      </c>
      <c r="AE711" t="n">
        <v>0.0</v>
      </c>
      <c r="AF711" t="n">
        <v>0.0</v>
      </c>
      <c r="AG711" t="n">
        <v>0.0</v>
      </c>
      <c r="AH711" t="n">
        <v>0.0</v>
      </c>
      <c r="AI711" t="n">
        <v>0.0</v>
      </c>
      <c r="AJ711" t="n">
        <v>0.0</v>
      </c>
      <c r="AK711" t="n">
        <v>1.0</v>
      </c>
      <c r="AL711" t="inlineStr">
        <is>
          <t/>
        </is>
      </c>
    </row>
    <row r="712">
      <c r="A712" t="inlineStr">
        <is>
          <t>宅家囤了无数次，比买活虾还划算‼️</t>
        </is>
      </c>
      <c r="B712" t="inlineStr">
        <is>
          <t>6a1ff5f200000000060363f8</t>
        </is>
      </c>
      <c r="C712" s="711" t="n">
        <f>HYPERLINK("https://www.xiaohongshu.com/explore/6a1ff5f200000000060363f8?xsec_token=TB6EZ8Y08PPqC5fHOGEZ2EHtIfFbMjXAvKlwD9lfrWyKg=&amp;xsec_source=pc_trdark","https://www.xiaohongshu.com/explore/6a1ff5f200000000060363f8?xsec_token=TB6EZ8Y08PPqC5fHOGEZ2EHtIfFbMjXAvKlwD9lfrWyKg=&amp;xsec_source=pc_trdark")</f>
        <v>0.0</v>
      </c>
      <c r="D712" t="inlineStr">
        <is>
          <t>婉婉上班吃什么</t>
        </is>
      </c>
      <c r="E712" t="inlineStr">
        <is>
          <t>11434449706</t>
        </is>
      </c>
      <c r="F712" t="inlineStr">
        <is>
          <t>2026-06-03 17:37:54</t>
        </is>
      </c>
      <c r="G712" t="inlineStr">
        <is>
          <t>图文</t>
        </is>
      </c>
      <c r="H712" t="inlineStr">
        <is>
          <t>手剥虾仁 无冰衣无添加 低脂餐一人食 上班带饭 顺丰包邮 5盒装</t>
        </is>
      </c>
      <c r="I712" t="inlineStr">
        <is>
          <t>694baba01d450d00013662f0</t>
        </is>
      </c>
      <c r="J712" t="inlineStr">
        <is>
          <t/>
        </is>
      </c>
      <c r="K712" t="n">
        <v>0.0</v>
      </c>
      <c r="L712" t="n">
        <v>0.0</v>
      </c>
      <c r="M712" t="n">
        <v>0.0</v>
      </c>
      <c r="N712" t="n">
        <v>0.0</v>
      </c>
      <c r="O712" t="n">
        <v>0.0</v>
      </c>
      <c r="P712" t="n">
        <v>0.0</v>
      </c>
      <c r="Q712" t="inlineStr">
        <is>
          <t/>
        </is>
      </c>
      <c r="R712" t="inlineStr">
        <is>
          <t/>
        </is>
      </c>
      <c r="S712" t="n">
        <v>0.0</v>
      </c>
      <c r="T712" t="n">
        <v>0.0</v>
      </c>
      <c r="U712" t="n">
        <v>0.0</v>
      </c>
      <c r="V712" t="n">
        <v>0.0</v>
      </c>
      <c r="W712" t="inlineStr">
        <is>
          <t/>
        </is>
      </c>
      <c r="X712" t="n">
        <v>0.0</v>
      </c>
      <c r="Y712" t="n">
        <v>0.0</v>
      </c>
      <c r="Z712" t="n">
        <v>0.0</v>
      </c>
      <c r="AA712" t="n">
        <v>0.0</v>
      </c>
      <c r="AB712" t="n">
        <v>0.0</v>
      </c>
      <c r="AC712" t="n">
        <v>0.0</v>
      </c>
      <c r="AD712" t="n">
        <v>1.0</v>
      </c>
      <c r="AE712" t="n">
        <v>0.0</v>
      </c>
      <c r="AF712" t="n">
        <v>0.0</v>
      </c>
      <c r="AG712" t="n">
        <v>0.0</v>
      </c>
      <c r="AH712" t="n">
        <v>0.0</v>
      </c>
      <c r="AI712" t="n">
        <v>0.0</v>
      </c>
      <c r="AJ712" t="n">
        <v>0.0</v>
      </c>
      <c r="AK712" t="n">
        <v>8.0</v>
      </c>
      <c r="AL712" t="inlineStr">
        <is>
          <t/>
        </is>
      </c>
    </row>
    <row r="713">
      <c r="A713" t="inlineStr">
        <is>
          <t>感谢老板，好吃到想要办年卡🥳</t>
        </is>
      </c>
      <c r="B713" t="inlineStr">
        <is>
          <t>6a1fde4d0000000008031b0b</t>
        </is>
      </c>
      <c r="C713" s="712" t="n">
        <f>HYPERLINK("https://www.xiaohongshu.com/explore/6a1fde4d0000000008031b0b?xsec_token=TB6EZ8Y08PPqC5fHOGEZ2EHklAX456CEd_tsLSiGAskno=&amp;xsec_source=pc_trdark","https://www.xiaohongshu.com/explore/6a1fde4d0000000008031b0b?xsec_token=TB6EZ8Y08PPqC5fHOGEZ2EHklAX456CEd_tsLSiGAskno=&amp;xsec_source=pc_trdark")</f>
        <v>0.0</v>
      </c>
      <c r="D713" t="inlineStr">
        <is>
          <t>婉婉上班吃什么</t>
        </is>
      </c>
      <c r="E713" t="inlineStr">
        <is>
          <t>11434449706</t>
        </is>
      </c>
      <c r="F713" t="inlineStr">
        <is>
          <t>2026-06-03 15:57:01</t>
        </is>
      </c>
      <c r="G713" t="inlineStr">
        <is>
          <t>图文</t>
        </is>
      </c>
      <c r="H713" t="inlineStr">
        <is>
          <t>手剥虾仁 无冰衣无添加 低脂餐一人食 上班带饭 顺丰包邮 5盒装</t>
        </is>
      </c>
      <c r="I713" t="inlineStr">
        <is>
          <t>694baba01d450d00013662f0</t>
        </is>
      </c>
      <c r="J713" t="inlineStr">
        <is>
          <t/>
        </is>
      </c>
      <c r="K713" t="n">
        <v>0.0</v>
      </c>
      <c r="L713" t="n">
        <v>0.0</v>
      </c>
      <c r="M713" t="n">
        <v>1.0</v>
      </c>
      <c r="N713" t="n">
        <v>1.0</v>
      </c>
      <c r="O713" t="n">
        <v>1.0</v>
      </c>
      <c r="P713" t="n">
        <v>0.0</v>
      </c>
      <c r="Q713" t="n">
        <v>0.0</v>
      </c>
      <c r="R713" t="n">
        <v>0.0</v>
      </c>
      <c r="S713" t="n">
        <v>0.0</v>
      </c>
      <c r="T713" t="n">
        <v>0.0</v>
      </c>
      <c r="U713" t="n">
        <v>0.0</v>
      </c>
      <c r="V713" t="n">
        <v>0.0</v>
      </c>
      <c r="W713" t="inlineStr">
        <is>
          <t/>
        </is>
      </c>
      <c r="X713" t="n">
        <v>0.0</v>
      </c>
      <c r="Y713" t="n">
        <v>1.0</v>
      </c>
      <c r="Z713" t="n">
        <v>0.0</v>
      </c>
      <c r="AA713" t="n">
        <v>0.0</v>
      </c>
      <c r="AB713" t="n">
        <v>0.0</v>
      </c>
      <c r="AC713" t="n">
        <v>0.0</v>
      </c>
      <c r="AD713" t="n">
        <v>1.0</v>
      </c>
      <c r="AE713" t="n">
        <v>0.0</v>
      </c>
      <c r="AF713" t="n">
        <v>0.0</v>
      </c>
      <c r="AG713" t="n">
        <v>0.0</v>
      </c>
      <c r="AH713" t="n">
        <v>0.0</v>
      </c>
      <c r="AI713" t="n">
        <v>0.0</v>
      </c>
      <c r="AJ713" t="n">
        <v>0.0</v>
      </c>
      <c r="AK713" t="n">
        <v>27.0</v>
      </c>
      <c r="AL713" t="inlineStr">
        <is>
          <t/>
        </is>
      </c>
    </row>
    <row r="714">
      <c r="A714" t="inlineStr">
        <is>
          <t>今年坠成功的消费降级，69吃一周！！！</t>
        </is>
      </c>
      <c r="B714" t="inlineStr">
        <is>
          <t>6a1fad3d00000000060325dd</t>
        </is>
      </c>
      <c r="C714" s="713" t="n">
        <f>HYPERLINK("https://www.xiaohongshu.com/explore/6a1fad3d00000000060325dd?xsec_token=TB6EZ8Y08PPqC5fHOGEZ2EHmUQRUu1Tbx7phdSUOpjGRs=&amp;xsec_source=pc_trdark","https://www.xiaohongshu.com/explore/6a1fad3d00000000060325dd?xsec_token=TB6EZ8Y08PPqC5fHOGEZ2EHmUQRUu1Tbx7phdSUOpjGRs=&amp;xsec_source=pc_trdark")</f>
        <v>0.0</v>
      </c>
      <c r="D714" t="inlineStr">
        <is>
          <t>菲菲上班吃什么</t>
        </is>
      </c>
      <c r="E714" t="inlineStr">
        <is>
          <t>49936530607</t>
        </is>
      </c>
      <c r="F714" t="inlineStr">
        <is>
          <t>2026-06-03 12:27:41</t>
        </is>
      </c>
      <c r="G714" t="inlineStr">
        <is>
          <t>图文</t>
        </is>
      </c>
      <c r="H714" t="inlineStr">
        <is>
          <t>手剥虾仁 无冰衣无添加 低脂餐一人食 上班带饭 顺丰包邮 5盒装</t>
        </is>
      </c>
      <c r="I714" t="inlineStr">
        <is>
          <t>694baba01d450d00013662f0</t>
        </is>
      </c>
      <c r="J714" t="inlineStr">
        <is>
          <t/>
        </is>
      </c>
      <c r="K714" t="n">
        <v>0.0</v>
      </c>
      <c r="L714" t="n">
        <v>0.0</v>
      </c>
      <c r="M714" t="n">
        <v>0.0</v>
      </c>
      <c r="N714" t="n">
        <v>0.0</v>
      </c>
      <c r="O714" t="n">
        <v>0.0</v>
      </c>
      <c r="P714" t="n">
        <v>0.0</v>
      </c>
      <c r="Q714" t="inlineStr">
        <is>
          <t/>
        </is>
      </c>
      <c r="R714" t="inlineStr">
        <is>
          <t/>
        </is>
      </c>
      <c r="S714" t="n">
        <v>0.0</v>
      </c>
      <c r="T714" t="n">
        <v>0.0</v>
      </c>
      <c r="U714" t="n">
        <v>0.0</v>
      </c>
      <c r="V714" t="n">
        <v>0.0</v>
      </c>
      <c r="W714" t="inlineStr">
        <is>
          <t/>
        </is>
      </c>
      <c r="X714" t="n">
        <v>0.0</v>
      </c>
      <c r="Y714" t="n">
        <v>0.0</v>
      </c>
      <c r="Z714" t="n">
        <v>0.0</v>
      </c>
      <c r="AA714" t="n">
        <v>0.0</v>
      </c>
      <c r="AB714" t="n">
        <v>0.0</v>
      </c>
      <c r="AC714" t="n">
        <v>0.0</v>
      </c>
      <c r="AD714" t="n">
        <v>1.0</v>
      </c>
      <c r="AE714" t="n">
        <v>0.0</v>
      </c>
      <c r="AF714" t="n">
        <v>0.0</v>
      </c>
      <c r="AG714" t="n">
        <v>0.0</v>
      </c>
      <c r="AH714" t="n">
        <v>0.0</v>
      </c>
      <c r="AI714" t="n">
        <v>0.0</v>
      </c>
      <c r="AJ714" t="n">
        <v>0.0</v>
      </c>
      <c r="AK714" t="n">
        <v>5.0</v>
      </c>
      <c r="AL714" t="inlineStr">
        <is>
          <t/>
        </is>
      </c>
    </row>
    <row r="715">
      <c r="A715" t="inlineStr">
        <is>
          <t>算了，和你们点外卖的说不清楚🥲</t>
        </is>
      </c>
      <c r="B715" t="inlineStr">
        <is>
          <t>6a1f87ac000000002100a493</t>
        </is>
      </c>
      <c r="C715" s="714" t="n">
        <f>HYPERLINK("https://www.xiaohongshu.com/explore/6a1f87ac000000002100a493?xsec_token=TB6EZ8Y08PPqC5fHOGEZ2EHhr4-Leapn5i-oYSrHhK0Tw=&amp;xsec_source=pc_trdark","https://www.xiaohongshu.com/explore/6a1f87ac000000002100a493?xsec_token=TB6EZ8Y08PPqC5fHOGEZ2EHhr4-Leapn5i-oYSrHhK0Tw=&amp;xsec_source=pc_trdark")</f>
        <v>0.0</v>
      </c>
      <c r="D715" t="inlineStr">
        <is>
          <t>鲜水湾</t>
        </is>
      </c>
      <c r="E715" t="inlineStr">
        <is>
          <t>49316638994</t>
        </is>
      </c>
      <c r="F715" t="inlineStr">
        <is>
          <t>2026-06-03 09:47:24</t>
        </is>
      </c>
      <c r="G715" t="inlineStr">
        <is>
          <t>图文</t>
        </is>
      </c>
      <c r="H715" t="inlineStr">
        <is>
          <t>智利三文鱼切块·整条三文鱼·深海鱼一人食健康饮食</t>
        </is>
      </c>
      <c r="I715" t="inlineStr">
        <is>
          <t>691ac562a524ee0001b51d7b</t>
        </is>
      </c>
      <c r="J715" t="inlineStr">
        <is>
          <t/>
        </is>
      </c>
      <c r="K715" t="n">
        <v>0.0</v>
      </c>
      <c r="L715" t="n">
        <v>0.0</v>
      </c>
      <c r="M715" t="n">
        <v>0.0</v>
      </c>
      <c r="N715" t="n">
        <v>0.0</v>
      </c>
      <c r="O715" t="n">
        <v>0.0</v>
      </c>
      <c r="P715" t="n">
        <v>0.0</v>
      </c>
      <c r="Q715" t="inlineStr">
        <is>
          <t/>
        </is>
      </c>
      <c r="R715" t="inlineStr">
        <is>
          <t/>
        </is>
      </c>
      <c r="S715" t="n">
        <v>0.0</v>
      </c>
      <c r="T715" t="n">
        <v>0.0</v>
      </c>
      <c r="U715" t="n">
        <v>0.0</v>
      </c>
      <c r="V715" t="n">
        <v>0.0</v>
      </c>
      <c r="W715" t="inlineStr">
        <is>
          <t/>
        </is>
      </c>
      <c r="X715" t="n">
        <v>0.0</v>
      </c>
      <c r="Y715" t="n">
        <v>0.0</v>
      </c>
      <c r="Z715" t="n">
        <v>0.0</v>
      </c>
      <c r="AA715" t="n">
        <v>0.0</v>
      </c>
      <c r="AB715" t="n">
        <v>0.0</v>
      </c>
      <c r="AC715" t="n">
        <v>0.0</v>
      </c>
      <c r="AD715" t="n">
        <v>1.0</v>
      </c>
      <c r="AE715" t="n">
        <v>0.0</v>
      </c>
      <c r="AF715" t="n">
        <v>0.0</v>
      </c>
      <c r="AG715" t="n">
        <v>0.0</v>
      </c>
      <c r="AH715" t="n">
        <v>0.0</v>
      </c>
      <c r="AI715" t="n">
        <v>0.0</v>
      </c>
      <c r="AJ715" t="n">
        <v>0.0</v>
      </c>
      <c r="AK715" t="n">
        <v>3.0</v>
      </c>
      <c r="AL715" t="inlineStr">
        <is>
          <t/>
        </is>
      </c>
    </row>
    <row r="716">
      <c r="A716" t="inlineStr">
        <is>
          <t>挖到宝！早八上班族最近标配🍤</t>
        </is>
      </c>
      <c r="B716" t="inlineStr">
        <is>
          <t>6a1d7dc10000000035025ab8</t>
        </is>
      </c>
      <c r="C716" s="715" t="n">
        <f>HYPERLINK("https://www.xiaohongshu.com/explore/6a1d7dc10000000035025ab8?xsec_token=TB9kCrU1OKj1OYrarOG6c5h-VojRQdTWTZkBNFEGO6HFs=&amp;xsec_source=pc_trdark","https://www.xiaohongshu.com/explore/6a1d7dc10000000035025ab8?xsec_token=TB9kCrU1OKj1OYrarOG6c5h-VojRQdTWTZkBNFEGO6HFs=&amp;xsec_source=pc_trdark")</f>
        <v>0.0</v>
      </c>
      <c r="D716" t="inlineStr">
        <is>
          <t>鲜水湾甄选</t>
        </is>
      </c>
      <c r="E716" t="inlineStr">
        <is>
          <t>27401929161</t>
        </is>
      </c>
      <c r="F716" t="inlineStr">
        <is>
          <t>2026-06-01 20:40:33</t>
        </is>
      </c>
      <c r="G716" t="inlineStr">
        <is>
          <t>图文</t>
        </is>
      </c>
      <c r="H716" t="inlineStr">
        <is>
          <t>手剥虾仁 无冰衣无添加 低脂餐一人食 上班带饭 顺丰包邮 5盒装</t>
        </is>
      </c>
      <c r="I716" t="inlineStr">
        <is>
          <t>694baba01d450d00013662f0</t>
        </is>
      </c>
      <c r="J716" t="inlineStr">
        <is>
          <t/>
        </is>
      </c>
      <c r="K716" t="n">
        <v>0.0</v>
      </c>
      <c r="L716" t="n">
        <v>0.0</v>
      </c>
      <c r="M716" t="n">
        <v>0.0</v>
      </c>
      <c r="N716" t="n">
        <v>0.0</v>
      </c>
      <c r="O716" t="n">
        <v>0.0</v>
      </c>
      <c r="P716" t="n">
        <v>0.0</v>
      </c>
      <c r="Q716" t="inlineStr">
        <is>
          <t/>
        </is>
      </c>
      <c r="R716" t="inlineStr">
        <is>
          <t/>
        </is>
      </c>
      <c r="S716" t="n">
        <v>0.0</v>
      </c>
      <c r="T716" t="n">
        <v>0.0</v>
      </c>
      <c r="U716" t="n">
        <v>0.0</v>
      </c>
      <c r="V716" t="n">
        <v>0.0</v>
      </c>
      <c r="W716" t="inlineStr">
        <is>
          <t/>
        </is>
      </c>
      <c r="X716" t="n">
        <v>0.0</v>
      </c>
      <c r="Y716" t="n">
        <v>0.0</v>
      </c>
      <c r="Z716" t="n">
        <v>0.0</v>
      </c>
      <c r="AA716" t="n">
        <v>0.0</v>
      </c>
      <c r="AB716" t="n">
        <v>0.0</v>
      </c>
      <c r="AC716" t="n">
        <v>0.0</v>
      </c>
      <c r="AD716" t="n">
        <v>1.0</v>
      </c>
      <c r="AE716" t="n">
        <v>0.0</v>
      </c>
      <c r="AF716" t="n">
        <v>0.0</v>
      </c>
      <c r="AG716" t="n">
        <v>0.0</v>
      </c>
      <c r="AH716" t="n">
        <v>0.0</v>
      </c>
      <c r="AI716" t="n">
        <v>0.0</v>
      </c>
      <c r="AJ716" t="n">
        <v>0.0</v>
      </c>
      <c r="AK716" t="n">
        <v>0.0</v>
      </c>
      <c r="AL716" t="inlineStr">
        <is>
          <t/>
        </is>
      </c>
    </row>
    <row r="717">
      <c r="A717" t="inlineStr">
        <is>
          <t>独居党终于找到省事晚餐了……</t>
        </is>
      </c>
      <c r="B717" t="inlineStr">
        <is>
          <t>6a1d209d0000000036002aff</t>
        </is>
      </c>
      <c r="C717" s="716" t="n">
        <f>HYPERLINK("https://www.xiaohongshu.com/explore/6a1d209d0000000036002aff?xsec_token=TB9kCrU1OKj1OYrarOG6c5h3vYop6Pqc7pkGVa3dBDNU8=&amp;xsec_source=pc_trdark","https://www.xiaohongshu.com/explore/6a1d209d0000000036002aff?xsec_token=TB9kCrU1OKj1OYrarOG6c5h3vYop6Pqc7pkGVa3dBDNU8=&amp;xsec_source=pc_trdark")</f>
        <v>0.0</v>
      </c>
      <c r="D717" t="inlineStr">
        <is>
          <t>鲜水湾甄选</t>
        </is>
      </c>
      <c r="E717" t="inlineStr">
        <is>
          <t>27401929161</t>
        </is>
      </c>
      <c r="F717" t="inlineStr">
        <is>
          <t>2026-06-01 14:03:09</t>
        </is>
      </c>
      <c r="G717" t="inlineStr">
        <is>
          <t>图文</t>
        </is>
      </c>
      <c r="H717" t="inlineStr">
        <is>
          <t>手剥虾仁 无冰衣无添加 低脂餐一人食 上班带饭 顺丰包邮 5盒装</t>
        </is>
      </c>
      <c r="I717" t="inlineStr">
        <is>
          <t>694baba01d450d00013662f0</t>
        </is>
      </c>
      <c r="J717" t="inlineStr">
        <is>
          <t/>
        </is>
      </c>
      <c r="K717" t="n">
        <v>0.0</v>
      </c>
      <c r="L717" t="n">
        <v>0.0</v>
      </c>
      <c r="M717" t="n">
        <v>0.0</v>
      </c>
      <c r="N717" t="n">
        <v>0.0</v>
      </c>
      <c r="O717" t="n">
        <v>0.0</v>
      </c>
      <c r="P717" t="n">
        <v>0.0</v>
      </c>
      <c r="Q717" t="inlineStr">
        <is>
          <t/>
        </is>
      </c>
      <c r="R717" t="inlineStr">
        <is>
          <t/>
        </is>
      </c>
      <c r="S717" t="n">
        <v>0.0</v>
      </c>
      <c r="T717" t="n">
        <v>0.0</v>
      </c>
      <c r="U717" t="n">
        <v>0.0</v>
      </c>
      <c r="V717" t="n">
        <v>0.0</v>
      </c>
      <c r="W717" t="inlineStr">
        <is>
          <t/>
        </is>
      </c>
      <c r="X717" t="n">
        <v>0.0</v>
      </c>
      <c r="Y717" t="n">
        <v>0.0</v>
      </c>
      <c r="Z717" t="n">
        <v>0.0</v>
      </c>
      <c r="AA717" t="n">
        <v>0.0</v>
      </c>
      <c r="AB717" t="n">
        <v>0.0</v>
      </c>
      <c r="AC717" t="n">
        <v>0.0</v>
      </c>
      <c r="AD717" t="n">
        <v>1.0</v>
      </c>
      <c r="AE717" t="n">
        <v>0.0</v>
      </c>
      <c r="AF717" t="n">
        <v>0.0</v>
      </c>
      <c r="AG717" t="n">
        <v>0.0</v>
      </c>
      <c r="AH717" t="n">
        <v>0.0</v>
      </c>
      <c r="AI717" t="n">
        <v>0.0</v>
      </c>
      <c r="AJ717" t="n">
        <v>0.0</v>
      </c>
      <c r="AK717" t="n">
        <v>3.0</v>
      </c>
      <c r="AL717" t="inlineStr">
        <is>
          <t/>
        </is>
      </c>
    </row>
    <row r="718">
      <c r="A718" t="inlineStr">
        <is>
          <t>300多块不是小钱，买对了真的够吃很久</t>
        </is>
      </c>
      <c r="B718" t="inlineStr">
        <is>
          <t>6a19609d00000000080265f4</t>
        </is>
      </c>
      <c r="C718" s="717" t="n">
        <f>HYPERLINK("https://www.xiaohongshu.com/explore/6a19609d00000000080265f4?xsec_token=TBk6CyYxmYlnK3hnLTdNsVfOZAVYSKMOgZ0VbvNrheoRs=&amp;xsec_source=pc_trdark","https://www.xiaohongshu.com/explore/6a19609d00000000080265f4?xsec_token=TBk6CyYxmYlnK3hnLTdNsVfOZAVYSKMOgZ0VbvNrheoRs=&amp;xsec_source=pc_trdark")</f>
        <v>0.0</v>
      </c>
      <c r="D718" t="inlineStr">
        <is>
          <t>鲜水湾</t>
        </is>
      </c>
      <c r="E718" t="inlineStr">
        <is>
          <t>49316638994</t>
        </is>
      </c>
      <c r="F718" t="inlineStr">
        <is>
          <t>2026-05-29 17:47:09</t>
        </is>
      </c>
      <c r="G718" t="inlineStr">
        <is>
          <t>图文</t>
        </is>
      </c>
      <c r="H718" t="inlineStr">
        <is>
          <t>智利三文鱼切块·整条三文鱼·深海鱼一人食健康饮食</t>
        </is>
      </c>
      <c r="I718" t="inlineStr">
        <is>
          <t>691ac562a524ee0001b51d7b</t>
        </is>
      </c>
      <c r="J718" t="inlineStr">
        <is>
          <t/>
        </is>
      </c>
      <c r="K718" t="n">
        <v>0.0</v>
      </c>
      <c r="L718" t="n">
        <v>0.0</v>
      </c>
      <c r="M718" t="n">
        <v>0.0</v>
      </c>
      <c r="N718" t="n">
        <v>0.0</v>
      </c>
      <c r="O718" t="n">
        <v>0.0</v>
      </c>
      <c r="P718" t="n">
        <v>0.0</v>
      </c>
      <c r="Q718" t="inlineStr">
        <is>
          <t/>
        </is>
      </c>
      <c r="R718" t="inlineStr">
        <is>
          <t/>
        </is>
      </c>
      <c r="S718" t="n">
        <v>0.0</v>
      </c>
      <c r="T718" t="n">
        <v>0.0</v>
      </c>
      <c r="U718" t="n">
        <v>0.0</v>
      </c>
      <c r="V718" t="n">
        <v>0.0</v>
      </c>
      <c r="W718" t="inlineStr">
        <is>
          <t/>
        </is>
      </c>
      <c r="X718" t="n">
        <v>0.0</v>
      </c>
      <c r="Y718" t="n">
        <v>0.0</v>
      </c>
      <c r="Z718" t="n">
        <v>1.0</v>
      </c>
      <c r="AA718" t="n">
        <v>0.0</v>
      </c>
      <c r="AB718" t="n">
        <v>0.0</v>
      </c>
      <c r="AC718" t="n">
        <v>0.0</v>
      </c>
      <c r="AD718" t="n">
        <v>1.0</v>
      </c>
      <c r="AE718" t="n">
        <v>0.0</v>
      </c>
      <c r="AF718" t="n">
        <v>0.0</v>
      </c>
      <c r="AG718" t="n">
        <v>0.0</v>
      </c>
      <c r="AH718" t="n">
        <v>0.0</v>
      </c>
      <c r="AI718" t="n">
        <v>0.0</v>
      </c>
      <c r="AJ718" t="n">
        <v>0.0</v>
      </c>
      <c r="AK718" t="n">
        <v>10.0</v>
      </c>
      <c r="AL718" t="inlineStr">
        <is>
          <t/>
        </is>
      </c>
    </row>
    <row r="719">
      <c r="A719" t="inlineStr">
        <is>
          <t>别小瞧100来块的购买力…</t>
        </is>
      </c>
      <c r="B719" t="inlineStr">
        <is>
          <t>6a193ac50000000007012679</t>
        </is>
      </c>
      <c r="C719" s="718" t="n">
        <f>HYPERLINK("https://www.xiaohongshu.com/explore/6a193ac50000000007012679?xsec_token=TBk6CyYxmYlnK3hnLTdNsVfIMuUcSAEtoLgV9vkYotx_E=&amp;xsec_source=pc_trdark","https://www.xiaohongshu.com/explore/6a193ac50000000007012679?xsec_token=TBk6CyYxmYlnK3hnLTdNsVfIMuUcSAEtoLgV9vkYotx_E=&amp;xsec_source=pc_trdark")</f>
        <v>0.0</v>
      </c>
      <c r="D719" t="inlineStr">
        <is>
          <t>鲜水湾</t>
        </is>
      </c>
      <c r="E719" t="inlineStr">
        <is>
          <t>49316638994</t>
        </is>
      </c>
      <c r="F719" t="inlineStr">
        <is>
          <t>2026-05-29 15:05:41</t>
        </is>
      </c>
      <c r="G719" t="inlineStr">
        <is>
          <t>图文</t>
        </is>
      </c>
      <c r="H719" t="inlineStr">
        <is>
          <t>智利三文鱼切块·整条三文鱼·深海鱼一人食健康饮食</t>
        </is>
      </c>
      <c r="I719" t="inlineStr">
        <is>
          <t>691ac562a524ee0001b51d7b</t>
        </is>
      </c>
      <c r="J719" t="inlineStr">
        <is>
          <t/>
        </is>
      </c>
      <c r="K719" t="n">
        <v>0.0</v>
      </c>
      <c r="L719" t="n">
        <v>0.0</v>
      </c>
      <c r="M719" t="n">
        <v>1.0</v>
      </c>
      <c r="N719" t="n">
        <v>1.0</v>
      </c>
      <c r="O719" t="n">
        <v>1.0</v>
      </c>
      <c r="P719" t="n">
        <v>0.0</v>
      </c>
      <c r="Q719" t="n">
        <v>0.0</v>
      </c>
      <c r="R719" t="n">
        <v>0.0</v>
      </c>
      <c r="S719" t="n">
        <v>0.0</v>
      </c>
      <c r="T719" t="n">
        <v>0.0</v>
      </c>
      <c r="U719" t="n">
        <v>0.0</v>
      </c>
      <c r="V719" t="n">
        <v>0.0</v>
      </c>
      <c r="W719" t="inlineStr">
        <is>
          <t/>
        </is>
      </c>
      <c r="X719" t="n">
        <v>0.0</v>
      </c>
      <c r="Y719" t="n">
        <v>0.0</v>
      </c>
      <c r="Z719" t="n">
        <v>0.0</v>
      </c>
      <c r="AA719" t="n">
        <v>0.0</v>
      </c>
      <c r="AB719" t="n">
        <v>0.0</v>
      </c>
      <c r="AC719" t="n">
        <v>0.0</v>
      </c>
      <c r="AD719" t="n">
        <v>1.0</v>
      </c>
      <c r="AE719" t="n">
        <v>0.0</v>
      </c>
      <c r="AF719" t="n">
        <v>0.0</v>
      </c>
      <c r="AG719" t="n">
        <v>0.0</v>
      </c>
      <c r="AH719" t="n">
        <v>0.0</v>
      </c>
      <c r="AI719" t="n">
        <v>0.0</v>
      </c>
      <c r="AJ719" t="n">
        <v>0.0</v>
      </c>
      <c r="AK719" t="n">
        <v>14.0</v>
      </c>
      <c r="AL719" t="inlineStr">
        <is>
          <t/>
        </is>
      </c>
    </row>
    <row r="720">
      <c r="A720" t="inlineStr">
        <is>
          <t>月薪3500，也能实现三文鱼自由了</t>
        </is>
      </c>
      <c r="B720" t="inlineStr">
        <is>
          <t>6a1840170000000006033995</t>
        </is>
      </c>
      <c r="C720" s="719" t="n">
        <f>HYPERLINK("https://www.xiaohongshu.com/explore/6a1840170000000006033995?xsec_token=TBasIynwQ-hL8RTBvPE8YR7ivEYDyDrsQzSRun-c7KRhE=&amp;xsec_source=pc_trdark","https://www.xiaohongshu.com/explore/6a1840170000000006033995?xsec_token=TBasIynwQ-hL8RTBvPE8YR7ivEYDyDrsQzSRun-c7KRhE=&amp;xsec_source=pc_trdark")</f>
        <v>0.0</v>
      </c>
      <c r="D720" t="inlineStr">
        <is>
          <t>鲜水湾</t>
        </is>
      </c>
      <c r="E720" t="inlineStr">
        <is>
          <t>49316638994</t>
        </is>
      </c>
      <c r="F720" t="inlineStr">
        <is>
          <t>2026-05-28 21:16:07</t>
        </is>
      </c>
      <c r="G720" t="inlineStr">
        <is>
          <t>图文</t>
        </is>
      </c>
      <c r="H720" t="inlineStr">
        <is>
          <t>智利尾端中段整条三文鱼 8斤深海鱼低脂餐囤货一周备菜顺丰包邮</t>
        </is>
      </c>
      <c r="I720" t="inlineStr">
        <is>
          <t>69fab80d64eb410001ece0c0</t>
        </is>
      </c>
      <c r="J720" t="inlineStr">
        <is>
          <t/>
        </is>
      </c>
      <c r="K720" t="n">
        <v>0.0</v>
      </c>
      <c r="L720" t="n">
        <v>0.0</v>
      </c>
      <c r="M720" t="n">
        <v>0.0</v>
      </c>
      <c r="N720" t="n">
        <v>0.0</v>
      </c>
      <c r="O720" t="n">
        <v>0.0</v>
      </c>
      <c r="P720" t="n">
        <v>0.0</v>
      </c>
      <c r="Q720" t="inlineStr">
        <is>
          <t/>
        </is>
      </c>
      <c r="R720" t="inlineStr">
        <is>
          <t/>
        </is>
      </c>
      <c r="S720" t="n">
        <v>0.0</v>
      </c>
      <c r="T720" t="n">
        <v>0.0</v>
      </c>
      <c r="U720" t="n">
        <v>0.0</v>
      </c>
      <c r="V720" t="n">
        <v>0.0</v>
      </c>
      <c r="W720" t="inlineStr">
        <is>
          <t/>
        </is>
      </c>
      <c r="X720" t="n">
        <v>0.0</v>
      </c>
      <c r="Y720" t="n">
        <v>0.0</v>
      </c>
      <c r="Z720" t="n">
        <v>0.0</v>
      </c>
      <c r="AA720" t="n">
        <v>0.0</v>
      </c>
      <c r="AB720" t="n">
        <v>0.0</v>
      </c>
      <c r="AC720" t="n">
        <v>0.0</v>
      </c>
      <c r="AD720" t="n">
        <v>1.0</v>
      </c>
      <c r="AE720" t="n">
        <v>0.0</v>
      </c>
      <c r="AF720" t="n">
        <v>0.0</v>
      </c>
      <c r="AG720" t="n">
        <v>0.0</v>
      </c>
      <c r="AH720" t="n">
        <v>0.0</v>
      </c>
      <c r="AI720" t="n">
        <v>0.0</v>
      </c>
      <c r="AJ720" t="n">
        <v>0.0</v>
      </c>
      <c r="AK720" t="n">
        <v>2.0</v>
      </c>
      <c r="AL720" t="inlineStr">
        <is>
          <t/>
        </is>
      </c>
    </row>
    <row r="721">
      <c r="A721" t="inlineStr">
        <is>
          <t>吃了一个周虾仁，才花了不到70</t>
        </is>
      </c>
      <c r="B721" t="inlineStr">
        <is>
          <t>6a18054d0000000008000c09</t>
        </is>
      </c>
      <c r="C721" s="720" t="n">
        <f>HYPERLINK("https://www.xiaohongshu.com/explore/6a18054d0000000008000c09?xsec_token=TBasIynwQ-hL8RTBvPE8YR7lTo5F4jiXaQBxiJsUlg_30=&amp;xsec_source=pc_trdark","https://www.xiaohongshu.com/explore/6a18054d0000000008000c09?xsec_token=TBasIynwQ-hL8RTBvPE8YR7lTo5F4jiXaQBxiJsUlg_30=&amp;xsec_source=pc_trdark")</f>
        <v>0.0</v>
      </c>
      <c r="D721" t="inlineStr">
        <is>
          <t>婉婉上班吃什么</t>
        </is>
      </c>
      <c r="E721" t="inlineStr">
        <is>
          <t>11434449706</t>
        </is>
      </c>
      <c r="F721" t="inlineStr">
        <is>
          <t>2026-05-28 17:05:17</t>
        </is>
      </c>
      <c r="G721" t="inlineStr">
        <is>
          <t>图文</t>
        </is>
      </c>
      <c r="H721" t="inlineStr">
        <is>
          <t>手剥虾仁 无冰衣无添加 低脂餐一人食 上班带饭 顺丰包邮 5盒装</t>
        </is>
      </c>
      <c r="I721" t="inlineStr">
        <is>
          <t>694baba01d450d00013662f0</t>
        </is>
      </c>
      <c r="J721" t="inlineStr">
        <is>
          <t/>
        </is>
      </c>
      <c r="K721" t="n">
        <v>0.0</v>
      </c>
      <c r="L721" t="n">
        <v>0.0</v>
      </c>
      <c r="M721" t="n">
        <v>0.0</v>
      </c>
      <c r="N721" t="n">
        <v>0.0</v>
      </c>
      <c r="O721" t="n">
        <v>0.0</v>
      </c>
      <c r="P721" t="n">
        <v>0.0</v>
      </c>
      <c r="Q721" t="inlineStr">
        <is>
          <t/>
        </is>
      </c>
      <c r="R721" t="inlineStr">
        <is>
          <t/>
        </is>
      </c>
      <c r="S721" t="n">
        <v>0.0</v>
      </c>
      <c r="T721" t="n">
        <v>0.0</v>
      </c>
      <c r="U721" t="n">
        <v>0.0</v>
      </c>
      <c r="V721" t="n">
        <v>0.0</v>
      </c>
      <c r="W721" t="inlineStr">
        <is>
          <t/>
        </is>
      </c>
      <c r="X721" t="n">
        <v>0.0</v>
      </c>
      <c r="Y721" t="n">
        <v>0.0</v>
      </c>
      <c r="Z721" t="n">
        <v>0.0</v>
      </c>
      <c r="AA721" t="n">
        <v>0.0</v>
      </c>
      <c r="AB721" t="n">
        <v>0.0</v>
      </c>
      <c r="AC721" t="n">
        <v>0.0</v>
      </c>
      <c r="AD721" t="n">
        <v>1.0</v>
      </c>
      <c r="AE721" t="n">
        <v>0.0</v>
      </c>
      <c r="AF721" t="n">
        <v>0.0</v>
      </c>
      <c r="AG721" t="n">
        <v>0.0</v>
      </c>
      <c r="AH721" t="n">
        <v>0.0</v>
      </c>
      <c r="AI721" t="n">
        <v>0.0</v>
      </c>
      <c r="AJ721" t="n">
        <v>0.0</v>
      </c>
      <c r="AK721" t="n">
        <v>1.0</v>
      </c>
      <c r="AL721" t="inlineStr">
        <is>
          <t/>
        </is>
      </c>
    </row>
    <row r="722">
      <c r="A722" t="inlineStr">
        <is>
          <t>帮爸妈卖虾后发现，69块5袋真的够吃一周</t>
        </is>
      </c>
      <c r="B722" t="inlineStr">
        <is>
          <t>6a16871e0000000006021b61</t>
        </is>
      </c>
      <c r="C722" s="721" t="n">
        <f>HYPERLINK("https://www.xiaohongshu.com/explore/6a16871e0000000006021b61?xsec_token=TBTlDyK2vMyPBioInbRWPaPnOuMFJYwtm-Qm0c1hRdEVI=&amp;xsec_source=pc_trdark","https://www.xiaohongshu.com/explore/6a16871e0000000006021b61?xsec_token=TBTlDyK2vMyPBioInbRWPaPnOuMFJYwtm-Qm0c1hRdEVI=&amp;xsec_source=pc_trdark")</f>
        <v>0.0</v>
      </c>
      <c r="D722" t="inlineStr">
        <is>
          <t>鲜水湾</t>
        </is>
      </c>
      <c r="E722" t="inlineStr">
        <is>
          <t>49316638994</t>
        </is>
      </c>
      <c r="F722" t="inlineStr">
        <is>
          <t>2026-05-27 13:54:38</t>
        </is>
      </c>
      <c r="G722" t="inlineStr">
        <is>
          <t>图文</t>
        </is>
      </c>
      <c r="H722" t="inlineStr">
        <is>
          <t>手剥虾仁 无冰衣无添加 低脂餐一人食 上班带饭 顺丰包邮 5盒装</t>
        </is>
      </c>
      <c r="I722" t="inlineStr">
        <is>
          <t>694baba01d450d00013662f0</t>
        </is>
      </c>
      <c r="J722" t="inlineStr">
        <is>
          <t/>
        </is>
      </c>
      <c r="K722" t="n">
        <v>0.0</v>
      </c>
      <c r="L722" t="n">
        <v>0.0</v>
      </c>
      <c r="M722" t="n">
        <v>0.0</v>
      </c>
      <c r="N722" t="n">
        <v>0.0</v>
      </c>
      <c r="O722" t="n">
        <v>0.0</v>
      </c>
      <c r="P722" t="n">
        <v>0.0</v>
      </c>
      <c r="Q722" t="inlineStr">
        <is>
          <t/>
        </is>
      </c>
      <c r="R722" t="inlineStr">
        <is>
          <t/>
        </is>
      </c>
      <c r="S722" t="n">
        <v>0.0</v>
      </c>
      <c r="T722" t="n">
        <v>0.0</v>
      </c>
      <c r="U722" t="n">
        <v>0.0</v>
      </c>
      <c r="V722" t="n">
        <v>0.0</v>
      </c>
      <c r="W722" t="inlineStr">
        <is>
          <t/>
        </is>
      </c>
      <c r="X722" t="n">
        <v>0.0</v>
      </c>
      <c r="Y722" t="n">
        <v>0.0</v>
      </c>
      <c r="Z722" t="n">
        <v>0.0</v>
      </c>
      <c r="AA722" t="n">
        <v>0.0</v>
      </c>
      <c r="AB722" t="n">
        <v>0.0</v>
      </c>
      <c r="AC722" t="n">
        <v>0.0</v>
      </c>
      <c r="AD722" t="n">
        <v>1.0</v>
      </c>
      <c r="AE722" t="n">
        <v>0.0</v>
      </c>
      <c r="AF722" t="n">
        <v>0.0</v>
      </c>
      <c r="AG722" t="n">
        <v>0.0</v>
      </c>
      <c r="AH722" t="n">
        <v>0.0</v>
      </c>
      <c r="AI722" t="n">
        <v>0.0</v>
      </c>
      <c r="AJ722" t="n">
        <v>0.0</v>
      </c>
      <c r="AK722" t="n">
        <v>37.0</v>
      </c>
      <c r="AL722" t="inlineStr">
        <is>
          <t/>
        </is>
      </c>
    </row>
    <row r="723">
      <c r="A723" t="inlineStr">
        <is>
          <t>感谢xhs股东🙏，我家虾仁卖了1000单了</t>
        </is>
      </c>
      <c r="B723" t="inlineStr">
        <is>
          <t>6a15128f0000000006032227</t>
        </is>
      </c>
      <c r="C723" s="722" t="n">
        <f>HYPERLINK("https://www.xiaohongshu.com/explore/6a15128f0000000006032227?xsec_token=TB-9iWPr9Mx2NrjMC4lGPdgO22fxb3IPaDSs5Wr_0IqKE=&amp;xsec_source=pc_trdark","https://www.xiaohongshu.com/explore/6a15128f0000000006032227?xsec_token=TB-9iWPr9Mx2NrjMC4lGPdgO22fxb3IPaDSs5Wr_0IqKE=&amp;xsec_source=pc_trdark")</f>
        <v>0.0</v>
      </c>
      <c r="D723" t="inlineStr">
        <is>
          <t>鲜水湾</t>
        </is>
      </c>
      <c r="E723" t="inlineStr">
        <is>
          <t>49316638994</t>
        </is>
      </c>
      <c r="F723" t="inlineStr">
        <is>
          <t>2026-05-26 11:25:03</t>
        </is>
      </c>
      <c r="G723" t="inlineStr">
        <is>
          <t>图文</t>
        </is>
      </c>
      <c r="H723" t="inlineStr">
        <is>
          <t>手剥虾仁 无冰衣无添加 低脂餐一人食 上班带饭 顺丰包邮 5盒装</t>
        </is>
      </c>
      <c r="I723" t="inlineStr">
        <is>
          <t>694baba01d450d00013662f0</t>
        </is>
      </c>
      <c r="J723" t="inlineStr">
        <is>
          <t/>
        </is>
      </c>
      <c r="K723" t="n">
        <v>0.0</v>
      </c>
      <c r="L723" t="n">
        <v>0.0</v>
      </c>
      <c r="M723" t="n">
        <v>0.0</v>
      </c>
      <c r="N723" t="n">
        <v>0.0</v>
      </c>
      <c r="O723" t="n">
        <v>0.0</v>
      </c>
      <c r="P723" t="n">
        <v>0.0</v>
      </c>
      <c r="Q723" t="inlineStr">
        <is>
          <t/>
        </is>
      </c>
      <c r="R723" t="inlineStr">
        <is>
          <t/>
        </is>
      </c>
      <c r="S723" t="n">
        <v>0.0</v>
      </c>
      <c r="T723" t="n">
        <v>0.0</v>
      </c>
      <c r="U723" t="n">
        <v>0.0</v>
      </c>
      <c r="V723" t="n">
        <v>0.0</v>
      </c>
      <c r="W723" t="inlineStr">
        <is>
          <t/>
        </is>
      </c>
      <c r="X723" t="n">
        <v>0.0</v>
      </c>
      <c r="Y723" t="n">
        <v>0.0</v>
      </c>
      <c r="Z723" t="n">
        <v>0.0</v>
      </c>
      <c r="AA723" t="n">
        <v>0.0</v>
      </c>
      <c r="AB723" t="n">
        <v>0.0</v>
      </c>
      <c r="AC723" t="n">
        <v>0.0</v>
      </c>
      <c r="AD723" t="n">
        <v>1.0</v>
      </c>
      <c r="AE723" t="n">
        <v>0.0</v>
      </c>
      <c r="AF723" t="n">
        <v>0.0</v>
      </c>
      <c r="AG723" t="n">
        <v>0.0</v>
      </c>
      <c r="AH723" t="n">
        <v>0.0</v>
      </c>
      <c r="AI723" t="n">
        <v>0.0</v>
      </c>
      <c r="AJ723" t="n">
        <v>0.0</v>
      </c>
      <c r="AK723" t="n">
        <v>15.0</v>
      </c>
      <c r="AL723" t="inlineStr">
        <is>
          <t/>
        </is>
      </c>
    </row>
    <row r="724">
      <c r="A724" t="inlineStr">
        <is>
          <t>感觉现在的打工人都低估了69r的购买力！</t>
        </is>
      </c>
      <c r="B724" t="inlineStr">
        <is>
          <t>6a1509b00000000007010f60</t>
        </is>
      </c>
      <c r="C724" s="723" t="n">
        <f>HYPERLINK("https://www.xiaohongshu.com/explore/6a1509b00000000007010f60?xsec_token=TB-9iWPr9Mx2NrjMC4lGPdgOFfZJ4KvE6GY6RkwkiAFYU=&amp;xsec_source=pc_trdark","https://www.xiaohongshu.com/explore/6a1509b00000000007010f60?xsec_token=TB-9iWPr9Mx2NrjMC4lGPdgOFfZJ4KvE6GY6RkwkiAFYU=&amp;xsec_source=pc_trdark")</f>
        <v>0.0</v>
      </c>
      <c r="D724" t="inlineStr">
        <is>
          <t>鲜水湾</t>
        </is>
      </c>
      <c r="E724" t="inlineStr">
        <is>
          <t>49316638994</t>
        </is>
      </c>
      <c r="F724" t="inlineStr">
        <is>
          <t>2026-05-26 10:47:12</t>
        </is>
      </c>
      <c r="G724" t="inlineStr">
        <is>
          <t>图文</t>
        </is>
      </c>
      <c r="H724" t="inlineStr">
        <is>
          <t>手剥虾仁 无冰衣无添加 低脂餐一人食 上班带饭 顺丰包邮 5盒装</t>
        </is>
      </c>
      <c r="I724" t="inlineStr">
        <is>
          <t>694baba01d450d00013662f0</t>
        </is>
      </c>
      <c r="J724" t="inlineStr">
        <is>
          <t/>
        </is>
      </c>
      <c r="K724" t="n">
        <v>0.0</v>
      </c>
      <c r="L724" t="n">
        <v>0.0</v>
      </c>
      <c r="M724" t="n">
        <v>0.0</v>
      </c>
      <c r="N724" t="n">
        <v>0.0</v>
      </c>
      <c r="O724" t="n">
        <v>0.0</v>
      </c>
      <c r="P724" t="n">
        <v>0.0</v>
      </c>
      <c r="Q724" t="inlineStr">
        <is>
          <t/>
        </is>
      </c>
      <c r="R724" t="inlineStr">
        <is>
          <t/>
        </is>
      </c>
      <c r="S724" t="n">
        <v>0.0</v>
      </c>
      <c r="T724" t="n">
        <v>0.0</v>
      </c>
      <c r="U724" t="n">
        <v>0.0</v>
      </c>
      <c r="V724" t="n">
        <v>0.0</v>
      </c>
      <c r="W724" t="inlineStr">
        <is>
          <t/>
        </is>
      </c>
      <c r="X724" t="n">
        <v>0.0</v>
      </c>
      <c r="Y724" t="n">
        <v>0.0</v>
      </c>
      <c r="Z724" t="n">
        <v>0.0</v>
      </c>
      <c r="AA724" t="n">
        <v>0.0</v>
      </c>
      <c r="AB724" t="n">
        <v>0.0</v>
      </c>
      <c r="AC724" t="n">
        <v>0.0</v>
      </c>
      <c r="AD724" t="n">
        <v>1.0</v>
      </c>
      <c r="AE724" t="n">
        <v>0.0</v>
      </c>
      <c r="AF724" t="n">
        <v>0.0</v>
      </c>
      <c r="AG724" t="n">
        <v>0.0</v>
      </c>
      <c r="AH724" t="n">
        <v>0.0</v>
      </c>
      <c r="AI724" t="n">
        <v>0.0</v>
      </c>
      <c r="AJ724" t="n">
        <v>0.0</v>
      </c>
      <c r="AK724" t="n">
        <v>5.0</v>
      </c>
      <c r="AL724" t="inlineStr">
        <is>
          <t/>
        </is>
      </c>
    </row>
    <row r="725">
      <c r="A725" t="inlineStr">
        <is>
          <t>315过后，每天300斤虾仁不够卖的…</t>
        </is>
      </c>
      <c r="B725" t="inlineStr">
        <is>
          <t>6a140f02000000003503373c</t>
        </is>
      </c>
      <c r="C725" s="724" t="n">
        <f>HYPERLINK("https://www.xiaohongshu.com/explore/6a140f02000000003503373c?xsec_token=TBdfojEJvP070MP2_Av4MrTGvD-5AN-HYsHClFcHvYhc4=&amp;xsec_source=pc_trdark","https://www.xiaohongshu.com/explore/6a140f02000000003503373c?xsec_token=TBdfojEJvP070MP2_Av4MrTGvD-5AN-HYsHClFcHvYhc4=&amp;xsec_source=pc_trdark")</f>
        <v>0.0</v>
      </c>
      <c r="D725" t="inlineStr">
        <is>
          <t>鲜水湾甄选</t>
        </is>
      </c>
      <c r="E725" t="inlineStr">
        <is>
          <t>27401929161</t>
        </is>
      </c>
      <c r="F725" t="inlineStr">
        <is>
          <t>2026-05-25 18:40:00</t>
        </is>
      </c>
      <c r="G725" t="inlineStr">
        <is>
          <t>图文</t>
        </is>
      </c>
      <c r="H725" t="inlineStr">
        <is>
          <t>手剥虾仁 无冰衣无添加 低脂餐一人食 上班带饭 顺丰包邮 5盒装</t>
        </is>
      </c>
      <c r="I725" t="inlineStr">
        <is>
          <t>694baba01d450d00013662f0</t>
        </is>
      </c>
      <c r="J725" t="inlineStr">
        <is>
          <t/>
        </is>
      </c>
      <c r="K725" t="n">
        <v>0.0</v>
      </c>
      <c r="L725" t="n">
        <v>0.0</v>
      </c>
      <c r="M725" t="n">
        <v>0.0</v>
      </c>
      <c r="N725" t="n">
        <v>0.0</v>
      </c>
      <c r="O725" t="n">
        <v>0.0</v>
      </c>
      <c r="P725" t="n">
        <v>0.0</v>
      </c>
      <c r="Q725" t="inlineStr">
        <is>
          <t/>
        </is>
      </c>
      <c r="R725" t="inlineStr">
        <is>
          <t/>
        </is>
      </c>
      <c r="S725" t="n">
        <v>0.0</v>
      </c>
      <c r="T725" t="n">
        <v>0.0</v>
      </c>
      <c r="U725" t="n">
        <v>0.0</v>
      </c>
      <c r="V725" t="n">
        <v>0.0</v>
      </c>
      <c r="W725" t="inlineStr">
        <is>
          <t/>
        </is>
      </c>
      <c r="X725" t="n">
        <v>0.0</v>
      </c>
      <c r="Y725" t="n">
        <v>0.0</v>
      </c>
      <c r="Z725" t="n">
        <v>0.0</v>
      </c>
      <c r="AA725" t="n">
        <v>0.0</v>
      </c>
      <c r="AB725" t="n">
        <v>0.0</v>
      </c>
      <c r="AC725" t="n">
        <v>0.0</v>
      </c>
      <c r="AD725" t="n">
        <v>1.0</v>
      </c>
      <c r="AE725" t="n">
        <v>0.0</v>
      </c>
      <c r="AF725" t="n">
        <v>0.0</v>
      </c>
      <c r="AG725" t="n">
        <v>0.0</v>
      </c>
      <c r="AH725" t="n">
        <v>0.0</v>
      </c>
      <c r="AI725" t="n">
        <v>0.0</v>
      </c>
      <c r="AJ725" t="n">
        <v>0.0</v>
      </c>
      <c r="AK725" t="n">
        <v>0.0</v>
      </c>
      <c r="AL725" t="inlineStr">
        <is>
          <t/>
        </is>
      </c>
    </row>
    <row r="726">
      <c r="A726" t="inlineStr">
        <is>
          <t>听劝，咱家虾仁收到就白水煮！</t>
        </is>
      </c>
      <c r="B726" t="inlineStr">
        <is>
          <t>6a140cce0000000007029356</t>
        </is>
      </c>
      <c r="C726" s="725" t="n">
        <f>HYPERLINK("https://www.xiaohongshu.com/explore/6a140cce0000000007029356?xsec_token=TBdfojEJvP070MP2_Av4MrTLF2hXV00K-j3ZHGplX41D0=&amp;xsec_source=pc_trdark","https://www.xiaohongshu.com/explore/6a140cce0000000007029356?xsec_token=TBdfojEJvP070MP2_Av4MrTLF2hXV00K-j3ZHGplX41D0=&amp;xsec_source=pc_trdark")</f>
        <v>0.0</v>
      </c>
      <c r="D726" t="inlineStr">
        <is>
          <t>菲菲上班吃什么</t>
        </is>
      </c>
      <c r="E726" t="inlineStr">
        <is>
          <t>49936530607</t>
        </is>
      </c>
      <c r="F726" t="inlineStr">
        <is>
          <t>2026-05-25 21:20:00</t>
        </is>
      </c>
      <c r="G726" t="inlineStr">
        <is>
          <t>图文</t>
        </is>
      </c>
      <c r="H726" t="inlineStr">
        <is>
          <t>手剥虾仁 无冰衣无添加 低脂餐一人食 上班带饭 顺丰包邮 5盒装</t>
        </is>
      </c>
      <c r="I726" t="inlineStr">
        <is>
          <t>694baba01d450d00013662f0</t>
        </is>
      </c>
      <c r="J726" t="inlineStr">
        <is>
          <t/>
        </is>
      </c>
      <c r="K726" t="n">
        <v>0.0</v>
      </c>
      <c r="L726" t="n">
        <v>0.0</v>
      </c>
      <c r="M726" t="n">
        <v>0.0</v>
      </c>
      <c r="N726" t="n">
        <v>0.0</v>
      </c>
      <c r="O726" t="n">
        <v>0.0</v>
      </c>
      <c r="P726" t="n">
        <v>0.0</v>
      </c>
      <c r="Q726" t="inlineStr">
        <is>
          <t/>
        </is>
      </c>
      <c r="R726" t="inlineStr">
        <is>
          <t/>
        </is>
      </c>
      <c r="S726" t="n">
        <v>0.0</v>
      </c>
      <c r="T726" t="n">
        <v>0.0</v>
      </c>
      <c r="U726" t="n">
        <v>0.0</v>
      </c>
      <c r="V726" t="n">
        <v>0.0</v>
      </c>
      <c r="W726" t="inlineStr">
        <is>
          <t/>
        </is>
      </c>
      <c r="X726" t="n">
        <v>0.0</v>
      </c>
      <c r="Y726" t="n">
        <v>0.0</v>
      </c>
      <c r="Z726" t="n">
        <v>0.0</v>
      </c>
      <c r="AA726" t="n">
        <v>0.0</v>
      </c>
      <c r="AB726" t="n">
        <v>0.0</v>
      </c>
      <c r="AC726" t="n">
        <v>0.0</v>
      </c>
      <c r="AD726" t="n">
        <v>1.0</v>
      </c>
      <c r="AE726" t="n">
        <v>0.0</v>
      </c>
      <c r="AF726" t="n">
        <v>0.0</v>
      </c>
      <c r="AG726" t="n">
        <v>0.0</v>
      </c>
      <c r="AH726" t="n">
        <v>0.0</v>
      </c>
      <c r="AI726" t="n">
        <v>0.0</v>
      </c>
      <c r="AJ726" t="n">
        <v>0.0</v>
      </c>
      <c r="AK726" t="n">
        <v>11.0</v>
      </c>
      <c r="AL726" t="inlineStr">
        <is>
          <t/>
        </is>
      </c>
    </row>
    <row r="727">
      <c r="A727" t="inlineStr">
        <is>
          <t>只有减脂的姐妹懂这一碗的含金量！！！</t>
        </is>
      </c>
      <c r="B727" t="inlineStr">
        <is>
          <t>6a1263140000000008032b45</t>
        </is>
      </c>
      <c r="C727" s="726" t="n">
        <f>HYPERLINK("https://www.xiaohongshu.com/explore/6a1263140000000008032b45?xsec_token=TBjOQMNWrfI7QtCl9AycQu14wBugt-pyAj7F3vzpaR_b4=&amp;xsec_source=pc_trdark","https://www.xiaohongshu.com/explore/6a1263140000000008032b45?xsec_token=TBjOQMNWrfI7QtCl9AycQu14wBugt-pyAj7F3vzpaR_b4=&amp;xsec_source=pc_trdark")</f>
        <v>0.0</v>
      </c>
      <c r="D727" t="inlineStr">
        <is>
          <t>菲菲上班吃什么</t>
        </is>
      </c>
      <c r="E727" t="inlineStr">
        <is>
          <t>49936530607</t>
        </is>
      </c>
      <c r="F727" t="inlineStr">
        <is>
          <t>2026-05-24 17:31:00</t>
        </is>
      </c>
      <c r="G727" t="inlineStr">
        <is>
          <t>图文</t>
        </is>
      </c>
      <c r="H727" t="inlineStr">
        <is>
          <t>手剥虾仁 无冰衣无添加 低脂餐一人食 上班带饭 顺丰包邮 5盒装</t>
        </is>
      </c>
      <c r="I727" t="inlineStr">
        <is>
          <t>694baba01d450d00013662f0</t>
        </is>
      </c>
      <c r="J727" t="inlineStr">
        <is>
          <t/>
        </is>
      </c>
      <c r="K727" t="n">
        <v>0.0</v>
      </c>
      <c r="L727" t="n">
        <v>0.0</v>
      </c>
      <c r="M727" t="n">
        <v>0.0</v>
      </c>
      <c r="N727" t="n">
        <v>0.0</v>
      </c>
      <c r="O727" t="n">
        <v>0.0</v>
      </c>
      <c r="P727" t="n">
        <v>0.0</v>
      </c>
      <c r="Q727" t="inlineStr">
        <is>
          <t/>
        </is>
      </c>
      <c r="R727" t="inlineStr">
        <is>
          <t/>
        </is>
      </c>
      <c r="S727" t="n">
        <v>0.0</v>
      </c>
      <c r="T727" t="n">
        <v>0.0</v>
      </c>
      <c r="U727" t="n">
        <v>0.0</v>
      </c>
      <c r="V727" t="n">
        <v>0.0</v>
      </c>
      <c r="W727" t="inlineStr">
        <is>
          <t/>
        </is>
      </c>
      <c r="X727" t="n">
        <v>0.0</v>
      </c>
      <c r="Y727" t="n">
        <v>0.0</v>
      </c>
      <c r="Z727" t="n">
        <v>0.0</v>
      </c>
      <c r="AA727" t="n">
        <v>0.0</v>
      </c>
      <c r="AB727" t="n">
        <v>0.0</v>
      </c>
      <c r="AC727" t="n">
        <v>0.0</v>
      </c>
      <c r="AD727" t="n">
        <v>1.0</v>
      </c>
      <c r="AE727" t="n">
        <v>0.0</v>
      </c>
      <c r="AF727" t="n">
        <v>0.0</v>
      </c>
      <c r="AG727" t="n">
        <v>0.0</v>
      </c>
      <c r="AH727" t="n">
        <v>0.0</v>
      </c>
      <c r="AI727" t="n">
        <v>0.0</v>
      </c>
      <c r="AJ727" t="n">
        <v>0.0</v>
      </c>
      <c r="AK727" t="n">
        <v>1.0</v>
      </c>
      <c r="AL727" t="inlineStr">
        <is>
          <t/>
        </is>
      </c>
    </row>
    <row r="728">
      <c r="A728" t="inlineStr">
        <is>
          <t>听劝，咱家虾仁收到就白水煮！</t>
        </is>
      </c>
      <c r="B728" t="inlineStr">
        <is>
          <t>6a1260e10000000035023c08</t>
        </is>
      </c>
      <c r="C728" s="727" t="n">
        <f>HYPERLINK("https://www.xiaohongshu.com/explore/6a1260e10000000035023c08?xsec_token=TBjOQMNWrfI7QtCl9AycQu11iPOpbleAEReql9FRWV6qo=&amp;xsec_source=pc_trdark","https://www.xiaohongshu.com/explore/6a1260e10000000035023c08?xsec_token=TBjOQMNWrfI7QtCl9AycQu11iPOpbleAEReql9FRWV6qo=&amp;xsec_source=pc_trdark")</f>
        <v>0.0</v>
      </c>
      <c r="D728" t="inlineStr">
        <is>
          <t>鲜水湾甄选</t>
        </is>
      </c>
      <c r="E728" t="inlineStr">
        <is>
          <t>27401929161</t>
        </is>
      </c>
      <c r="F728" t="inlineStr">
        <is>
          <t>2026-05-24 20:22:00</t>
        </is>
      </c>
      <c r="G728" t="inlineStr">
        <is>
          <t>图文</t>
        </is>
      </c>
      <c r="H728" t="inlineStr">
        <is>
          <t>手剥虾仁 无冰衣无添加 低脂餐一人食 上班带饭 顺丰包邮 5盒装</t>
        </is>
      </c>
      <c r="I728" t="inlineStr">
        <is>
          <t>694baba01d450d00013662f0</t>
        </is>
      </c>
      <c r="J728" t="inlineStr">
        <is>
          <t/>
        </is>
      </c>
      <c r="K728" t="n">
        <v>0.0</v>
      </c>
      <c r="L728" t="n">
        <v>0.0</v>
      </c>
      <c r="M728" t="n">
        <v>0.0</v>
      </c>
      <c r="N728" t="n">
        <v>0.0</v>
      </c>
      <c r="O728" t="n">
        <v>0.0</v>
      </c>
      <c r="P728" t="n">
        <v>0.0</v>
      </c>
      <c r="Q728" t="inlineStr">
        <is>
          <t/>
        </is>
      </c>
      <c r="R728" t="inlineStr">
        <is>
          <t/>
        </is>
      </c>
      <c r="S728" t="n">
        <v>0.0</v>
      </c>
      <c r="T728" t="n">
        <v>0.0</v>
      </c>
      <c r="U728" t="n">
        <v>0.0</v>
      </c>
      <c r="V728" t="n">
        <v>0.0</v>
      </c>
      <c r="W728" t="inlineStr">
        <is>
          <t/>
        </is>
      </c>
      <c r="X728" t="n">
        <v>0.0</v>
      </c>
      <c r="Y728" t="n">
        <v>0.0</v>
      </c>
      <c r="Z728" t="n">
        <v>0.0</v>
      </c>
      <c r="AA728" t="n">
        <v>0.0</v>
      </c>
      <c r="AB728" t="n">
        <v>0.0</v>
      </c>
      <c r="AC728" t="n">
        <v>0.0</v>
      </c>
      <c r="AD728" t="n">
        <v>1.0</v>
      </c>
      <c r="AE728" t="n">
        <v>0.0</v>
      </c>
      <c r="AF728" t="n">
        <v>0.0</v>
      </c>
      <c r="AG728" t="n">
        <v>0.0</v>
      </c>
      <c r="AH728" t="n">
        <v>0.0</v>
      </c>
      <c r="AI728" t="n">
        <v>0.0</v>
      </c>
      <c r="AJ728" t="n">
        <v>0.0</v>
      </c>
      <c r="AK728" t="n">
        <v>6.0</v>
      </c>
      <c r="AL728" t="inlineStr">
        <is>
          <t/>
        </is>
      </c>
    </row>
    <row r="729">
      <c r="A729" t="inlineStr">
        <is>
          <t>夏天必吃的黄瓜拌虾仁（附调料教程✅</t>
        </is>
      </c>
      <c r="B729" t="inlineStr">
        <is>
          <t>6a101b010000000008033c14</t>
        </is>
      </c>
      <c r="C729" s="728" t="n">
        <f>HYPERLINK("https://www.xiaohongshu.com/explore/6a101b010000000008033c14?xsec_token=TB7sem-CvPGayaJut4jTEfsDFuE-fDktIZueBPwSNosvc=&amp;xsec_source=pc_trdark","https://www.xiaohongshu.com/explore/6a101b010000000008033c14?xsec_token=TB7sem-CvPGayaJut4jTEfsDFuE-fDktIZueBPwSNosvc=&amp;xsec_source=pc_trdark")</f>
        <v>0.0</v>
      </c>
      <c r="D729" t="inlineStr">
        <is>
          <t>鲜水湾</t>
        </is>
      </c>
      <c r="E729" t="inlineStr">
        <is>
          <t>49316638994</t>
        </is>
      </c>
      <c r="F729" t="inlineStr">
        <is>
          <t>2026-05-22 16:59:45</t>
        </is>
      </c>
      <c r="G729" t="inlineStr">
        <is>
          <t>图文</t>
        </is>
      </c>
      <c r="H729" t="inlineStr">
        <is>
          <t>手剥虾仁 无冰衣无添加 低脂餐一人食 上班带饭 顺丰包邮 5盒装</t>
        </is>
      </c>
      <c r="I729" t="inlineStr">
        <is>
          <t>694baba01d450d00013662f0</t>
        </is>
      </c>
      <c r="J729" t="inlineStr">
        <is>
          <t/>
        </is>
      </c>
      <c r="K729" t="n">
        <v>0.0</v>
      </c>
      <c r="L729" t="n">
        <v>0.0</v>
      </c>
      <c r="M729" t="n">
        <v>0.0</v>
      </c>
      <c r="N729" t="n">
        <v>0.0</v>
      </c>
      <c r="O729" t="n">
        <v>0.0</v>
      </c>
      <c r="P729" t="n">
        <v>0.0</v>
      </c>
      <c r="Q729" t="inlineStr">
        <is>
          <t/>
        </is>
      </c>
      <c r="R729" t="inlineStr">
        <is>
          <t/>
        </is>
      </c>
      <c r="S729" t="n">
        <v>0.0</v>
      </c>
      <c r="T729" t="n">
        <v>0.0</v>
      </c>
      <c r="U729" t="n">
        <v>0.0</v>
      </c>
      <c r="V729" t="n">
        <v>0.0</v>
      </c>
      <c r="W729" t="inlineStr">
        <is>
          <t/>
        </is>
      </c>
      <c r="X729" t="n">
        <v>0.0</v>
      </c>
      <c r="Y729" t="n">
        <v>0.0</v>
      </c>
      <c r="Z729" t="n">
        <v>0.0</v>
      </c>
      <c r="AA729" t="n">
        <v>0.0</v>
      </c>
      <c r="AB729" t="n">
        <v>0.0</v>
      </c>
      <c r="AC729" t="n">
        <v>0.0</v>
      </c>
      <c r="AD729" t="n">
        <v>1.0</v>
      </c>
      <c r="AE729" t="n">
        <v>0.0</v>
      </c>
      <c r="AF729" t="n">
        <v>0.0</v>
      </c>
      <c r="AG729" t="n">
        <v>0.0</v>
      </c>
      <c r="AH729" t="n">
        <v>0.0</v>
      </c>
      <c r="AI729" t="n">
        <v>0.0</v>
      </c>
      <c r="AJ729" t="n">
        <v>0.0</v>
      </c>
      <c r="AK729" t="n">
        <v>6.0</v>
      </c>
      <c r="AL729" t="inlineStr">
        <is>
          <t/>
        </is>
      </c>
    </row>
    <row r="730">
      <c r="A730" t="inlineStr">
        <is>
          <t>和爸妈商量了，推出一人食带饭小包装虾仁</t>
        </is>
      </c>
      <c r="B730" t="inlineStr">
        <is>
          <t>6a0ff7c8000000000702ebeb</t>
        </is>
      </c>
      <c r="C730" s="729" t="n">
        <f>HYPERLINK("https://www.xiaohongshu.com/explore/6a0ff7c8000000000702ebeb?xsec_token=TBd_B63JN0tjdtncBm9C_ukiwK7y3MgixK2kVkJXam0ks=&amp;xsec_source=pc_trdark","https://www.xiaohongshu.com/explore/6a0ff7c8000000000702ebeb?xsec_token=TBd_B63JN0tjdtncBm9C_ukiwK7y3MgixK2kVkJXam0ks=&amp;xsec_source=pc_trdark")</f>
        <v>0.0</v>
      </c>
      <c r="D730" t="inlineStr">
        <is>
          <t>鲜水湾</t>
        </is>
      </c>
      <c r="E730" t="inlineStr">
        <is>
          <t>49316638994</t>
        </is>
      </c>
      <c r="F730" t="inlineStr">
        <is>
          <t>2026-05-22 14:29:28</t>
        </is>
      </c>
      <c r="G730" t="inlineStr">
        <is>
          <t>图文</t>
        </is>
      </c>
      <c r="H730" t="inlineStr">
        <is>
          <t>手剥虾仁 无冰衣无添加 低脂餐一人食 上班带饭 顺丰包邮 5盒装</t>
        </is>
      </c>
      <c r="I730" t="inlineStr">
        <is>
          <t>694baba01d450d00013662f0</t>
        </is>
      </c>
      <c r="J730" t="inlineStr">
        <is>
          <t/>
        </is>
      </c>
      <c r="K730" t="n">
        <v>0.0</v>
      </c>
      <c r="L730" t="n">
        <v>0.0</v>
      </c>
      <c r="M730" t="n">
        <v>0.0</v>
      </c>
      <c r="N730" t="n">
        <v>0.0</v>
      </c>
      <c r="O730" t="n">
        <v>0.0</v>
      </c>
      <c r="P730" t="n">
        <v>0.0</v>
      </c>
      <c r="Q730" t="inlineStr">
        <is>
          <t/>
        </is>
      </c>
      <c r="R730" t="inlineStr">
        <is>
          <t/>
        </is>
      </c>
      <c r="S730" t="n">
        <v>0.0</v>
      </c>
      <c r="T730" t="n">
        <v>0.0</v>
      </c>
      <c r="U730" t="n">
        <v>0.0</v>
      </c>
      <c r="V730" t="n">
        <v>0.0</v>
      </c>
      <c r="W730" t="inlineStr">
        <is>
          <t/>
        </is>
      </c>
      <c r="X730" t="n">
        <v>0.0</v>
      </c>
      <c r="Y730" t="n">
        <v>0.0</v>
      </c>
      <c r="Z730" t="n">
        <v>0.0</v>
      </c>
      <c r="AA730" t="n">
        <v>0.0</v>
      </c>
      <c r="AB730" t="n">
        <v>0.0</v>
      </c>
      <c r="AC730" t="n">
        <v>0.0</v>
      </c>
      <c r="AD730" t="n">
        <v>1.0</v>
      </c>
      <c r="AE730" t="n">
        <v>0.0</v>
      </c>
      <c r="AF730" t="n">
        <v>0.0</v>
      </c>
      <c r="AG730" t="n">
        <v>0.0</v>
      </c>
      <c r="AH730" t="n">
        <v>0.0</v>
      </c>
      <c r="AI730" t="n">
        <v>0.0</v>
      </c>
      <c r="AJ730" t="n">
        <v>0.0</v>
      </c>
      <c r="AK730" t="n">
        <v>10.0</v>
      </c>
      <c r="AL730" t="inlineStr">
        <is>
          <t/>
        </is>
      </c>
    </row>
    <row r="731">
      <c r="A731" t="inlineStr">
        <is>
          <t>300来块解决我半个月的健康晚餐</t>
        </is>
      </c>
      <c r="B731" t="inlineStr">
        <is>
          <t>6a0ed586000000000702c107</t>
        </is>
      </c>
      <c r="C731" s="730" t="n">
        <f>HYPERLINK("https://www.xiaohongshu.com/explore/6a0ed586000000000702c107?xsec_token=TBPYckZc_Zeu4ZPU768x1mBlXAvTh7XFeWMbqm1AyRcfY=&amp;xsec_source=pc_trdark","https://www.xiaohongshu.com/explore/6a0ed586000000000702c107?xsec_token=TBPYckZc_Zeu4ZPU768x1mBlXAvTh7XFeWMbqm1AyRcfY=&amp;xsec_source=pc_trdark")</f>
        <v>0.0</v>
      </c>
      <c r="D731" t="inlineStr">
        <is>
          <t>鲜水湾</t>
        </is>
      </c>
      <c r="E731" t="inlineStr">
        <is>
          <t>49316638994</t>
        </is>
      </c>
      <c r="F731" t="inlineStr">
        <is>
          <t>2026-05-21 17:51:02</t>
        </is>
      </c>
      <c r="G731" t="inlineStr">
        <is>
          <t>图文</t>
        </is>
      </c>
      <c r="H731" t="inlineStr">
        <is>
          <t>智利尾端中段整条三文鱼 8斤深海鱼低脂餐囤货一周备菜顺丰包邮</t>
        </is>
      </c>
      <c r="I731" t="inlineStr">
        <is>
          <t>69fab80d64eb410001ece0c0</t>
        </is>
      </c>
      <c r="J731" t="inlineStr">
        <is>
          <t/>
        </is>
      </c>
      <c r="K731" t="n">
        <v>0.0</v>
      </c>
      <c r="L731" t="n">
        <v>0.0</v>
      </c>
      <c r="M731" t="n">
        <v>0.0</v>
      </c>
      <c r="N731" t="n">
        <v>0.0</v>
      </c>
      <c r="O731" t="n">
        <v>0.0</v>
      </c>
      <c r="P731" t="n">
        <v>0.0</v>
      </c>
      <c r="Q731" t="inlineStr">
        <is>
          <t/>
        </is>
      </c>
      <c r="R731" t="inlineStr">
        <is>
          <t/>
        </is>
      </c>
      <c r="S731" t="n">
        <v>0.0</v>
      </c>
      <c r="T731" t="n">
        <v>0.0</v>
      </c>
      <c r="U731" t="n">
        <v>0.0</v>
      </c>
      <c r="V731" t="n">
        <v>0.0</v>
      </c>
      <c r="W731" t="inlineStr">
        <is>
          <t/>
        </is>
      </c>
      <c r="X731" t="n">
        <v>0.0</v>
      </c>
      <c r="Y731" t="n">
        <v>0.0</v>
      </c>
      <c r="Z731" t="n">
        <v>0.0</v>
      </c>
      <c r="AA731" t="n">
        <v>0.0</v>
      </c>
      <c r="AB731" t="n">
        <v>0.0</v>
      </c>
      <c r="AC731" t="n">
        <v>0.0</v>
      </c>
      <c r="AD731" t="n">
        <v>1.0</v>
      </c>
      <c r="AE731" t="n">
        <v>0.0</v>
      </c>
      <c r="AF731" t="n">
        <v>0.0</v>
      </c>
      <c r="AG731" t="n">
        <v>0.0</v>
      </c>
      <c r="AH731" t="n">
        <v>0.0</v>
      </c>
      <c r="AI731" t="n">
        <v>0.0</v>
      </c>
      <c r="AJ731" t="n">
        <v>0.0</v>
      </c>
      <c r="AK731" t="n">
        <v>23.0</v>
      </c>
      <c r="AL731" t="inlineStr">
        <is>
          <t/>
        </is>
      </c>
    </row>
    <row r="732">
      <c r="A732" t="inlineStr">
        <is>
          <t>早知有这一口。。还去轻食店费啥钱啊😅</t>
        </is>
      </c>
      <c r="B732" t="inlineStr">
        <is>
          <t>6a0eb3210000000008026a50</t>
        </is>
      </c>
      <c r="C732" s="731" t="n">
        <f>HYPERLINK("https://www.xiaohongshu.com/explore/6a0eb3210000000008026a50?xsec_token=TBPYckZc_Zeu4ZPU768x1mBvaKO_Io6k0AI5y2YyS8Rzo=&amp;xsec_source=pc_trdark","https://www.xiaohongshu.com/explore/6a0eb3210000000008026a50?xsec_token=TBPYckZc_Zeu4ZPU768x1mBvaKO_Io6k0AI5y2YyS8Rzo=&amp;xsec_source=pc_trdark")</f>
        <v>0.0</v>
      </c>
      <c r="D732" t="inlineStr">
        <is>
          <t>婉婉上班吃什么</t>
        </is>
      </c>
      <c r="E732" t="inlineStr">
        <is>
          <t>11434449706</t>
        </is>
      </c>
      <c r="F732" t="inlineStr">
        <is>
          <t>2026-05-21 15:24:17</t>
        </is>
      </c>
      <c r="G732" t="inlineStr">
        <is>
          <t>图文</t>
        </is>
      </c>
      <c r="H732" t="inlineStr">
        <is>
          <t>手剥虾仁 无冰衣无添加 低脂餐一人食 上班带饭 顺丰包邮 5盒装</t>
        </is>
      </c>
      <c r="I732" t="inlineStr">
        <is>
          <t>694baba01d450d00013662f0</t>
        </is>
      </c>
      <c r="J732" t="inlineStr">
        <is>
          <t/>
        </is>
      </c>
      <c r="K732" t="n">
        <v>0.0</v>
      </c>
      <c r="L732" t="n">
        <v>0.0</v>
      </c>
      <c r="M732" t="n">
        <v>0.0</v>
      </c>
      <c r="N732" t="n">
        <v>0.0</v>
      </c>
      <c r="O732" t="n">
        <v>0.0</v>
      </c>
      <c r="P732" t="n">
        <v>0.0</v>
      </c>
      <c r="Q732" t="inlineStr">
        <is>
          <t/>
        </is>
      </c>
      <c r="R732" t="inlineStr">
        <is>
          <t/>
        </is>
      </c>
      <c r="S732" t="n">
        <v>0.0</v>
      </c>
      <c r="T732" t="n">
        <v>0.0</v>
      </c>
      <c r="U732" t="n">
        <v>0.0</v>
      </c>
      <c r="V732" t="n">
        <v>0.0</v>
      </c>
      <c r="W732" t="inlineStr">
        <is>
          <t/>
        </is>
      </c>
      <c r="X732" t="n">
        <v>0.0</v>
      </c>
      <c r="Y732" t="n">
        <v>0.0</v>
      </c>
      <c r="Z732" t="n">
        <v>0.0</v>
      </c>
      <c r="AA732" t="n">
        <v>0.0</v>
      </c>
      <c r="AB732" t="n">
        <v>0.0</v>
      </c>
      <c r="AC732" t="n">
        <v>0.0</v>
      </c>
      <c r="AD732" t="n">
        <v>1.0</v>
      </c>
      <c r="AE732" t="n">
        <v>0.0</v>
      </c>
      <c r="AF732" t="n">
        <v>0.0</v>
      </c>
      <c r="AG732" t="n">
        <v>0.0</v>
      </c>
      <c r="AH732" t="n">
        <v>0.0</v>
      </c>
      <c r="AI732" t="n">
        <v>0.0</v>
      </c>
      <c r="AJ732" t="n">
        <v>0.0</v>
      </c>
      <c r="AK732" t="n">
        <v>18.0</v>
      </c>
      <c r="AL732" t="inlineStr">
        <is>
          <t/>
        </is>
      </c>
    </row>
    <row r="733">
      <c r="A733" t="inlineStr">
        <is>
          <t>一个热量很低，但可以撑死人的东西！</t>
        </is>
      </c>
      <c r="B733" t="inlineStr">
        <is>
          <t>6a0ea674000000000702b110</t>
        </is>
      </c>
      <c r="C733" s="732" t="n">
        <f>HYPERLINK("https://www.xiaohongshu.com/explore/6a0ea674000000000702b110?xsec_token=TBPYckZc_Zeu4ZPU768x1mBlI8bg-M3YRaF0Y_S02379E=&amp;xsec_source=pc_trdark","https://www.xiaohongshu.com/explore/6a0ea674000000000702b110?xsec_token=TBPYckZc_Zeu4ZPU768x1mBlI8bg-M3YRaF0Y_S02379E=&amp;xsec_source=pc_trdark")</f>
        <v>0.0</v>
      </c>
      <c r="D733" t="inlineStr">
        <is>
          <t>婉婉上班吃什么</t>
        </is>
      </c>
      <c r="E733" t="inlineStr">
        <is>
          <t>11434449706</t>
        </is>
      </c>
      <c r="F733" t="inlineStr">
        <is>
          <t>2026-05-21 14:30:12</t>
        </is>
      </c>
      <c r="G733" t="inlineStr">
        <is>
          <t>图文</t>
        </is>
      </c>
      <c r="H733" t="inlineStr">
        <is>
          <t>手剥虾仁 无冰衣无添加 低脂餐一人食 上班带饭 顺丰包邮 5盒装</t>
        </is>
      </c>
      <c r="I733" t="inlineStr">
        <is>
          <t>694baba01d450d00013662f0</t>
        </is>
      </c>
      <c r="J733" t="inlineStr">
        <is>
          <t/>
        </is>
      </c>
      <c r="K733" t="n">
        <v>0.0</v>
      </c>
      <c r="L733" t="n">
        <v>0.0</v>
      </c>
      <c r="M733" t="n">
        <v>0.0</v>
      </c>
      <c r="N733" t="n">
        <v>0.0</v>
      </c>
      <c r="O733" t="n">
        <v>0.0</v>
      </c>
      <c r="P733" t="n">
        <v>0.0</v>
      </c>
      <c r="Q733" t="inlineStr">
        <is>
          <t/>
        </is>
      </c>
      <c r="R733" t="inlineStr">
        <is>
          <t/>
        </is>
      </c>
      <c r="S733" t="n">
        <v>0.0</v>
      </c>
      <c r="T733" t="n">
        <v>0.0</v>
      </c>
      <c r="U733" t="n">
        <v>0.0</v>
      </c>
      <c r="V733" t="n">
        <v>0.0</v>
      </c>
      <c r="W733" t="inlineStr">
        <is>
          <t/>
        </is>
      </c>
      <c r="X733" t="n">
        <v>0.0</v>
      </c>
      <c r="Y733" t="n">
        <v>0.0</v>
      </c>
      <c r="Z733" t="n">
        <v>0.0</v>
      </c>
      <c r="AA733" t="n">
        <v>0.0</v>
      </c>
      <c r="AB733" t="n">
        <v>0.0</v>
      </c>
      <c r="AC733" t="n">
        <v>0.0</v>
      </c>
      <c r="AD733" t="n">
        <v>1.0</v>
      </c>
      <c r="AE733" t="n">
        <v>0.0</v>
      </c>
      <c r="AF733" t="n">
        <v>0.0</v>
      </c>
      <c r="AG733" t="n">
        <v>0.0</v>
      </c>
      <c r="AH733" t="n">
        <v>0.0</v>
      </c>
      <c r="AI733" t="n">
        <v>0.0</v>
      </c>
      <c r="AJ733" t="n">
        <v>0.0</v>
      </c>
      <c r="AK733" t="n">
        <v>1.0</v>
      </c>
      <c r="AL733" t="inlineStr">
        <is>
          <t/>
        </is>
      </c>
    </row>
    <row r="734">
      <c r="A734" t="inlineStr">
        <is>
          <t>我悟了！三文鱼真的可以天天吃！</t>
        </is>
      </c>
      <c r="B734" t="inlineStr">
        <is>
          <t>6a0ea0950000000007027ce4</t>
        </is>
      </c>
      <c r="C734" s="733" t="n">
        <f>HYPERLINK("https://www.xiaohongshu.com/explore/6a0ea0950000000007027ce4?xsec_token=TBPYckZc_Zeu4ZPU768x1mBj5Z8hLMMLpagopY_cxwvjs=&amp;xsec_source=pc_trdark","https://www.xiaohongshu.com/explore/6a0ea0950000000007027ce4?xsec_token=TBPYckZc_Zeu4ZPU768x1mBj5Z8hLMMLpagopY_cxwvjs=&amp;xsec_source=pc_trdark")</f>
        <v>0.0</v>
      </c>
      <c r="D734" t="inlineStr">
        <is>
          <t>鲜水湾</t>
        </is>
      </c>
      <c r="E734" t="inlineStr">
        <is>
          <t>49316638994</t>
        </is>
      </c>
      <c r="F734" t="inlineStr">
        <is>
          <t>2026-05-21 14:05:09</t>
        </is>
      </c>
      <c r="G734" t="inlineStr">
        <is>
          <t>图文</t>
        </is>
      </c>
      <c r="H734" t="inlineStr">
        <is>
          <t>智利尾端中段整条三文鱼 8斤深海鱼低脂餐囤货一周备菜顺丰包邮</t>
        </is>
      </c>
      <c r="I734" t="inlineStr">
        <is>
          <t>69fab80d64eb410001ece0c0</t>
        </is>
      </c>
      <c r="J734" t="inlineStr">
        <is>
          <t/>
        </is>
      </c>
      <c r="K734" t="n">
        <v>0.0</v>
      </c>
      <c r="L734" t="n">
        <v>0.0</v>
      </c>
      <c r="M734" t="n">
        <v>0.0</v>
      </c>
      <c r="N734" t="n">
        <v>0.0</v>
      </c>
      <c r="O734" t="n">
        <v>0.0</v>
      </c>
      <c r="P734" t="n">
        <v>0.0</v>
      </c>
      <c r="Q734" t="inlineStr">
        <is>
          <t/>
        </is>
      </c>
      <c r="R734" t="inlineStr">
        <is>
          <t/>
        </is>
      </c>
      <c r="S734" t="n">
        <v>0.0</v>
      </c>
      <c r="T734" t="n">
        <v>0.0</v>
      </c>
      <c r="U734" t="n">
        <v>0.0</v>
      </c>
      <c r="V734" t="n">
        <v>0.0</v>
      </c>
      <c r="W734" t="inlineStr">
        <is>
          <t/>
        </is>
      </c>
      <c r="X734" t="n">
        <v>0.0</v>
      </c>
      <c r="Y734" t="n">
        <v>0.0</v>
      </c>
      <c r="Z734" t="n">
        <v>0.0</v>
      </c>
      <c r="AA734" t="n">
        <v>0.0</v>
      </c>
      <c r="AB734" t="n">
        <v>0.0</v>
      </c>
      <c r="AC734" t="n">
        <v>0.0</v>
      </c>
      <c r="AD734" t="n">
        <v>1.0</v>
      </c>
      <c r="AE734" t="n">
        <v>0.0</v>
      </c>
      <c r="AF734" t="n">
        <v>0.0</v>
      </c>
      <c r="AG734" t="n">
        <v>0.0</v>
      </c>
      <c r="AH734" t="n">
        <v>0.0</v>
      </c>
      <c r="AI734" t="n">
        <v>0.0</v>
      </c>
      <c r="AJ734" t="n">
        <v>0.0</v>
      </c>
      <c r="AK734" t="n">
        <v>18.0</v>
      </c>
      <c r="AL734" t="inlineStr">
        <is>
          <t/>
        </is>
      </c>
    </row>
    <row r="735">
      <c r="A735" t="inlineStr">
        <is>
          <t>宅家囤了无数次...比买活虾还划算</t>
        </is>
      </c>
      <c r="B735" t="inlineStr">
        <is>
          <t>6a0d80000000000007027dbe</t>
        </is>
      </c>
      <c r="C735" s="734" t="n">
        <f>HYPERLINK("https://www.xiaohongshu.com/explore/6a0d80000000000007027dbe?xsec_token=TBDdsXyCcn-sb0LuI71w4Ot4J-Nlj7iulUBjQnwvmskuE=&amp;xsec_source=pc_trdark","https://www.xiaohongshu.com/explore/6a0d80000000000007027dbe?xsec_token=TBDdsXyCcn-sb0LuI71w4Ot4J-Nlj7iulUBjQnwvmskuE=&amp;xsec_source=pc_trdark")</f>
        <v>0.0</v>
      </c>
      <c r="D735" t="inlineStr">
        <is>
          <t>鲜水湾</t>
        </is>
      </c>
      <c r="E735" t="inlineStr">
        <is>
          <t>49316638994</t>
        </is>
      </c>
      <c r="F735" t="inlineStr">
        <is>
          <t>2026-05-20 17:33:52</t>
        </is>
      </c>
      <c r="G735" t="inlineStr">
        <is>
          <t>图文</t>
        </is>
      </c>
      <c r="H735" t="inlineStr">
        <is>
          <t>大虾基围虾王牌大虾厄瓜多尔白虾盐冻虾仁海洋大虾送礼顺丰包邮</t>
        </is>
      </c>
      <c r="I735" t="inlineStr">
        <is>
          <t>690aeb7be379430001e686ac</t>
        </is>
      </c>
      <c r="J735" t="inlineStr">
        <is>
          <t/>
        </is>
      </c>
      <c r="K735" t="n">
        <v>0.0</v>
      </c>
      <c r="L735" t="n">
        <v>0.0</v>
      </c>
      <c r="M735" t="n">
        <v>0.0</v>
      </c>
      <c r="N735" t="n">
        <v>0.0</v>
      </c>
      <c r="O735" t="n">
        <v>0.0</v>
      </c>
      <c r="P735" t="n">
        <v>0.0</v>
      </c>
      <c r="Q735" t="inlineStr">
        <is>
          <t/>
        </is>
      </c>
      <c r="R735" t="inlineStr">
        <is>
          <t/>
        </is>
      </c>
      <c r="S735" t="n">
        <v>0.0</v>
      </c>
      <c r="T735" t="n">
        <v>0.0</v>
      </c>
      <c r="U735" t="n">
        <v>0.0</v>
      </c>
      <c r="V735" t="n">
        <v>0.0</v>
      </c>
      <c r="W735" t="inlineStr">
        <is>
          <t/>
        </is>
      </c>
      <c r="X735" t="n">
        <v>0.0</v>
      </c>
      <c r="Y735" t="n">
        <v>0.0</v>
      </c>
      <c r="Z735" t="n">
        <v>0.0</v>
      </c>
      <c r="AA735" t="n">
        <v>0.0</v>
      </c>
      <c r="AB735" t="n">
        <v>0.0</v>
      </c>
      <c r="AC735" t="n">
        <v>0.0</v>
      </c>
      <c r="AD735" t="n">
        <v>1.0</v>
      </c>
      <c r="AE735" t="n">
        <v>0.0</v>
      </c>
      <c r="AF735" t="n">
        <v>0.0</v>
      </c>
      <c r="AG735" t="n">
        <v>0.0</v>
      </c>
      <c r="AH735" t="n">
        <v>0.0</v>
      </c>
      <c r="AI735" t="n">
        <v>0.0</v>
      </c>
      <c r="AJ735" t="n">
        <v>0.0</v>
      </c>
      <c r="AK735" t="n">
        <v>11.0</v>
      </c>
      <c r="AL735" t="inlineStr">
        <is>
          <t/>
        </is>
      </c>
    </row>
    <row r="736">
      <c r="A736" t="inlineStr">
        <is>
          <t>奉劝大家别低估100块，真的够吃大半月</t>
        </is>
      </c>
      <c r="B736" t="inlineStr">
        <is>
          <t>6a0d15070000000007020c21</t>
        </is>
      </c>
      <c r="C736" s="735" t="n">
        <f>HYPERLINK("https://www.xiaohongshu.com/explore/6a0d15070000000007020c21?xsec_token=TBDdsXyCcn-sb0LuI71w4Ot30rW6fDFWfDVxfTj-MK_Rw=&amp;xsec_source=pc_trdark","https://www.xiaohongshu.com/explore/6a0d15070000000007020c21?xsec_token=TBDdsXyCcn-sb0LuI71w4Ot30rW6fDFWfDVxfTj-MK_Rw=&amp;xsec_source=pc_trdark")</f>
        <v>0.0</v>
      </c>
      <c r="D736" t="inlineStr">
        <is>
          <t>婉婉上班吃什么</t>
        </is>
      </c>
      <c r="E736" t="inlineStr">
        <is>
          <t>11434449706</t>
        </is>
      </c>
      <c r="F736" t="inlineStr">
        <is>
          <t>2026-05-20 09:57:27</t>
        </is>
      </c>
      <c r="G736" t="inlineStr">
        <is>
          <t>图文</t>
        </is>
      </c>
      <c r="H736" t="inlineStr">
        <is>
          <t>智利三文鱼切块·整条三文鱼·深海鱼一人食健康饮食</t>
        </is>
      </c>
      <c r="I736" t="inlineStr">
        <is>
          <t>691ac562a524ee0001b51d7b</t>
        </is>
      </c>
      <c r="J736" t="inlineStr">
        <is>
          <t/>
        </is>
      </c>
      <c r="K736" t="n">
        <v>0.0</v>
      </c>
      <c r="L736" t="n">
        <v>0.0</v>
      </c>
      <c r="M736" t="n">
        <v>0.0</v>
      </c>
      <c r="N736" t="n">
        <v>0.0</v>
      </c>
      <c r="O736" t="n">
        <v>0.0</v>
      </c>
      <c r="P736" t="n">
        <v>0.0</v>
      </c>
      <c r="Q736" t="inlineStr">
        <is>
          <t/>
        </is>
      </c>
      <c r="R736" t="inlineStr">
        <is>
          <t/>
        </is>
      </c>
      <c r="S736" t="n">
        <v>0.0</v>
      </c>
      <c r="T736" t="n">
        <v>0.0</v>
      </c>
      <c r="U736" t="n">
        <v>0.0</v>
      </c>
      <c r="V736" t="n">
        <v>0.0</v>
      </c>
      <c r="W736" t="inlineStr">
        <is>
          <t/>
        </is>
      </c>
      <c r="X736" t="n">
        <v>0.0</v>
      </c>
      <c r="Y736" t="n">
        <v>0.0</v>
      </c>
      <c r="Z736" t="n">
        <v>0.0</v>
      </c>
      <c r="AA736" t="n">
        <v>0.0</v>
      </c>
      <c r="AB736" t="n">
        <v>0.0</v>
      </c>
      <c r="AC736" t="n">
        <v>0.0</v>
      </c>
      <c r="AD736" t="n">
        <v>1.0</v>
      </c>
      <c r="AE736" t="n">
        <v>0.0</v>
      </c>
      <c r="AF736" t="n">
        <v>0.0</v>
      </c>
      <c r="AG736" t="n">
        <v>0.0</v>
      </c>
      <c r="AH736" t="n">
        <v>0.0</v>
      </c>
      <c r="AI736" t="n">
        <v>0.0</v>
      </c>
      <c r="AJ736" t="n">
        <v>0.0</v>
      </c>
      <c r="AK736" t="n">
        <v>29.0</v>
      </c>
      <c r="AL736" t="inlineStr">
        <is>
          <t/>
        </is>
      </c>
    </row>
    <row r="737">
      <c r="A737" t="inlineStr">
        <is>
          <t>凭一己之力带动公司买了10斤虾仁</t>
        </is>
      </c>
      <c r="B737" t="inlineStr">
        <is>
          <t>6a0c226a000000000603058f</t>
        </is>
      </c>
      <c r="C737" s="736" t="n">
        <f>HYPERLINK("https://www.xiaohongshu.com/explore/6a0c226a000000000603058f?xsec_token=TBM83lsGB1pVe48oYCuJr8OC5JVwrI3YT9y96jDIwRNf8=&amp;xsec_source=pc_trdark","https://www.xiaohongshu.com/explore/6a0c226a000000000603058f?xsec_token=TBM83lsGB1pVe48oYCuJr8OC5JVwrI3YT9y96jDIwRNf8=&amp;xsec_source=pc_trdark")</f>
        <v>0.0</v>
      </c>
      <c r="D737" t="inlineStr">
        <is>
          <t>婉婉上班吃什么</t>
        </is>
      </c>
      <c r="E737" t="inlineStr">
        <is>
          <t>11434449706</t>
        </is>
      </c>
      <c r="F737" t="inlineStr">
        <is>
          <t>2026-05-19 16:42:18</t>
        </is>
      </c>
      <c r="G737" t="inlineStr">
        <is>
          <t>图文</t>
        </is>
      </c>
      <c r="H737" t="inlineStr">
        <is>
          <t>手剥虾仁 无冰衣无添加 低脂餐一人食 上班带饭 顺丰包邮 5盒装</t>
        </is>
      </c>
      <c r="I737" t="inlineStr">
        <is>
          <t>694baba01d450d00013662f0</t>
        </is>
      </c>
      <c r="J737" t="inlineStr">
        <is>
          <t/>
        </is>
      </c>
      <c r="K737" t="n">
        <v>0.0</v>
      </c>
      <c r="L737" t="n">
        <v>0.0</v>
      </c>
      <c r="M737" t="n">
        <v>0.0</v>
      </c>
      <c r="N737" t="n">
        <v>0.0</v>
      </c>
      <c r="O737" t="n">
        <v>0.0</v>
      </c>
      <c r="P737" t="n">
        <v>0.0</v>
      </c>
      <c r="Q737" t="inlineStr">
        <is>
          <t/>
        </is>
      </c>
      <c r="R737" t="inlineStr">
        <is>
          <t/>
        </is>
      </c>
      <c r="S737" t="n">
        <v>0.0</v>
      </c>
      <c r="T737" t="n">
        <v>0.0</v>
      </c>
      <c r="U737" t="n">
        <v>0.0</v>
      </c>
      <c r="V737" t="n">
        <v>0.0</v>
      </c>
      <c r="W737" t="inlineStr">
        <is>
          <t/>
        </is>
      </c>
      <c r="X737" t="n">
        <v>0.0</v>
      </c>
      <c r="Y737" t="n">
        <v>0.0</v>
      </c>
      <c r="Z737" t="n">
        <v>0.0</v>
      </c>
      <c r="AA737" t="n">
        <v>0.0</v>
      </c>
      <c r="AB737" t="n">
        <v>0.0</v>
      </c>
      <c r="AC737" t="n">
        <v>0.0</v>
      </c>
      <c r="AD737" t="n">
        <v>1.0</v>
      </c>
      <c r="AE737" t="n">
        <v>0.0</v>
      </c>
      <c r="AF737" t="n">
        <v>0.0</v>
      </c>
      <c r="AG737" t="n">
        <v>0.0</v>
      </c>
      <c r="AH737" t="n">
        <v>0.0</v>
      </c>
      <c r="AI737" t="n">
        <v>0.0</v>
      </c>
      <c r="AJ737" t="n">
        <v>0.0</v>
      </c>
      <c r="AK737" t="n">
        <v>15.0</v>
      </c>
      <c r="AL737" t="inlineStr">
        <is>
          <t/>
        </is>
      </c>
    </row>
    <row r="738">
      <c r="A738" t="inlineStr">
        <is>
          <t>我妈都夸我终于会吃了😂</t>
        </is>
      </c>
      <c r="B738" t="inlineStr">
        <is>
          <t>6a093e080000000008003dbd</t>
        </is>
      </c>
      <c r="C738" s="737" t="n">
        <f>HYPERLINK("https://www.xiaohongshu.com/explore/6a093e080000000008003dbd?xsec_token=TBudBdZ8yM31AiJjpBdGD44qEg7sZC-Uu6GrFuw4v9Rog=&amp;xsec_source=pc_trdark","https://www.xiaohongshu.com/explore/6a093e080000000008003dbd?xsec_token=TBudBdZ8yM31AiJjpBdGD44qEg7sZC-Uu6GrFuw4v9Rog=&amp;xsec_source=pc_trdark")</f>
        <v>0.0</v>
      </c>
      <c r="D738" t="inlineStr">
        <is>
          <t>菲菲上班吃什么</t>
        </is>
      </c>
      <c r="E738" t="inlineStr">
        <is>
          <t>49936530607</t>
        </is>
      </c>
      <c r="F738" t="inlineStr">
        <is>
          <t>2026-05-17 21:35:00</t>
        </is>
      </c>
      <c r="G738" t="inlineStr">
        <is>
          <t>图文</t>
        </is>
      </c>
      <c r="H738" t="inlineStr">
        <is>
          <t>手剥虾仁 无冰衣无添加 低脂餐一人食 上班带饭 顺丰包邮 5盒装</t>
        </is>
      </c>
      <c r="I738" t="inlineStr">
        <is>
          <t>694baba01d450d00013662f0</t>
        </is>
      </c>
      <c r="J738" t="inlineStr">
        <is>
          <t/>
        </is>
      </c>
      <c r="K738" t="n">
        <v>0.0</v>
      </c>
      <c r="L738" t="n">
        <v>0.0</v>
      </c>
      <c r="M738" t="n">
        <v>0.0</v>
      </c>
      <c r="N738" t="n">
        <v>0.0</v>
      </c>
      <c r="O738" t="n">
        <v>0.0</v>
      </c>
      <c r="P738" t="n">
        <v>0.0</v>
      </c>
      <c r="Q738" t="inlineStr">
        <is>
          <t/>
        </is>
      </c>
      <c r="R738" t="inlineStr">
        <is>
          <t/>
        </is>
      </c>
      <c r="S738" t="n">
        <v>0.0</v>
      </c>
      <c r="T738" t="n">
        <v>0.0</v>
      </c>
      <c r="U738" t="n">
        <v>0.0</v>
      </c>
      <c r="V738" t="n">
        <v>0.0</v>
      </c>
      <c r="W738" t="inlineStr">
        <is>
          <t/>
        </is>
      </c>
      <c r="X738" t="n">
        <v>0.0</v>
      </c>
      <c r="Y738" t="n">
        <v>0.0</v>
      </c>
      <c r="Z738" t="n">
        <v>0.0</v>
      </c>
      <c r="AA738" t="n">
        <v>0.0</v>
      </c>
      <c r="AB738" t="n">
        <v>0.0</v>
      </c>
      <c r="AC738" t="n">
        <v>0.0</v>
      </c>
      <c r="AD738" t="n">
        <v>1.0</v>
      </c>
      <c r="AE738" t="n">
        <v>0.0</v>
      </c>
      <c r="AF738" t="n">
        <v>0.0</v>
      </c>
      <c r="AG738" t="n">
        <v>0.0</v>
      </c>
      <c r="AH738" t="n">
        <v>0.0</v>
      </c>
      <c r="AI738" t="n">
        <v>0.0</v>
      </c>
      <c r="AJ738" t="n">
        <v>0.0</v>
      </c>
      <c r="AK738" t="n">
        <v>10.0</v>
      </c>
      <c r="AL738" t="inlineStr">
        <is>
          <t/>
        </is>
      </c>
    </row>
    <row r="739">
      <c r="A739" t="inlineStr">
        <is>
          <t>长期主义的三文鱼，没有平替。。。</t>
        </is>
      </c>
      <c r="B739" t="inlineStr">
        <is>
          <t>6a08321d0000000008032638</t>
        </is>
      </c>
      <c r="C739" s="738" t="n">
        <f>HYPERLINK("https://www.xiaohongshu.com/explore/6a08321d0000000008032638?xsec_token=TB4DqilU8Iz_RTzVurf6g8egWeVJoVBE0RWAzTFUDnDTM=&amp;xsec_source=pc_trdark","https://www.xiaohongshu.com/explore/6a08321d0000000008032638?xsec_token=TB4DqilU8Iz_RTzVurf6g8egWeVJoVBE0RWAzTFUDnDTM=&amp;xsec_source=pc_trdark")</f>
        <v>0.0</v>
      </c>
      <c r="D739" t="inlineStr">
        <is>
          <t>婉婉上班吃什么</t>
        </is>
      </c>
      <c r="E739" t="inlineStr">
        <is>
          <t>11434449706</t>
        </is>
      </c>
      <c r="F739" t="inlineStr">
        <is>
          <t>2026-05-16 17:00:13</t>
        </is>
      </c>
      <c r="G739" t="inlineStr">
        <is>
          <t>图文</t>
        </is>
      </c>
      <c r="H739" t="inlineStr">
        <is>
          <t>智利尾端中段整条三文鱼 8斤深海鱼低脂餐囤货一周备菜顺丰包邮</t>
        </is>
      </c>
      <c r="I739" t="inlineStr">
        <is>
          <t>69fab80d64eb410001ece0c0</t>
        </is>
      </c>
      <c r="J739" t="inlineStr">
        <is>
          <t/>
        </is>
      </c>
      <c r="K739" t="n">
        <v>0.0</v>
      </c>
      <c r="L739" t="n">
        <v>0.0</v>
      </c>
      <c r="M739" t="n">
        <v>0.0</v>
      </c>
      <c r="N739" t="n">
        <v>0.0</v>
      </c>
      <c r="O739" t="n">
        <v>0.0</v>
      </c>
      <c r="P739" t="n">
        <v>0.0</v>
      </c>
      <c r="Q739" t="inlineStr">
        <is>
          <t/>
        </is>
      </c>
      <c r="R739" t="inlineStr">
        <is>
          <t/>
        </is>
      </c>
      <c r="S739" t="n">
        <v>0.0</v>
      </c>
      <c r="T739" t="n">
        <v>0.0</v>
      </c>
      <c r="U739" t="n">
        <v>0.0</v>
      </c>
      <c r="V739" t="n">
        <v>0.0</v>
      </c>
      <c r="W739" t="inlineStr">
        <is>
          <t/>
        </is>
      </c>
      <c r="X739" t="n">
        <v>0.0</v>
      </c>
      <c r="Y739" t="n">
        <v>0.0</v>
      </c>
      <c r="Z739" t="n">
        <v>1.0</v>
      </c>
      <c r="AA739" t="n">
        <v>0.0</v>
      </c>
      <c r="AB739" t="n">
        <v>0.0</v>
      </c>
      <c r="AC739" t="n">
        <v>0.0</v>
      </c>
      <c r="AD739" t="n">
        <v>1.0</v>
      </c>
      <c r="AE739" t="n">
        <v>0.0</v>
      </c>
      <c r="AF739" t="n">
        <v>0.0</v>
      </c>
      <c r="AG739" t="n">
        <v>0.0</v>
      </c>
      <c r="AH739" t="n">
        <v>0.0</v>
      </c>
      <c r="AI739" t="n">
        <v>0.0</v>
      </c>
      <c r="AJ739" t="n">
        <v>0.0</v>
      </c>
      <c r="AK739" t="n">
        <v>30.0</v>
      </c>
      <c r="AL739" t="inlineStr">
        <is>
          <t/>
        </is>
      </c>
    </row>
    <row r="740">
      <c r="A740" t="inlineStr">
        <is>
          <t>同事以为我天天点轻食🥹</t>
        </is>
      </c>
      <c r="B740" t="inlineStr">
        <is>
          <t>6a07c7de0000000035026f41</t>
        </is>
      </c>
      <c r="C740" s="739" t="n">
        <f>HYPERLINK("https://www.xiaohongshu.com/explore/6a07c7de0000000035026f41?xsec_token=TBtI0JgdLxAHR0G3F9Bj6hQU-UB59iPhWa53s6t8Aukl0=&amp;xsec_source=pc_trdark","https://www.xiaohongshu.com/explore/6a07c7de0000000035026f41?xsec_token=TBtI0JgdLxAHR0G3F9Bj6hQU-UB59iPhWa53s6t8Aukl0=&amp;xsec_source=pc_trdark")</f>
        <v>0.0</v>
      </c>
      <c r="D740" t="inlineStr">
        <is>
          <t>鲜水湾甄选</t>
        </is>
      </c>
      <c r="E740" t="inlineStr">
        <is>
          <t>27401929161</t>
        </is>
      </c>
      <c r="F740" t="inlineStr">
        <is>
          <t>2026-05-16 15:42:00</t>
        </is>
      </c>
      <c r="G740" t="inlineStr">
        <is>
          <t>图文</t>
        </is>
      </c>
      <c r="H740" t="inlineStr">
        <is>
          <t>手剥虾仁 无冰衣无添加 低脂餐一人食 上班带饭 顺丰包邮 5盒装</t>
        </is>
      </c>
      <c r="I740" t="inlineStr">
        <is>
          <t>694baba01d450d00013662f0</t>
        </is>
      </c>
      <c r="J740" t="inlineStr">
        <is>
          <t/>
        </is>
      </c>
      <c r="K740" t="n">
        <v>0.0</v>
      </c>
      <c r="L740" t="n">
        <v>0.0</v>
      </c>
      <c r="M740" t="n">
        <v>0.0</v>
      </c>
      <c r="N740" t="n">
        <v>0.0</v>
      </c>
      <c r="O740" t="n">
        <v>0.0</v>
      </c>
      <c r="P740" t="n">
        <v>0.0</v>
      </c>
      <c r="Q740" t="inlineStr">
        <is>
          <t/>
        </is>
      </c>
      <c r="R740" t="inlineStr">
        <is>
          <t/>
        </is>
      </c>
      <c r="S740" t="n">
        <v>0.0</v>
      </c>
      <c r="T740" t="n">
        <v>0.0</v>
      </c>
      <c r="U740" t="n">
        <v>0.0</v>
      </c>
      <c r="V740" t="n">
        <v>0.0</v>
      </c>
      <c r="W740" t="inlineStr">
        <is>
          <t/>
        </is>
      </c>
      <c r="X740" t="n">
        <v>0.0</v>
      </c>
      <c r="Y740" t="n">
        <v>0.0</v>
      </c>
      <c r="Z740" t="n">
        <v>0.0</v>
      </c>
      <c r="AA740" t="n">
        <v>0.0</v>
      </c>
      <c r="AB740" t="n">
        <v>0.0</v>
      </c>
      <c r="AC740" t="n">
        <v>0.0</v>
      </c>
      <c r="AD740" t="n">
        <v>1.0</v>
      </c>
      <c r="AE740" t="n">
        <v>0.0</v>
      </c>
      <c r="AF740" t="n">
        <v>0.0</v>
      </c>
      <c r="AG740" t="n">
        <v>0.0</v>
      </c>
      <c r="AH740" t="n">
        <v>0.0</v>
      </c>
      <c r="AI740" t="n">
        <v>0.0</v>
      </c>
      <c r="AJ740" t="n">
        <v>0.0</v>
      </c>
      <c r="AK740" t="n">
        <v>0.0</v>
      </c>
      <c r="AL740" t="inlineStr">
        <is>
          <t/>
        </is>
      </c>
    </row>
    <row r="741">
      <c r="A741" t="inlineStr">
        <is>
          <t>建议健身餐吃腻的鸡胸肉的人换成三文鱼🍣</t>
        </is>
      </c>
      <c r="B741" t="inlineStr">
        <is>
          <t>6a06aba4000000000702846f</t>
        </is>
      </c>
      <c r="C741" s="740" t="n">
        <f>HYPERLINK("https://www.xiaohongshu.com/explore/6a06aba4000000000702846f?xsec_token=TBpankNZlH0V8NqkFXZqkegZWudlDW8fCVNAyj9gOh7oo=&amp;xsec_source=pc_trdark","https://www.xiaohongshu.com/explore/6a06aba4000000000702846f?xsec_token=TBpankNZlH0V8NqkFXZqkegZWudlDW8fCVNAyj9gOh7oo=&amp;xsec_source=pc_trdark")</f>
        <v>0.0</v>
      </c>
      <c r="D741" t="inlineStr">
        <is>
          <t>鲜水湾</t>
        </is>
      </c>
      <c r="E741" t="inlineStr">
        <is>
          <t>49316638994</t>
        </is>
      </c>
      <c r="F741" t="inlineStr">
        <is>
          <t>2026-05-15 13:14:12</t>
        </is>
      </c>
      <c r="G741" t="inlineStr">
        <is>
          <t>图文</t>
        </is>
      </c>
      <c r="H741" t="inlineStr">
        <is>
          <t>智利尾端中段整条三文鱼 8斤深海鱼低脂餐囤货一周备菜顺丰包邮</t>
        </is>
      </c>
      <c r="I741" t="inlineStr">
        <is>
          <t>69fab80d64eb410001ece0c0</t>
        </is>
      </c>
      <c r="J741" t="inlineStr">
        <is>
          <t/>
        </is>
      </c>
      <c r="K741" t="n">
        <v>0.0</v>
      </c>
      <c r="L741" t="n">
        <v>0.0</v>
      </c>
      <c r="M741" t="n">
        <v>0.0</v>
      </c>
      <c r="N741" t="n">
        <v>0.0</v>
      </c>
      <c r="O741" t="n">
        <v>0.0</v>
      </c>
      <c r="P741" t="n">
        <v>0.0</v>
      </c>
      <c r="Q741" t="inlineStr">
        <is>
          <t/>
        </is>
      </c>
      <c r="R741" t="inlineStr">
        <is>
          <t/>
        </is>
      </c>
      <c r="S741" t="n">
        <v>0.0</v>
      </c>
      <c r="T741" t="n">
        <v>0.0</v>
      </c>
      <c r="U741" t="n">
        <v>0.0</v>
      </c>
      <c r="V741" t="n">
        <v>0.0</v>
      </c>
      <c r="W741" t="inlineStr">
        <is>
          <t/>
        </is>
      </c>
      <c r="X741" t="n">
        <v>0.0</v>
      </c>
      <c r="Y741" t="n">
        <v>0.0</v>
      </c>
      <c r="Z741" t="n">
        <v>0.0</v>
      </c>
      <c r="AA741" t="n">
        <v>0.0</v>
      </c>
      <c r="AB741" t="n">
        <v>0.0</v>
      </c>
      <c r="AC741" t="n">
        <v>0.0</v>
      </c>
      <c r="AD741" t="n">
        <v>1.0</v>
      </c>
      <c r="AE741" t="n">
        <v>0.0</v>
      </c>
      <c r="AF741" t="n">
        <v>0.0</v>
      </c>
      <c r="AG741" t="n">
        <v>0.0</v>
      </c>
      <c r="AH741" t="n">
        <v>0.0</v>
      </c>
      <c r="AI741" t="n">
        <v>0.0</v>
      </c>
      <c r="AJ741" t="n">
        <v>0.0</v>
      </c>
      <c r="AK741" t="n">
        <v>2.0</v>
      </c>
      <c r="AL741" t="inlineStr">
        <is>
          <t/>
        </is>
      </c>
    </row>
    <row r="742">
      <c r="A742" t="inlineStr">
        <is>
          <t>一个人住真的会疯狂囤这种虾仁……</t>
        </is>
      </c>
      <c r="B742" t="inlineStr">
        <is>
          <t>6a0593580000000035026528</t>
        </is>
      </c>
      <c r="C742" s="741" t="n">
        <f>HYPERLINK("https://www.xiaohongshu.com/explore/6a0593580000000035026528?xsec_token=TB5fIXEADm3ztd3cFmDO51aJ4z1oGLGmaF7NsazrgWqeQ=&amp;xsec_source=pc_trdark","https://www.xiaohongshu.com/explore/6a0593580000000035026528?xsec_token=TB5fIXEADm3ztd3cFmDO51aJ4z1oGLGmaF7NsazrgWqeQ=&amp;xsec_source=pc_trdark")</f>
        <v>0.0</v>
      </c>
      <c r="D742" t="inlineStr">
        <is>
          <t>鲜水湾甄选</t>
        </is>
      </c>
      <c r="E742" t="inlineStr">
        <is>
          <t>27401929161</t>
        </is>
      </c>
      <c r="F742" t="inlineStr">
        <is>
          <t>2026-05-14 22:26:00</t>
        </is>
      </c>
      <c r="G742" t="inlineStr">
        <is>
          <t>图文</t>
        </is>
      </c>
      <c r="H742" t="inlineStr">
        <is>
          <t>手剥虾仁 无冰衣无添加 低脂餐一人食 上班带饭 顺丰包邮 5盒装</t>
        </is>
      </c>
      <c r="I742" t="inlineStr">
        <is>
          <t>694baba01d450d00013662f0</t>
        </is>
      </c>
      <c r="J742" t="inlineStr">
        <is>
          <t/>
        </is>
      </c>
      <c r="K742" t="n">
        <v>0.0</v>
      </c>
      <c r="L742" t="n">
        <v>0.0</v>
      </c>
      <c r="M742" t="n">
        <v>0.0</v>
      </c>
      <c r="N742" t="n">
        <v>0.0</v>
      </c>
      <c r="O742" t="n">
        <v>0.0</v>
      </c>
      <c r="P742" t="n">
        <v>0.0</v>
      </c>
      <c r="Q742" t="inlineStr">
        <is>
          <t/>
        </is>
      </c>
      <c r="R742" t="inlineStr">
        <is>
          <t/>
        </is>
      </c>
      <c r="S742" t="n">
        <v>0.0</v>
      </c>
      <c r="T742" t="n">
        <v>0.0</v>
      </c>
      <c r="U742" t="n">
        <v>0.0</v>
      </c>
      <c r="V742" t="n">
        <v>0.0</v>
      </c>
      <c r="W742" t="inlineStr">
        <is>
          <t/>
        </is>
      </c>
      <c r="X742" t="n">
        <v>0.0</v>
      </c>
      <c r="Y742" t="n">
        <v>0.0</v>
      </c>
      <c r="Z742" t="n">
        <v>0.0</v>
      </c>
      <c r="AA742" t="n">
        <v>0.0</v>
      </c>
      <c r="AB742" t="n">
        <v>0.0</v>
      </c>
      <c r="AC742" t="n">
        <v>0.0</v>
      </c>
      <c r="AD742" t="n">
        <v>1.0</v>
      </c>
      <c r="AE742" t="n">
        <v>0.0</v>
      </c>
      <c r="AF742" t="n">
        <v>0.0</v>
      </c>
      <c r="AG742" t="n">
        <v>0.0</v>
      </c>
      <c r="AH742" t="n">
        <v>0.0</v>
      </c>
      <c r="AI742" t="n">
        <v>0.0</v>
      </c>
      <c r="AJ742" t="n">
        <v>0.0</v>
      </c>
      <c r="AK742" t="n">
        <v>3.0</v>
      </c>
      <c r="AL742" t="inlineStr">
        <is>
          <t/>
        </is>
      </c>
    </row>
    <row r="743">
      <c r="A743" t="inlineStr">
        <is>
          <t>减脂期晚餐不发愁，全靠这袋虾🦐</t>
        </is>
      </c>
      <c r="B743" t="inlineStr">
        <is>
          <t>6a0589f5000000000802494d</t>
        </is>
      </c>
      <c r="C743" s="742" t="n">
        <f>HYPERLINK("https://www.xiaohongshu.com/explore/6a0589f5000000000802494d?xsec_token=TB5fIXEADm3ztd3cFmDO51aJ4YnmSewY7CPFoQCPomopo=&amp;xsec_source=pc_trdark","https://www.xiaohongshu.com/explore/6a0589f5000000000802494d?xsec_token=TB5fIXEADm3ztd3cFmDO51aJ4YnmSewY7CPFoQCPomopo=&amp;xsec_source=pc_trdark")</f>
        <v>0.0</v>
      </c>
      <c r="D743" t="inlineStr">
        <is>
          <t>菲菲上班吃什么</t>
        </is>
      </c>
      <c r="E743" t="inlineStr">
        <is>
          <t>49936530607</t>
        </is>
      </c>
      <c r="F743" t="inlineStr">
        <is>
          <t>2026-05-14 20:31:00</t>
        </is>
      </c>
      <c r="G743" t="inlineStr">
        <is>
          <t>图文</t>
        </is>
      </c>
      <c r="H743" t="inlineStr">
        <is>
          <t>手剥虾仁 无冰衣无添加 低脂餐一人食 上班带饭 顺丰包邮 5盒装</t>
        </is>
      </c>
      <c r="I743" t="inlineStr">
        <is>
          <t>694baba01d450d00013662f0</t>
        </is>
      </c>
      <c r="J743" t="inlineStr">
        <is>
          <t/>
        </is>
      </c>
      <c r="K743" t="n">
        <v>0.0</v>
      </c>
      <c r="L743" t="n">
        <v>0.0</v>
      </c>
      <c r="M743" t="n">
        <v>0.0</v>
      </c>
      <c r="N743" t="n">
        <v>0.0</v>
      </c>
      <c r="O743" t="n">
        <v>0.0</v>
      </c>
      <c r="P743" t="n">
        <v>0.0</v>
      </c>
      <c r="Q743" t="inlineStr">
        <is>
          <t/>
        </is>
      </c>
      <c r="R743" t="inlineStr">
        <is>
          <t/>
        </is>
      </c>
      <c r="S743" t="n">
        <v>0.0</v>
      </c>
      <c r="T743" t="n">
        <v>0.0</v>
      </c>
      <c r="U743" t="n">
        <v>0.0</v>
      </c>
      <c r="V743" t="n">
        <v>0.0</v>
      </c>
      <c r="W743" t="inlineStr">
        <is>
          <t/>
        </is>
      </c>
      <c r="X743" t="n">
        <v>0.0</v>
      </c>
      <c r="Y743" t="n">
        <v>0.0</v>
      </c>
      <c r="Z743" t="n">
        <v>0.0</v>
      </c>
      <c r="AA743" t="n">
        <v>0.0</v>
      </c>
      <c r="AB743" t="n">
        <v>0.0</v>
      </c>
      <c r="AC743" t="n">
        <v>0.0</v>
      </c>
      <c r="AD743" t="n">
        <v>1.0</v>
      </c>
      <c r="AE743" t="n">
        <v>0.0</v>
      </c>
      <c r="AF743" t="n">
        <v>0.0</v>
      </c>
      <c r="AG743" t="n">
        <v>0.0</v>
      </c>
      <c r="AH743" t="n">
        <v>0.0</v>
      </c>
      <c r="AI743" t="n">
        <v>0.0</v>
      </c>
      <c r="AJ743" t="n">
        <v>0.0</v>
      </c>
      <c r="AK743" t="n">
        <v>2.0</v>
      </c>
      <c r="AL743" t="inlineStr">
        <is>
          <t/>
        </is>
      </c>
    </row>
    <row r="744">
      <c r="A744" t="inlineStr">
        <is>
          <t>减脂餐终于不是水煮菜了🤣</t>
        </is>
      </c>
      <c r="B744" t="inlineStr">
        <is>
          <t>6a0588be0000000007022e68</t>
        </is>
      </c>
      <c r="C744" s="743" t="n">
        <f>HYPERLINK("https://www.xiaohongshu.com/explore/6a0588be0000000007022e68?xsec_token=TB5fIXEADm3ztd3cFmDO51aD0PyV2CHYTQHpLS-Ov4IdA=&amp;xsec_source=pc_trdark","https://www.xiaohongshu.com/explore/6a0588be0000000007022e68?xsec_token=TB5fIXEADm3ztd3cFmDO51aD0PyV2CHYTQHpLS-Ov4IdA=&amp;xsec_source=pc_trdark")</f>
        <v>0.0</v>
      </c>
      <c r="D744" t="inlineStr">
        <is>
          <t>菲菲上班吃什么</t>
        </is>
      </c>
      <c r="E744" t="inlineStr">
        <is>
          <t>49936530607</t>
        </is>
      </c>
      <c r="F744" t="inlineStr">
        <is>
          <t>2026-05-14 18:31:00</t>
        </is>
      </c>
      <c r="G744" t="inlineStr">
        <is>
          <t>图文</t>
        </is>
      </c>
      <c r="H744" t="inlineStr">
        <is>
          <t>手剥虾仁 无冰衣无添加 低脂餐一人食 上班带饭 顺丰包邮 5盒装</t>
        </is>
      </c>
      <c r="I744" t="inlineStr">
        <is>
          <t>694baba01d450d00013662f0</t>
        </is>
      </c>
      <c r="J744" t="inlineStr">
        <is>
          <t/>
        </is>
      </c>
      <c r="K744" t="n">
        <v>0.0</v>
      </c>
      <c r="L744" t="n">
        <v>0.0</v>
      </c>
      <c r="M744" t="n">
        <v>0.0</v>
      </c>
      <c r="N744" t="n">
        <v>0.0</v>
      </c>
      <c r="O744" t="n">
        <v>0.0</v>
      </c>
      <c r="P744" t="n">
        <v>0.0</v>
      </c>
      <c r="Q744" t="inlineStr">
        <is>
          <t/>
        </is>
      </c>
      <c r="R744" t="inlineStr">
        <is>
          <t/>
        </is>
      </c>
      <c r="S744" t="n">
        <v>0.0</v>
      </c>
      <c r="T744" t="n">
        <v>0.0</v>
      </c>
      <c r="U744" t="n">
        <v>0.0</v>
      </c>
      <c r="V744" t="n">
        <v>0.0</v>
      </c>
      <c r="W744" t="inlineStr">
        <is>
          <t/>
        </is>
      </c>
      <c r="X744" t="n">
        <v>0.0</v>
      </c>
      <c r="Y744" t="n">
        <v>0.0</v>
      </c>
      <c r="Z744" t="n">
        <v>0.0</v>
      </c>
      <c r="AA744" t="n">
        <v>0.0</v>
      </c>
      <c r="AB744" t="n">
        <v>0.0</v>
      </c>
      <c r="AC744" t="n">
        <v>0.0</v>
      </c>
      <c r="AD744" t="n">
        <v>1.0</v>
      </c>
      <c r="AE744" t="n">
        <v>0.0</v>
      </c>
      <c r="AF744" t="n">
        <v>0.0</v>
      </c>
      <c r="AG744" t="n">
        <v>0.0</v>
      </c>
      <c r="AH744" t="n">
        <v>0.0</v>
      </c>
      <c r="AI744" t="n">
        <v>0.0</v>
      </c>
      <c r="AJ744" t="n">
        <v>0.0</v>
      </c>
      <c r="AK744" t="n">
        <v>3.0</v>
      </c>
      <c r="AL744" t="inlineStr">
        <is>
          <t/>
        </is>
      </c>
    </row>
    <row r="745">
      <c r="A745" t="inlineStr">
        <is>
          <t>超市三文鱼看着精致，但整条分装真的更划算</t>
        </is>
      </c>
      <c r="B745" t="inlineStr">
        <is>
          <t>6a0486c700000000080030dc</t>
        </is>
      </c>
      <c r="C745" s="744" t="n">
        <f>HYPERLINK("https://www.xiaohongshu.com/explore/6a0486c700000000080030dc?xsec_token=TB97Sb--y1lRno5M8_9mN6exn4m4toCnyxNcGxqlfLmAk=&amp;xsec_source=pc_trdark","https://www.xiaohongshu.com/explore/6a0486c700000000080030dc?xsec_token=TB97Sb--y1lRno5M8_9mN6exn4m4toCnyxNcGxqlfLmAk=&amp;xsec_source=pc_trdark")</f>
        <v>0.0</v>
      </c>
      <c r="D745" t="inlineStr">
        <is>
          <t>鲜水湾</t>
        </is>
      </c>
      <c r="E745" t="inlineStr">
        <is>
          <t>49316638994</t>
        </is>
      </c>
      <c r="F745" t="inlineStr">
        <is>
          <t>2026-05-13 22:12:23</t>
        </is>
      </c>
      <c r="G745" t="inlineStr">
        <is>
          <t>图文</t>
        </is>
      </c>
      <c r="H745" t="inlineStr">
        <is>
          <t>智利尾端中段整条三文鱼 8斤深海鱼低脂餐囤货一周备菜顺丰包邮</t>
        </is>
      </c>
      <c r="I745" t="inlineStr">
        <is>
          <t>69fab80d64eb410001ece0c0</t>
        </is>
      </c>
      <c r="J745" t="inlineStr">
        <is>
          <t/>
        </is>
      </c>
      <c r="K745" t="n">
        <v>0.0</v>
      </c>
      <c r="L745" t="n">
        <v>0.0</v>
      </c>
      <c r="M745" t="n">
        <v>0.0</v>
      </c>
      <c r="N745" t="n">
        <v>0.0</v>
      </c>
      <c r="O745" t="n">
        <v>0.0</v>
      </c>
      <c r="P745" t="n">
        <v>0.0</v>
      </c>
      <c r="Q745" t="inlineStr">
        <is>
          <t/>
        </is>
      </c>
      <c r="R745" t="inlineStr">
        <is>
          <t/>
        </is>
      </c>
      <c r="S745" t="n">
        <v>0.0</v>
      </c>
      <c r="T745" t="n">
        <v>0.0</v>
      </c>
      <c r="U745" t="n">
        <v>0.0</v>
      </c>
      <c r="V745" t="n">
        <v>0.0</v>
      </c>
      <c r="W745" t="inlineStr">
        <is>
          <t/>
        </is>
      </c>
      <c r="X745" t="n">
        <v>0.0</v>
      </c>
      <c r="Y745" t="n">
        <v>0.0</v>
      </c>
      <c r="Z745" t="n">
        <v>0.0</v>
      </c>
      <c r="AA745" t="n">
        <v>0.0</v>
      </c>
      <c r="AB745" t="n">
        <v>0.0</v>
      </c>
      <c r="AC745" t="n">
        <v>0.0</v>
      </c>
      <c r="AD745" t="n">
        <v>1.0</v>
      </c>
      <c r="AE745" t="n">
        <v>0.0</v>
      </c>
      <c r="AF745" t="n">
        <v>0.0</v>
      </c>
      <c r="AG745" t="n">
        <v>0.0</v>
      </c>
      <c r="AH745" t="n">
        <v>0.0</v>
      </c>
      <c r="AI745" t="n">
        <v>0.0</v>
      </c>
      <c r="AJ745" t="n">
        <v>0.0</v>
      </c>
      <c r="AK745" t="n">
        <v>1.0</v>
      </c>
      <c r="AL745" t="inlineStr">
        <is>
          <t/>
        </is>
      </c>
    </row>
    <row r="746">
      <c r="A746" t="inlineStr">
        <is>
          <t>抗炎餐别只会吃蓝莓，三文鱼也可以安排</t>
        </is>
      </c>
      <c r="B746" t="inlineStr">
        <is>
          <t>6a04435c0000000007027e5a</t>
        </is>
      </c>
      <c r="C746" s="745" t="n">
        <f>HYPERLINK("https://www.xiaohongshu.com/explore/6a04435c0000000007027e5a?xsec_token=TB97Sb--y1lRno5M8_9mN6e-HlCaFtH2r6Q1p07NDJT_c=&amp;xsec_source=pc_trdark","https://www.xiaohongshu.com/explore/6a04435c0000000007027e5a?xsec_token=TB97Sb--y1lRno5M8_9mN6e-HlCaFtH2r6Q1p07NDJT_c=&amp;xsec_source=pc_trdark")</f>
        <v>0.0</v>
      </c>
      <c r="D746" t="inlineStr">
        <is>
          <t>鲜水湾</t>
        </is>
      </c>
      <c r="E746" t="inlineStr">
        <is>
          <t>49316638994</t>
        </is>
      </c>
      <c r="F746" t="inlineStr">
        <is>
          <t>2026-05-13 17:24:45</t>
        </is>
      </c>
      <c r="G746" t="inlineStr">
        <is>
          <t>图文</t>
        </is>
      </c>
      <c r="H746" t="inlineStr">
        <is>
          <t>智利尾端中段整条三文鱼 8斤深海鱼低脂餐囤货一周备菜顺丰包邮</t>
        </is>
      </c>
      <c r="I746" t="inlineStr">
        <is>
          <t>69fab80d64eb410001ece0c0</t>
        </is>
      </c>
      <c r="J746" t="inlineStr">
        <is>
          <t/>
        </is>
      </c>
      <c r="K746" t="n">
        <v>0.0</v>
      </c>
      <c r="L746" t="n">
        <v>0.0</v>
      </c>
      <c r="M746" t="n">
        <v>0.0</v>
      </c>
      <c r="N746" t="n">
        <v>0.0</v>
      </c>
      <c r="O746" t="n">
        <v>0.0</v>
      </c>
      <c r="P746" t="n">
        <v>0.0</v>
      </c>
      <c r="Q746" t="inlineStr">
        <is>
          <t/>
        </is>
      </c>
      <c r="R746" t="inlineStr">
        <is>
          <t/>
        </is>
      </c>
      <c r="S746" t="n">
        <v>0.0</v>
      </c>
      <c r="T746" t="n">
        <v>0.0</v>
      </c>
      <c r="U746" t="n">
        <v>0.0</v>
      </c>
      <c r="V746" t="n">
        <v>0.0</v>
      </c>
      <c r="W746" t="inlineStr">
        <is>
          <t/>
        </is>
      </c>
      <c r="X746" t="n">
        <v>0.0</v>
      </c>
      <c r="Y746" t="n">
        <v>0.0</v>
      </c>
      <c r="Z746" t="n">
        <v>0.0</v>
      </c>
      <c r="AA746" t="n">
        <v>0.0</v>
      </c>
      <c r="AB746" t="n">
        <v>0.0</v>
      </c>
      <c r="AC746" t="n">
        <v>0.0</v>
      </c>
      <c r="AD746" t="n">
        <v>1.0</v>
      </c>
      <c r="AE746" t="n">
        <v>0.0</v>
      </c>
      <c r="AF746" t="n">
        <v>0.0</v>
      </c>
      <c r="AG746" t="n">
        <v>0.0</v>
      </c>
      <c r="AH746" t="n">
        <v>0.0</v>
      </c>
      <c r="AI746" t="n">
        <v>0.0</v>
      </c>
      <c r="AJ746" t="n">
        <v>0.0</v>
      </c>
      <c r="AK746" t="n">
        <v>0.0</v>
      </c>
      <c r="AL746" t="inlineStr">
        <is>
          <t/>
        </is>
      </c>
    </row>
    <row r="747">
      <c r="A747" t="inlineStr">
        <is>
          <t>区区300块承包了我半个多月的减脂餐</t>
        </is>
      </c>
      <c r="B747" t="inlineStr">
        <is>
          <t>6a02f2700000000008032c9a</t>
        </is>
      </c>
      <c r="C747" s="746" t="n">
        <f>HYPERLINK("https://www.xiaohongshu.com/explore/6a02f2700000000008032c9a?xsec_token=TBPwq-ce0mzGyOoBGbWlmZ4MVQycJuyqNA2jgc80voz-0=&amp;xsec_source=pc_trdark","https://www.xiaohongshu.com/explore/6a02f2700000000008032c9a?xsec_token=TBPwq-ce0mzGyOoBGbWlmZ4MVQycJuyqNA2jgc80voz-0=&amp;xsec_source=pc_trdark")</f>
        <v>0.0</v>
      </c>
      <c r="D747" t="inlineStr">
        <is>
          <t>婉婉上班吃什么</t>
        </is>
      </c>
      <c r="E747" t="inlineStr">
        <is>
          <t>11434449706</t>
        </is>
      </c>
      <c r="F747" t="inlineStr">
        <is>
          <t>2026-05-12 17:27:12</t>
        </is>
      </c>
      <c r="G747" t="inlineStr">
        <is>
          <t>图文</t>
        </is>
      </c>
      <c r="H747" t="inlineStr">
        <is>
          <t>智利尾端中段整条三文鱼 8斤深海鱼低脂餐囤货一周备菜顺丰包邮</t>
        </is>
      </c>
      <c r="I747" t="inlineStr">
        <is>
          <t>69fab80d64eb410001ece0c0</t>
        </is>
      </c>
      <c r="J747" t="inlineStr">
        <is>
          <t/>
        </is>
      </c>
      <c r="K747" t="n">
        <v>0.0</v>
      </c>
      <c r="L747" t="n">
        <v>0.0</v>
      </c>
      <c r="M747" t="n">
        <v>0.0</v>
      </c>
      <c r="N747" t="n">
        <v>0.0</v>
      </c>
      <c r="O747" t="n">
        <v>0.0</v>
      </c>
      <c r="P747" t="n">
        <v>0.0</v>
      </c>
      <c r="Q747" t="inlineStr">
        <is>
          <t/>
        </is>
      </c>
      <c r="R747" t="inlineStr">
        <is>
          <t/>
        </is>
      </c>
      <c r="S747" t="n">
        <v>0.0</v>
      </c>
      <c r="T747" t="n">
        <v>0.0</v>
      </c>
      <c r="U747" t="n">
        <v>0.0</v>
      </c>
      <c r="V747" t="n">
        <v>0.0</v>
      </c>
      <c r="W747" t="inlineStr">
        <is>
          <t/>
        </is>
      </c>
      <c r="X747" t="n">
        <v>0.0</v>
      </c>
      <c r="Y747" t="n">
        <v>0.0</v>
      </c>
      <c r="Z747" t="n">
        <v>0.0</v>
      </c>
      <c r="AA747" t="n">
        <v>0.0</v>
      </c>
      <c r="AB747" t="n">
        <v>0.0</v>
      </c>
      <c r="AC747" t="n">
        <v>0.0</v>
      </c>
      <c r="AD747" t="n">
        <v>1.0</v>
      </c>
      <c r="AE747" t="n">
        <v>0.0</v>
      </c>
      <c r="AF747" t="n">
        <v>0.0</v>
      </c>
      <c r="AG747" t="n">
        <v>0.0</v>
      </c>
      <c r="AH747" t="n">
        <v>0.0</v>
      </c>
      <c r="AI747" t="n">
        <v>0.0</v>
      </c>
      <c r="AJ747" t="n">
        <v>0.0</v>
      </c>
      <c r="AK747" t="n">
        <v>11.0</v>
      </c>
      <c r="AL747" t="inlineStr">
        <is>
          <t/>
        </is>
      </c>
    </row>
    <row r="748">
      <c r="A748" t="inlineStr">
        <is>
          <t>一个人住后疯狂囤虾仁😭</t>
        </is>
      </c>
      <c r="B748" t="inlineStr">
        <is>
          <t>6a019b0b0000000007022ff0</t>
        </is>
      </c>
      <c r="C748" s="747" t="n">
        <f>HYPERLINK("https://www.xiaohongshu.com/explore/6a019b0b0000000007022ff0?xsec_token=TBbTMdCTPOAzll1S0w5oGNgl1VsaAiW-YsP6xv6Bvr6Jg=&amp;xsec_source=pc_trdark","https://www.xiaohongshu.com/explore/6a019b0b0000000007022ff0?xsec_token=TBbTMdCTPOAzll1S0w5oGNgl1VsaAiW-YsP6xv6Bvr6Jg=&amp;xsec_source=pc_trdark")</f>
        <v>0.0</v>
      </c>
      <c r="D748" t="inlineStr">
        <is>
          <t>菲菲上班吃什么</t>
        </is>
      </c>
      <c r="E748" t="inlineStr">
        <is>
          <t>49936530607</t>
        </is>
      </c>
      <c r="F748" t="inlineStr">
        <is>
          <t>2026-05-11 19:59:00</t>
        </is>
      </c>
      <c r="G748" t="inlineStr">
        <is>
          <t>图文</t>
        </is>
      </c>
      <c r="H748" t="inlineStr">
        <is>
          <t>手剥虾仁 无冰衣无添加 低脂餐一人食 上班带饭 顺丰包邮 5盒装</t>
        </is>
      </c>
      <c r="I748" t="inlineStr">
        <is>
          <t>694baba01d450d00013662f0</t>
        </is>
      </c>
      <c r="J748" t="inlineStr">
        <is>
          <t/>
        </is>
      </c>
      <c r="K748" t="n">
        <v>0.0</v>
      </c>
      <c r="L748" t="n">
        <v>0.0</v>
      </c>
      <c r="M748" t="n">
        <v>0.0</v>
      </c>
      <c r="N748" t="n">
        <v>0.0</v>
      </c>
      <c r="O748" t="n">
        <v>0.0</v>
      </c>
      <c r="P748" t="n">
        <v>0.0</v>
      </c>
      <c r="Q748" t="inlineStr">
        <is>
          <t/>
        </is>
      </c>
      <c r="R748" t="inlineStr">
        <is>
          <t/>
        </is>
      </c>
      <c r="S748" t="n">
        <v>0.0</v>
      </c>
      <c r="T748" t="n">
        <v>0.0</v>
      </c>
      <c r="U748" t="n">
        <v>0.0</v>
      </c>
      <c r="V748" t="n">
        <v>0.0</v>
      </c>
      <c r="W748" t="inlineStr">
        <is>
          <t/>
        </is>
      </c>
      <c r="X748" t="n">
        <v>0.0</v>
      </c>
      <c r="Y748" t="n">
        <v>0.0</v>
      </c>
      <c r="Z748" t="n">
        <v>0.0</v>
      </c>
      <c r="AA748" t="n">
        <v>0.0</v>
      </c>
      <c r="AB748" t="n">
        <v>0.0</v>
      </c>
      <c r="AC748" t="n">
        <v>0.0</v>
      </c>
      <c r="AD748" t="n">
        <v>1.0</v>
      </c>
      <c r="AE748" t="n">
        <v>0.0</v>
      </c>
      <c r="AF748" t="n">
        <v>0.0</v>
      </c>
      <c r="AG748" t="n">
        <v>0.0</v>
      </c>
      <c r="AH748" t="n">
        <v>0.0</v>
      </c>
      <c r="AI748" t="n">
        <v>0.0</v>
      </c>
      <c r="AJ748" t="n">
        <v>0.0</v>
      </c>
      <c r="AK748" t="n">
        <v>9.0</v>
      </c>
      <c r="AL748" t="inlineStr">
        <is>
          <t/>
        </is>
      </c>
    </row>
    <row r="749">
      <c r="A749" t="inlineStr">
        <is>
          <t>长期主义的三文鱼没有平替。。。</t>
        </is>
      </c>
      <c r="B749" t="inlineStr">
        <is>
          <t>6a0097450000000006030b22</t>
        </is>
      </c>
      <c r="C749" s="748" t="n">
        <f>HYPERLINK("https://www.xiaohongshu.com/explore/6a0097450000000006030b22?xsec_token=TBC4Bowzh3MiDD5QIQgjgpqWZp80T9n-Ps4Dvk0FU4hFk=&amp;xsec_source=pc_trdark","https://www.xiaohongshu.com/explore/6a0097450000000006030b22?xsec_token=TBC4Bowzh3MiDD5QIQgjgpqWZp80T9n-Ps4Dvk0FU4hFk=&amp;xsec_source=pc_trdark")</f>
        <v>0.0</v>
      </c>
      <c r="D749" t="inlineStr">
        <is>
          <t>婉婉上班吃什么</t>
        </is>
      </c>
      <c r="E749" t="inlineStr">
        <is>
          <t>11434449706</t>
        </is>
      </c>
      <c r="F749" t="inlineStr">
        <is>
          <t>2026-05-10 22:33:41</t>
        </is>
      </c>
      <c r="G749" t="inlineStr">
        <is>
          <t>图文</t>
        </is>
      </c>
      <c r="H749" t="inlineStr">
        <is>
          <t>智利尾端中段整条三文鱼 8斤深海鱼低脂餐囤货一周备菜顺丰包邮</t>
        </is>
      </c>
      <c r="I749" t="inlineStr">
        <is>
          <t>69fab80d64eb410001ece0c0</t>
        </is>
      </c>
      <c r="J749" t="inlineStr">
        <is>
          <t/>
        </is>
      </c>
      <c r="K749" t="n">
        <v>0.0</v>
      </c>
      <c r="L749" t="n">
        <v>0.0</v>
      </c>
      <c r="M749" t="n">
        <v>0.0</v>
      </c>
      <c r="N749" t="n">
        <v>0.0</v>
      </c>
      <c r="O749" t="n">
        <v>0.0</v>
      </c>
      <c r="P749" t="n">
        <v>0.0</v>
      </c>
      <c r="Q749" t="inlineStr">
        <is>
          <t/>
        </is>
      </c>
      <c r="R749" t="inlineStr">
        <is>
          <t/>
        </is>
      </c>
      <c r="S749" t="n">
        <v>0.0</v>
      </c>
      <c r="T749" t="n">
        <v>0.0</v>
      </c>
      <c r="U749" t="n">
        <v>0.0</v>
      </c>
      <c r="V749" t="n">
        <v>0.0</v>
      </c>
      <c r="W749" t="inlineStr">
        <is>
          <t/>
        </is>
      </c>
      <c r="X749" t="n">
        <v>0.0</v>
      </c>
      <c r="Y749" t="n">
        <v>0.0</v>
      </c>
      <c r="Z749" t="n">
        <v>0.0</v>
      </c>
      <c r="AA749" t="n">
        <v>0.0</v>
      </c>
      <c r="AB749" t="n">
        <v>0.0</v>
      </c>
      <c r="AC749" t="n">
        <v>0.0</v>
      </c>
      <c r="AD749" t="n">
        <v>1.0</v>
      </c>
      <c r="AE749" t="n">
        <v>0.0</v>
      </c>
      <c r="AF749" t="n">
        <v>0.0</v>
      </c>
      <c r="AG749" t="n">
        <v>0.0</v>
      </c>
      <c r="AH749" t="n">
        <v>0.0</v>
      </c>
      <c r="AI749" t="n">
        <v>0.0</v>
      </c>
      <c r="AJ749" t="n">
        <v>0.0</v>
      </c>
      <c r="AK749" t="n">
        <v>4.0</v>
      </c>
      <c r="AL749" t="inlineStr">
        <is>
          <t/>
        </is>
      </c>
    </row>
    <row r="750">
      <c r="A750" t="inlineStr">
        <is>
          <t>69囤的虾仁，居然让我开始做饭了😂</t>
        </is>
      </c>
      <c r="B750" t="inlineStr">
        <is>
          <t>69ffd3480000000035032748</t>
        </is>
      </c>
      <c r="C750" s="749" t="n">
        <f>HYPERLINK("https://www.xiaohongshu.com/explore/69ffd3480000000035032748?xsec_token=TBHwg5rtdG9HGVQAn7m8NAqaLX-Y_Bx3ukK89VuBMZubM=&amp;xsec_source=pc_trdark","https://www.xiaohongshu.com/explore/69ffd3480000000035032748?xsec_token=TBHwg5rtdG9HGVQAn7m8NAqaLX-Y_Bx3ukK89VuBMZubM=&amp;xsec_source=pc_trdark")</f>
        <v>0.0</v>
      </c>
      <c r="D750" t="inlineStr">
        <is>
          <t>鲜水湾甄选</t>
        </is>
      </c>
      <c r="E750" t="inlineStr">
        <is>
          <t>27401929161</t>
        </is>
      </c>
      <c r="F750" t="inlineStr">
        <is>
          <t>2026-05-10 17:37:00</t>
        </is>
      </c>
      <c r="G750" t="inlineStr">
        <is>
          <t>图文</t>
        </is>
      </c>
      <c r="H750" t="inlineStr">
        <is>
          <t>手剥虾仁 无冰衣无添加 低脂餐一人食 上班带饭 顺丰包邮 5盒装</t>
        </is>
      </c>
      <c r="I750" t="inlineStr">
        <is>
          <t>694baba01d450d00013662f0</t>
        </is>
      </c>
      <c r="J750" t="inlineStr">
        <is>
          <t/>
        </is>
      </c>
      <c r="K750" t="n">
        <v>0.0</v>
      </c>
      <c r="L750" t="n">
        <v>0.0</v>
      </c>
      <c r="M750" t="n">
        <v>0.0</v>
      </c>
      <c r="N750" t="n">
        <v>0.0</v>
      </c>
      <c r="O750" t="n">
        <v>0.0</v>
      </c>
      <c r="P750" t="n">
        <v>0.0</v>
      </c>
      <c r="Q750" t="inlineStr">
        <is>
          <t/>
        </is>
      </c>
      <c r="R750" t="inlineStr">
        <is>
          <t/>
        </is>
      </c>
      <c r="S750" t="n">
        <v>0.0</v>
      </c>
      <c r="T750" t="n">
        <v>0.0</v>
      </c>
      <c r="U750" t="n">
        <v>0.0</v>
      </c>
      <c r="V750" t="n">
        <v>0.0</v>
      </c>
      <c r="W750" t="inlineStr">
        <is>
          <t/>
        </is>
      </c>
      <c r="X750" t="n">
        <v>0.0</v>
      </c>
      <c r="Y750" t="n">
        <v>0.0</v>
      </c>
      <c r="Z750" t="n">
        <v>0.0</v>
      </c>
      <c r="AA750" t="n">
        <v>0.0</v>
      </c>
      <c r="AB750" t="n">
        <v>0.0</v>
      </c>
      <c r="AC750" t="n">
        <v>0.0</v>
      </c>
      <c r="AD750" t="n">
        <v>1.0</v>
      </c>
      <c r="AE750" t="n">
        <v>0.0</v>
      </c>
      <c r="AF750" t="n">
        <v>0.0</v>
      </c>
      <c r="AG750" t="n">
        <v>0.0</v>
      </c>
      <c r="AH750" t="n">
        <v>0.0</v>
      </c>
      <c r="AI750" t="n">
        <v>0.0</v>
      </c>
      <c r="AJ750" t="n">
        <v>0.0</v>
      </c>
      <c r="AK750" t="n">
        <v>14.0</v>
      </c>
      <c r="AL750" t="inlineStr">
        <is>
          <t/>
        </is>
      </c>
    </row>
    <row r="751">
      <c r="A751" t="inlineStr">
        <is>
          <t>这 300 多一个月的减脂餐，你就吃吧！</t>
        </is>
      </c>
      <c r="B751" t="inlineStr">
        <is>
          <t>69ff42d00000000023004581</t>
        </is>
      </c>
      <c r="C751" s="750" t="n">
        <f>HYPERLINK("https://www.xiaohongshu.com/explore/69ff42d00000000023004581?xsec_token=TBHwg5rtdG9HGVQAn7m8NAqYqYlbxeB3FXoUj5ivVSt10=&amp;xsec_source=pc_trdark","https://www.xiaohongshu.com/explore/69ff42d00000000023004581?xsec_token=TBHwg5rtdG9HGVQAn7m8NAqYqYlbxeB3FXoUj5ivVSt10=&amp;xsec_source=pc_trdark")</f>
        <v>0.0</v>
      </c>
      <c r="D751" t="inlineStr">
        <is>
          <t>鲜水湾</t>
        </is>
      </c>
      <c r="E751" t="inlineStr">
        <is>
          <t>49316638994</t>
        </is>
      </c>
      <c r="F751" t="inlineStr">
        <is>
          <t>2026-05-09 22:21:04</t>
        </is>
      </c>
      <c r="G751" t="inlineStr">
        <is>
          <t>图文</t>
        </is>
      </c>
      <c r="H751" t="inlineStr">
        <is>
          <t>智利尾端中段整条三文鱼 8斤深海鱼低脂餐囤货一周备菜顺丰包邮</t>
        </is>
      </c>
      <c r="I751" t="inlineStr">
        <is>
          <t>69fab80d64eb410001ece0c0</t>
        </is>
      </c>
      <c r="J751" t="inlineStr">
        <is>
          <t/>
        </is>
      </c>
      <c r="K751" t="n">
        <v>0.0</v>
      </c>
      <c r="L751" t="n">
        <v>0.0</v>
      </c>
      <c r="M751" t="n">
        <v>0.0</v>
      </c>
      <c r="N751" t="n">
        <v>0.0</v>
      </c>
      <c r="O751" t="n">
        <v>0.0</v>
      </c>
      <c r="P751" t="n">
        <v>0.0</v>
      </c>
      <c r="Q751" t="inlineStr">
        <is>
          <t/>
        </is>
      </c>
      <c r="R751" t="inlineStr">
        <is>
          <t/>
        </is>
      </c>
      <c r="S751" t="n">
        <v>0.0</v>
      </c>
      <c r="T751" t="n">
        <v>0.0</v>
      </c>
      <c r="U751" t="n">
        <v>0.0</v>
      </c>
      <c r="V751" t="n">
        <v>0.0</v>
      </c>
      <c r="W751" t="inlineStr">
        <is>
          <t/>
        </is>
      </c>
      <c r="X751" t="n">
        <v>0.0</v>
      </c>
      <c r="Y751" t="n">
        <v>0.0</v>
      </c>
      <c r="Z751" t="n">
        <v>0.0</v>
      </c>
      <c r="AA751" t="n">
        <v>0.0</v>
      </c>
      <c r="AB751" t="n">
        <v>0.0</v>
      </c>
      <c r="AC751" t="n">
        <v>0.0</v>
      </c>
      <c r="AD751" t="n">
        <v>1.0</v>
      </c>
      <c r="AE751" t="n">
        <v>0.0</v>
      </c>
      <c r="AF751" t="n">
        <v>0.0</v>
      </c>
      <c r="AG751" t="n">
        <v>0.0</v>
      </c>
      <c r="AH751" t="n">
        <v>0.0</v>
      </c>
      <c r="AI751" t="n">
        <v>0.0</v>
      </c>
      <c r="AJ751" t="n">
        <v>0.0</v>
      </c>
      <c r="AK751" t="n">
        <v>5.0</v>
      </c>
      <c r="AL751" t="inlineStr">
        <is>
          <t/>
        </is>
      </c>
    </row>
    <row r="752">
      <c r="A752" t="inlineStr">
        <is>
          <t>和爸妈商量了，推出整条三文鱼🐟</t>
        </is>
      </c>
      <c r="B752" t="inlineStr">
        <is>
          <t>69feeede00000000230070ef</t>
        </is>
      </c>
      <c r="C752" s="751" t="n">
        <f>HYPERLINK("https://www.xiaohongshu.com/explore/69feeede00000000230070ef?xsec_token=TBW_z8KxT9AgMNTeavZZG2U3iLTpzGJWcigWgJaATm2BE=&amp;xsec_source=pc_trdark","https://www.xiaohongshu.com/explore/69feeede00000000230070ef?xsec_token=TBW_z8KxT9AgMNTeavZZG2U3iLTpzGJWcigWgJaATm2BE=&amp;xsec_source=pc_trdark")</f>
        <v>0.0</v>
      </c>
      <c r="D752" t="inlineStr">
        <is>
          <t>鲜水湾</t>
        </is>
      </c>
      <c r="E752" t="inlineStr">
        <is>
          <t>49316638994</t>
        </is>
      </c>
      <c r="F752" t="inlineStr">
        <is>
          <t>2026-05-09 16:22:54</t>
        </is>
      </c>
      <c r="G752" t="inlineStr">
        <is>
          <t>图文</t>
        </is>
      </c>
      <c r="H752" t="inlineStr">
        <is>
          <t>智利尾端中段整条三文鱼 8斤深海鱼低脂餐囤货一周备菜顺丰包邮</t>
        </is>
      </c>
      <c r="I752" t="inlineStr">
        <is>
          <t>69fab80d64eb410001ece0c0</t>
        </is>
      </c>
      <c r="J752" t="inlineStr">
        <is>
          <t/>
        </is>
      </c>
      <c r="K752" t="n">
        <v>0.0</v>
      </c>
      <c r="L752" t="n">
        <v>0.0</v>
      </c>
      <c r="M752" t="n">
        <v>0.0</v>
      </c>
      <c r="N752" t="n">
        <v>0.0</v>
      </c>
      <c r="O752" t="n">
        <v>0.0</v>
      </c>
      <c r="P752" t="n">
        <v>0.0</v>
      </c>
      <c r="Q752" t="inlineStr">
        <is>
          <t/>
        </is>
      </c>
      <c r="R752" t="inlineStr">
        <is>
          <t/>
        </is>
      </c>
      <c r="S752" t="n">
        <v>0.0</v>
      </c>
      <c r="T752" t="n">
        <v>0.0</v>
      </c>
      <c r="U752" t="n">
        <v>0.0</v>
      </c>
      <c r="V752" t="n">
        <v>0.0</v>
      </c>
      <c r="W752" t="inlineStr">
        <is>
          <t/>
        </is>
      </c>
      <c r="X752" t="n">
        <v>0.0</v>
      </c>
      <c r="Y752" t="n">
        <v>0.0</v>
      </c>
      <c r="Z752" t="n">
        <v>0.0</v>
      </c>
      <c r="AA752" t="n">
        <v>0.0</v>
      </c>
      <c r="AB752" t="n">
        <v>0.0</v>
      </c>
      <c r="AC752" t="n">
        <v>0.0</v>
      </c>
      <c r="AD752" t="n">
        <v>1.0</v>
      </c>
      <c r="AE752" t="n">
        <v>0.0</v>
      </c>
      <c r="AF752" t="n">
        <v>0.0</v>
      </c>
      <c r="AG752" t="n">
        <v>0.0</v>
      </c>
      <c r="AH752" t="n">
        <v>0.0</v>
      </c>
      <c r="AI752" t="n">
        <v>0.0</v>
      </c>
      <c r="AJ752" t="n">
        <v>0.0</v>
      </c>
      <c r="AK752" t="n">
        <v>0.0</v>
      </c>
      <c r="AL752" t="inlineStr">
        <is>
          <t/>
        </is>
      </c>
    </row>
    <row r="753">
      <c r="A753" t="inlineStr">
        <is>
          <t>打工人天选虾仁！免处理超方便</t>
        </is>
      </c>
      <c r="B753" t="inlineStr">
        <is>
          <t>69fecdbf000000001e00d3a4</t>
        </is>
      </c>
      <c r="C753" s="752" t="n">
        <f>HYPERLINK("https://www.xiaohongshu.com/explore/69fecdbf000000001e00d3a4?xsec_token=TBW_z8KxT9AgMNTeavZZG2U2eMLztiBTcUo8-t81SBtpI=&amp;xsec_source=pc_trdark","https://www.xiaohongshu.com/explore/69fecdbf000000001e00d3a4?xsec_token=TBW_z8KxT9AgMNTeavZZG2U2eMLztiBTcUo8-t81SBtpI=&amp;xsec_source=pc_trdark")</f>
        <v>0.0</v>
      </c>
      <c r="D753" t="inlineStr">
        <is>
          <t>婉婉上班吃什么</t>
        </is>
      </c>
      <c r="E753" t="inlineStr">
        <is>
          <t>11434449706</t>
        </is>
      </c>
      <c r="F753" t="inlineStr">
        <is>
          <t>2026-05-09 14:01:35</t>
        </is>
      </c>
      <c r="G753" t="inlineStr">
        <is>
          <t>图文</t>
        </is>
      </c>
      <c r="H753" t="inlineStr">
        <is>
          <t>手剥虾仁 无冰衣无添加 低脂餐一人食 上班带饭 顺丰包邮 5盒装</t>
        </is>
      </c>
      <c r="I753" t="inlineStr">
        <is>
          <t>694baba01d450d00013662f0</t>
        </is>
      </c>
      <c r="J753" t="inlineStr">
        <is>
          <t/>
        </is>
      </c>
      <c r="K753" t="n">
        <v>0.0</v>
      </c>
      <c r="L753" t="n">
        <v>0.0</v>
      </c>
      <c r="M753" t="n">
        <v>0.0</v>
      </c>
      <c r="N753" t="n">
        <v>0.0</v>
      </c>
      <c r="O753" t="n">
        <v>0.0</v>
      </c>
      <c r="P753" t="n">
        <v>0.0</v>
      </c>
      <c r="Q753" t="inlineStr">
        <is>
          <t/>
        </is>
      </c>
      <c r="R753" t="inlineStr">
        <is>
          <t/>
        </is>
      </c>
      <c r="S753" t="n">
        <v>0.0</v>
      </c>
      <c r="T753" t="n">
        <v>0.0</v>
      </c>
      <c r="U753" t="n">
        <v>0.0</v>
      </c>
      <c r="V753" t="n">
        <v>0.0</v>
      </c>
      <c r="W753" t="inlineStr">
        <is>
          <t/>
        </is>
      </c>
      <c r="X753" t="n">
        <v>0.0</v>
      </c>
      <c r="Y753" t="n">
        <v>0.0</v>
      </c>
      <c r="Z753" t="n">
        <v>0.0</v>
      </c>
      <c r="AA753" t="n">
        <v>0.0</v>
      </c>
      <c r="AB753" t="n">
        <v>0.0</v>
      </c>
      <c r="AC753" t="n">
        <v>0.0</v>
      </c>
      <c r="AD753" t="n">
        <v>1.0</v>
      </c>
      <c r="AE753" t="n">
        <v>0.0</v>
      </c>
      <c r="AF753" t="n">
        <v>0.0</v>
      </c>
      <c r="AG753" t="n">
        <v>0.0</v>
      </c>
      <c r="AH753" t="n">
        <v>0.0</v>
      </c>
      <c r="AI753" t="n">
        <v>0.0</v>
      </c>
      <c r="AJ753" t="n">
        <v>0.0</v>
      </c>
      <c r="AK753" t="n">
        <v>9.0</v>
      </c>
      <c r="AL753" t="inlineStr">
        <is>
          <t/>
        </is>
      </c>
    </row>
    <row r="754">
      <c r="A754" t="inlineStr">
        <is>
          <t>早八打工人真的挖到宝！</t>
        </is>
      </c>
      <c r="B754" t="inlineStr">
        <is>
          <t>69fdee12000000003501c6aa</t>
        </is>
      </c>
      <c r="C754" s="753" t="n">
        <f>HYPERLINK("https://www.xiaohongshu.com/explore/69fdee12000000003501c6aa?xsec_token=TBsN-gaZoqyroonAOnMxE14CV2mB6uJueGktSmDEnm0KQ=&amp;xsec_source=pc_trdark","https://www.xiaohongshu.com/explore/69fdee12000000003501c6aa?xsec_token=TBsN-gaZoqyroonAOnMxE14CV2mB6uJueGktSmDEnm0KQ=&amp;xsec_source=pc_trdark")</f>
        <v>0.0</v>
      </c>
      <c r="D754" t="inlineStr">
        <is>
          <t>鲜水湾甄选</t>
        </is>
      </c>
      <c r="E754" t="inlineStr">
        <is>
          <t>27401929161</t>
        </is>
      </c>
      <c r="F754" t="inlineStr">
        <is>
          <t>2026-05-08 22:07:14</t>
        </is>
      </c>
      <c r="G754" t="inlineStr">
        <is>
          <t>图文</t>
        </is>
      </c>
      <c r="H754" t="inlineStr">
        <is>
          <t>手剥虾仁 无冰衣无添加 低脂餐一人食 上班带饭 顺丰包邮 5盒装</t>
        </is>
      </c>
      <c r="I754" t="inlineStr">
        <is>
          <t>694baba01d450d00013662f0</t>
        </is>
      </c>
      <c r="J754" t="inlineStr">
        <is>
          <t/>
        </is>
      </c>
      <c r="K754" t="n">
        <v>0.0</v>
      </c>
      <c r="L754" t="n">
        <v>0.0</v>
      </c>
      <c r="M754" t="n">
        <v>0.0</v>
      </c>
      <c r="N754" t="n">
        <v>0.0</v>
      </c>
      <c r="O754" t="n">
        <v>0.0</v>
      </c>
      <c r="P754" t="n">
        <v>0.0</v>
      </c>
      <c r="Q754" t="inlineStr">
        <is>
          <t/>
        </is>
      </c>
      <c r="R754" t="inlineStr">
        <is>
          <t/>
        </is>
      </c>
      <c r="S754" t="n">
        <v>0.0</v>
      </c>
      <c r="T754" t="n">
        <v>0.0</v>
      </c>
      <c r="U754" t="n">
        <v>0.0</v>
      </c>
      <c r="V754" t="n">
        <v>0.0</v>
      </c>
      <c r="W754" t="inlineStr">
        <is>
          <t/>
        </is>
      </c>
      <c r="X754" t="n">
        <v>0.0</v>
      </c>
      <c r="Y754" t="n">
        <v>0.0</v>
      </c>
      <c r="Z754" t="n">
        <v>0.0</v>
      </c>
      <c r="AA754" t="n">
        <v>0.0</v>
      </c>
      <c r="AB754" t="n">
        <v>0.0</v>
      </c>
      <c r="AC754" t="n">
        <v>0.0</v>
      </c>
      <c r="AD754" t="n">
        <v>1.0</v>
      </c>
      <c r="AE754" t="n">
        <v>0.0</v>
      </c>
      <c r="AF754" t="n">
        <v>0.0</v>
      </c>
      <c r="AG754" t="n">
        <v>0.0</v>
      </c>
      <c r="AH754" t="n">
        <v>0.0</v>
      </c>
      <c r="AI754" t="n">
        <v>0.0</v>
      </c>
      <c r="AJ754" t="n">
        <v>0.0</v>
      </c>
      <c r="AK754" t="n">
        <v>5.0</v>
      </c>
      <c r="AL754" t="inlineStr">
        <is>
          <t/>
        </is>
      </c>
    </row>
    <row r="755">
      <c r="A755" t="inlineStr">
        <is>
          <t>以为 300 没多少，结果冰箱里全是三文鱼</t>
        </is>
      </c>
      <c r="B755" t="inlineStr">
        <is>
          <t>69faf088000000001f000ba7</t>
        </is>
      </c>
      <c r="C755" s="754" t="n">
        <f>HYPERLINK("https://www.xiaohongshu.com/explore/69faf088000000001f000ba7?xsec_token=TBSeeWqm6Ag3b0EvTciS62E7tVwwLcHsxNQgTLLhEOVqo=&amp;xsec_source=pc_trdark","https://www.xiaohongshu.com/explore/69faf088000000001f000ba7?xsec_token=TBSeeWqm6Ag3b0EvTciS62E7tVwwLcHsxNQgTLLhEOVqo=&amp;xsec_source=pc_trdark")</f>
        <v>0.0</v>
      </c>
      <c r="D755" t="inlineStr">
        <is>
          <t>鲜水湾</t>
        </is>
      </c>
      <c r="E755" t="inlineStr">
        <is>
          <t>49316638994</t>
        </is>
      </c>
      <c r="F755" t="inlineStr">
        <is>
          <t>2026-05-06 15:40:56</t>
        </is>
      </c>
      <c r="G755" t="inlineStr">
        <is>
          <t>图文</t>
        </is>
      </c>
      <c r="H755" t="inlineStr">
        <is>
          <t>智利尾端中段整条三文鱼 8斤深海鱼低脂餐囤货一周备菜顺丰包邮</t>
        </is>
      </c>
      <c r="I755" t="inlineStr">
        <is>
          <t>69fab80d64eb410001ece0c0</t>
        </is>
      </c>
      <c r="J755" t="inlineStr">
        <is>
          <t/>
        </is>
      </c>
      <c r="K755" t="n">
        <v>0.0</v>
      </c>
      <c r="L755" t="n">
        <v>0.0</v>
      </c>
      <c r="M755" t="n">
        <v>0.0</v>
      </c>
      <c r="N755" t="n">
        <v>0.0</v>
      </c>
      <c r="O755" t="n">
        <v>0.0</v>
      </c>
      <c r="P755" t="n">
        <v>0.0</v>
      </c>
      <c r="Q755" t="inlineStr">
        <is>
          <t/>
        </is>
      </c>
      <c r="R755" t="inlineStr">
        <is>
          <t/>
        </is>
      </c>
      <c r="S755" t="n">
        <v>0.0</v>
      </c>
      <c r="T755" t="n">
        <v>0.0</v>
      </c>
      <c r="U755" t="n">
        <v>0.0</v>
      </c>
      <c r="V755" t="n">
        <v>0.0</v>
      </c>
      <c r="W755" t="inlineStr">
        <is>
          <t/>
        </is>
      </c>
      <c r="X755" t="n">
        <v>0.0</v>
      </c>
      <c r="Y755" t="n">
        <v>0.0</v>
      </c>
      <c r="Z755" t="n">
        <v>0.0</v>
      </c>
      <c r="AA755" t="n">
        <v>0.0</v>
      </c>
      <c r="AB755" t="n">
        <v>0.0</v>
      </c>
      <c r="AC755" t="n">
        <v>0.0</v>
      </c>
      <c r="AD755" t="n">
        <v>1.0</v>
      </c>
      <c r="AE755" t="n">
        <v>0.0</v>
      </c>
      <c r="AF755" t="n">
        <v>0.0</v>
      </c>
      <c r="AG755" t="n">
        <v>0.0</v>
      </c>
      <c r="AH755" t="n">
        <v>0.0</v>
      </c>
      <c r="AI755" t="n">
        <v>0.0</v>
      </c>
      <c r="AJ755" t="n">
        <v>0.0</v>
      </c>
      <c r="AK755" t="n">
        <v>10.0</v>
      </c>
      <c r="AL755" t="inlineStr">
        <is>
          <t/>
        </is>
      </c>
    </row>
    <row r="756">
      <c r="A756" t="inlineStr">
        <is>
          <t>100来块实现带饭自由！终于和外卖说拜拜👋</t>
        </is>
      </c>
      <c r="B756" t="inlineStr">
        <is>
          <t>69f88fa3000000001f001c83</t>
        </is>
      </c>
      <c r="C756" s="755" t="n">
        <f>HYPERLINK("https://www.xiaohongshu.com/explore/69f88fa3000000001f001c83?xsec_token=TBkBA6XU0_IUqvxj9keWfnf7B7I6l3jJrBYJW9EZg8kAw=&amp;xsec_source=pc_trdark","https://www.xiaohongshu.com/explore/69f88fa3000000001f001c83?xsec_token=TBkBA6XU0_IUqvxj9keWfnf7B7I6l3jJrBYJW9EZg8kAw=&amp;xsec_source=pc_trdark")</f>
        <v>0.0</v>
      </c>
      <c r="D756" t="inlineStr">
        <is>
          <t>菲菲上班吃什么</t>
        </is>
      </c>
      <c r="E756" t="inlineStr">
        <is>
          <t>49936530607</t>
        </is>
      </c>
      <c r="F756" t="inlineStr">
        <is>
          <t>2026-05-04 20:22:59</t>
        </is>
      </c>
      <c r="G756" t="inlineStr">
        <is>
          <t>图文</t>
        </is>
      </c>
      <c r="H756" t="inlineStr">
        <is>
          <t>手剥虾仁 无冰衣无添加 低脂餐一人食 上班带饭 顺丰包邮 5盒装</t>
        </is>
      </c>
      <c r="I756" t="inlineStr">
        <is>
          <t>694baba01d450d00013662f0</t>
        </is>
      </c>
      <c r="J756" t="inlineStr">
        <is>
          <t/>
        </is>
      </c>
      <c r="K756" t="n">
        <v>0.0</v>
      </c>
      <c r="L756" t="n">
        <v>0.0</v>
      </c>
      <c r="M756" t="n">
        <v>0.0</v>
      </c>
      <c r="N756" t="n">
        <v>0.0</v>
      </c>
      <c r="O756" t="n">
        <v>0.0</v>
      </c>
      <c r="P756" t="n">
        <v>0.0</v>
      </c>
      <c r="Q756" t="inlineStr">
        <is>
          <t/>
        </is>
      </c>
      <c r="R756" t="inlineStr">
        <is>
          <t/>
        </is>
      </c>
      <c r="S756" t="n">
        <v>0.0</v>
      </c>
      <c r="T756" t="n">
        <v>0.0</v>
      </c>
      <c r="U756" t="n">
        <v>0.0</v>
      </c>
      <c r="V756" t="n">
        <v>0.0</v>
      </c>
      <c r="W756" t="inlineStr">
        <is>
          <t/>
        </is>
      </c>
      <c r="X756" t="n">
        <v>0.0</v>
      </c>
      <c r="Y756" t="n">
        <v>0.0</v>
      </c>
      <c r="Z756" t="n">
        <v>0.0</v>
      </c>
      <c r="AA756" t="n">
        <v>0.0</v>
      </c>
      <c r="AB756" t="n">
        <v>0.0</v>
      </c>
      <c r="AC756" t="n">
        <v>0.0</v>
      </c>
      <c r="AD756" t="n">
        <v>1.0</v>
      </c>
      <c r="AE756" t="n">
        <v>0.0</v>
      </c>
      <c r="AF756" t="n">
        <v>0.0</v>
      </c>
      <c r="AG756" t="n">
        <v>0.0</v>
      </c>
      <c r="AH756" t="n">
        <v>0.0</v>
      </c>
      <c r="AI756" t="n">
        <v>0.0</v>
      </c>
      <c r="AJ756" t="n">
        <v>0.0</v>
      </c>
      <c r="AK756" t="n">
        <v>0.0</v>
      </c>
      <c r="AL756" t="inlineStr">
        <is>
          <t/>
        </is>
      </c>
    </row>
    <row r="757">
      <c r="A757" t="inlineStr">
        <is>
          <t>同事说我天天吃虾仁太奢侈</t>
        </is>
      </c>
      <c r="B757" t="inlineStr">
        <is>
          <t>69f56a50000000001e00c802</t>
        </is>
      </c>
      <c r="C757" s="756" t="n">
        <f>HYPERLINK("https://www.xiaohongshu.com/explore/69f56a50000000001e00c802?xsec_token=TB1sypu4FwtYdfi9RYa_cO6zq-4aEgBdzjR1Hv1VwWWrs=&amp;xsec_source=pc_trdark","https://www.xiaohongshu.com/explore/69f56a50000000001e00c802?xsec_token=TB1sypu4FwtYdfi9RYa_cO6zq-4aEgBdzjR1Hv1VwWWrs=&amp;xsec_source=pc_trdark")</f>
        <v>0.0</v>
      </c>
      <c r="D757" t="inlineStr">
        <is>
          <t>菲菲上班吃什么</t>
        </is>
      </c>
      <c r="E757" t="inlineStr">
        <is>
          <t>49936530607</t>
        </is>
      </c>
      <c r="F757" t="inlineStr">
        <is>
          <t>2026-05-02 11:06:56</t>
        </is>
      </c>
      <c r="G757" t="inlineStr">
        <is>
          <t>图文</t>
        </is>
      </c>
      <c r="H757" t="inlineStr">
        <is>
          <t>手剥虾仁 无冰衣无添加 低脂餐一人食 上班带饭 顺丰包邮 5盒装</t>
        </is>
      </c>
      <c r="I757" t="inlineStr">
        <is>
          <t>694baba01d450d00013662f0</t>
        </is>
      </c>
      <c r="J757" t="inlineStr">
        <is>
          <t/>
        </is>
      </c>
      <c r="K757" t="n">
        <v>0.0</v>
      </c>
      <c r="L757" t="n">
        <v>0.0</v>
      </c>
      <c r="M757" t="n">
        <v>0.0</v>
      </c>
      <c r="N757" t="n">
        <v>0.0</v>
      </c>
      <c r="O757" t="n">
        <v>0.0</v>
      </c>
      <c r="P757" t="n">
        <v>0.0</v>
      </c>
      <c r="Q757" t="inlineStr">
        <is>
          <t/>
        </is>
      </c>
      <c r="R757" t="inlineStr">
        <is>
          <t/>
        </is>
      </c>
      <c r="S757" t="n">
        <v>0.0</v>
      </c>
      <c r="T757" t="n">
        <v>0.0</v>
      </c>
      <c r="U757" t="n">
        <v>0.0</v>
      </c>
      <c r="V757" t="n">
        <v>0.0</v>
      </c>
      <c r="W757" t="inlineStr">
        <is>
          <t/>
        </is>
      </c>
      <c r="X757" t="n">
        <v>0.0</v>
      </c>
      <c r="Y757" t="n">
        <v>0.0</v>
      </c>
      <c r="Z757" t="n">
        <v>0.0</v>
      </c>
      <c r="AA757" t="n">
        <v>0.0</v>
      </c>
      <c r="AB757" t="n">
        <v>0.0</v>
      </c>
      <c r="AC757" t="n">
        <v>0.0</v>
      </c>
      <c r="AD757" t="n">
        <v>1.0</v>
      </c>
      <c r="AE757" t="n">
        <v>0.0</v>
      </c>
      <c r="AF757" t="n">
        <v>0.0</v>
      </c>
      <c r="AG757" t="n">
        <v>0.0</v>
      </c>
      <c r="AH757" t="n">
        <v>0.0</v>
      </c>
      <c r="AI757" t="n">
        <v>0.0</v>
      </c>
      <c r="AJ757" t="n">
        <v>0.0</v>
      </c>
      <c r="AK757" t="n">
        <v>0.0</v>
      </c>
      <c r="AL757" t="inlineStr">
        <is>
          <t/>
        </is>
      </c>
    </row>
    <row r="758">
      <c r="A758" t="inlineStr">
        <is>
          <t>同事都说我天天吃虾仁，看着好奢侈😅</t>
        </is>
      </c>
      <c r="B758" t="inlineStr">
        <is>
          <t>69f30527000000001a02cc0e</t>
        </is>
      </c>
      <c r="C758" s="757" t="n">
        <f>HYPERLINK("https://www.xiaohongshu.com/explore/69f30527000000001a02cc0e?xsec_token=TBx93XfWzGohdywDZFOL5vkSeaW3qO-RJAeSLFWal6I5g=&amp;xsec_source=pc_trdark","https://www.xiaohongshu.com/explore/69f30527000000001a02cc0e?xsec_token=TBx93XfWzGohdywDZFOL5vkSeaW3qO-RJAeSLFWal6I5g=&amp;xsec_source=pc_trdark")</f>
        <v>0.0</v>
      </c>
      <c r="D758" t="inlineStr">
        <is>
          <t>菲菲上班吃什么</t>
        </is>
      </c>
      <c r="E758" t="inlineStr">
        <is>
          <t>49936530607</t>
        </is>
      </c>
      <c r="F758" t="inlineStr">
        <is>
          <t>2026-04-30 15:30:47</t>
        </is>
      </c>
      <c r="G758" t="inlineStr">
        <is>
          <t>图文</t>
        </is>
      </c>
      <c r="H758" t="inlineStr">
        <is>
          <t>手剥虾仁 无冰衣无添加 低脂餐一人食 上班带饭 顺丰包邮 5盒装</t>
        </is>
      </c>
      <c r="I758" t="inlineStr">
        <is>
          <t>694baba01d450d00013662f0</t>
        </is>
      </c>
      <c r="J758" t="inlineStr">
        <is>
          <t/>
        </is>
      </c>
      <c r="K758" t="n">
        <v>0.0</v>
      </c>
      <c r="L758" t="n">
        <v>0.0</v>
      </c>
      <c r="M758" t="n">
        <v>0.0</v>
      </c>
      <c r="N758" t="n">
        <v>0.0</v>
      </c>
      <c r="O758" t="n">
        <v>0.0</v>
      </c>
      <c r="P758" t="n">
        <v>0.0</v>
      </c>
      <c r="Q758" t="inlineStr">
        <is>
          <t/>
        </is>
      </c>
      <c r="R758" t="inlineStr">
        <is>
          <t/>
        </is>
      </c>
      <c r="S758" t="n">
        <v>0.0</v>
      </c>
      <c r="T758" t="n">
        <v>0.0</v>
      </c>
      <c r="U758" t="n">
        <v>0.0</v>
      </c>
      <c r="V758" t="n">
        <v>0.0</v>
      </c>
      <c r="W758" t="inlineStr">
        <is>
          <t/>
        </is>
      </c>
      <c r="X758" t="n">
        <v>0.0</v>
      </c>
      <c r="Y758" t="n">
        <v>0.0</v>
      </c>
      <c r="Z758" t="n">
        <v>2.0</v>
      </c>
      <c r="AA758" t="n">
        <v>0.0</v>
      </c>
      <c r="AB758" t="n">
        <v>0.0</v>
      </c>
      <c r="AC758" t="n">
        <v>0.0</v>
      </c>
      <c r="AD758" t="n">
        <v>1.0</v>
      </c>
      <c r="AE758" t="n">
        <v>0.0</v>
      </c>
      <c r="AF758" t="n">
        <v>0.0</v>
      </c>
      <c r="AG758" t="n">
        <v>0.0</v>
      </c>
      <c r="AH758" t="n">
        <v>0.0</v>
      </c>
      <c r="AI758" t="n">
        <v>0.0</v>
      </c>
      <c r="AJ758" t="n">
        <v>0.0</v>
      </c>
      <c r="AK758" t="n">
        <v>5.0</v>
      </c>
      <c r="AL758" t="inlineStr">
        <is>
          <t/>
        </is>
      </c>
    </row>
    <row r="759">
      <c r="A759" t="inlineStr">
        <is>
          <t>春季减脂真花不了多少钱，300多块够吃一月</t>
        </is>
      </c>
      <c r="B759" t="inlineStr">
        <is>
          <t>69f18714000000001e00d53d</t>
        </is>
      </c>
      <c r="C759" s="758" t="n">
        <f>HYPERLINK("https://www.xiaohongshu.com/explore/69f18714000000001e00d53d?xsec_token=TBLt8Y96Ok9n09b_UIgIegbmSbufzZUktG5ssUtKTYm2M=&amp;xsec_source=pc_trdark","https://www.xiaohongshu.com/explore/69f18714000000001e00d53d?xsec_token=TBLt8Y96Ok9n09b_UIgIegbmSbufzZUktG5ssUtKTYm2M=&amp;xsec_source=pc_trdark")</f>
        <v>0.0</v>
      </c>
      <c r="D759" t="inlineStr">
        <is>
          <t>婉婉上班吃什么</t>
        </is>
      </c>
      <c r="E759" t="inlineStr">
        <is>
          <t>11434449706</t>
        </is>
      </c>
      <c r="F759" t="inlineStr">
        <is>
          <t>2026-04-29 12:20:36</t>
        </is>
      </c>
      <c r="G759" t="inlineStr">
        <is>
          <t>图文</t>
        </is>
      </c>
      <c r="H759" t="inlineStr">
        <is>
          <t>智利尾端中段整条三文鱼 8斤深海鱼低脂餐囤货一周备菜顺丰包邮</t>
        </is>
      </c>
      <c r="I759" t="inlineStr">
        <is>
          <t>69fab80d64eb410001ece0c0</t>
        </is>
      </c>
      <c r="J759" t="inlineStr">
        <is>
          <t/>
        </is>
      </c>
      <c r="K759" t="n">
        <v>0.0</v>
      </c>
      <c r="L759" t="n">
        <v>0.0</v>
      </c>
      <c r="M759" t="n">
        <v>1.0</v>
      </c>
      <c r="N759" t="n">
        <v>1.0</v>
      </c>
      <c r="O759" t="n">
        <v>1.0</v>
      </c>
      <c r="P759" t="n">
        <v>0.0</v>
      </c>
      <c r="Q759" t="n">
        <v>0.0</v>
      </c>
      <c r="R759" t="n">
        <v>0.0</v>
      </c>
      <c r="S759" t="n">
        <v>0.0</v>
      </c>
      <c r="T759" t="n">
        <v>0.0</v>
      </c>
      <c r="U759" t="n">
        <v>0.0</v>
      </c>
      <c r="V759" t="n">
        <v>0.0</v>
      </c>
      <c r="W759" t="inlineStr">
        <is>
          <t/>
        </is>
      </c>
      <c r="X759" t="n">
        <v>0.0</v>
      </c>
      <c r="Y759" t="n">
        <v>1.0</v>
      </c>
      <c r="Z759" t="n">
        <v>0.0</v>
      </c>
      <c r="AA759" t="n">
        <v>0.0</v>
      </c>
      <c r="AB759" t="n">
        <v>0.0</v>
      </c>
      <c r="AC759" t="n">
        <v>0.0</v>
      </c>
      <c r="AD759" t="n">
        <v>1.0</v>
      </c>
      <c r="AE759" t="n">
        <v>0.0</v>
      </c>
      <c r="AF759" t="n">
        <v>0.0</v>
      </c>
      <c r="AG759" t="n">
        <v>0.0</v>
      </c>
      <c r="AH759" t="n">
        <v>0.0</v>
      </c>
      <c r="AI759" t="n">
        <v>0.0</v>
      </c>
      <c r="AJ759" t="n">
        <v>0.0</v>
      </c>
      <c r="AK759" t="n">
        <v>77.0</v>
      </c>
      <c r="AL759" t="inlineStr">
        <is>
          <t/>
        </is>
      </c>
    </row>
    <row r="760">
      <c r="A760" t="inlineStr">
        <is>
          <t>还以为100来块没多少，结果够我吃半个月</t>
        </is>
      </c>
      <c r="B760" t="inlineStr">
        <is>
          <t>69f06fca000000001a03482d</t>
        </is>
      </c>
      <c r="C760" s="759" t="n">
        <f>HYPERLINK("https://www.xiaohongshu.com/explore/69f06fca000000001a03482d?xsec_token=TBvHxiGmj2CedfPdQHdLJBmFNrU5w7t5XjVl_oYud6vug=&amp;xsec_source=pc_trdark","https://www.xiaohongshu.com/explore/69f06fca000000001a03482d?xsec_token=TBvHxiGmj2CedfPdQHdLJBmFNrU5w7t5XjVl_oYud6vug=&amp;xsec_source=pc_trdark")</f>
        <v>0.0</v>
      </c>
      <c r="D760" t="inlineStr">
        <is>
          <t>菲菲上班吃什么</t>
        </is>
      </c>
      <c r="E760" t="inlineStr">
        <is>
          <t>49936530607</t>
        </is>
      </c>
      <c r="F760" t="inlineStr">
        <is>
          <t>2026-04-28 16:28:58</t>
        </is>
      </c>
      <c r="G760" t="inlineStr">
        <is>
          <t>图文</t>
        </is>
      </c>
      <c r="H760" t="inlineStr">
        <is>
          <t>手剥虾仁 无冰衣无添加 低脂餐一人食 上班带饭 顺丰包邮 5盒装</t>
        </is>
      </c>
      <c r="I760" t="inlineStr">
        <is>
          <t>694baba01d450d00013662f0</t>
        </is>
      </c>
      <c r="J760" t="inlineStr">
        <is>
          <t/>
        </is>
      </c>
      <c r="K760" t="n">
        <v>0.0</v>
      </c>
      <c r="L760" t="n">
        <v>0.0</v>
      </c>
      <c r="M760" t="n">
        <v>0.0</v>
      </c>
      <c r="N760" t="n">
        <v>0.0</v>
      </c>
      <c r="O760" t="n">
        <v>0.0</v>
      </c>
      <c r="P760" t="n">
        <v>0.0</v>
      </c>
      <c r="Q760" t="inlineStr">
        <is>
          <t/>
        </is>
      </c>
      <c r="R760" t="inlineStr">
        <is>
          <t/>
        </is>
      </c>
      <c r="S760" t="n">
        <v>0.0</v>
      </c>
      <c r="T760" t="n">
        <v>0.0</v>
      </c>
      <c r="U760" t="n">
        <v>0.0</v>
      </c>
      <c r="V760" t="n">
        <v>0.0</v>
      </c>
      <c r="W760" t="inlineStr">
        <is>
          <t/>
        </is>
      </c>
      <c r="X760" t="n">
        <v>0.0</v>
      </c>
      <c r="Y760" t="n">
        <v>0.0</v>
      </c>
      <c r="Z760" t="n">
        <v>0.0</v>
      </c>
      <c r="AA760" t="n">
        <v>0.0</v>
      </c>
      <c r="AB760" t="n">
        <v>0.0</v>
      </c>
      <c r="AC760" t="n">
        <v>0.0</v>
      </c>
      <c r="AD760" t="n">
        <v>1.0</v>
      </c>
      <c r="AE760" t="n">
        <v>0.0</v>
      </c>
      <c r="AF760" t="n">
        <v>0.0</v>
      </c>
      <c r="AG760" t="n">
        <v>0.0</v>
      </c>
      <c r="AH760" t="n">
        <v>0.0</v>
      </c>
      <c r="AI760" t="n">
        <v>0.0</v>
      </c>
      <c r="AJ760" t="n">
        <v>0.0</v>
      </c>
      <c r="AK760" t="n">
        <v>2.0</v>
      </c>
      <c r="AL760" t="inlineStr">
        <is>
          <t/>
        </is>
      </c>
    </row>
    <row r="761">
      <c r="A761" t="inlineStr">
        <is>
          <t>我也不想吃啊，但是69块够我吃一个周</t>
        </is>
      </c>
      <c r="B761" t="inlineStr">
        <is>
          <t>69ef6c020000000023007ff2</t>
        </is>
      </c>
      <c r="C761" s="760" t="n">
        <f>HYPERLINK("https://www.xiaohongshu.com/explore/69ef6c020000000023007ff2?xsec_token=TB8YlxxIf2o_Xr_LAif13-vCvmj2tLmjwd6cCq5_hNrpU=&amp;xsec_source=pc_trdark","https://www.xiaohongshu.com/explore/69ef6c020000000023007ff2?xsec_token=TB8YlxxIf2o_Xr_LAif13-vCvmj2tLmjwd6cCq5_hNrpU=&amp;xsec_source=pc_trdark")</f>
        <v>0.0</v>
      </c>
      <c r="D761" t="inlineStr">
        <is>
          <t>菲菲上班吃什么</t>
        </is>
      </c>
      <c r="E761" t="inlineStr">
        <is>
          <t>49936530607</t>
        </is>
      </c>
      <c r="F761" t="inlineStr">
        <is>
          <t>2026-04-27 22:00:34</t>
        </is>
      </c>
      <c r="G761" t="inlineStr">
        <is>
          <t>图文</t>
        </is>
      </c>
      <c r="H761" t="inlineStr">
        <is>
          <t>手剥虾仁 无冰衣无添加 低脂餐一人食 上班带饭 顺丰包邮 5盒装</t>
        </is>
      </c>
      <c r="I761" t="inlineStr">
        <is>
          <t>694baba01d450d00013662f0</t>
        </is>
      </c>
      <c r="J761" t="inlineStr">
        <is>
          <t/>
        </is>
      </c>
      <c r="K761" t="n">
        <v>0.0</v>
      </c>
      <c r="L761" t="n">
        <v>0.0</v>
      </c>
      <c r="M761" t="n">
        <v>0.0</v>
      </c>
      <c r="N761" t="n">
        <v>0.0</v>
      </c>
      <c r="O761" t="n">
        <v>0.0</v>
      </c>
      <c r="P761" t="n">
        <v>0.0</v>
      </c>
      <c r="Q761" t="inlineStr">
        <is>
          <t/>
        </is>
      </c>
      <c r="R761" t="inlineStr">
        <is>
          <t/>
        </is>
      </c>
      <c r="S761" t="n">
        <v>0.0</v>
      </c>
      <c r="T761" t="n">
        <v>0.0</v>
      </c>
      <c r="U761" t="n">
        <v>0.0</v>
      </c>
      <c r="V761" t="n">
        <v>0.0</v>
      </c>
      <c r="W761" t="inlineStr">
        <is>
          <t/>
        </is>
      </c>
      <c r="X761" t="n">
        <v>0.0</v>
      </c>
      <c r="Y761" t="n">
        <v>0.0</v>
      </c>
      <c r="Z761" t="n">
        <v>0.0</v>
      </c>
      <c r="AA761" t="n">
        <v>0.0</v>
      </c>
      <c r="AB761" t="n">
        <v>0.0</v>
      </c>
      <c r="AC761" t="n">
        <v>0.0</v>
      </c>
      <c r="AD761" t="n">
        <v>1.0</v>
      </c>
      <c r="AE761" t="n">
        <v>0.0</v>
      </c>
      <c r="AF761" t="n">
        <v>0.0</v>
      </c>
      <c r="AG761" t="n">
        <v>0.0</v>
      </c>
      <c r="AH761" t="n">
        <v>0.0</v>
      </c>
      <c r="AI761" t="n">
        <v>0.0</v>
      </c>
      <c r="AJ761" t="n">
        <v>0.0</v>
      </c>
      <c r="AK761" t="n">
        <v>9.0</v>
      </c>
      <c r="AL761" t="inlineStr">
        <is>
          <t/>
        </is>
      </c>
    </row>
    <row r="762">
      <c r="A762" t="inlineStr">
        <is>
          <t>真的惊了，严重低估了69的购买力！</t>
        </is>
      </c>
      <c r="B762" t="inlineStr">
        <is>
          <t>69ef55f20000000035039e3b</t>
        </is>
      </c>
      <c r="C762" s="761" t="n">
        <f>HYPERLINK("https://www.xiaohongshu.com/explore/69ef55f20000000035039e3b?xsec_token=TB8YlxxIf2o_Xr_LAif13-vCBlT8m9svv8Tmad3XMG5NY=&amp;xsec_source=pc_trdark","https://www.xiaohongshu.com/explore/69ef55f20000000035039e3b?xsec_token=TB8YlxxIf2o_Xr_LAif13-vCBlT8m9svv8Tmad3XMG5NY=&amp;xsec_source=pc_trdark")</f>
        <v>0.0</v>
      </c>
      <c r="D762" t="inlineStr">
        <is>
          <t>鲜水湾甄选</t>
        </is>
      </c>
      <c r="E762" t="inlineStr">
        <is>
          <t>27401929161</t>
        </is>
      </c>
      <c r="F762" t="inlineStr">
        <is>
          <t>2026-04-27 20:26:26</t>
        </is>
      </c>
      <c r="G762" t="inlineStr">
        <is>
          <t>图文</t>
        </is>
      </c>
      <c r="H762" t="inlineStr">
        <is>
          <t>手剥虾仁 无冰衣无添加 低脂餐一人食 上班带饭 顺丰包邮 5盒装</t>
        </is>
      </c>
      <c r="I762" t="inlineStr">
        <is>
          <t>694baba01d450d00013662f0</t>
        </is>
      </c>
      <c r="J762" t="inlineStr">
        <is>
          <t/>
        </is>
      </c>
      <c r="K762" t="n">
        <v>0.0</v>
      </c>
      <c r="L762" t="n">
        <v>0.0</v>
      </c>
      <c r="M762" t="n">
        <v>0.0</v>
      </c>
      <c r="N762" t="n">
        <v>0.0</v>
      </c>
      <c r="O762" t="n">
        <v>0.0</v>
      </c>
      <c r="P762" t="n">
        <v>0.0</v>
      </c>
      <c r="Q762" t="inlineStr">
        <is>
          <t/>
        </is>
      </c>
      <c r="R762" t="inlineStr">
        <is>
          <t/>
        </is>
      </c>
      <c r="S762" t="n">
        <v>0.0</v>
      </c>
      <c r="T762" t="n">
        <v>0.0</v>
      </c>
      <c r="U762" t="n">
        <v>0.0</v>
      </c>
      <c r="V762" t="n">
        <v>0.0</v>
      </c>
      <c r="W762" t="inlineStr">
        <is>
          <t/>
        </is>
      </c>
      <c r="X762" t="n">
        <v>0.0</v>
      </c>
      <c r="Y762" t="n">
        <v>0.0</v>
      </c>
      <c r="Z762" t="n">
        <v>0.0</v>
      </c>
      <c r="AA762" t="n">
        <v>0.0</v>
      </c>
      <c r="AB762" t="n">
        <v>0.0</v>
      </c>
      <c r="AC762" t="n">
        <v>0.0</v>
      </c>
      <c r="AD762" t="n">
        <v>1.0</v>
      </c>
      <c r="AE762" t="n">
        <v>0.0</v>
      </c>
      <c r="AF762" t="n">
        <v>0.0</v>
      </c>
      <c r="AG762" t="n">
        <v>0.0</v>
      </c>
      <c r="AH762" t="n">
        <v>0.0</v>
      </c>
      <c r="AI762" t="n">
        <v>0.0</v>
      </c>
      <c r="AJ762" t="n">
        <v>0.0</v>
      </c>
      <c r="AK762" t="n">
        <v>2.0</v>
      </c>
      <c r="AL762" t="inlineStr">
        <is>
          <t/>
        </is>
      </c>
    </row>
    <row r="763">
      <c r="A763" t="inlineStr">
        <is>
          <t>现在的人真的对钱没有概念了😅</t>
        </is>
      </c>
      <c r="B763" t="inlineStr">
        <is>
          <t>69ef03c0000000002202643f</t>
        </is>
      </c>
      <c r="C763" s="762" t="n">
        <f>HYPERLINK("https://www.xiaohongshu.com/explore/69ef03c0000000002202643f?xsec_token=TB8YlxxIf2o_Xr_LAif13-vKlryW0Q2T_DdrGstFArKUM=&amp;xsec_source=pc_trdark","https://www.xiaohongshu.com/explore/69ef03c0000000002202643f?xsec_token=TB8YlxxIf2o_Xr_LAif13-vKlryW0Q2T_DdrGstFArKUM=&amp;xsec_source=pc_trdark")</f>
        <v>0.0</v>
      </c>
      <c r="D763" t="inlineStr">
        <is>
          <t>婉婉上班吃什么</t>
        </is>
      </c>
      <c r="E763" t="inlineStr">
        <is>
          <t>11434449706</t>
        </is>
      </c>
      <c r="F763" t="inlineStr">
        <is>
          <t>2026-04-27 14:35:44</t>
        </is>
      </c>
      <c r="G763" t="inlineStr">
        <is>
          <t>图文</t>
        </is>
      </c>
      <c r="H763" t="inlineStr">
        <is>
          <t>手剥虾仁 无冰衣无添加 低脂餐一人食 上班带饭 顺丰包邮 5盒装</t>
        </is>
      </c>
      <c r="I763" t="inlineStr">
        <is>
          <t>694baba01d450d00013662f0</t>
        </is>
      </c>
      <c r="J763" t="inlineStr">
        <is>
          <t/>
        </is>
      </c>
      <c r="K763" t="n">
        <v>0.0</v>
      </c>
      <c r="L763" t="n">
        <v>0.0</v>
      </c>
      <c r="M763" t="n">
        <v>0.0</v>
      </c>
      <c r="N763" t="n">
        <v>0.0</v>
      </c>
      <c r="O763" t="n">
        <v>0.0</v>
      </c>
      <c r="P763" t="n">
        <v>0.0</v>
      </c>
      <c r="Q763" t="inlineStr">
        <is>
          <t/>
        </is>
      </c>
      <c r="R763" t="inlineStr">
        <is>
          <t/>
        </is>
      </c>
      <c r="S763" t="n">
        <v>0.0</v>
      </c>
      <c r="T763" t="n">
        <v>0.0</v>
      </c>
      <c r="U763" t="n">
        <v>0.0</v>
      </c>
      <c r="V763" t="n">
        <v>0.0</v>
      </c>
      <c r="W763" t="inlineStr">
        <is>
          <t/>
        </is>
      </c>
      <c r="X763" t="n">
        <v>0.0</v>
      </c>
      <c r="Y763" t="n">
        <v>0.0</v>
      </c>
      <c r="Z763" t="n">
        <v>0.0</v>
      </c>
      <c r="AA763" t="n">
        <v>0.0</v>
      </c>
      <c r="AB763" t="n">
        <v>0.0</v>
      </c>
      <c r="AC763" t="n">
        <v>0.0</v>
      </c>
      <c r="AD763" t="n">
        <v>1.0</v>
      </c>
      <c r="AE763" t="n">
        <v>0.0</v>
      </c>
      <c r="AF763" t="n">
        <v>0.0</v>
      </c>
      <c r="AG763" t="n">
        <v>0.0</v>
      </c>
      <c r="AH763" t="n">
        <v>0.0</v>
      </c>
      <c r="AI763" t="n">
        <v>0.0</v>
      </c>
      <c r="AJ763" t="n">
        <v>0.0</v>
      </c>
      <c r="AK763" t="n">
        <v>0.0</v>
      </c>
      <c r="AL763" t="inlineStr">
        <is>
          <t/>
        </is>
      </c>
    </row>
    <row r="764">
      <c r="A764" t="inlineStr">
        <is>
          <t>三文鱼排1000g限时直降</t>
        </is>
      </c>
      <c r="B764" t="inlineStr">
        <is>
          <t>69eadaa60000000022025b72</t>
        </is>
      </c>
      <c r="C764" s="763" t="n">
        <f>HYPERLINK("https://www.xiaohongshu.com/explore/69eadaa60000000022025b72?xsec_token=TBG-QeNbMbkltVw6gL-GSmoQfrZ7CG9i0QGPzvDH3W3Mo=&amp;xsec_source=pc_trdark","https://www.xiaohongshu.com/explore/69eadaa60000000022025b72?xsec_token=TBG-QeNbMbkltVw6gL-GSmoQfrZ7CG9i0QGPzvDH3W3Mo=&amp;xsec_source=pc_trdark")</f>
        <v>0.0</v>
      </c>
      <c r="D764" t="inlineStr">
        <is>
          <t>鲜水湾</t>
        </is>
      </c>
      <c r="E764" t="inlineStr">
        <is>
          <t>49316638994</t>
        </is>
      </c>
      <c r="F764" t="inlineStr">
        <is>
          <t>2026-04-24 10:51:18</t>
        </is>
      </c>
      <c r="G764" t="inlineStr">
        <is>
          <t>图文</t>
        </is>
      </c>
      <c r="H764" t="inlineStr">
        <is>
          <t>智利尾端中段整条三文鱼 8斤深海鱼低脂餐囤货一周备菜顺丰包邮</t>
        </is>
      </c>
      <c r="I764" t="inlineStr">
        <is>
          <t>69fab80d64eb410001ece0c0</t>
        </is>
      </c>
      <c r="J764" t="inlineStr">
        <is>
          <t/>
        </is>
      </c>
      <c r="K764" t="n">
        <v>0.0</v>
      </c>
      <c r="L764" t="n">
        <v>0.0</v>
      </c>
      <c r="M764" t="n">
        <v>1.0</v>
      </c>
      <c r="N764" t="n">
        <v>1.0</v>
      </c>
      <c r="O764" t="n">
        <v>1.0</v>
      </c>
      <c r="P764" t="n">
        <v>0.0</v>
      </c>
      <c r="Q764" t="n">
        <v>0.0</v>
      </c>
      <c r="R764" t="n">
        <v>0.0</v>
      </c>
      <c r="S764" t="n">
        <v>0.0</v>
      </c>
      <c r="T764" t="n">
        <v>0.0</v>
      </c>
      <c r="U764" t="n">
        <v>0.0</v>
      </c>
      <c r="V764" t="n">
        <v>0.0</v>
      </c>
      <c r="W764" t="inlineStr">
        <is>
          <t/>
        </is>
      </c>
      <c r="X764" t="n">
        <v>0.0</v>
      </c>
      <c r="Y764" t="n">
        <v>0.0</v>
      </c>
      <c r="Z764" t="n">
        <v>0.0</v>
      </c>
      <c r="AA764" t="n">
        <v>0.0</v>
      </c>
      <c r="AB764" t="n">
        <v>0.0</v>
      </c>
      <c r="AC764" t="n">
        <v>0.0</v>
      </c>
      <c r="AD764" t="n">
        <v>1.0</v>
      </c>
      <c r="AE764" t="n">
        <v>0.0</v>
      </c>
      <c r="AF764" t="n">
        <v>0.0</v>
      </c>
      <c r="AG764" t="n">
        <v>0.0</v>
      </c>
      <c r="AH764" t="n">
        <v>0.0</v>
      </c>
      <c r="AI764" t="n">
        <v>0.0</v>
      </c>
      <c r="AJ764" t="n">
        <v>0.0</v>
      </c>
      <c r="AK764" t="n">
        <v>3.0</v>
      </c>
      <c r="AL764" t="inlineStr">
        <is>
          <t/>
        </is>
      </c>
    </row>
    <row r="765">
      <c r="A765" t="inlineStr">
        <is>
          <t>300多的三文鱼，承包我一个月的减脂餐</t>
        </is>
      </c>
      <c r="B765" t="inlineStr">
        <is>
          <t>69e87d1b000000001e00dc29</t>
        </is>
      </c>
      <c r="C765" s="764" t="n">
        <f>HYPERLINK("https://www.xiaohongshu.com/explore/69e87d1b000000001e00dc29?xsec_token=TBrsJGfbmdICsvnXoyd4QdRswYaIRpIpv2wWcooPLRAOk=&amp;xsec_source=pc_trdark","https://www.xiaohongshu.com/explore/69e87d1b000000001e00dc29?xsec_token=TBrsJGfbmdICsvnXoyd4QdRswYaIRpIpv2wWcooPLRAOk=&amp;xsec_source=pc_trdark")</f>
        <v>0.0</v>
      </c>
      <c r="D765" t="inlineStr">
        <is>
          <t>婉婉上班吃什么</t>
        </is>
      </c>
      <c r="E765" t="inlineStr">
        <is>
          <t>11434449706</t>
        </is>
      </c>
      <c r="F765" t="inlineStr">
        <is>
          <t>2026-04-22 15:47:39</t>
        </is>
      </c>
      <c r="G765" t="inlineStr">
        <is>
          <t>图文</t>
        </is>
      </c>
      <c r="H765" t="inlineStr">
        <is>
          <t>智利三文鱼切块·整条三文鱼·深海鱼一人食健康饮食</t>
        </is>
      </c>
      <c r="I765" t="inlineStr">
        <is>
          <t>691ac562a524ee0001b51d7b</t>
        </is>
      </c>
      <c r="J765" t="inlineStr">
        <is>
          <t/>
        </is>
      </c>
      <c r="K765" t="n">
        <v>0.0</v>
      </c>
      <c r="L765" t="n">
        <v>0.0</v>
      </c>
      <c r="M765" t="n">
        <v>0.0</v>
      </c>
      <c r="N765" t="n">
        <v>0.0</v>
      </c>
      <c r="O765" t="n">
        <v>0.0</v>
      </c>
      <c r="P765" t="n">
        <v>0.0</v>
      </c>
      <c r="Q765" t="inlineStr">
        <is>
          <t/>
        </is>
      </c>
      <c r="R765" t="inlineStr">
        <is>
          <t/>
        </is>
      </c>
      <c r="S765" t="n">
        <v>0.0</v>
      </c>
      <c r="T765" t="n">
        <v>0.0</v>
      </c>
      <c r="U765" t="n">
        <v>0.0</v>
      </c>
      <c r="V765" t="n">
        <v>0.0</v>
      </c>
      <c r="W765" t="inlineStr">
        <is>
          <t/>
        </is>
      </c>
      <c r="X765" t="n">
        <v>0.0</v>
      </c>
      <c r="Y765" t="n">
        <v>0.0</v>
      </c>
      <c r="Z765" t="n">
        <v>0.0</v>
      </c>
      <c r="AA765" t="n">
        <v>0.0</v>
      </c>
      <c r="AB765" t="n">
        <v>0.0</v>
      </c>
      <c r="AC765" t="n">
        <v>0.0</v>
      </c>
      <c r="AD765" t="n">
        <v>1.0</v>
      </c>
      <c r="AE765" t="n">
        <v>0.0</v>
      </c>
      <c r="AF765" t="n">
        <v>0.0</v>
      </c>
      <c r="AG765" t="n">
        <v>0.0</v>
      </c>
      <c r="AH765" t="n">
        <v>0.0</v>
      </c>
      <c r="AI765" t="n">
        <v>0.0</v>
      </c>
      <c r="AJ765" t="n">
        <v>0.0</v>
      </c>
      <c r="AK765" t="n">
        <v>37.0</v>
      </c>
      <c r="AL765" t="inlineStr">
        <is>
          <t/>
        </is>
      </c>
    </row>
    <row r="766">
      <c r="A766" t="inlineStr">
        <is>
          <t>和爸妈商量后，专为减脂姐妹推出的小包装🍤</t>
        </is>
      </c>
      <c r="B766" t="inlineStr">
        <is>
          <t>69e8276c000000001f0077f2</t>
        </is>
      </c>
      <c r="C766" s="765" t="n">
        <f>HYPERLINK("https://www.xiaohongshu.com/explore/69e8276c000000001f0077f2?xsec_token=TBrsJGfbmdICsvnXoyd4QdRj3VNgqEeWuNLU9d2hzV6a8=&amp;xsec_source=pc_trdark","https://www.xiaohongshu.com/explore/69e8276c000000001f0077f2?xsec_token=TBrsJGfbmdICsvnXoyd4QdRj3VNgqEeWuNLU9d2hzV6a8=&amp;xsec_source=pc_trdark")</f>
        <v>0.0</v>
      </c>
      <c r="D766" t="inlineStr">
        <is>
          <t>菲菲上班吃什么</t>
        </is>
      </c>
      <c r="E766" t="inlineStr">
        <is>
          <t>49936530607</t>
        </is>
      </c>
      <c r="F766" t="inlineStr">
        <is>
          <t>2026-04-22 09:42:04</t>
        </is>
      </c>
      <c r="G766" t="inlineStr">
        <is>
          <t>图文</t>
        </is>
      </c>
      <c r="H766" t="inlineStr">
        <is>
          <t>手剥虾仁 无冰衣无添加 低脂餐一人食 上班带饭 顺丰包邮 5盒装</t>
        </is>
      </c>
      <c r="I766" t="inlineStr">
        <is>
          <t>694baba01d450d00013662f0</t>
        </is>
      </c>
      <c r="J766" t="inlineStr">
        <is>
          <t/>
        </is>
      </c>
      <c r="K766" t="n">
        <v>0.0</v>
      </c>
      <c r="L766" t="n">
        <v>0.0</v>
      </c>
      <c r="M766" t="n">
        <v>0.0</v>
      </c>
      <c r="N766" t="n">
        <v>0.0</v>
      </c>
      <c r="O766" t="n">
        <v>0.0</v>
      </c>
      <c r="P766" t="n">
        <v>0.0</v>
      </c>
      <c r="Q766" t="inlineStr">
        <is>
          <t/>
        </is>
      </c>
      <c r="R766" t="inlineStr">
        <is>
          <t/>
        </is>
      </c>
      <c r="S766" t="n">
        <v>0.0</v>
      </c>
      <c r="T766" t="n">
        <v>0.0</v>
      </c>
      <c r="U766" t="n">
        <v>0.0</v>
      </c>
      <c r="V766" t="n">
        <v>0.0</v>
      </c>
      <c r="W766" t="inlineStr">
        <is>
          <t/>
        </is>
      </c>
      <c r="X766" t="n">
        <v>0.0</v>
      </c>
      <c r="Y766" t="n">
        <v>0.0</v>
      </c>
      <c r="Z766" t="n">
        <v>1.0</v>
      </c>
      <c r="AA766" t="n">
        <v>0.0</v>
      </c>
      <c r="AB766" t="n">
        <v>0.0</v>
      </c>
      <c r="AC766" t="n">
        <v>0.0</v>
      </c>
      <c r="AD766" t="n">
        <v>1.0</v>
      </c>
      <c r="AE766" t="n">
        <v>0.0</v>
      </c>
      <c r="AF766" t="n">
        <v>0.0</v>
      </c>
      <c r="AG766" t="n">
        <v>0.0</v>
      </c>
      <c r="AH766" t="n">
        <v>0.0</v>
      </c>
      <c r="AI766" t="n">
        <v>0.0</v>
      </c>
      <c r="AJ766" t="n">
        <v>0.0</v>
      </c>
      <c r="AK766" t="n">
        <v>6.0</v>
      </c>
      <c r="AL766" t="inlineStr">
        <is>
          <t/>
        </is>
      </c>
    </row>
    <row r="767">
      <c r="A767" t="inlineStr">
        <is>
          <t>现在的年轻人严重低估顾客69块的购买力…</t>
        </is>
      </c>
      <c r="B767" t="inlineStr">
        <is>
          <t>69e58cb5000000001e00ef68</t>
        </is>
      </c>
      <c r="C767" s="766" t="n">
        <f>HYPERLINK("https://www.xiaohongshu.com/explore/69e58cb5000000001e00ef68?xsec_token=TBRM_4pSbJalcnymykJyoKXf8QGvpc34heW_57-fbhPXQ=&amp;xsec_source=pc_trdark","https://www.xiaohongshu.com/explore/69e58cb5000000001e00ef68?xsec_token=TBRM_4pSbJalcnymykJyoKXf8QGvpc34heW_57-fbhPXQ=&amp;xsec_source=pc_trdark")</f>
        <v>0.0</v>
      </c>
      <c r="D767" t="inlineStr">
        <is>
          <t>菲菲上班吃什么</t>
        </is>
      </c>
      <c r="E767" t="inlineStr">
        <is>
          <t>49936530607</t>
        </is>
      </c>
      <c r="F767" t="inlineStr">
        <is>
          <t>2026-04-20 10:17:25</t>
        </is>
      </c>
      <c r="G767" t="inlineStr">
        <is>
          <t>图文</t>
        </is>
      </c>
      <c r="H767" t="inlineStr">
        <is>
          <t>手剥虾仁 无冰衣无添加 低脂餐一人食 上班带饭 顺丰包邮 5盒装</t>
        </is>
      </c>
      <c r="I767" t="inlineStr">
        <is>
          <t>694baba01d450d00013662f0</t>
        </is>
      </c>
      <c r="J767" t="inlineStr">
        <is>
          <t/>
        </is>
      </c>
      <c r="K767" t="n">
        <v>0.0</v>
      </c>
      <c r="L767" t="n">
        <v>0.0</v>
      </c>
      <c r="M767" t="n">
        <v>0.0</v>
      </c>
      <c r="N767" t="n">
        <v>0.0</v>
      </c>
      <c r="O767" t="n">
        <v>0.0</v>
      </c>
      <c r="P767" t="n">
        <v>0.0</v>
      </c>
      <c r="Q767" t="inlineStr">
        <is>
          <t/>
        </is>
      </c>
      <c r="R767" t="inlineStr">
        <is>
          <t/>
        </is>
      </c>
      <c r="S767" t="n">
        <v>0.0</v>
      </c>
      <c r="T767" t="n">
        <v>0.0</v>
      </c>
      <c r="U767" t="n">
        <v>0.0</v>
      </c>
      <c r="V767" t="n">
        <v>0.0</v>
      </c>
      <c r="W767" t="inlineStr">
        <is>
          <t/>
        </is>
      </c>
      <c r="X767" t="n">
        <v>0.0</v>
      </c>
      <c r="Y767" t="n">
        <v>0.0</v>
      </c>
      <c r="Z767" t="n">
        <v>0.0</v>
      </c>
      <c r="AA767" t="n">
        <v>0.0</v>
      </c>
      <c r="AB767" t="n">
        <v>0.0</v>
      </c>
      <c r="AC767" t="n">
        <v>0.0</v>
      </c>
      <c r="AD767" t="n">
        <v>1.0</v>
      </c>
      <c r="AE767" t="n">
        <v>0.0</v>
      </c>
      <c r="AF767" t="n">
        <v>0.0</v>
      </c>
      <c r="AG767" t="n">
        <v>0.0</v>
      </c>
      <c r="AH767" t="n">
        <v>0.0</v>
      </c>
      <c r="AI767" t="n">
        <v>0.0</v>
      </c>
      <c r="AJ767" t="n">
        <v>0.0</v>
      </c>
      <c r="AK767" t="n">
        <v>1.0</v>
      </c>
      <c r="AL767" t="inlineStr">
        <is>
          <t/>
        </is>
      </c>
    </row>
    <row r="768">
      <c r="A768" t="inlineStr">
        <is>
          <t>吃了100块虾仁的代价……</t>
        </is>
      </c>
      <c r="B768" t="inlineStr">
        <is>
          <t>69e36051000000001a034cdd</t>
        </is>
      </c>
      <c r="C768" s="767" t="n">
        <f>HYPERLINK("https://www.xiaohongshu.com/explore/69e36051000000001a034cdd?xsec_token=TBdjj7K6Nlm9yT2LpYB6PpNv_-ZeEAjvsMtFKO0hJaSYQ=&amp;xsec_source=pc_trdark","https://www.xiaohongshu.com/explore/69e36051000000001a034cdd?xsec_token=TBdjj7K6Nlm9yT2LpYB6PpNv_-ZeEAjvsMtFKO0hJaSYQ=&amp;xsec_source=pc_trdark")</f>
        <v>0.0</v>
      </c>
      <c r="D768" t="inlineStr">
        <is>
          <t>菲菲上班吃什么</t>
        </is>
      </c>
      <c r="E768" t="inlineStr">
        <is>
          <t>49936530607</t>
        </is>
      </c>
      <c r="F768" t="inlineStr">
        <is>
          <t>2026-04-18 18:43:29</t>
        </is>
      </c>
      <c r="G768" t="inlineStr">
        <is>
          <t>图文</t>
        </is>
      </c>
      <c r="H768" t="inlineStr">
        <is>
          <t>手剥虾仁 无冰衣无添加 低脂餐一人食 上班带饭 顺丰包邮 5盒装</t>
        </is>
      </c>
      <c r="I768" t="inlineStr">
        <is>
          <t>694baba01d450d00013662f0</t>
        </is>
      </c>
      <c r="J768" t="inlineStr">
        <is>
          <t/>
        </is>
      </c>
      <c r="K768" t="n">
        <v>0.0</v>
      </c>
      <c r="L768" t="n">
        <v>0.0</v>
      </c>
      <c r="M768" t="n">
        <v>0.0</v>
      </c>
      <c r="N768" t="n">
        <v>0.0</v>
      </c>
      <c r="O768" t="n">
        <v>0.0</v>
      </c>
      <c r="P768" t="n">
        <v>0.0</v>
      </c>
      <c r="Q768" t="inlineStr">
        <is>
          <t/>
        </is>
      </c>
      <c r="R768" t="inlineStr">
        <is>
          <t/>
        </is>
      </c>
      <c r="S768" t="n">
        <v>0.0</v>
      </c>
      <c r="T768" t="n">
        <v>0.0</v>
      </c>
      <c r="U768" t="n">
        <v>0.0</v>
      </c>
      <c r="V768" t="n">
        <v>0.0</v>
      </c>
      <c r="W768" t="inlineStr">
        <is>
          <t/>
        </is>
      </c>
      <c r="X768" t="n">
        <v>0.0</v>
      </c>
      <c r="Y768" t="n">
        <v>0.0</v>
      </c>
      <c r="Z768" t="n">
        <v>0.0</v>
      </c>
      <c r="AA768" t="n">
        <v>0.0</v>
      </c>
      <c r="AB768" t="n">
        <v>0.0</v>
      </c>
      <c r="AC768" t="n">
        <v>0.0</v>
      </c>
      <c r="AD768" t="n">
        <v>1.0</v>
      </c>
      <c r="AE768" t="n">
        <v>0.0</v>
      </c>
      <c r="AF768" t="n">
        <v>0.0</v>
      </c>
      <c r="AG768" t="n">
        <v>0.0</v>
      </c>
      <c r="AH768" t="n">
        <v>0.0</v>
      </c>
      <c r="AI768" t="n">
        <v>0.0</v>
      </c>
      <c r="AJ768" t="n">
        <v>0.0</v>
      </c>
      <c r="AK768" t="n">
        <v>1.0</v>
      </c>
      <c r="AL768" t="inlineStr">
        <is>
          <t/>
        </is>
      </c>
    </row>
    <row r="769">
      <c r="A769" t="inlineStr">
        <is>
          <t>总算找到比某姆还实惠的三文鱼了。。。</t>
        </is>
      </c>
      <c r="B769" t="inlineStr">
        <is>
          <t>69e09695000000002003b912</t>
        </is>
      </c>
      <c r="C769" s="768" t="n">
        <f>HYPERLINK("https://www.xiaohongshu.com/explore/69e09695000000002003b912?xsec_token=TB4w-SzmaCvFu1U8FhRGBUu4YAsFrFiXuWLvswCdJTK80=&amp;xsec_source=pc_trdark","https://www.xiaohongshu.com/explore/69e09695000000002003b912?xsec_token=TB4w-SzmaCvFu1U8FhRGBUu4YAsFrFiXuWLvswCdJTK80=&amp;xsec_source=pc_trdark")</f>
        <v>0.0</v>
      </c>
      <c r="D769" t="inlineStr">
        <is>
          <t>菲菲上班吃什么</t>
        </is>
      </c>
      <c r="E769" t="inlineStr">
        <is>
          <t>49936530607</t>
        </is>
      </c>
      <c r="F769" t="inlineStr">
        <is>
          <t>2026-04-16 15:58:13</t>
        </is>
      </c>
      <c r="G769" t="inlineStr">
        <is>
          <t>图文</t>
        </is>
      </c>
      <c r="H769" t="inlineStr">
        <is>
          <t>智利三文鱼切块·整条三文鱼·深海鱼一人食健康饮食</t>
        </is>
      </c>
      <c r="I769" t="inlineStr">
        <is>
          <t>691ac562a524ee0001b51d7b</t>
        </is>
      </c>
      <c r="J769" t="inlineStr">
        <is>
          <t/>
        </is>
      </c>
      <c r="K769" t="n">
        <v>0.0</v>
      </c>
      <c r="L769" t="n">
        <v>0.0</v>
      </c>
      <c r="M769" t="n">
        <v>0.0</v>
      </c>
      <c r="N769" t="n">
        <v>0.0</v>
      </c>
      <c r="O769" t="n">
        <v>0.0</v>
      </c>
      <c r="P769" t="n">
        <v>0.0</v>
      </c>
      <c r="Q769" t="inlineStr">
        <is>
          <t/>
        </is>
      </c>
      <c r="R769" t="inlineStr">
        <is>
          <t/>
        </is>
      </c>
      <c r="S769" t="n">
        <v>0.0</v>
      </c>
      <c r="T769" t="n">
        <v>0.0</v>
      </c>
      <c r="U769" t="n">
        <v>0.0</v>
      </c>
      <c r="V769" t="n">
        <v>0.0</v>
      </c>
      <c r="W769" t="inlineStr">
        <is>
          <t/>
        </is>
      </c>
      <c r="X769" t="n">
        <v>0.0</v>
      </c>
      <c r="Y769" t="n">
        <v>0.0</v>
      </c>
      <c r="Z769" t="n">
        <v>0.0</v>
      </c>
      <c r="AA769" t="n">
        <v>0.0</v>
      </c>
      <c r="AB769" t="n">
        <v>0.0</v>
      </c>
      <c r="AC769" t="n">
        <v>0.0</v>
      </c>
      <c r="AD769" t="n">
        <v>1.0</v>
      </c>
      <c r="AE769" t="n">
        <v>0.0</v>
      </c>
      <c r="AF769" t="n">
        <v>0.0</v>
      </c>
      <c r="AG769" t="n">
        <v>0.0</v>
      </c>
      <c r="AH769" t="n">
        <v>0.0</v>
      </c>
      <c r="AI769" t="n">
        <v>0.0</v>
      </c>
      <c r="AJ769" t="n">
        <v>0.0</v>
      </c>
      <c r="AK769" t="n">
        <v>1.0</v>
      </c>
      <c r="AL769" t="inlineStr">
        <is>
          <t/>
        </is>
      </c>
    </row>
    <row r="770">
      <c r="A770" t="inlineStr">
        <is>
          <t>我和孩子的健康餐</t>
        </is>
      </c>
      <c r="B770" t="inlineStr">
        <is>
          <t>69e08acc0000000023006bbf</t>
        </is>
      </c>
      <c r="C770" s="769" t="n">
        <f>HYPERLINK("https://www.xiaohongshu.com/explore/69e08acc0000000023006bbf?xsec_token=TB4w-SzmaCvFu1U8FhRGBUu_CazyYZfTRZybOsaupFxrY=&amp;xsec_source=pc_trdark","https://www.xiaohongshu.com/explore/69e08acc0000000023006bbf?xsec_token=TB4w-SzmaCvFu1U8FhRGBUu_CazyYZfTRZybOsaupFxrY=&amp;xsec_source=pc_trdark")</f>
        <v>0.0</v>
      </c>
      <c r="D770" t="inlineStr">
        <is>
          <t>鲜水湾</t>
        </is>
      </c>
      <c r="E770" t="inlineStr">
        <is>
          <t>49316638994</t>
        </is>
      </c>
      <c r="F770" t="inlineStr">
        <is>
          <t>2026-04-16 15:07:57</t>
        </is>
      </c>
      <c r="G770" t="inlineStr">
        <is>
          <t>图文</t>
        </is>
      </c>
      <c r="H770" t="inlineStr">
        <is>
          <t>智利三文鱼切块·整条三文鱼·深海鱼一人食健康饮食</t>
        </is>
      </c>
      <c r="I770" t="inlineStr">
        <is>
          <t>691ac562a524ee0001b51d7b</t>
        </is>
      </c>
      <c r="J770" t="inlineStr">
        <is>
          <t/>
        </is>
      </c>
      <c r="K770" t="n">
        <v>0.0</v>
      </c>
      <c r="L770" t="n">
        <v>0.0</v>
      </c>
      <c r="M770" t="n">
        <v>0.0</v>
      </c>
      <c r="N770" t="n">
        <v>0.0</v>
      </c>
      <c r="O770" t="n">
        <v>0.0</v>
      </c>
      <c r="P770" t="n">
        <v>0.0</v>
      </c>
      <c r="Q770" t="inlineStr">
        <is>
          <t/>
        </is>
      </c>
      <c r="R770" t="inlineStr">
        <is>
          <t/>
        </is>
      </c>
      <c r="S770" t="n">
        <v>0.0</v>
      </c>
      <c r="T770" t="n">
        <v>0.0</v>
      </c>
      <c r="U770" t="n">
        <v>0.0</v>
      </c>
      <c r="V770" t="n">
        <v>0.0</v>
      </c>
      <c r="W770" t="inlineStr">
        <is>
          <t/>
        </is>
      </c>
      <c r="X770" t="n">
        <v>0.0</v>
      </c>
      <c r="Y770" t="n">
        <v>0.0</v>
      </c>
      <c r="Z770" t="n">
        <v>0.0</v>
      </c>
      <c r="AA770" t="n">
        <v>0.0</v>
      </c>
      <c r="AB770" t="n">
        <v>0.0</v>
      </c>
      <c r="AC770" t="n">
        <v>0.0</v>
      </c>
      <c r="AD770" t="n">
        <v>1.0</v>
      </c>
      <c r="AE770" t="n">
        <v>0.0</v>
      </c>
      <c r="AF770" t="n">
        <v>0.0</v>
      </c>
      <c r="AG770" t="n">
        <v>0.0</v>
      </c>
      <c r="AH770" t="n">
        <v>0.0</v>
      </c>
      <c r="AI770" t="n">
        <v>0.0</v>
      </c>
      <c r="AJ770" t="n">
        <v>0.0</v>
      </c>
      <c r="AK770" t="n">
        <v>6.0</v>
      </c>
      <c r="AL770" t="inlineStr">
        <is>
          <t/>
        </is>
      </c>
    </row>
    <row r="771">
      <c r="A771" t="inlineStr">
        <is>
          <t>意外发现了掉秤最快的方法</t>
        </is>
      </c>
      <c r="B771" t="inlineStr">
        <is>
          <t>69dc9266000000001f000950</t>
        </is>
      </c>
      <c r="C771" s="770" t="n">
        <f>HYPERLINK("https://www.xiaohongshu.com/explore/69dc9266000000001f000950?xsec_token=TBe8vKhJyviDCWrA3Jp-irCVMlBhnPQe2OhF3osWX7AQU=&amp;xsec_source=pc_trdark","https://www.xiaohongshu.com/explore/69dc9266000000001f000950?xsec_token=TBe8vKhJyviDCWrA3Jp-irCVMlBhnPQe2OhF3osWX7AQU=&amp;xsec_source=pc_trdark")</f>
        <v>0.0</v>
      </c>
      <c r="D771" t="inlineStr">
        <is>
          <t>婉婉上班吃什么</t>
        </is>
      </c>
      <c r="E771" t="inlineStr">
        <is>
          <t>11434449706</t>
        </is>
      </c>
      <c r="F771" t="inlineStr">
        <is>
          <t>2026-04-13 14:51:18</t>
        </is>
      </c>
      <c r="G771" t="inlineStr">
        <is>
          <t>图文</t>
        </is>
      </c>
      <c r="H771" t="inlineStr">
        <is>
          <t>手剥虾仁 无冰衣无添加 低脂餐一人食 上班带饭 顺丰包邮 5盒装</t>
        </is>
      </c>
      <c r="I771" t="inlineStr">
        <is>
          <t>694baba01d450d00013662f0</t>
        </is>
      </c>
      <c r="J771" t="inlineStr">
        <is>
          <t/>
        </is>
      </c>
      <c r="K771" t="n">
        <v>0.0</v>
      </c>
      <c r="L771" t="n">
        <v>0.0</v>
      </c>
      <c r="M771" t="n">
        <v>0.0</v>
      </c>
      <c r="N771" t="n">
        <v>0.0</v>
      </c>
      <c r="O771" t="n">
        <v>0.0</v>
      </c>
      <c r="P771" t="n">
        <v>0.0</v>
      </c>
      <c r="Q771" t="inlineStr">
        <is>
          <t/>
        </is>
      </c>
      <c r="R771" t="inlineStr">
        <is>
          <t/>
        </is>
      </c>
      <c r="S771" t="n">
        <v>0.0</v>
      </c>
      <c r="T771" t="n">
        <v>0.0</v>
      </c>
      <c r="U771" t="n">
        <v>0.0</v>
      </c>
      <c r="V771" t="n">
        <v>0.0</v>
      </c>
      <c r="W771" t="inlineStr">
        <is>
          <t/>
        </is>
      </c>
      <c r="X771" t="n">
        <v>0.0</v>
      </c>
      <c r="Y771" t="n">
        <v>0.0</v>
      </c>
      <c r="Z771" t="n">
        <v>0.0</v>
      </c>
      <c r="AA771" t="n">
        <v>0.0</v>
      </c>
      <c r="AB771" t="n">
        <v>0.0</v>
      </c>
      <c r="AC771" t="n">
        <v>0.0</v>
      </c>
      <c r="AD771" t="n">
        <v>1.0</v>
      </c>
      <c r="AE771" t="n">
        <v>0.0</v>
      </c>
      <c r="AF771" t="n">
        <v>0.0</v>
      </c>
      <c r="AG771" t="n">
        <v>0.0</v>
      </c>
      <c r="AH771" t="n">
        <v>0.0</v>
      </c>
      <c r="AI771" t="n">
        <v>0.0</v>
      </c>
      <c r="AJ771" t="n">
        <v>0.0</v>
      </c>
      <c r="AK771" t="n">
        <v>8.0</v>
      </c>
      <c r="AL771" t="inlineStr">
        <is>
          <t/>
        </is>
      </c>
    </row>
    <row r="772">
      <c r="A772" t="inlineStr">
        <is>
          <t>我说中国人不骗中国人，你就能下单吗？</t>
        </is>
      </c>
      <c r="B772" t="inlineStr">
        <is>
          <t>69d8ab65000000001a02db02</t>
        </is>
      </c>
      <c r="C772" s="771" t="n">
        <f>HYPERLINK("https://www.xiaohongshu.com/explore/69d8ab65000000001a02db02?xsec_token=TBaP4Vb_xh4r06-3Gp1C6IeJCrEJ8qfLj2bVuzeCJOWwM=&amp;xsec_source=pc_trdark","https://www.xiaohongshu.com/explore/69d8ab65000000001a02db02?xsec_token=TBaP4Vb_xh4r06-3Gp1C6IeJCrEJ8qfLj2bVuzeCJOWwM=&amp;xsec_source=pc_trdark")</f>
        <v>0.0</v>
      </c>
      <c r="D772" t="inlineStr">
        <is>
          <t>鲜水湾</t>
        </is>
      </c>
      <c r="E772" t="inlineStr">
        <is>
          <t>49316638994</t>
        </is>
      </c>
      <c r="F772" t="inlineStr">
        <is>
          <t>2026-04-10 15:48:53</t>
        </is>
      </c>
      <c r="G772" t="inlineStr">
        <is>
          <t>图文</t>
        </is>
      </c>
      <c r="H772" t="inlineStr">
        <is>
          <t>手剥虾仁 无冰衣无添加 低脂餐一人食 上班带饭 顺丰包邮 5盒装</t>
        </is>
      </c>
      <c r="I772" t="inlineStr">
        <is>
          <t>694baba01d450d00013662f0</t>
        </is>
      </c>
      <c r="J772" t="inlineStr">
        <is>
          <t/>
        </is>
      </c>
      <c r="K772" t="n">
        <v>0.0</v>
      </c>
      <c r="L772" t="n">
        <v>0.0</v>
      </c>
      <c r="M772" t="n">
        <v>0.0</v>
      </c>
      <c r="N772" t="n">
        <v>0.0</v>
      </c>
      <c r="O772" t="n">
        <v>0.0</v>
      </c>
      <c r="P772" t="n">
        <v>0.0</v>
      </c>
      <c r="Q772" t="inlineStr">
        <is>
          <t/>
        </is>
      </c>
      <c r="R772" t="inlineStr">
        <is>
          <t/>
        </is>
      </c>
      <c r="S772" t="n">
        <v>0.0</v>
      </c>
      <c r="T772" t="n">
        <v>0.0</v>
      </c>
      <c r="U772" t="n">
        <v>0.0</v>
      </c>
      <c r="V772" t="n">
        <v>0.0</v>
      </c>
      <c r="W772" t="inlineStr">
        <is>
          <t/>
        </is>
      </c>
      <c r="X772" t="n">
        <v>0.0</v>
      </c>
      <c r="Y772" t="n">
        <v>0.0</v>
      </c>
      <c r="Z772" t="n">
        <v>0.0</v>
      </c>
      <c r="AA772" t="n">
        <v>0.0</v>
      </c>
      <c r="AB772" t="n">
        <v>0.0</v>
      </c>
      <c r="AC772" t="n">
        <v>0.0</v>
      </c>
      <c r="AD772" t="n">
        <v>1.0</v>
      </c>
      <c r="AE772" t="n">
        <v>0.0</v>
      </c>
      <c r="AF772" t="n">
        <v>0.0</v>
      </c>
      <c r="AG772" t="n">
        <v>0.0</v>
      </c>
      <c r="AH772" t="n">
        <v>0.0</v>
      </c>
      <c r="AI772" t="n">
        <v>0.0</v>
      </c>
      <c r="AJ772" t="n">
        <v>0.0</v>
      </c>
      <c r="AK772" t="n">
        <v>2.0</v>
      </c>
      <c r="AL772" t="inlineStr">
        <is>
          <t/>
        </is>
      </c>
    </row>
    <row r="773">
      <c r="A773" t="inlineStr">
        <is>
          <t>不是广告，只是真心觉得这个虾仁值得被看见</t>
        </is>
      </c>
      <c r="B773" t="inlineStr">
        <is>
          <t>69d76d76000000001a02fbcf</t>
        </is>
      </c>
      <c r="C773" s="772" t="n">
        <f>HYPERLINK("https://www.xiaohongshu.com/explore/69d76d76000000001a02fbcf?xsec_token=TBabSJw1DqF320Z_FWL3yrQ2O6CUF8QdKXbqp986ym8Y0=&amp;xsec_source=pc_trdark","https://www.xiaohongshu.com/explore/69d76d76000000001a02fbcf?xsec_token=TBabSJw1DqF320Z_FWL3yrQ2O6CUF8QdKXbqp986ym8Y0=&amp;xsec_source=pc_trdark")</f>
        <v>0.0</v>
      </c>
      <c r="D773" t="inlineStr">
        <is>
          <t>菲菲上班吃什么</t>
        </is>
      </c>
      <c r="E773" t="inlineStr">
        <is>
          <t>49936530607</t>
        </is>
      </c>
      <c r="F773" t="inlineStr">
        <is>
          <t>2026-04-09 17:12:22</t>
        </is>
      </c>
      <c r="G773" t="inlineStr">
        <is>
          <t>图文</t>
        </is>
      </c>
      <c r="H773" t="inlineStr">
        <is>
          <t>手剥虾仁 无冰衣无添加 低脂餐一人食 上班带饭 顺丰包邮 5盒装</t>
        </is>
      </c>
      <c r="I773" t="inlineStr">
        <is>
          <t>694baba01d450d00013662f0</t>
        </is>
      </c>
      <c r="J773" t="inlineStr">
        <is>
          <t/>
        </is>
      </c>
      <c r="K773" t="n">
        <v>0.0</v>
      </c>
      <c r="L773" t="n">
        <v>0.0</v>
      </c>
      <c r="M773" t="n">
        <v>0.0</v>
      </c>
      <c r="N773" t="n">
        <v>0.0</v>
      </c>
      <c r="O773" t="n">
        <v>0.0</v>
      </c>
      <c r="P773" t="n">
        <v>0.0</v>
      </c>
      <c r="Q773" t="inlineStr">
        <is>
          <t/>
        </is>
      </c>
      <c r="R773" t="inlineStr">
        <is>
          <t/>
        </is>
      </c>
      <c r="S773" t="n">
        <v>0.0</v>
      </c>
      <c r="T773" t="n">
        <v>0.0</v>
      </c>
      <c r="U773" t="n">
        <v>0.0</v>
      </c>
      <c r="V773" t="n">
        <v>0.0</v>
      </c>
      <c r="W773" t="inlineStr">
        <is>
          <t/>
        </is>
      </c>
      <c r="X773" t="n">
        <v>0.0</v>
      </c>
      <c r="Y773" t="n">
        <v>0.0</v>
      </c>
      <c r="Z773" t="n">
        <v>0.0</v>
      </c>
      <c r="AA773" t="n">
        <v>0.0</v>
      </c>
      <c r="AB773" t="n">
        <v>0.0</v>
      </c>
      <c r="AC773" t="n">
        <v>0.0</v>
      </c>
      <c r="AD773" t="n">
        <v>1.0</v>
      </c>
      <c r="AE773" t="n">
        <v>0.0</v>
      </c>
      <c r="AF773" t="n">
        <v>0.0</v>
      </c>
      <c r="AG773" t="n">
        <v>0.0</v>
      </c>
      <c r="AH773" t="n">
        <v>0.0</v>
      </c>
      <c r="AI773" t="n">
        <v>0.0</v>
      </c>
      <c r="AJ773" t="n">
        <v>0.0</v>
      </c>
      <c r="AK773" t="n">
        <v>25.0</v>
      </c>
      <c r="AL773" t="inlineStr">
        <is>
          <t/>
        </is>
      </c>
    </row>
    <row r="774">
      <c r="A774" t="inlineStr">
        <is>
          <t>老妈又夸我淘到宝了，说这个价格真不错</t>
        </is>
      </c>
      <c r="B774" t="inlineStr">
        <is>
          <t>69d46f22000000002301dc9d</t>
        </is>
      </c>
      <c r="C774" s="773" t="n">
        <f>HYPERLINK("https://www.xiaohongshu.com/explore/69d46f22000000002301dc9d?xsec_token=TBCfzrc-PQxdd2ruCVqHUjYuAij_zdJJD6NadqwOYCxm8=&amp;xsec_source=pc_trdark","https://www.xiaohongshu.com/explore/69d46f22000000002301dc9d?xsec_token=TBCfzrc-PQxdd2ruCVqHUjYuAij_zdJJD6NadqwOYCxm8=&amp;xsec_source=pc_trdark")</f>
        <v>0.0</v>
      </c>
      <c r="D774" t="inlineStr">
        <is>
          <t>婉婉上班吃什么</t>
        </is>
      </c>
      <c r="E774" t="inlineStr">
        <is>
          <t>11434449706</t>
        </is>
      </c>
      <c r="F774" t="inlineStr">
        <is>
          <t>2026-04-07 10:42:42</t>
        </is>
      </c>
      <c r="G774" t="inlineStr">
        <is>
          <t>图文</t>
        </is>
      </c>
      <c r="H774" t="inlineStr">
        <is>
          <t>手剥虾仁 无冰衣无添加 低脂餐一人食 上班带饭 顺丰包邮 5盒装</t>
        </is>
      </c>
      <c r="I774" t="inlineStr">
        <is>
          <t>694baba01d450d00013662f0</t>
        </is>
      </c>
      <c r="J774" t="inlineStr">
        <is>
          <t/>
        </is>
      </c>
      <c r="K774" t="n">
        <v>0.0</v>
      </c>
      <c r="L774" t="n">
        <v>0.0</v>
      </c>
      <c r="M774" t="n">
        <v>0.0</v>
      </c>
      <c r="N774" t="n">
        <v>0.0</v>
      </c>
      <c r="O774" t="n">
        <v>0.0</v>
      </c>
      <c r="P774" t="n">
        <v>0.0</v>
      </c>
      <c r="Q774" t="inlineStr">
        <is>
          <t/>
        </is>
      </c>
      <c r="R774" t="inlineStr">
        <is>
          <t/>
        </is>
      </c>
      <c r="S774" t="n">
        <v>0.0</v>
      </c>
      <c r="T774" t="n">
        <v>0.0</v>
      </c>
      <c r="U774" t="n">
        <v>0.0</v>
      </c>
      <c r="V774" t="n">
        <v>0.0</v>
      </c>
      <c r="W774" t="inlineStr">
        <is>
          <t/>
        </is>
      </c>
      <c r="X774" t="n">
        <v>0.0</v>
      </c>
      <c r="Y774" t="n">
        <v>0.0</v>
      </c>
      <c r="Z774" t="n">
        <v>0.0</v>
      </c>
      <c r="AA774" t="n">
        <v>0.0</v>
      </c>
      <c r="AB774" t="n">
        <v>0.0</v>
      </c>
      <c r="AC774" t="n">
        <v>0.0</v>
      </c>
      <c r="AD774" t="n">
        <v>1.0</v>
      </c>
      <c r="AE774" t="n">
        <v>0.0</v>
      </c>
      <c r="AF774" t="n">
        <v>0.0</v>
      </c>
      <c r="AG774" t="n">
        <v>0.0</v>
      </c>
      <c r="AH774" t="n">
        <v>0.0</v>
      </c>
      <c r="AI774" t="n">
        <v>0.0</v>
      </c>
      <c r="AJ774" t="n">
        <v>0.0</v>
      </c>
      <c r="AK774" t="n">
        <v>4.0</v>
      </c>
      <c r="AL774" t="inlineStr">
        <is>
          <t/>
        </is>
      </c>
    </row>
    <row r="775">
      <c r="A775" t="inlineStr">
        <is>
          <t>同事对于我每天吃虾仁表示很奢侈🥲</t>
        </is>
      </c>
      <c r="B775" t="inlineStr">
        <is>
          <t>69d3427c000000001f000fd6</t>
        </is>
      </c>
      <c r="C775" s="774" t="n">
        <f>HYPERLINK("https://www.xiaohongshu.com/explore/69d3427c000000001f000fd6?xsec_token=TBhEDzysvLbwbBD8CIa_-jsboRO1y9KnK31dtr3cU2vwY=&amp;xsec_source=pc_trdark","https://www.xiaohongshu.com/explore/69d3427c000000001f000fd6?xsec_token=TBhEDzysvLbwbBD8CIa_-jsboRO1y9KnK31dtr3cU2vwY=&amp;xsec_source=pc_trdark")</f>
        <v>0.0</v>
      </c>
      <c r="D775" t="inlineStr">
        <is>
          <t>婉婉上班吃什么</t>
        </is>
      </c>
      <c r="E775" t="inlineStr">
        <is>
          <t>11434449706</t>
        </is>
      </c>
      <c r="F775" t="inlineStr">
        <is>
          <t>2026-04-06 13:19:56</t>
        </is>
      </c>
      <c r="G775" t="inlineStr">
        <is>
          <t>图文</t>
        </is>
      </c>
      <c r="H775" t="inlineStr">
        <is>
          <t>手剥虾仁 无冰衣无添加 低脂餐一人食 上班带饭 顺丰包邮 5盒装</t>
        </is>
      </c>
      <c r="I775" t="inlineStr">
        <is>
          <t>694baba01d450d00013662f0</t>
        </is>
      </c>
      <c r="J775" t="inlineStr">
        <is>
          <t/>
        </is>
      </c>
      <c r="K775" t="n">
        <v>0.0</v>
      </c>
      <c r="L775" t="n">
        <v>0.0</v>
      </c>
      <c r="M775" t="n">
        <v>0.0</v>
      </c>
      <c r="N775" t="n">
        <v>0.0</v>
      </c>
      <c r="O775" t="n">
        <v>0.0</v>
      </c>
      <c r="P775" t="n">
        <v>0.0</v>
      </c>
      <c r="Q775" t="inlineStr">
        <is>
          <t/>
        </is>
      </c>
      <c r="R775" t="inlineStr">
        <is>
          <t/>
        </is>
      </c>
      <c r="S775" t="n">
        <v>0.0</v>
      </c>
      <c r="T775" t="n">
        <v>0.0</v>
      </c>
      <c r="U775" t="n">
        <v>0.0</v>
      </c>
      <c r="V775" t="n">
        <v>0.0</v>
      </c>
      <c r="W775" t="inlineStr">
        <is>
          <t/>
        </is>
      </c>
      <c r="X775" t="n">
        <v>0.0</v>
      </c>
      <c r="Y775" t="n">
        <v>0.0</v>
      </c>
      <c r="Z775" t="n">
        <v>0.0</v>
      </c>
      <c r="AA775" t="n">
        <v>0.0</v>
      </c>
      <c r="AB775" t="n">
        <v>0.0</v>
      </c>
      <c r="AC775" t="n">
        <v>0.0</v>
      </c>
      <c r="AD775" t="n">
        <v>1.0</v>
      </c>
      <c r="AE775" t="n">
        <v>0.0</v>
      </c>
      <c r="AF775" t="n">
        <v>0.0</v>
      </c>
      <c r="AG775" t="n">
        <v>0.0</v>
      </c>
      <c r="AH775" t="n">
        <v>0.0</v>
      </c>
      <c r="AI775" t="n">
        <v>0.0</v>
      </c>
      <c r="AJ775" t="n">
        <v>0.0</v>
      </c>
      <c r="AK775" t="n">
        <v>4.0</v>
      </c>
      <c r="AL775" t="inlineStr">
        <is>
          <t/>
        </is>
      </c>
    </row>
    <row r="776">
      <c r="A776" t="inlineStr">
        <is>
          <t>100来块囤了半个月减脂餐！</t>
        </is>
      </c>
      <c r="B776" t="inlineStr">
        <is>
          <t>69d1c39f000000002202ac90</t>
        </is>
      </c>
      <c r="C776" s="775" t="n">
        <f>HYPERLINK("https://www.xiaohongshu.com/explore/69d1c39f000000002202ac90?xsec_token=TBT5TAUGV3LcD_GYbSvfENi8M0tzRoJdVo3OUbN5XfQx0=&amp;xsec_source=pc_trdark","https://www.xiaohongshu.com/explore/69d1c39f000000002202ac90?xsec_token=TBT5TAUGV3LcD_GYbSvfENi8M0tzRoJdVo3OUbN5XfQx0=&amp;xsec_source=pc_trdark")</f>
        <v>0.0</v>
      </c>
      <c r="D776" t="inlineStr">
        <is>
          <t>菲菲上班吃什么</t>
        </is>
      </c>
      <c r="E776" t="inlineStr">
        <is>
          <t>49936530607</t>
        </is>
      </c>
      <c r="F776" t="inlineStr">
        <is>
          <t>2026-04-05 10:06:23</t>
        </is>
      </c>
      <c r="G776" t="inlineStr">
        <is>
          <t>图文</t>
        </is>
      </c>
      <c r="H776" t="inlineStr">
        <is>
          <t>手剥虾仁 无冰衣无添加 低脂餐一人食 上班带饭 顺丰包邮 5盒装</t>
        </is>
      </c>
      <c r="I776" t="inlineStr">
        <is>
          <t>694baba01d450d00013662f0</t>
        </is>
      </c>
      <c r="J776" t="inlineStr">
        <is>
          <t/>
        </is>
      </c>
      <c r="K776" t="n">
        <v>0.0</v>
      </c>
      <c r="L776" t="n">
        <v>0.0</v>
      </c>
      <c r="M776" t="n">
        <v>0.0</v>
      </c>
      <c r="N776" t="n">
        <v>0.0</v>
      </c>
      <c r="O776" t="n">
        <v>0.0</v>
      </c>
      <c r="P776" t="n">
        <v>0.0</v>
      </c>
      <c r="Q776" t="inlineStr">
        <is>
          <t/>
        </is>
      </c>
      <c r="R776" t="inlineStr">
        <is>
          <t/>
        </is>
      </c>
      <c r="S776" t="n">
        <v>0.0</v>
      </c>
      <c r="T776" t="n">
        <v>0.0</v>
      </c>
      <c r="U776" t="n">
        <v>0.0</v>
      </c>
      <c r="V776" t="n">
        <v>0.0</v>
      </c>
      <c r="W776" t="inlineStr">
        <is>
          <t/>
        </is>
      </c>
      <c r="X776" t="n">
        <v>0.0</v>
      </c>
      <c r="Y776" t="n">
        <v>0.0</v>
      </c>
      <c r="Z776" t="n">
        <v>0.0</v>
      </c>
      <c r="AA776" t="n">
        <v>0.0</v>
      </c>
      <c r="AB776" t="n">
        <v>0.0</v>
      </c>
      <c r="AC776" t="n">
        <v>0.0</v>
      </c>
      <c r="AD776" t="n">
        <v>1.0</v>
      </c>
      <c r="AE776" t="n">
        <v>0.0</v>
      </c>
      <c r="AF776" t="n">
        <v>0.0</v>
      </c>
      <c r="AG776" t="n">
        <v>0.0</v>
      </c>
      <c r="AH776" t="n">
        <v>0.0</v>
      </c>
      <c r="AI776" t="n">
        <v>0.0</v>
      </c>
      <c r="AJ776" t="n">
        <v>0.0</v>
      </c>
      <c r="AK776" t="n">
        <v>0.0</v>
      </c>
      <c r="AL776" t="inlineStr">
        <is>
          <t/>
        </is>
      </c>
    </row>
    <row r="777">
      <c r="A777" t="inlineStr">
        <is>
          <t>每天带一袋虾仁上班，同事说我很有钱</t>
        </is>
      </c>
      <c r="B777" t="inlineStr">
        <is>
          <t>69d11c44000000002003a922</t>
        </is>
      </c>
      <c r="C777" s="776" t="n">
        <f>HYPERLINK("https://www.xiaohongshu.com/explore/69d11c44000000002003a922?xsec_token=TBT5TAUGV3LcD_GYbSvfENiy8brECvwJ0r_gpiZZj7Z8c=&amp;xsec_source=pc_trdark","https://www.xiaohongshu.com/explore/69d11c44000000002003a922?xsec_token=TBT5TAUGV3LcD_GYbSvfENiy8brECvwJ0r_gpiZZj7Z8c=&amp;xsec_source=pc_trdark")</f>
        <v>0.0</v>
      </c>
      <c r="D777" t="inlineStr">
        <is>
          <t>婉婉上班吃什么</t>
        </is>
      </c>
      <c r="E777" t="inlineStr">
        <is>
          <t>11434449706</t>
        </is>
      </c>
      <c r="F777" t="inlineStr">
        <is>
          <t>2026-04-04 22:12:20</t>
        </is>
      </c>
      <c r="G777" t="inlineStr">
        <is>
          <t>图文</t>
        </is>
      </c>
      <c r="H777" t="inlineStr">
        <is>
          <t>手剥虾仁 无冰衣无添加 低脂餐一人食 上班带饭 顺丰包邮 5盒装</t>
        </is>
      </c>
      <c r="I777" t="inlineStr">
        <is>
          <t>694baba01d450d00013662f0</t>
        </is>
      </c>
      <c r="J777" t="inlineStr">
        <is>
          <t/>
        </is>
      </c>
      <c r="K777" t="n">
        <v>0.0</v>
      </c>
      <c r="L777" t="n">
        <v>0.0</v>
      </c>
      <c r="M777" t="n">
        <v>0.0</v>
      </c>
      <c r="N777" t="n">
        <v>0.0</v>
      </c>
      <c r="O777" t="n">
        <v>0.0</v>
      </c>
      <c r="P777" t="n">
        <v>0.0</v>
      </c>
      <c r="Q777" t="inlineStr">
        <is>
          <t/>
        </is>
      </c>
      <c r="R777" t="inlineStr">
        <is>
          <t/>
        </is>
      </c>
      <c r="S777" t="n">
        <v>0.0</v>
      </c>
      <c r="T777" t="n">
        <v>0.0</v>
      </c>
      <c r="U777" t="n">
        <v>0.0</v>
      </c>
      <c r="V777" t="n">
        <v>0.0</v>
      </c>
      <c r="W777" t="inlineStr">
        <is>
          <t/>
        </is>
      </c>
      <c r="X777" t="n">
        <v>0.0</v>
      </c>
      <c r="Y777" t="n">
        <v>0.0</v>
      </c>
      <c r="Z777" t="n">
        <v>0.0</v>
      </c>
      <c r="AA777" t="n">
        <v>0.0</v>
      </c>
      <c r="AB777" t="n">
        <v>0.0</v>
      </c>
      <c r="AC777" t="n">
        <v>0.0</v>
      </c>
      <c r="AD777" t="n">
        <v>1.0</v>
      </c>
      <c r="AE777" t="n">
        <v>0.0</v>
      </c>
      <c r="AF777" t="n">
        <v>0.0</v>
      </c>
      <c r="AG777" t="n">
        <v>0.0</v>
      </c>
      <c r="AH777" t="n">
        <v>0.0</v>
      </c>
      <c r="AI777" t="n">
        <v>0.0</v>
      </c>
      <c r="AJ777" t="n">
        <v>0.0</v>
      </c>
      <c r="AK777" t="n">
        <v>13.0</v>
      </c>
      <c r="AL777" t="inlineStr">
        <is>
          <t/>
        </is>
      </c>
    </row>
    <row r="778">
      <c r="A778" t="inlineStr">
        <is>
          <t>误以为很贵的整条三文鱼</t>
        </is>
      </c>
      <c r="B778" t="inlineStr">
        <is>
          <t>69ce7bcb000000001f004e08</t>
        </is>
      </c>
      <c r="C778" s="777" t="n">
        <f>HYPERLINK("https://www.xiaohongshu.com/explore/69ce7bcb000000001f004e08?xsec_token=TBclHZuM5_fs2QanfU7vVSEsPY8IW3Qhb_kVJqfS9Ov9s=&amp;xsec_source=pc_trdark","https://www.xiaohongshu.com/explore/69ce7bcb000000001f004e08?xsec_token=TBclHZuM5_fs2QanfU7vVSEsPY8IW3Qhb_kVJqfS9Ov9s=&amp;xsec_source=pc_trdark")</f>
        <v>0.0</v>
      </c>
      <c r="D778" t="inlineStr">
        <is>
          <t>婉婉上班吃什么</t>
        </is>
      </c>
      <c r="E778" t="inlineStr">
        <is>
          <t>11434449706</t>
        </is>
      </c>
      <c r="F778" t="inlineStr">
        <is>
          <t>2026-04-02 22:23:07</t>
        </is>
      </c>
      <c r="G778" t="inlineStr">
        <is>
          <t>图文</t>
        </is>
      </c>
      <c r="H778" t="inlineStr">
        <is>
          <t>智利三文鱼切块·整条三文鱼·深海鱼一人食健康饮食</t>
        </is>
      </c>
      <c r="I778" t="inlineStr">
        <is>
          <t>691ac562a524ee0001b51d7b</t>
        </is>
      </c>
      <c r="J778" t="inlineStr">
        <is>
          <t/>
        </is>
      </c>
      <c r="K778" t="n">
        <v>0.0</v>
      </c>
      <c r="L778" t="n">
        <v>0.0</v>
      </c>
      <c r="M778" t="n">
        <v>0.0</v>
      </c>
      <c r="N778" t="n">
        <v>0.0</v>
      </c>
      <c r="O778" t="n">
        <v>0.0</v>
      </c>
      <c r="P778" t="n">
        <v>0.0</v>
      </c>
      <c r="Q778" t="inlineStr">
        <is>
          <t/>
        </is>
      </c>
      <c r="R778" t="inlineStr">
        <is>
          <t/>
        </is>
      </c>
      <c r="S778" t="n">
        <v>0.0</v>
      </c>
      <c r="T778" t="n">
        <v>0.0</v>
      </c>
      <c r="U778" t="n">
        <v>0.0</v>
      </c>
      <c r="V778" t="n">
        <v>0.0</v>
      </c>
      <c r="W778" t="inlineStr">
        <is>
          <t/>
        </is>
      </c>
      <c r="X778" t="n">
        <v>0.0</v>
      </c>
      <c r="Y778" t="n">
        <v>0.0</v>
      </c>
      <c r="Z778" t="n">
        <v>0.0</v>
      </c>
      <c r="AA778" t="n">
        <v>0.0</v>
      </c>
      <c r="AB778" t="n">
        <v>0.0</v>
      </c>
      <c r="AC778" t="n">
        <v>0.0</v>
      </c>
      <c r="AD778" t="n">
        <v>1.0</v>
      </c>
      <c r="AE778" t="n">
        <v>0.0</v>
      </c>
      <c r="AF778" t="n">
        <v>0.0</v>
      </c>
      <c r="AG778" t="n">
        <v>0.0</v>
      </c>
      <c r="AH778" t="n">
        <v>0.0</v>
      </c>
      <c r="AI778" t="n">
        <v>0.0</v>
      </c>
      <c r="AJ778" t="n">
        <v>0.0</v>
      </c>
      <c r="AK778" t="n">
        <v>7.0</v>
      </c>
      <c r="AL778" t="inlineStr">
        <is>
          <t/>
        </is>
      </c>
    </row>
    <row r="779">
      <c r="A779" t="inlineStr">
        <is>
          <t>不要低估69在小红书的购买力…</t>
        </is>
      </c>
      <c r="B779" t="inlineStr">
        <is>
          <t>69ce3583000000002800b87b</t>
        </is>
      </c>
      <c r="C779" s="778" t="n">
        <f>HYPERLINK("https://www.xiaohongshu.com/explore/69ce3583000000002800b87b?xsec_token=TBclHZuM5_fs2QanfU7vVSEtjvhVIbMUpnqnFVnt20s8g=&amp;xsec_source=pc_trdark","https://www.xiaohongshu.com/explore/69ce3583000000002800b87b?xsec_token=TBclHZuM5_fs2QanfU7vVSEtjvhVIbMUpnqnFVnt20s8g=&amp;xsec_source=pc_trdark")</f>
        <v>0.0</v>
      </c>
      <c r="D779" t="inlineStr">
        <is>
          <t>婉婉上班吃什么</t>
        </is>
      </c>
      <c r="E779" t="inlineStr">
        <is>
          <t>11434449706</t>
        </is>
      </c>
      <c r="F779" t="inlineStr">
        <is>
          <t>2026-04-02 17:23:15</t>
        </is>
      </c>
      <c r="G779" t="inlineStr">
        <is>
          <t>图文</t>
        </is>
      </c>
      <c r="H779" t="inlineStr">
        <is>
          <t>手剥虾仁 无冰衣无添加 低脂餐一人食 上班带饭 顺丰包邮 5盒装</t>
        </is>
      </c>
      <c r="I779" t="inlineStr">
        <is>
          <t>694baba01d450d00013662f0</t>
        </is>
      </c>
      <c r="J779" t="inlineStr">
        <is>
          <t/>
        </is>
      </c>
      <c r="K779" t="n">
        <v>0.0</v>
      </c>
      <c r="L779" t="n">
        <v>0.0</v>
      </c>
      <c r="M779" t="n">
        <v>0.0</v>
      </c>
      <c r="N779" t="n">
        <v>0.0</v>
      </c>
      <c r="O779" t="n">
        <v>0.0</v>
      </c>
      <c r="P779" t="n">
        <v>0.0</v>
      </c>
      <c r="Q779" t="inlineStr">
        <is>
          <t/>
        </is>
      </c>
      <c r="R779" t="inlineStr">
        <is>
          <t/>
        </is>
      </c>
      <c r="S779" t="n">
        <v>0.0</v>
      </c>
      <c r="T779" t="n">
        <v>0.0</v>
      </c>
      <c r="U779" t="n">
        <v>0.0</v>
      </c>
      <c r="V779" t="n">
        <v>0.0</v>
      </c>
      <c r="W779" t="inlineStr">
        <is>
          <t/>
        </is>
      </c>
      <c r="X779" t="n">
        <v>0.0</v>
      </c>
      <c r="Y779" t="n">
        <v>0.0</v>
      </c>
      <c r="Z779" t="n">
        <v>0.0</v>
      </c>
      <c r="AA779" t="n">
        <v>0.0</v>
      </c>
      <c r="AB779" t="n">
        <v>0.0</v>
      </c>
      <c r="AC779" t="n">
        <v>0.0</v>
      </c>
      <c r="AD779" t="n">
        <v>1.0</v>
      </c>
      <c r="AE779" t="n">
        <v>0.0</v>
      </c>
      <c r="AF779" t="n">
        <v>0.0</v>
      </c>
      <c r="AG779" t="n">
        <v>0.0</v>
      </c>
      <c r="AH779" t="n">
        <v>0.0</v>
      </c>
      <c r="AI779" t="n">
        <v>0.0</v>
      </c>
      <c r="AJ779" t="n">
        <v>0.0</v>
      </c>
      <c r="AK779" t="n">
        <v>23.0</v>
      </c>
      <c r="AL779" t="inlineStr">
        <is>
          <t/>
        </is>
      </c>
    </row>
    <row r="780">
      <c r="A780" t="inlineStr">
        <is>
          <t>开始春日减脂，69块直接承包我一周减脂餐</t>
        </is>
      </c>
      <c r="B780" t="inlineStr">
        <is>
          <t>69cbd4ed000000001f006cd9</t>
        </is>
      </c>
      <c r="C780" s="779" t="n">
        <f>HYPERLINK("https://www.xiaohongshu.com/explore/69cbd4ed000000001f006cd9?xsec_token=TBNvk7eB588c7ey-qUUMF7OezF_9sSWz6xHK1fbXkRuUk=&amp;xsec_source=pc_trdark","https://www.xiaohongshu.com/explore/69cbd4ed000000001f006cd9?xsec_token=TBNvk7eB588c7ey-qUUMF7OezF_9sSWz6xHK1fbXkRuUk=&amp;xsec_source=pc_trdark")</f>
        <v>0.0</v>
      </c>
      <c r="D780" t="inlineStr">
        <is>
          <t>菲菲上班吃什么</t>
        </is>
      </c>
      <c r="E780" t="inlineStr">
        <is>
          <t>49936530607</t>
        </is>
      </c>
      <c r="F780" t="inlineStr">
        <is>
          <t>2026-03-31 22:06:37</t>
        </is>
      </c>
      <c r="G780" t="inlineStr">
        <is>
          <t>图文</t>
        </is>
      </c>
      <c r="H780" t="inlineStr">
        <is>
          <t>手剥虾仁 无冰衣无添加 低脂餐一人食 上班带饭 顺丰包邮 5盒装</t>
        </is>
      </c>
      <c r="I780" t="inlineStr">
        <is>
          <t>694baba01d450d00013662f0</t>
        </is>
      </c>
      <c r="J780" t="inlineStr">
        <is>
          <t/>
        </is>
      </c>
      <c r="K780" t="n">
        <v>0.0</v>
      </c>
      <c r="L780" t="n">
        <v>0.0</v>
      </c>
      <c r="M780" t="n">
        <v>0.0</v>
      </c>
      <c r="N780" t="n">
        <v>0.0</v>
      </c>
      <c r="O780" t="n">
        <v>0.0</v>
      </c>
      <c r="P780" t="n">
        <v>0.0</v>
      </c>
      <c r="Q780" t="inlineStr">
        <is>
          <t/>
        </is>
      </c>
      <c r="R780" t="inlineStr">
        <is>
          <t/>
        </is>
      </c>
      <c r="S780" t="n">
        <v>0.0</v>
      </c>
      <c r="T780" t="n">
        <v>0.0</v>
      </c>
      <c r="U780" t="n">
        <v>0.0</v>
      </c>
      <c r="V780" t="n">
        <v>0.0</v>
      </c>
      <c r="W780" t="inlineStr">
        <is>
          <t/>
        </is>
      </c>
      <c r="X780" t="n">
        <v>0.0</v>
      </c>
      <c r="Y780" t="n">
        <v>0.0</v>
      </c>
      <c r="Z780" t="n">
        <v>0.0</v>
      </c>
      <c r="AA780" t="n">
        <v>0.0</v>
      </c>
      <c r="AB780" t="n">
        <v>0.0</v>
      </c>
      <c r="AC780" t="n">
        <v>0.0</v>
      </c>
      <c r="AD780" t="n">
        <v>1.0</v>
      </c>
      <c r="AE780" t="n">
        <v>0.0</v>
      </c>
      <c r="AF780" t="n">
        <v>0.0</v>
      </c>
      <c r="AG780" t="n">
        <v>0.0</v>
      </c>
      <c r="AH780" t="n">
        <v>0.0</v>
      </c>
      <c r="AI780" t="n">
        <v>0.0</v>
      </c>
      <c r="AJ780" t="n">
        <v>0.0</v>
      </c>
      <c r="AK780" t="n">
        <v>3.0</v>
      </c>
      <c r="AL780" t="inlineStr">
        <is>
          <t/>
        </is>
      </c>
    </row>
    <row r="781">
      <c r="A781" t="inlineStr">
        <is>
          <t>奉劝现在的年轻人不要低估了300块的购买力</t>
        </is>
      </c>
      <c r="B781" t="inlineStr">
        <is>
          <t>69cb66cb000000002301e83e</t>
        </is>
      </c>
      <c r="C781" s="780" t="n">
        <f>HYPERLINK("https://www.xiaohongshu.com/explore/69cb66cb000000002301e83e?xsec_token=TBNvk7eB588c7ey-qUUMF7OcS_34viNJs3ybS2LcMYE_U=&amp;xsec_source=pc_trdark","https://www.xiaohongshu.com/explore/69cb66cb000000002301e83e?xsec_token=TBNvk7eB588c7ey-qUUMF7OcS_34viNJs3ybS2LcMYE_U=&amp;xsec_source=pc_trdark")</f>
        <v>0.0</v>
      </c>
      <c r="D781" t="inlineStr">
        <is>
          <t>婉婉上班吃什么</t>
        </is>
      </c>
      <c r="E781" t="inlineStr">
        <is>
          <t>11434449706</t>
        </is>
      </c>
      <c r="F781" t="inlineStr">
        <is>
          <t>2026-03-31 14:16:43</t>
        </is>
      </c>
      <c r="G781" t="inlineStr">
        <is>
          <t>图文</t>
        </is>
      </c>
      <c r="H781" t="inlineStr">
        <is>
          <t>智利三文鱼切块·整条三文鱼·深海鱼一人食健康饮食</t>
        </is>
      </c>
      <c r="I781" t="inlineStr">
        <is>
          <t>691ac562a524ee0001b51d7b</t>
        </is>
      </c>
      <c r="J781" t="inlineStr">
        <is>
          <t/>
        </is>
      </c>
      <c r="K781" t="n">
        <v>0.0</v>
      </c>
      <c r="L781" t="n">
        <v>0.0</v>
      </c>
      <c r="M781" t="n">
        <v>0.0</v>
      </c>
      <c r="N781" t="n">
        <v>0.0</v>
      </c>
      <c r="O781" t="n">
        <v>0.0</v>
      </c>
      <c r="P781" t="n">
        <v>0.0</v>
      </c>
      <c r="Q781" t="inlineStr">
        <is>
          <t/>
        </is>
      </c>
      <c r="R781" t="inlineStr">
        <is>
          <t/>
        </is>
      </c>
      <c r="S781" t="n">
        <v>0.0</v>
      </c>
      <c r="T781" t="n">
        <v>0.0</v>
      </c>
      <c r="U781" t="n">
        <v>0.0</v>
      </c>
      <c r="V781" t="n">
        <v>0.0</v>
      </c>
      <c r="W781" t="inlineStr">
        <is>
          <t/>
        </is>
      </c>
      <c r="X781" t="n">
        <v>0.0</v>
      </c>
      <c r="Y781" t="n">
        <v>0.0</v>
      </c>
      <c r="Z781" t="n">
        <v>0.0</v>
      </c>
      <c r="AA781" t="n">
        <v>0.0</v>
      </c>
      <c r="AB781" t="n">
        <v>0.0</v>
      </c>
      <c r="AC781" t="n">
        <v>0.0</v>
      </c>
      <c r="AD781" t="n">
        <v>1.0</v>
      </c>
      <c r="AE781" t="n">
        <v>0.0</v>
      </c>
      <c r="AF781" t="n">
        <v>0.0</v>
      </c>
      <c r="AG781" t="n">
        <v>0.0</v>
      </c>
      <c r="AH781" t="n">
        <v>0.0</v>
      </c>
      <c r="AI781" t="n">
        <v>0.0</v>
      </c>
      <c r="AJ781" t="n">
        <v>0.0</v>
      </c>
      <c r="AK781" t="n">
        <v>5.0</v>
      </c>
      <c r="AL781" t="inlineStr">
        <is>
          <t/>
        </is>
      </c>
    </row>
    <row r="782">
      <c r="A782" t="inlineStr">
        <is>
          <t>拒绝外卖！一个人吃不腻的干净饭</t>
        </is>
      </c>
      <c r="B782" t="inlineStr">
        <is>
          <t>69c9d7ec0000000023016d9a</t>
        </is>
      </c>
      <c r="C782" s="781" t="n">
        <f>HYPERLINK("https://www.xiaohongshu.com/explore/69c9d7ec0000000023016d9a?xsec_token=TBbpP5CiN94LtvLtPXlqbAxWp9ykeSf_mjqVUZSr0Zwzw=&amp;xsec_source=pc_trdark","https://www.xiaohongshu.com/explore/69c9d7ec0000000023016d9a?xsec_token=TBbpP5CiN94LtvLtPXlqbAxWp9ykeSf_mjqVUZSr0Zwzw=&amp;xsec_source=pc_trdark")</f>
        <v>0.0</v>
      </c>
      <c r="D782" t="inlineStr">
        <is>
          <t>婉婉上班吃什么</t>
        </is>
      </c>
      <c r="E782" t="inlineStr">
        <is>
          <t>11434449706</t>
        </is>
      </c>
      <c r="F782" t="inlineStr">
        <is>
          <t>2026-03-30 09:54:52</t>
        </is>
      </c>
      <c r="G782" t="inlineStr">
        <is>
          <t>图文</t>
        </is>
      </c>
      <c r="H782" t="inlineStr">
        <is>
          <t>手剥虾仁 无冰衣无添加 低脂餐一人食 上班带饭 顺丰包邮 5盒装</t>
        </is>
      </c>
      <c r="I782" t="inlineStr">
        <is>
          <t>694baba01d450d00013662f0</t>
        </is>
      </c>
      <c r="J782" t="inlineStr">
        <is>
          <t/>
        </is>
      </c>
      <c r="K782" t="n">
        <v>0.0</v>
      </c>
      <c r="L782" t="n">
        <v>0.0</v>
      </c>
      <c r="M782" t="n">
        <v>0.0</v>
      </c>
      <c r="N782" t="n">
        <v>0.0</v>
      </c>
      <c r="O782" t="n">
        <v>0.0</v>
      </c>
      <c r="P782" t="n">
        <v>0.0</v>
      </c>
      <c r="Q782" t="inlineStr">
        <is>
          <t/>
        </is>
      </c>
      <c r="R782" t="inlineStr">
        <is>
          <t/>
        </is>
      </c>
      <c r="S782" t="n">
        <v>0.0</v>
      </c>
      <c r="T782" t="n">
        <v>0.0</v>
      </c>
      <c r="U782" t="n">
        <v>0.0</v>
      </c>
      <c r="V782" t="n">
        <v>0.0</v>
      </c>
      <c r="W782" t="inlineStr">
        <is>
          <t/>
        </is>
      </c>
      <c r="X782" t="n">
        <v>0.0</v>
      </c>
      <c r="Y782" t="n">
        <v>0.0</v>
      </c>
      <c r="Z782" t="n">
        <v>0.0</v>
      </c>
      <c r="AA782" t="n">
        <v>0.0</v>
      </c>
      <c r="AB782" t="n">
        <v>0.0</v>
      </c>
      <c r="AC782" t="n">
        <v>0.0</v>
      </c>
      <c r="AD782" t="n">
        <v>1.0</v>
      </c>
      <c r="AE782" t="n">
        <v>0.0</v>
      </c>
      <c r="AF782" t="n">
        <v>0.0</v>
      </c>
      <c r="AG782" t="n">
        <v>0.0</v>
      </c>
      <c r="AH782" t="n">
        <v>0.0</v>
      </c>
      <c r="AI782" t="n">
        <v>0.0</v>
      </c>
      <c r="AJ782" t="n">
        <v>0.0</v>
      </c>
      <c r="AK782" t="n">
        <v>6.0</v>
      </c>
      <c r="AL782" t="inlineStr">
        <is>
          <t/>
        </is>
      </c>
    </row>
    <row r="783">
      <c r="A783" t="inlineStr">
        <is>
          <t>同事对于我每天吃一盒虾仁，表示很奢侈…</t>
        </is>
      </c>
      <c r="B783" t="inlineStr">
        <is>
          <t>69c2602b000000002202bed3</t>
        </is>
      </c>
      <c r="C783" s="782" t="n">
        <f>HYPERLINK("https://www.xiaohongshu.com/explore/69c2602b000000002202bed3?xsec_token=TBUqBR5MVQnv6JPS0VJV95uOtzklcGqQyiaG_SgKe2Z1w=&amp;xsec_source=pc_trdark","https://www.xiaohongshu.com/explore/69c2602b000000002202bed3?xsec_token=TBUqBR5MVQnv6JPS0VJV95uOtzklcGqQyiaG_SgKe2Z1w=&amp;xsec_source=pc_trdark")</f>
        <v>0.0</v>
      </c>
      <c r="D783" t="inlineStr">
        <is>
          <t>婉婉上班吃什么</t>
        </is>
      </c>
      <c r="E783" t="inlineStr">
        <is>
          <t>11434449706</t>
        </is>
      </c>
      <c r="F783" t="inlineStr">
        <is>
          <t>2026-03-24 17:58:03</t>
        </is>
      </c>
      <c r="G783" t="inlineStr">
        <is>
          <t>图文</t>
        </is>
      </c>
      <c r="H783" t="inlineStr">
        <is>
          <t>手剥虾仁 无冰衣无添加 低脂餐一人食 上班带饭 顺丰包邮 5盒装</t>
        </is>
      </c>
      <c r="I783" t="inlineStr">
        <is>
          <t>694baba01d450d00013662f0</t>
        </is>
      </c>
      <c r="J783" t="inlineStr">
        <is>
          <t/>
        </is>
      </c>
      <c r="K783" t="n">
        <v>0.0</v>
      </c>
      <c r="L783" t="n">
        <v>0.0</v>
      </c>
      <c r="M783" t="n">
        <v>0.0</v>
      </c>
      <c r="N783" t="n">
        <v>0.0</v>
      </c>
      <c r="O783" t="n">
        <v>0.0</v>
      </c>
      <c r="P783" t="n">
        <v>0.0</v>
      </c>
      <c r="Q783" t="inlineStr">
        <is>
          <t/>
        </is>
      </c>
      <c r="R783" t="inlineStr">
        <is>
          <t/>
        </is>
      </c>
      <c r="S783" t="n">
        <v>0.0</v>
      </c>
      <c r="T783" t="n">
        <v>0.0</v>
      </c>
      <c r="U783" t="n">
        <v>0.0</v>
      </c>
      <c r="V783" t="n">
        <v>0.0</v>
      </c>
      <c r="W783" t="inlineStr">
        <is>
          <t/>
        </is>
      </c>
      <c r="X783" t="n">
        <v>0.0</v>
      </c>
      <c r="Y783" t="n">
        <v>0.0</v>
      </c>
      <c r="Z783" t="n">
        <v>0.0</v>
      </c>
      <c r="AA783" t="n">
        <v>0.0</v>
      </c>
      <c r="AB783" t="n">
        <v>0.0</v>
      </c>
      <c r="AC783" t="n">
        <v>0.0</v>
      </c>
      <c r="AD783" t="n">
        <v>1.0</v>
      </c>
      <c r="AE783" t="n">
        <v>0.0</v>
      </c>
      <c r="AF783" t="n">
        <v>0.0</v>
      </c>
      <c r="AG783" t="n">
        <v>0.0</v>
      </c>
      <c r="AH783" t="n">
        <v>0.0</v>
      </c>
      <c r="AI783" t="n">
        <v>0.0</v>
      </c>
      <c r="AJ783" t="n">
        <v>0.0</v>
      </c>
      <c r="AK783" t="n">
        <v>4.0</v>
      </c>
      <c r="AL783" t="inlineStr">
        <is>
          <t/>
        </is>
      </c>
    </row>
    <row r="784">
      <c r="A784" t="inlineStr">
        <is>
          <t>跟风吃了半个月虾仁。。。</t>
        </is>
      </c>
      <c r="B784" t="inlineStr">
        <is>
          <t>69c0f621000000001a02e3d5</t>
        </is>
      </c>
      <c r="C784" s="783" t="n">
        <f>HYPERLINK("https://www.xiaohongshu.com/explore/69c0f621000000001a02e3d5?xsec_token=TBlSRAgxB_sBYkF02kEEKO53r4Jl7Mwf80Ezp2MXBnxEA=&amp;xsec_source=pc_trdark","https://www.xiaohongshu.com/explore/69c0f621000000001a02e3d5?xsec_token=TBlSRAgxB_sBYkF02kEEKO53r4Jl7Mwf80Ezp2MXBnxEA=&amp;xsec_source=pc_trdark")</f>
        <v>0.0</v>
      </c>
      <c r="D784" t="inlineStr">
        <is>
          <t>菲菲上班吃什么</t>
        </is>
      </c>
      <c r="E784" t="inlineStr">
        <is>
          <t>49936530607</t>
        </is>
      </c>
      <c r="F784" t="inlineStr">
        <is>
          <t>2026-03-23 16:13:21</t>
        </is>
      </c>
      <c r="G784" t="inlineStr">
        <is>
          <t>图文</t>
        </is>
      </c>
      <c r="H784" t="inlineStr">
        <is>
          <t>手剥虾仁 无冰衣无添加 低脂餐一人食 上班带饭 顺丰包邮 5盒装</t>
        </is>
      </c>
      <c r="I784" t="inlineStr">
        <is>
          <t>694baba01d450d00013662f0</t>
        </is>
      </c>
      <c r="J784" t="inlineStr">
        <is>
          <t/>
        </is>
      </c>
      <c r="K784" t="n">
        <v>0.0</v>
      </c>
      <c r="L784" t="n">
        <v>0.0</v>
      </c>
      <c r="M784" t="n">
        <v>0.0</v>
      </c>
      <c r="N784" t="n">
        <v>0.0</v>
      </c>
      <c r="O784" t="n">
        <v>0.0</v>
      </c>
      <c r="P784" t="n">
        <v>0.0</v>
      </c>
      <c r="Q784" t="inlineStr">
        <is>
          <t/>
        </is>
      </c>
      <c r="R784" t="inlineStr">
        <is>
          <t/>
        </is>
      </c>
      <c r="S784" t="n">
        <v>0.0</v>
      </c>
      <c r="T784" t="n">
        <v>0.0</v>
      </c>
      <c r="U784" t="n">
        <v>0.0</v>
      </c>
      <c r="V784" t="n">
        <v>0.0</v>
      </c>
      <c r="W784" t="inlineStr">
        <is>
          <t/>
        </is>
      </c>
      <c r="X784" t="n">
        <v>0.0</v>
      </c>
      <c r="Y784" t="n">
        <v>0.0</v>
      </c>
      <c r="Z784" t="n">
        <v>0.0</v>
      </c>
      <c r="AA784" t="n">
        <v>0.0</v>
      </c>
      <c r="AB784" t="n">
        <v>0.0</v>
      </c>
      <c r="AC784" t="n">
        <v>0.0</v>
      </c>
      <c r="AD784" t="n">
        <v>1.0</v>
      </c>
      <c r="AE784" t="n">
        <v>0.0</v>
      </c>
      <c r="AF784" t="n">
        <v>0.0</v>
      </c>
      <c r="AG784" t="n">
        <v>0.0</v>
      </c>
      <c r="AH784" t="n">
        <v>0.0</v>
      </c>
      <c r="AI784" t="n">
        <v>0.0</v>
      </c>
      <c r="AJ784" t="n">
        <v>0.0</v>
      </c>
      <c r="AK784" t="n">
        <v>7.0</v>
      </c>
      <c r="AL784" t="inlineStr">
        <is>
          <t/>
        </is>
      </c>
    </row>
    <row r="785">
      <c r="A785" t="inlineStr">
        <is>
          <t>说一个撑死人但热量很低的东西</t>
        </is>
      </c>
      <c r="B785" t="inlineStr">
        <is>
          <t>69bd64bf000000002300553e</t>
        </is>
      </c>
      <c r="C785" s="784" t="n">
        <f>HYPERLINK("https://www.xiaohongshu.com/explore/69bd64bf000000002300553e?xsec_token=TBRwbx0S6Y78qN5wWC1_PyBGhoiRMj1TAICo4pUZmkzu0=&amp;xsec_source=pc_trdark","https://www.xiaohongshu.com/explore/69bd64bf000000002300553e?xsec_token=TBRwbx0S6Y78qN5wWC1_PyBGhoiRMj1TAICo4pUZmkzu0=&amp;xsec_source=pc_trdark")</f>
        <v>0.0</v>
      </c>
      <c r="D785" t="inlineStr">
        <is>
          <t>菲菲上班吃什么</t>
        </is>
      </c>
      <c r="E785" t="inlineStr">
        <is>
          <t>49936530607</t>
        </is>
      </c>
      <c r="F785" t="inlineStr">
        <is>
          <t>2026-03-20 23:16:15</t>
        </is>
      </c>
      <c r="G785" t="inlineStr">
        <is>
          <t>图文</t>
        </is>
      </c>
      <c r="H785" t="inlineStr">
        <is>
          <t>手剥虾仁 无冰衣无添加 低脂餐一人食 上班带饭 顺丰包邮 5盒装</t>
        </is>
      </c>
      <c r="I785" t="inlineStr">
        <is>
          <t>694baba01d450d00013662f0</t>
        </is>
      </c>
      <c r="J785" t="inlineStr">
        <is>
          <t/>
        </is>
      </c>
      <c r="K785" t="n">
        <v>0.0</v>
      </c>
      <c r="L785" t="n">
        <v>0.0</v>
      </c>
      <c r="M785" t="n">
        <v>0.0</v>
      </c>
      <c r="N785" t="n">
        <v>0.0</v>
      </c>
      <c r="O785" t="n">
        <v>0.0</v>
      </c>
      <c r="P785" t="n">
        <v>0.0</v>
      </c>
      <c r="Q785" t="inlineStr">
        <is>
          <t/>
        </is>
      </c>
      <c r="R785" t="inlineStr">
        <is>
          <t/>
        </is>
      </c>
      <c r="S785" t="n">
        <v>0.0</v>
      </c>
      <c r="T785" t="n">
        <v>0.0</v>
      </c>
      <c r="U785" t="n">
        <v>0.0</v>
      </c>
      <c r="V785" t="n">
        <v>0.0</v>
      </c>
      <c r="W785" t="inlineStr">
        <is>
          <t/>
        </is>
      </c>
      <c r="X785" t="n">
        <v>0.0</v>
      </c>
      <c r="Y785" t="n">
        <v>0.0</v>
      </c>
      <c r="Z785" t="n">
        <v>0.0</v>
      </c>
      <c r="AA785" t="n">
        <v>0.0</v>
      </c>
      <c r="AB785" t="n">
        <v>0.0</v>
      </c>
      <c r="AC785" t="n">
        <v>0.0</v>
      </c>
      <c r="AD785" t="n">
        <v>1.0</v>
      </c>
      <c r="AE785" t="n">
        <v>0.0</v>
      </c>
      <c r="AF785" t="n">
        <v>0.0</v>
      </c>
      <c r="AG785" t="n">
        <v>0.0</v>
      </c>
      <c r="AH785" t="n">
        <v>0.0</v>
      </c>
      <c r="AI785" t="n">
        <v>0.0</v>
      </c>
      <c r="AJ785" t="n">
        <v>0.0</v>
      </c>
      <c r="AK785" t="n">
        <v>15.0</v>
      </c>
      <c r="AL785" t="inlineStr">
        <is>
          <t/>
        </is>
      </c>
    </row>
    <row r="786">
      <c r="A786" t="inlineStr">
        <is>
          <t>买的时候也没人说，69💰吃一周减肥餐</t>
        </is>
      </c>
      <c r="B786" t="inlineStr">
        <is>
          <t>69bcfaec000000001a035dde</t>
        </is>
      </c>
      <c r="C786" s="785" t="n">
        <f>HYPERLINK("https://www.xiaohongshu.com/explore/69bcfaec000000001a035dde?xsec_token=TBfIJFVzszocpn5U7ogutYTX-7OkJyEjQl2lp3qe7ySWc=&amp;xsec_source=pc_trdark","https://www.xiaohongshu.com/explore/69bcfaec000000001a035dde?xsec_token=TBfIJFVzszocpn5U7ogutYTX-7OkJyEjQl2lp3qe7ySWc=&amp;xsec_source=pc_trdark")</f>
        <v>0.0</v>
      </c>
      <c r="D786" t="inlineStr">
        <is>
          <t>婉婉上班吃什么</t>
        </is>
      </c>
      <c r="E786" t="inlineStr">
        <is>
          <t>11434449706</t>
        </is>
      </c>
      <c r="F786" t="inlineStr">
        <is>
          <t>2026-03-20 15:44:44</t>
        </is>
      </c>
      <c r="G786" t="inlineStr">
        <is>
          <t>图文</t>
        </is>
      </c>
      <c r="H786" t="inlineStr">
        <is>
          <t>手剥虾仁 无冰衣无添加 低脂餐一人食 上班带饭 顺丰包邮 5盒装</t>
        </is>
      </c>
      <c r="I786" t="inlineStr">
        <is>
          <t>694baba01d450d00013662f0</t>
        </is>
      </c>
      <c r="J786" t="inlineStr">
        <is>
          <t/>
        </is>
      </c>
      <c r="K786" t="n">
        <v>0.0</v>
      </c>
      <c r="L786" t="n">
        <v>0.0</v>
      </c>
      <c r="M786" t="n">
        <v>0.0</v>
      </c>
      <c r="N786" t="n">
        <v>0.0</v>
      </c>
      <c r="O786" t="n">
        <v>0.0</v>
      </c>
      <c r="P786" t="n">
        <v>0.0</v>
      </c>
      <c r="Q786" t="inlineStr">
        <is>
          <t/>
        </is>
      </c>
      <c r="R786" t="inlineStr">
        <is>
          <t/>
        </is>
      </c>
      <c r="S786" t="n">
        <v>0.0</v>
      </c>
      <c r="T786" t="n">
        <v>0.0</v>
      </c>
      <c r="U786" t="n">
        <v>0.0</v>
      </c>
      <c r="V786" t="n">
        <v>0.0</v>
      </c>
      <c r="W786" t="inlineStr">
        <is>
          <t/>
        </is>
      </c>
      <c r="X786" t="n">
        <v>0.0</v>
      </c>
      <c r="Y786" t="n">
        <v>0.0</v>
      </c>
      <c r="Z786" t="n">
        <v>0.0</v>
      </c>
      <c r="AA786" t="n">
        <v>0.0</v>
      </c>
      <c r="AB786" t="n">
        <v>0.0</v>
      </c>
      <c r="AC786" t="n">
        <v>0.0</v>
      </c>
      <c r="AD786" t="n">
        <v>1.0</v>
      </c>
      <c r="AE786" t="n">
        <v>0.0</v>
      </c>
      <c r="AF786" t="n">
        <v>0.0</v>
      </c>
      <c r="AG786" t="n">
        <v>0.0</v>
      </c>
      <c r="AH786" t="n">
        <v>0.0</v>
      </c>
      <c r="AI786" t="n">
        <v>0.0</v>
      </c>
      <c r="AJ786" t="n">
        <v>0.0</v>
      </c>
      <c r="AK786" t="n">
        <v>1.0</v>
      </c>
      <c r="AL786" t="inlineStr">
        <is>
          <t/>
        </is>
      </c>
    </row>
    <row r="787">
      <c r="A787" t="inlineStr">
        <is>
          <t>真的没想到！一人食小包装虾仁这么受欢迎😭</t>
        </is>
      </c>
      <c r="B787" t="inlineStr">
        <is>
          <t>69ba465a000000002301dc1f</t>
        </is>
      </c>
      <c r="C787" s="786" t="n">
        <f>HYPERLINK("https://www.xiaohongshu.com/explore/69ba465a000000002301dc1f?xsec_token=TBgJVNruMKjnZKfHBYiZtZCbBsNppxh3-fD4mtEuooqns=&amp;xsec_source=pc_trdark","https://www.xiaohongshu.com/explore/69ba465a000000002301dc1f?xsec_token=TBgJVNruMKjnZKfHBYiZtZCbBsNppxh3-fD4mtEuooqns=&amp;xsec_source=pc_trdark")</f>
        <v>0.0</v>
      </c>
      <c r="D787" t="inlineStr">
        <is>
          <t>鲜水湾</t>
        </is>
      </c>
      <c r="E787" t="inlineStr">
        <is>
          <t>49316638994</t>
        </is>
      </c>
      <c r="F787" t="inlineStr">
        <is>
          <t>2026-03-18 14:29:46</t>
        </is>
      </c>
      <c r="G787" t="inlineStr">
        <is>
          <t>图文</t>
        </is>
      </c>
      <c r="H787" t="inlineStr">
        <is>
          <t>手剥虾仁 无冰衣无添加 低脂餐一人食 上班带饭 顺丰包邮 5盒装</t>
        </is>
      </c>
      <c r="I787" t="inlineStr">
        <is>
          <t>694baba01d450d00013662f0</t>
        </is>
      </c>
      <c r="J787" t="inlineStr">
        <is>
          <t/>
        </is>
      </c>
      <c r="K787" t="n">
        <v>0.0</v>
      </c>
      <c r="L787" t="n">
        <v>0.0</v>
      </c>
      <c r="M787" t="n">
        <v>0.0</v>
      </c>
      <c r="N787" t="n">
        <v>0.0</v>
      </c>
      <c r="O787" t="n">
        <v>0.0</v>
      </c>
      <c r="P787" t="n">
        <v>0.0</v>
      </c>
      <c r="Q787" t="inlineStr">
        <is>
          <t/>
        </is>
      </c>
      <c r="R787" t="inlineStr">
        <is>
          <t/>
        </is>
      </c>
      <c r="S787" t="n">
        <v>0.0</v>
      </c>
      <c r="T787" t="n">
        <v>0.0</v>
      </c>
      <c r="U787" t="n">
        <v>0.0</v>
      </c>
      <c r="V787" t="n">
        <v>0.0</v>
      </c>
      <c r="W787" t="inlineStr">
        <is>
          <t/>
        </is>
      </c>
      <c r="X787" t="n">
        <v>0.0</v>
      </c>
      <c r="Y787" t="n">
        <v>0.0</v>
      </c>
      <c r="Z787" t="n">
        <v>0.0</v>
      </c>
      <c r="AA787" t="n">
        <v>0.0</v>
      </c>
      <c r="AB787" t="n">
        <v>0.0</v>
      </c>
      <c r="AC787" t="n">
        <v>0.0</v>
      </c>
      <c r="AD787" t="n">
        <v>1.0</v>
      </c>
      <c r="AE787" t="n">
        <v>0.0</v>
      </c>
      <c r="AF787" t="n">
        <v>0.0</v>
      </c>
      <c r="AG787" t="n">
        <v>0.0</v>
      </c>
      <c r="AH787" t="n">
        <v>0.0</v>
      </c>
      <c r="AI787" t="n">
        <v>0.0</v>
      </c>
      <c r="AJ787" t="n">
        <v>0.0</v>
      </c>
      <c r="AK787" t="n">
        <v>1.0</v>
      </c>
      <c r="AL787" t="inlineStr">
        <is>
          <t/>
        </is>
      </c>
    </row>
    <row r="788">
      <c r="A788" t="inlineStr">
        <is>
          <t>直观感受一下70块的购买力，顺丰包邮</t>
        </is>
      </c>
      <c r="B788" t="inlineStr">
        <is>
          <t>69b8fede000000001b022197</t>
        </is>
      </c>
      <c r="C788" s="787" t="n">
        <f>HYPERLINK("https://www.xiaohongshu.com/explore/69b8fede000000001b022197?xsec_token=TBfbAEHpo8FSFeopDu7XYUinW2lo2UiWNDuOkT2DIy0QA=&amp;xsec_source=pc_trdark","https://www.xiaohongshu.com/explore/69b8fede000000001b022197?xsec_token=TBfbAEHpo8FSFeopDu7XYUinW2lo2UiWNDuOkT2DIy0QA=&amp;xsec_source=pc_trdark")</f>
        <v>0.0</v>
      </c>
      <c r="D788" t="inlineStr">
        <is>
          <t>婉婉上班吃什么</t>
        </is>
      </c>
      <c r="E788" t="inlineStr">
        <is>
          <t>11434449706</t>
        </is>
      </c>
      <c r="F788" t="inlineStr">
        <is>
          <t>2026-03-17 15:12:30</t>
        </is>
      </c>
      <c r="G788" t="inlineStr">
        <is>
          <t>图文</t>
        </is>
      </c>
      <c r="H788" t="inlineStr">
        <is>
          <t>手剥虾仁 无冰衣无添加 低脂餐一人食 上班带饭 顺丰包邮 5盒装</t>
        </is>
      </c>
      <c r="I788" t="inlineStr">
        <is>
          <t>694baba01d450d00013662f0</t>
        </is>
      </c>
      <c r="J788" t="inlineStr">
        <is>
          <t/>
        </is>
      </c>
      <c r="K788" t="n">
        <v>0.0</v>
      </c>
      <c r="L788" t="n">
        <v>0.0</v>
      </c>
      <c r="M788" t="n">
        <v>0.0</v>
      </c>
      <c r="N788" t="n">
        <v>0.0</v>
      </c>
      <c r="O788" t="n">
        <v>0.0</v>
      </c>
      <c r="P788" t="n">
        <v>0.0</v>
      </c>
      <c r="Q788" t="inlineStr">
        <is>
          <t/>
        </is>
      </c>
      <c r="R788" t="inlineStr">
        <is>
          <t/>
        </is>
      </c>
      <c r="S788" t="n">
        <v>0.0</v>
      </c>
      <c r="T788" t="n">
        <v>0.0</v>
      </c>
      <c r="U788" t="n">
        <v>0.0</v>
      </c>
      <c r="V788" t="n">
        <v>0.0</v>
      </c>
      <c r="W788" t="inlineStr">
        <is>
          <t/>
        </is>
      </c>
      <c r="X788" t="n">
        <v>0.0</v>
      </c>
      <c r="Y788" t="n">
        <v>0.0</v>
      </c>
      <c r="Z788" t="n">
        <v>0.0</v>
      </c>
      <c r="AA788" t="n">
        <v>0.0</v>
      </c>
      <c r="AB788" t="n">
        <v>0.0</v>
      </c>
      <c r="AC788" t="n">
        <v>0.0</v>
      </c>
      <c r="AD788" t="n">
        <v>1.0</v>
      </c>
      <c r="AE788" t="n">
        <v>0.0</v>
      </c>
      <c r="AF788" t="n">
        <v>0.0</v>
      </c>
      <c r="AG788" t="n">
        <v>0.0</v>
      </c>
      <c r="AH788" t="n">
        <v>0.0</v>
      </c>
      <c r="AI788" t="n">
        <v>0.0</v>
      </c>
      <c r="AJ788" t="n">
        <v>0.0</v>
      </c>
      <c r="AK788" t="n">
        <v>1.0</v>
      </c>
      <c r="AL788" t="inlineStr">
        <is>
          <t/>
        </is>
      </c>
    </row>
    <row r="789">
      <c r="A789" t="inlineStr">
        <is>
          <t>早八人：我怎么没早点发现小包装虾仁🍤</t>
        </is>
      </c>
      <c r="B789" t="inlineStr">
        <is>
          <t>69b6ca1a000000001f003390</t>
        </is>
      </c>
      <c r="C789" s="788" t="n">
        <f>HYPERLINK("https://www.xiaohongshu.com/explore/69b6ca1a000000001f003390?xsec_token=TBwpaEqA4ODk9qkUKPtwfpqSD_w6hBo3VZX2RBfEf9d7Q=&amp;xsec_source=pc_trdark","https://www.xiaohongshu.com/explore/69b6ca1a000000001f003390?xsec_token=TBwpaEqA4ODk9qkUKPtwfpqSD_w6hBo3VZX2RBfEf9d7Q=&amp;xsec_source=pc_trdark")</f>
        <v>0.0</v>
      </c>
      <c r="D789" t="inlineStr">
        <is>
          <t>婉婉上班吃什么</t>
        </is>
      </c>
      <c r="E789" t="inlineStr">
        <is>
          <t>11434449706</t>
        </is>
      </c>
      <c r="F789" t="inlineStr">
        <is>
          <t>2026-03-15 23:02:50</t>
        </is>
      </c>
      <c r="G789" t="inlineStr">
        <is>
          <t>图文</t>
        </is>
      </c>
      <c r="H789" t="inlineStr">
        <is>
          <t>手剥虾仁 无冰衣无添加 低脂餐一人食 上班带饭 顺丰包邮 5盒装</t>
        </is>
      </c>
      <c r="I789" t="inlineStr">
        <is>
          <t>694baba01d450d00013662f0</t>
        </is>
      </c>
      <c r="J789" t="inlineStr">
        <is>
          <t/>
        </is>
      </c>
      <c r="K789" t="n">
        <v>0.0</v>
      </c>
      <c r="L789" t="n">
        <v>0.0</v>
      </c>
      <c r="M789" t="n">
        <v>0.0</v>
      </c>
      <c r="N789" t="n">
        <v>0.0</v>
      </c>
      <c r="O789" t="n">
        <v>0.0</v>
      </c>
      <c r="P789" t="n">
        <v>0.0</v>
      </c>
      <c r="Q789" t="inlineStr">
        <is>
          <t/>
        </is>
      </c>
      <c r="R789" t="inlineStr">
        <is>
          <t/>
        </is>
      </c>
      <c r="S789" t="n">
        <v>0.0</v>
      </c>
      <c r="T789" t="n">
        <v>0.0</v>
      </c>
      <c r="U789" t="n">
        <v>0.0</v>
      </c>
      <c r="V789" t="n">
        <v>0.0</v>
      </c>
      <c r="W789" t="inlineStr">
        <is>
          <t/>
        </is>
      </c>
      <c r="X789" t="n">
        <v>0.0</v>
      </c>
      <c r="Y789" t="n">
        <v>0.0</v>
      </c>
      <c r="Z789" t="n">
        <v>0.0</v>
      </c>
      <c r="AA789" t="n">
        <v>0.0</v>
      </c>
      <c r="AB789" t="n">
        <v>0.0</v>
      </c>
      <c r="AC789" t="n">
        <v>0.0</v>
      </c>
      <c r="AD789" t="n">
        <v>1.0</v>
      </c>
      <c r="AE789" t="n">
        <v>0.0</v>
      </c>
      <c r="AF789" t="n">
        <v>0.0</v>
      </c>
      <c r="AG789" t="n">
        <v>0.0</v>
      </c>
      <c r="AH789" t="n">
        <v>0.0</v>
      </c>
      <c r="AI789" t="n">
        <v>0.0</v>
      </c>
      <c r="AJ789" t="n">
        <v>0.0</v>
      </c>
      <c r="AK789" t="n">
        <v>4.0</v>
      </c>
      <c r="AL789" t="inlineStr">
        <is>
          <t/>
        </is>
      </c>
    </row>
    <row r="790">
      <c r="A790" t="inlineStr">
        <is>
          <t>以为69没多少😂实际够我吃一周了</t>
        </is>
      </c>
      <c r="B790" t="inlineStr">
        <is>
          <t>69b216ac0000000006031681</t>
        </is>
      </c>
      <c r="C790" s="789" t="n">
        <f>HYPERLINK("https://www.xiaohongshu.com/explore/69b216ac0000000006031681?xsec_token=TB020mu_sDtHEgaPvBWpjWuaIhK4qf40PqtKj_pR1GdwA=&amp;xsec_source=pc_trdark","https://www.xiaohongshu.com/explore/69b216ac0000000006031681?xsec_token=TB020mu_sDtHEgaPvBWpjWuaIhK4qf40PqtKj_pR1GdwA=&amp;xsec_source=pc_trdark")</f>
        <v>0.0</v>
      </c>
      <c r="D790" t="inlineStr">
        <is>
          <t>鲜水湾</t>
        </is>
      </c>
      <c r="E790" t="inlineStr">
        <is>
          <t>49316638994</t>
        </is>
      </c>
      <c r="F790" t="inlineStr">
        <is>
          <t>2026-03-12 09:28:12</t>
        </is>
      </c>
      <c r="G790" t="inlineStr">
        <is>
          <t>图文</t>
        </is>
      </c>
      <c r="H790" t="inlineStr">
        <is>
          <t>大虾基围虾王牌大虾厄瓜多尔白虾盐冻虾仁海洋大虾送礼顺丰包邮</t>
        </is>
      </c>
      <c r="I790" t="inlineStr">
        <is>
          <t>690aeb7be379430001e686ac</t>
        </is>
      </c>
      <c r="J790" t="inlineStr">
        <is>
          <t/>
        </is>
      </c>
      <c r="K790" t="n">
        <v>0.0</v>
      </c>
      <c r="L790" t="n">
        <v>0.0</v>
      </c>
      <c r="M790" t="n">
        <v>0.0</v>
      </c>
      <c r="N790" t="n">
        <v>0.0</v>
      </c>
      <c r="O790" t="n">
        <v>0.0</v>
      </c>
      <c r="P790" t="n">
        <v>0.0</v>
      </c>
      <c r="Q790" t="inlineStr">
        <is>
          <t/>
        </is>
      </c>
      <c r="R790" t="inlineStr">
        <is>
          <t/>
        </is>
      </c>
      <c r="S790" t="n">
        <v>0.0</v>
      </c>
      <c r="T790" t="n">
        <v>0.0</v>
      </c>
      <c r="U790" t="n">
        <v>0.0</v>
      </c>
      <c r="V790" t="n">
        <v>0.0</v>
      </c>
      <c r="W790" t="inlineStr">
        <is>
          <t/>
        </is>
      </c>
      <c r="X790" t="n">
        <v>0.0</v>
      </c>
      <c r="Y790" t="n">
        <v>0.0</v>
      </c>
      <c r="Z790" t="n">
        <v>0.0</v>
      </c>
      <c r="AA790" t="n">
        <v>0.0</v>
      </c>
      <c r="AB790" t="n">
        <v>0.0</v>
      </c>
      <c r="AC790" t="n">
        <v>0.0</v>
      </c>
      <c r="AD790" t="n">
        <v>1.0</v>
      </c>
      <c r="AE790" t="n">
        <v>0.0</v>
      </c>
      <c r="AF790" t="n">
        <v>0.0</v>
      </c>
      <c r="AG790" t="n">
        <v>0.0</v>
      </c>
      <c r="AH790" t="n">
        <v>0.0</v>
      </c>
      <c r="AI790" t="n">
        <v>0.0</v>
      </c>
      <c r="AJ790" t="n">
        <v>0.0</v>
      </c>
      <c r="AK790" t="n">
        <v>8.0</v>
      </c>
      <c r="AL790" t="inlineStr">
        <is>
          <t/>
        </is>
      </c>
    </row>
    <row r="791">
      <c r="A791" t="inlineStr">
        <is>
          <t>从此西餐厅别想赚我一分钱！</t>
        </is>
      </c>
      <c r="B791" t="inlineStr">
        <is>
          <t>69a1b573000000001a0340c8</t>
        </is>
      </c>
      <c r="C791" s="790" t="n">
        <f>HYPERLINK("https://www.xiaohongshu.com/explore/69a1b573000000001a0340c8?xsec_token=TBk7Tu9foWGIsieMmGc2tlwncyOwrgcJ6OMGqntCl6zgg=&amp;xsec_source=pc_trdark","https://www.xiaohongshu.com/explore/69a1b573000000001a0340c8?xsec_token=TBk7Tu9foWGIsieMmGc2tlwncyOwrgcJ6OMGqntCl6zgg=&amp;xsec_source=pc_trdark")</f>
        <v>0.0</v>
      </c>
      <c r="D791" t="inlineStr">
        <is>
          <t>鲜水湾</t>
        </is>
      </c>
      <c r="E791" t="inlineStr">
        <is>
          <t>49316638994</t>
        </is>
      </c>
      <c r="F791" t="inlineStr">
        <is>
          <t>2026-02-27 23:17:07</t>
        </is>
      </c>
      <c r="G791" t="inlineStr">
        <is>
          <t>图文</t>
        </is>
      </c>
      <c r="H791" t="inlineStr">
        <is>
          <t>智利三文鱼切块·整条三文鱼·深海鱼一人食健康饮食</t>
        </is>
      </c>
      <c r="I791" t="inlineStr">
        <is>
          <t>691ac562a524ee0001b51d7b</t>
        </is>
      </c>
      <c r="J791" t="inlineStr">
        <is>
          <t/>
        </is>
      </c>
      <c r="K791" t="n">
        <v>0.0</v>
      </c>
      <c r="L791" t="n">
        <v>0.0</v>
      </c>
      <c r="M791" t="n">
        <v>0.0</v>
      </c>
      <c r="N791" t="n">
        <v>0.0</v>
      </c>
      <c r="O791" t="n">
        <v>0.0</v>
      </c>
      <c r="P791" t="n">
        <v>0.0</v>
      </c>
      <c r="Q791" t="inlineStr">
        <is>
          <t/>
        </is>
      </c>
      <c r="R791" t="inlineStr">
        <is>
          <t/>
        </is>
      </c>
      <c r="S791" t="n">
        <v>0.0</v>
      </c>
      <c r="T791" t="n">
        <v>0.0</v>
      </c>
      <c r="U791" t="n">
        <v>0.0</v>
      </c>
      <c r="V791" t="n">
        <v>0.0</v>
      </c>
      <c r="W791" t="inlineStr">
        <is>
          <t/>
        </is>
      </c>
      <c r="X791" t="n">
        <v>0.0</v>
      </c>
      <c r="Y791" t="n">
        <v>0.0</v>
      </c>
      <c r="Z791" t="n">
        <v>0.0</v>
      </c>
      <c r="AA791" t="n">
        <v>0.0</v>
      </c>
      <c r="AB791" t="n">
        <v>0.0</v>
      </c>
      <c r="AC791" t="n">
        <v>0.0</v>
      </c>
      <c r="AD791" t="n">
        <v>1.0</v>
      </c>
      <c r="AE791" t="n">
        <v>0.0</v>
      </c>
      <c r="AF791" t="n">
        <v>0.0</v>
      </c>
      <c r="AG791" t="n">
        <v>0.0</v>
      </c>
      <c r="AH791" t="n">
        <v>0.0</v>
      </c>
      <c r="AI791" t="n">
        <v>0.0</v>
      </c>
      <c r="AJ791" t="n">
        <v>0.0</v>
      </c>
      <c r="AK791" t="n">
        <v>2.0</v>
      </c>
      <c r="AL791" t="inlineStr">
        <is>
          <t/>
        </is>
      </c>
    </row>
    <row r="792">
      <c r="A792" t="inlineStr">
        <is>
          <t>鲜香甜糯，给甜虾脑袋哄成翘嘴了</t>
        </is>
      </c>
      <c r="B792" t="inlineStr">
        <is>
          <t>69a01b0d000000002203acff</t>
        </is>
      </c>
      <c r="C792" s="791" t="n">
        <f>HYPERLINK("https://www.xiaohongshu.com/explore/69a01b0d000000002203acff?xsec_token=TBGIgfrKGy2wDtxaQW-J26GTgrb6njNHpEsyJo_2qYJPQ=&amp;xsec_source=pc_trdark","https://www.xiaohongshu.com/explore/69a01b0d000000002203acff?xsec_token=TBGIgfrKGy2wDtxaQW-J26GTgrb6njNHpEsyJo_2qYJPQ=&amp;xsec_source=pc_trdark")</f>
        <v>0.0</v>
      </c>
      <c r="D792" t="inlineStr">
        <is>
          <t>鲜水湾甄选</t>
        </is>
      </c>
      <c r="E792" t="inlineStr">
        <is>
          <t>27401929161</t>
        </is>
      </c>
      <c r="F792" t="inlineStr">
        <is>
          <t>2026-02-26 18:06:05</t>
        </is>
      </c>
      <c r="G792" t="inlineStr">
        <is>
          <t>图文</t>
        </is>
      </c>
      <c r="H792" t="inlineStr">
        <is>
          <t>北极甜虾头籽甜虾元宝虾北极熊冰虾孕妈妈宝宝辅食顺丰</t>
        </is>
      </c>
      <c r="I792" t="inlineStr">
        <is>
          <t>6953717eb8f0bb000115158d</t>
        </is>
      </c>
      <c r="J792" t="inlineStr">
        <is>
          <t/>
        </is>
      </c>
      <c r="K792" t="n">
        <v>0.0</v>
      </c>
      <c r="L792" t="n">
        <v>0.0</v>
      </c>
      <c r="M792" t="n">
        <v>0.0</v>
      </c>
      <c r="N792" t="n">
        <v>0.0</v>
      </c>
      <c r="O792" t="n">
        <v>0.0</v>
      </c>
      <c r="P792" t="n">
        <v>0.0</v>
      </c>
      <c r="Q792" t="inlineStr">
        <is>
          <t/>
        </is>
      </c>
      <c r="R792" t="inlineStr">
        <is>
          <t/>
        </is>
      </c>
      <c r="S792" t="n">
        <v>0.0</v>
      </c>
      <c r="T792" t="n">
        <v>0.0</v>
      </c>
      <c r="U792" t="n">
        <v>0.0</v>
      </c>
      <c r="V792" t="n">
        <v>0.0</v>
      </c>
      <c r="W792" t="inlineStr">
        <is>
          <t/>
        </is>
      </c>
      <c r="X792" t="n">
        <v>0.0</v>
      </c>
      <c r="Y792" t="n">
        <v>0.0</v>
      </c>
      <c r="Z792" t="n">
        <v>0.0</v>
      </c>
      <c r="AA792" t="n">
        <v>0.0</v>
      </c>
      <c r="AB792" t="n">
        <v>0.0</v>
      </c>
      <c r="AC792" t="n">
        <v>0.0</v>
      </c>
      <c r="AD792" t="n">
        <v>1.0</v>
      </c>
      <c r="AE792" t="n">
        <v>0.0</v>
      </c>
      <c r="AF792" t="n">
        <v>0.0</v>
      </c>
      <c r="AG792" t="n">
        <v>0.0</v>
      </c>
      <c r="AH792" t="n">
        <v>0.0</v>
      </c>
      <c r="AI792" t="n">
        <v>0.0</v>
      </c>
      <c r="AJ792" t="n">
        <v>0.0</v>
      </c>
      <c r="AK792" t="n">
        <v>3.0</v>
      </c>
      <c r="AL792" t="inlineStr">
        <is>
          <t/>
        </is>
      </c>
    </row>
    <row r="793">
      <c r="A793" t="inlineStr">
        <is>
          <t>初九开始还债了</t>
        </is>
      </c>
      <c r="B793" t="inlineStr">
        <is>
          <t>699e752d000000002203985a</t>
        </is>
      </c>
      <c r="C793" s="792" t="n">
        <f>HYPERLINK("https://www.xiaohongshu.com/explore/699e752d000000002203985a?xsec_token=TBggKgSP0tIUAtqBAPfP3mLeTzu0x9bt84Dw6FwYxe6vk=&amp;xsec_source=pc_trdark","https://www.xiaohongshu.com/explore/699e752d000000002203985a?xsec_token=TBggKgSP0tIUAtqBAPfP3mLeTzu0x9bt84Dw6FwYxe6vk=&amp;xsec_source=pc_trdark")</f>
        <v>0.0</v>
      </c>
      <c r="D793" t="inlineStr">
        <is>
          <t>鲜水湾甄选</t>
        </is>
      </c>
      <c r="E793" t="inlineStr">
        <is>
          <t>27401929161</t>
        </is>
      </c>
      <c r="F793" t="inlineStr">
        <is>
          <t>2026-02-25 12:06:06</t>
        </is>
      </c>
      <c r="G793" t="inlineStr">
        <is>
          <t>图文</t>
        </is>
      </c>
      <c r="H793" t="inlineStr">
        <is>
          <t>智利三文鱼切块·整条三文鱼·深海鱼一人食健康饮食</t>
        </is>
      </c>
      <c r="I793" t="inlineStr">
        <is>
          <t>691ac562a524ee0001b51d7b</t>
        </is>
      </c>
      <c r="J793" t="inlineStr">
        <is>
          <t/>
        </is>
      </c>
      <c r="K793" t="n">
        <v>0.0</v>
      </c>
      <c r="L793" t="n">
        <v>0.0</v>
      </c>
      <c r="M793" t="n">
        <v>0.0</v>
      </c>
      <c r="N793" t="n">
        <v>0.0</v>
      </c>
      <c r="O793" t="n">
        <v>0.0</v>
      </c>
      <c r="P793" t="n">
        <v>0.0</v>
      </c>
      <c r="Q793" t="inlineStr">
        <is>
          <t/>
        </is>
      </c>
      <c r="R793" t="inlineStr">
        <is>
          <t/>
        </is>
      </c>
      <c r="S793" t="n">
        <v>0.0</v>
      </c>
      <c r="T793" t="n">
        <v>0.0</v>
      </c>
      <c r="U793" t="n">
        <v>0.0</v>
      </c>
      <c r="V793" t="n">
        <v>0.0</v>
      </c>
      <c r="W793" t="inlineStr">
        <is>
          <t/>
        </is>
      </c>
      <c r="X793" t="n">
        <v>0.0</v>
      </c>
      <c r="Y793" t="n">
        <v>0.0</v>
      </c>
      <c r="Z793" t="n">
        <v>0.0</v>
      </c>
      <c r="AA793" t="n">
        <v>0.0</v>
      </c>
      <c r="AB793" t="n">
        <v>0.0</v>
      </c>
      <c r="AC793" t="n">
        <v>0.0</v>
      </c>
      <c r="AD793" t="n">
        <v>1.0</v>
      </c>
      <c r="AE793" t="n">
        <v>0.0</v>
      </c>
      <c r="AF793" t="n">
        <v>0.0</v>
      </c>
      <c r="AG793" t="n">
        <v>0.0</v>
      </c>
      <c r="AH793" t="n">
        <v>0.0</v>
      </c>
      <c r="AI793" t="n">
        <v>0.0</v>
      </c>
      <c r="AJ793" t="n">
        <v>0.0</v>
      </c>
      <c r="AK793" t="n">
        <v>3.0</v>
      </c>
      <c r="AL793" t="inlineStr">
        <is>
          <t/>
        </is>
      </c>
    </row>
    <row r="794">
      <c r="A794" t="inlineStr">
        <is>
          <t>立马回购6箱，家附近超市的再也看不上了</t>
        </is>
      </c>
      <c r="B794" t="inlineStr">
        <is>
          <t>698ae7930000000028022c8a</t>
        </is>
      </c>
      <c r="C794" s="793" t="n">
        <f>HYPERLINK("https://www.xiaohongshu.com/explore/698ae7930000000028022c8a?xsec_token=TBG0mKfxVH0N0QJz26OSUyhZ7H5IKS63UVmRrfyUe6O8I=&amp;xsec_source=pc_trdark","https://www.xiaohongshu.com/explore/698ae7930000000028022c8a?xsec_token=TBG0mKfxVH0N0QJz26OSUyhZ7H5IKS63UVmRrfyUe6O8I=&amp;xsec_source=pc_trdark")</f>
        <v>0.0</v>
      </c>
      <c r="D794" t="inlineStr">
        <is>
          <t>鲜水湾</t>
        </is>
      </c>
      <c r="E794" t="inlineStr">
        <is>
          <t>49316638994</t>
        </is>
      </c>
      <c r="F794" t="inlineStr">
        <is>
          <t>2026-02-10 16:08:51</t>
        </is>
      </c>
      <c r="G794" t="inlineStr">
        <is>
          <t>图文</t>
        </is>
      </c>
      <c r="H794" t="inlineStr">
        <is>
          <t>大虾基围虾王牌大虾厄瓜多尔白虾盐冻虾仁海洋大虾送礼顺丰包邮</t>
        </is>
      </c>
      <c r="I794" t="inlineStr">
        <is>
          <t>690aeb7be379430001e686ac</t>
        </is>
      </c>
      <c r="J794" t="inlineStr">
        <is>
          <t/>
        </is>
      </c>
      <c r="K794" t="n">
        <v>0.0</v>
      </c>
      <c r="L794" t="n">
        <v>0.0</v>
      </c>
      <c r="M794" t="n">
        <v>0.0</v>
      </c>
      <c r="N794" t="n">
        <v>0.0</v>
      </c>
      <c r="O794" t="n">
        <v>0.0</v>
      </c>
      <c r="P794" t="n">
        <v>0.0</v>
      </c>
      <c r="Q794" t="inlineStr">
        <is>
          <t/>
        </is>
      </c>
      <c r="R794" t="inlineStr">
        <is>
          <t/>
        </is>
      </c>
      <c r="S794" t="n">
        <v>0.0</v>
      </c>
      <c r="T794" t="n">
        <v>0.0</v>
      </c>
      <c r="U794" t="n">
        <v>0.0</v>
      </c>
      <c r="V794" t="n">
        <v>0.0</v>
      </c>
      <c r="W794" t="inlineStr">
        <is>
          <t/>
        </is>
      </c>
      <c r="X794" t="n">
        <v>0.0</v>
      </c>
      <c r="Y794" t="n">
        <v>0.0</v>
      </c>
      <c r="Z794" t="n">
        <v>0.0</v>
      </c>
      <c r="AA794" t="n">
        <v>0.0</v>
      </c>
      <c r="AB794" t="n">
        <v>0.0</v>
      </c>
      <c r="AC794" t="n">
        <v>0.0</v>
      </c>
      <c r="AD794" t="n">
        <v>1.0</v>
      </c>
      <c r="AE794" t="n">
        <v>0.0</v>
      </c>
      <c r="AF794" t="n">
        <v>0.0</v>
      </c>
      <c r="AG794" t="n">
        <v>0.0</v>
      </c>
      <c r="AH794" t="n">
        <v>0.0</v>
      </c>
      <c r="AI794" t="n">
        <v>0.0</v>
      </c>
      <c r="AJ794" t="n">
        <v>0.0</v>
      </c>
      <c r="AK794" t="n">
        <v>5.0</v>
      </c>
      <c r="AL794" t="inlineStr">
        <is>
          <t/>
        </is>
      </c>
    </row>
    <row r="795">
      <c r="A795" t="inlineStr">
        <is>
          <t>买了一整条三文鱼回家过年🧨</t>
        </is>
      </c>
      <c r="B795" t="inlineStr">
        <is>
          <t>698a9b64000000001a02c083</t>
        </is>
      </c>
      <c r="C795" s="794" t="n">
        <f>HYPERLINK("https://www.xiaohongshu.com/explore/698a9b64000000001a02c083?xsec_token=TBG0mKfxVH0N0QJz26OSUyhYFzyb4Pc8wYmcr0of-957U=&amp;xsec_source=pc_trdark","https://www.xiaohongshu.com/explore/698a9b64000000001a02c083?xsec_token=TBG0mKfxVH0N0QJz26OSUyhYFzyb4Pc8wYmcr0of-957U=&amp;xsec_source=pc_trdark")</f>
        <v>0.0</v>
      </c>
      <c r="D795" t="inlineStr">
        <is>
          <t>鲜水湾</t>
        </is>
      </c>
      <c r="E795" t="inlineStr">
        <is>
          <t>49316638994</t>
        </is>
      </c>
      <c r="F795" t="inlineStr">
        <is>
          <t>2026-02-10 10:43:48</t>
        </is>
      </c>
      <c r="G795" t="inlineStr">
        <is>
          <t>图文</t>
        </is>
      </c>
      <c r="H795" t="inlineStr">
        <is>
          <t>智利三文鱼切块·整条三文鱼·深海鱼一人食健康饮食</t>
        </is>
      </c>
      <c r="I795" t="inlineStr">
        <is>
          <t>691ac562a524ee0001b51d7b</t>
        </is>
      </c>
      <c r="J795" t="inlineStr">
        <is>
          <t/>
        </is>
      </c>
      <c r="K795" t="n">
        <v>0.0</v>
      </c>
      <c r="L795" t="n">
        <v>0.0</v>
      </c>
      <c r="M795" t="n">
        <v>0.0</v>
      </c>
      <c r="N795" t="n">
        <v>0.0</v>
      </c>
      <c r="O795" t="n">
        <v>0.0</v>
      </c>
      <c r="P795" t="n">
        <v>0.0</v>
      </c>
      <c r="Q795" t="inlineStr">
        <is>
          <t/>
        </is>
      </c>
      <c r="R795" t="inlineStr">
        <is>
          <t/>
        </is>
      </c>
      <c r="S795" t="n">
        <v>0.0</v>
      </c>
      <c r="T795" t="n">
        <v>0.0</v>
      </c>
      <c r="U795" t="n">
        <v>0.0</v>
      </c>
      <c r="V795" t="n">
        <v>0.0</v>
      </c>
      <c r="W795" t="inlineStr">
        <is>
          <t/>
        </is>
      </c>
      <c r="X795" t="n">
        <v>0.0</v>
      </c>
      <c r="Y795" t="n">
        <v>0.0</v>
      </c>
      <c r="Z795" t="n">
        <v>0.0</v>
      </c>
      <c r="AA795" t="n">
        <v>0.0</v>
      </c>
      <c r="AB795" t="n">
        <v>0.0</v>
      </c>
      <c r="AC795" t="n">
        <v>0.0</v>
      </c>
      <c r="AD795" t="n">
        <v>1.0</v>
      </c>
      <c r="AE795" t="n">
        <v>0.0</v>
      </c>
      <c r="AF795" t="n">
        <v>0.0</v>
      </c>
      <c r="AG795" t="n">
        <v>0.0</v>
      </c>
      <c r="AH795" t="n">
        <v>0.0</v>
      </c>
      <c r="AI795" t="n">
        <v>0.0</v>
      </c>
      <c r="AJ795" t="n">
        <v>0.0</v>
      </c>
      <c r="AK795" t="n">
        <v>0.0</v>
      </c>
      <c r="AL795" t="inlineStr">
        <is>
          <t/>
        </is>
      </c>
    </row>
    <row r="796">
      <c r="A796" t="inlineStr">
        <is>
          <t>讲真！自己像米其林大厨🧑‍🍳</t>
        </is>
      </c>
      <c r="B796" t="inlineStr">
        <is>
          <t>69899080000000000903b066</t>
        </is>
      </c>
      <c r="C796" s="795" t="n">
        <f>HYPERLINK("https://www.xiaohongshu.com/explore/69899080000000000903b066?xsec_token=TBeAeWMkLJ9etYlFDlK3pguZcv4i1LaORTLoyt49jb22o=&amp;xsec_source=pc_trdark","https://www.xiaohongshu.com/explore/69899080000000000903b066?xsec_token=TBeAeWMkLJ9etYlFDlK3pguZcv4i1LaORTLoyt49jb22o=&amp;xsec_source=pc_trdark")</f>
        <v>0.0</v>
      </c>
      <c r="D796" t="inlineStr">
        <is>
          <t>鲜水湾甄选</t>
        </is>
      </c>
      <c r="E796" t="inlineStr">
        <is>
          <t>27401929161</t>
        </is>
      </c>
      <c r="F796" t="inlineStr">
        <is>
          <t>2026-02-09 15:45:04</t>
        </is>
      </c>
      <c r="G796" t="inlineStr">
        <is>
          <t>图文</t>
        </is>
      </c>
      <c r="H796" t="inlineStr">
        <is>
          <t>智利三文鱼切块·整条三文鱼·深海鱼一人食健康饮食</t>
        </is>
      </c>
      <c r="I796" t="inlineStr">
        <is>
          <t>691ac562a524ee0001b51d7b</t>
        </is>
      </c>
      <c r="J796" t="inlineStr">
        <is>
          <t/>
        </is>
      </c>
      <c r="K796" t="n">
        <v>0.0</v>
      </c>
      <c r="L796" t="n">
        <v>0.0</v>
      </c>
      <c r="M796" t="n">
        <v>0.0</v>
      </c>
      <c r="N796" t="n">
        <v>0.0</v>
      </c>
      <c r="O796" t="n">
        <v>0.0</v>
      </c>
      <c r="P796" t="n">
        <v>0.0</v>
      </c>
      <c r="Q796" t="inlineStr">
        <is>
          <t/>
        </is>
      </c>
      <c r="R796" t="inlineStr">
        <is>
          <t/>
        </is>
      </c>
      <c r="S796" t="n">
        <v>0.0</v>
      </c>
      <c r="T796" t="n">
        <v>0.0</v>
      </c>
      <c r="U796" t="n">
        <v>0.0</v>
      </c>
      <c r="V796" t="n">
        <v>0.0</v>
      </c>
      <c r="W796" t="inlineStr">
        <is>
          <t/>
        </is>
      </c>
      <c r="X796" t="n">
        <v>0.0</v>
      </c>
      <c r="Y796" t="n">
        <v>0.0</v>
      </c>
      <c r="Z796" t="n">
        <v>0.0</v>
      </c>
      <c r="AA796" t="n">
        <v>0.0</v>
      </c>
      <c r="AB796" t="n">
        <v>0.0</v>
      </c>
      <c r="AC796" t="n">
        <v>0.0</v>
      </c>
      <c r="AD796" t="n">
        <v>1.0</v>
      </c>
      <c r="AE796" t="n">
        <v>0.0</v>
      </c>
      <c r="AF796" t="n">
        <v>0.0</v>
      </c>
      <c r="AG796" t="n">
        <v>0.0</v>
      </c>
      <c r="AH796" t="n">
        <v>0.0</v>
      </c>
      <c r="AI796" t="n">
        <v>0.0</v>
      </c>
      <c r="AJ796" t="n">
        <v>0.0</v>
      </c>
      <c r="AK796" t="n">
        <v>1.0</v>
      </c>
      <c r="AL796" t="inlineStr">
        <is>
          <t/>
        </is>
      </c>
    </row>
    <row r="797">
      <c r="A797" t="inlineStr">
        <is>
          <t>买了整条三文鱼回家，被我妈夸了☺️</t>
        </is>
      </c>
      <c r="B797" t="inlineStr">
        <is>
          <t>6982b7ba000000001a01cbd7</t>
        </is>
      </c>
      <c r="C797" s="796" t="n">
        <f>HYPERLINK("https://www.xiaohongshu.com/explore/6982b7ba000000001a01cbd7?xsec_token=TBRUGO98Ap-B8eSGcZxxfvdDDhjT1ocTPAIOIvN6y36RA=&amp;xsec_source=pc_trdark","https://www.xiaohongshu.com/explore/6982b7ba000000001a01cbd7?xsec_token=TBRUGO98Ap-B8eSGcZxxfvdDDhjT1ocTPAIOIvN6y36RA=&amp;xsec_source=pc_trdark")</f>
        <v>0.0</v>
      </c>
      <c r="D797" t="inlineStr">
        <is>
          <t>鲜水湾</t>
        </is>
      </c>
      <c r="E797" t="inlineStr">
        <is>
          <t>49316638994</t>
        </is>
      </c>
      <c r="F797" t="inlineStr">
        <is>
          <t>2026-02-04 11:06:34</t>
        </is>
      </c>
      <c r="G797" t="inlineStr">
        <is>
          <t>图文</t>
        </is>
      </c>
      <c r="H797" t="inlineStr">
        <is>
          <t>智利三文鱼切块·整条三文鱼·深海鱼一人食健康饮食</t>
        </is>
      </c>
      <c r="I797" t="inlineStr">
        <is>
          <t>691ac562a524ee0001b51d7b</t>
        </is>
      </c>
      <c r="J797" t="inlineStr">
        <is>
          <t/>
        </is>
      </c>
      <c r="K797" t="n">
        <v>0.0</v>
      </c>
      <c r="L797" t="n">
        <v>0.0</v>
      </c>
      <c r="M797" t="n">
        <v>0.0</v>
      </c>
      <c r="N797" t="n">
        <v>0.0</v>
      </c>
      <c r="O797" t="n">
        <v>0.0</v>
      </c>
      <c r="P797" t="n">
        <v>0.0</v>
      </c>
      <c r="Q797" t="inlineStr">
        <is>
          <t/>
        </is>
      </c>
      <c r="R797" t="inlineStr">
        <is>
          <t/>
        </is>
      </c>
      <c r="S797" t="n">
        <v>0.0</v>
      </c>
      <c r="T797" t="n">
        <v>0.0</v>
      </c>
      <c r="U797" t="n">
        <v>0.0</v>
      </c>
      <c r="V797" t="n">
        <v>0.0</v>
      </c>
      <c r="W797" t="inlineStr">
        <is>
          <t/>
        </is>
      </c>
      <c r="X797" t="n">
        <v>0.0</v>
      </c>
      <c r="Y797" t="n">
        <v>0.0</v>
      </c>
      <c r="Z797" t="n">
        <v>0.0</v>
      </c>
      <c r="AA797" t="n">
        <v>0.0</v>
      </c>
      <c r="AB797" t="n">
        <v>0.0</v>
      </c>
      <c r="AC797" t="n">
        <v>0.0</v>
      </c>
      <c r="AD797" t="n">
        <v>1.0</v>
      </c>
      <c r="AE797" t="n">
        <v>0.0</v>
      </c>
      <c r="AF797" t="n">
        <v>0.0</v>
      </c>
      <c r="AG797" t="n">
        <v>0.0</v>
      </c>
      <c r="AH797" t="n">
        <v>0.0</v>
      </c>
      <c r="AI797" t="n">
        <v>0.0</v>
      </c>
      <c r="AJ797" t="n">
        <v>0.0</v>
      </c>
      <c r="AK797" t="n">
        <v>0.0</v>
      </c>
      <c r="AL797" t="inlineStr">
        <is>
          <t/>
        </is>
      </c>
    </row>
    <row r="798">
      <c r="A798" t="inlineStr">
        <is>
          <t>其实，300块能吃一个月的三文鱼🫢</t>
        </is>
      </c>
      <c r="B798" t="inlineStr">
        <is>
          <t>697d850e000000001a029a04</t>
        </is>
      </c>
      <c r="C798" s="797" t="n">
        <f>HYPERLINK("https://www.xiaohongshu.com/explore/697d850e000000001a029a04?xsec_token=TBmDrNth1LGu49cSaHu-q0WwBFFiB_hZBrH6ERNOSl_EI=&amp;xsec_source=pc_trdark","https://www.xiaohongshu.com/explore/697d850e000000001a029a04?xsec_token=TBmDrNth1LGu49cSaHu-q0WwBFFiB_hZBrH6ERNOSl_EI=&amp;xsec_source=pc_trdark")</f>
        <v>0.0</v>
      </c>
      <c r="D798" t="inlineStr">
        <is>
          <t>鲜水湾</t>
        </is>
      </c>
      <c r="E798" t="inlineStr">
        <is>
          <t>49316638994</t>
        </is>
      </c>
      <c r="F798" t="inlineStr">
        <is>
          <t>2026-01-31 12:29:02</t>
        </is>
      </c>
      <c r="G798" t="inlineStr">
        <is>
          <t>图文</t>
        </is>
      </c>
      <c r="H798" t="inlineStr">
        <is>
          <t>智利尾端中段整条三文鱼 8斤深海鱼低脂餐囤货一周备菜顺丰包邮</t>
        </is>
      </c>
      <c r="I798" t="inlineStr">
        <is>
          <t>69fab80d64eb410001ece0c0</t>
        </is>
      </c>
      <c r="J798" t="inlineStr">
        <is>
          <t/>
        </is>
      </c>
      <c r="K798" t="n">
        <v>0.0</v>
      </c>
      <c r="L798" t="n">
        <v>0.0</v>
      </c>
      <c r="M798" t="n">
        <v>0.0</v>
      </c>
      <c r="N798" t="n">
        <v>0.0</v>
      </c>
      <c r="O798" t="n">
        <v>0.0</v>
      </c>
      <c r="P798" t="n">
        <v>0.0</v>
      </c>
      <c r="Q798" t="inlineStr">
        <is>
          <t/>
        </is>
      </c>
      <c r="R798" t="inlineStr">
        <is>
          <t/>
        </is>
      </c>
      <c r="S798" t="n">
        <v>0.0</v>
      </c>
      <c r="T798" t="n">
        <v>0.0</v>
      </c>
      <c r="U798" t="n">
        <v>0.0</v>
      </c>
      <c r="V798" t="n">
        <v>0.0</v>
      </c>
      <c r="W798" t="inlineStr">
        <is>
          <t/>
        </is>
      </c>
      <c r="X798" t="n">
        <v>0.0</v>
      </c>
      <c r="Y798" t="n">
        <v>0.0</v>
      </c>
      <c r="Z798" t="n">
        <v>0.0</v>
      </c>
      <c r="AA798" t="n">
        <v>0.0</v>
      </c>
      <c r="AB798" t="n">
        <v>0.0</v>
      </c>
      <c r="AC798" t="n">
        <v>0.0</v>
      </c>
      <c r="AD798" t="n">
        <v>1.0</v>
      </c>
      <c r="AE798" t="n">
        <v>0.0</v>
      </c>
      <c r="AF798" t="n">
        <v>0.0</v>
      </c>
      <c r="AG798" t="n">
        <v>0.0</v>
      </c>
      <c r="AH798" t="n">
        <v>0.0</v>
      </c>
      <c r="AI798" t="n">
        <v>0.0</v>
      </c>
      <c r="AJ798" t="n">
        <v>0.0</v>
      </c>
      <c r="AK798" t="n">
        <v>3.0</v>
      </c>
      <c r="AL798" t="inlineStr">
        <is>
          <t/>
        </is>
      </c>
    </row>
    <row r="799">
      <c r="A799" t="inlineStr">
        <is>
          <t>区区300多承包了我一个月的减脂餐</t>
        </is>
      </c>
      <c r="B799" t="inlineStr">
        <is>
          <t>6957e73c000000001f00d9de</t>
        </is>
      </c>
      <c r="C799" s="798" t="n">
        <f>HYPERLINK("https://www.xiaohongshu.com/explore/6957e73c000000001f00d9de?xsec_token=TBhUA1uFx5IoVoBZdOr3ZJfSYhCUQQhi1UCWoJJtqs1Kw=&amp;xsec_source=pc_trdark","https://www.xiaohongshu.com/explore/6957e73c000000001f00d9de?xsec_token=TBhUA1uFx5IoVoBZdOr3ZJfSYhCUQQhi1UCWoJJtqs1Kw=&amp;xsec_source=pc_trdark")</f>
        <v>0.0</v>
      </c>
      <c r="D799" t="inlineStr">
        <is>
          <t>鲜水湾</t>
        </is>
      </c>
      <c r="E799" t="inlineStr">
        <is>
          <t>49316638994</t>
        </is>
      </c>
      <c r="F799" t="inlineStr">
        <is>
          <t>2026-01-02 23:41:48</t>
        </is>
      </c>
      <c r="G799" t="inlineStr">
        <is>
          <t>图文</t>
        </is>
      </c>
      <c r="H799" t="inlineStr">
        <is>
          <t>智利三文鱼切块·整条三文鱼·深海鱼一人食健康饮食</t>
        </is>
      </c>
      <c r="I799" t="inlineStr">
        <is>
          <t>691ac562a524ee0001b51d7b</t>
        </is>
      </c>
      <c r="J799" t="inlineStr">
        <is>
          <t/>
        </is>
      </c>
      <c r="K799" t="n">
        <v>0.0</v>
      </c>
      <c r="L799" t="n">
        <v>0.0</v>
      </c>
      <c r="M799" t="n">
        <v>1.0</v>
      </c>
      <c r="N799" t="n">
        <v>1.0</v>
      </c>
      <c r="O799" t="n">
        <v>1.0</v>
      </c>
      <c r="P799" t="n">
        <v>0.0</v>
      </c>
      <c r="Q799" t="n">
        <v>0.0</v>
      </c>
      <c r="R799" t="n">
        <v>0.0</v>
      </c>
      <c r="S799" t="n">
        <v>0.0</v>
      </c>
      <c r="T799" t="n">
        <v>0.0</v>
      </c>
      <c r="U799" t="n">
        <v>0.0</v>
      </c>
      <c r="V799" t="n">
        <v>0.0</v>
      </c>
      <c r="W799" t="inlineStr">
        <is>
          <t/>
        </is>
      </c>
      <c r="X799" t="n">
        <v>0.0</v>
      </c>
      <c r="Y799" t="n">
        <v>0.0</v>
      </c>
      <c r="Z799" t="n">
        <v>0.0</v>
      </c>
      <c r="AA799" t="n">
        <v>0.0</v>
      </c>
      <c r="AB799" t="n">
        <v>0.0</v>
      </c>
      <c r="AC799" t="n">
        <v>0.0</v>
      </c>
      <c r="AD799" t="n">
        <v>1.0</v>
      </c>
      <c r="AE799" t="n">
        <v>0.0</v>
      </c>
      <c r="AF799" t="n">
        <v>0.0</v>
      </c>
      <c r="AG799" t="n">
        <v>0.0</v>
      </c>
      <c r="AH799" t="n">
        <v>0.0</v>
      </c>
      <c r="AI799" t="n">
        <v>0.0</v>
      </c>
      <c r="AJ799" t="n">
        <v>0.0</v>
      </c>
      <c r="AK799" t="n">
        <v>25.0</v>
      </c>
      <c r="AL799" t="inlineStr">
        <is>
          <t/>
        </is>
      </c>
    </row>
    <row r="800">
      <c r="A800" t="inlineStr">
        <is>
          <t>40+一箱的乳山生蚝，真的太好吃了</t>
        </is>
      </c>
      <c r="B800" t="inlineStr">
        <is>
          <t>6950fd77000000001e006b0f</t>
        </is>
      </c>
      <c r="C800" s="799" t="n">
        <f>HYPERLINK("https://www.xiaohongshu.com/explore/6950fd77000000001e006b0f?xsec_token=TBZlsVk_u522I8N-JhGtRMDlspmLxc7mxjuSVFWQkqHe0=&amp;xsec_source=pc_trdark","https://www.xiaohongshu.com/explore/6950fd77000000001e006b0f?xsec_token=TBZlsVk_u522I8N-JhGtRMDlspmLxc7mxjuSVFWQkqHe0=&amp;xsec_source=pc_trdark")</f>
        <v>0.0</v>
      </c>
      <c r="D800" t="inlineStr">
        <is>
          <t>婉婉上班吃什么</t>
        </is>
      </c>
      <c r="E800" t="inlineStr">
        <is>
          <t>11434449706</t>
        </is>
      </c>
      <c r="F800" t="inlineStr">
        <is>
          <t>2025-12-28 18:50:46</t>
        </is>
      </c>
      <c r="G800" t="inlineStr">
        <is>
          <t>视频</t>
        </is>
      </c>
      <c r="H800" t="inlineStr">
        <is>
          <t>生蚝乳山生蚝海蛎子顺丰包邮</t>
        </is>
      </c>
      <c r="I800" t="inlineStr">
        <is>
          <t>690c70971b787900010866cc</t>
        </is>
      </c>
      <c r="J800" t="n">
        <v>24.0</v>
      </c>
      <c r="K800" t="n">
        <v>0.0</v>
      </c>
      <c r="L800" t="n">
        <v>0.0</v>
      </c>
      <c r="M800" t="n">
        <v>0.0</v>
      </c>
      <c r="N800" t="n">
        <v>0.0</v>
      </c>
      <c r="O800" t="n">
        <v>0.0</v>
      </c>
      <c r="P800" t="n">
        <v>0.0</v>
      </c>
      <c r="Q800" t="inlineStr">
        <is>
          <t/>
        </is>
      </c>
      <c r="R800" t="inlineStr">
        <is>
          <t/>
        </is>
      </c>
      <c r="S800" t="n">
        <v>0.0</v>
      </c>
      <c r="T800" t="n">
        <v>0.0</v>
      </c>
      <c r="U800" t="n">
        <v>0.0</v>
      </c>
      <c r="V800" t="n">
        <v>0.0</v>
      </c>
      <c r="W800" t="inlineStr">
        <is>
          <t/>
        </is>
      </c>
      <c r="X800" t="n">
        <v>0.0</v>
      </c>
      <c r="Y800" t="n">
        <v>0.0</v>
      </c>
      <c r="Z800" t="n">
        <v>0.0</v>
      </c>
      <c r="AA800" t="n">
        <v>0.0</v>
      </c>
      <c r="AB800" t="n">
        <v>0.0</v>
      </c>
      <c r="AC800" t="n">
        <v>0.0</v>
      </c>
      <c r="AD800" t="n">
        <v>1.0</v>
      </c>
      <c r="AE800" t="n">
        <v>0.0</v>
      </c>
      <c r="AF800" t="n">
        <v>0.0</v>
      </c>
      <c r="AG800" t="n">
        <v>0.0</v>
      </c>
      <c r="AH800" t="n">
        <v>0.0</v>
      </c>
      <c r="AI800" t="n">
        <v>0.0</v>
      </c>
      <c r="AJ800" t="n">
        <v>0.0</v>
      </c>
      <c r="AK800" t="n">
        <v>30.0</v>
      </c>
      <c r="AL800" t="n">
        <v>0.5</v>
      </c>
    </row>
    <row r="801">
      <c r="A801" t="inlineStr">
        <is>
          <t>轻松征服所有三文鱼脑袋🐟～</t>
        </is>
      </c>
      <c r="B801" t="inlineStr">
        <is>
          <t>6950881b000000001e0355a5</t>
        </is>
      </c>
      <c r="C801" s="800" t="n">
        <f>HYPERLINK("https://www.xiaohongshu.com/explore/6950881b000000001e0355a5?xsec_token=TBZlsVk_u522I8N-JhGtRMDjLXf1070IVefsr9amfW0wE=&amp;xsec_source=pc_trdark","https://www.xiaohongshu.com/explore/6950881b000000001e0355a5?xsec_token=TBZlsVk_u522I8N-JhGtRMDjLXf1070IVefsr9amfW0wE=&amp;xsec_source=pc_trdark")</f>
        <v>0.0</v>
      </c>
      <c r="D801" t="inlineStr">
        <is>
          <t>鲜水湾</t>
        </is>
      </c>
      <c r="E801" t="inlineStr">
        <is>
          <t>49316638994</t>
        </is>
      </c>
      <c r="F801" t="inlineStr">
        <is>
          <t>2025-12-28 09:30:03</t>
        </is>
      </c>
      <c r="G801" t="inlineStr">
        <is>
          <t>图文</t>
        </is>
      </c>
      <c r="H801" t="inlineStr">
        <is>
          <t>智利三文鱼切块·整条三文鱼·深海鱼一人食健康饮食</t>
        </is>
      </c>
      <c r="I801" t="inlineStr">
        <is>
          <t>691ac562a524ee0001b51d7b</t>
        </is>
      </c>
      <c r="J801" t="inlineStr">
        <is>
          <t/>
        </is>
      </c>
      <c r="K801" t="n">
        <v>0.0</v>
      </c>
      <c r="L801" t="n">
        <v>0.0</v>
      </c>
      <c r="M801" t="n">
        <v>0.0</v>
      </c>
      <c r="N801" t="n">
        <v>0.0</v>
      </c>
      <c r="O801" t="n">
        <v>0.0</v>
      </c>
      <c r="P801" t="n">
        <v>0.0</v>
      </c>
      <c r="Q801" t="inlineStr">
        <is>
          <t/>
        </is>
      </c>
      <c r="R801" t="inlineStr">
        <is>
          <t/>
        </is>
      </c>
      <c r="S801" t="n">
        <v>0.0</v>
      </c>
      <c r="T801" t="n">
        <v>0.0</v>
      </c>
      <c r="U801" t="n">
        <v>0.0</v>
      </c>
      <c r="V801" t="n">
        <v>0.0</v>
      </c>
      <c r="W801" t="inlineStr">
        <is>
          <t/>
        </is>
      </c>
      <c r="X801" t="n">
        <v>0.0</v>
      </c>
      <c r="Y801" t="n">
        <v>0.0</v>
      </c>
      <c r="Z801" t="n">
        <v>0.0</v>
      </c>
      <c r="AA801" t="n">
        <v>0.0</v>
      </c>
      <c r="AB801" t="n">
        <v>0.0</v>
      </c>
      <c r="AC801" t="n">
        <v>0.0</v>
      </c>
      <c r="AD801" t="n">
        <v>1.0</v>
      </c>
      <c r="AE801" t="n">
        <v>0.0</v>
      </c>
      <c r="AF801" t="n">
        <v>0.0</v>
      </c>
      <c r="AG801" t="n">
        <v>0.0</v>
      </c>
      <c r="AH801" t="n">
        <v>1.0</v>
      </c>
      <c r="AI801" t="n">
        <v>0.0</v>
      </c>
      <c r="AJ801" t="n">
        <v>0.0</v>
      </c>
      <c r="AK801" t="n">
        <v>9.0</v>
      </c>
      <c r="AL801" t="inlineStr">
        <is>
          <t/>
        </is>
      </c>
    </row>
    <row r="802">
      <c r="A802" t="inlineStr">
        <is>
          <t>一个能撑s人但热量很低的东西。。。</t>
        </is>
      </c>
      <c r="B802" t="inlineStr">
        <is>
          <t>694b9383000000001e02b06a</t>
        </is>
      </c>
      <c r="C802" s="801" t="n">
        <f>HYPERLINK("https://www.xiaohongshu.com/explore/694b9383000000001e02b06a?xsec_token=TBJ1d3lsVKl7u73DozgnzSfmUOTWyfGc24kG22x1W9xTc=&amp;xsec_source=pc_trdark","https://www.xiaohongshu.com/explore/694b9383000000001e02b06a?xsec_token=TBJ1d3lsVKl7u73DozgnzSfmUOTWyfGc24kG22x1W9xTc=&amp;xsec_source=pc_trdark")</f>
        <v>0.0</v>
      </c>
      <c r="D802" t="inlineStr">
        <is>
          <t>鲜水湾</t>
        </is>
      </c>
      <c r="E802" t="inlineStr">
        <is>
          <t>49316638994</t>
        </is>
      </c>
      <c r="F802" t="inlineStr">
        <is>
          <t>2025-12-24 15:17:23</t>
        </is>
      </c>
      <c r="G802" t="inlineStr">
        <is>
          <t>图文</t>
        </is>
      </c>
      <c r="H802" t="inlineStr">
        <is>
          <t>大虾基围虾王牌大虾厄瓜多尔白虾盐冻虾仁海洋大虾送礼顺丰包邮</t>
        </is>
      </c>
      <c r="I802" t="inlineStr">
        <is>
          <t>690aeb7be379430001e686ac</t>
        </is>
      </c>
      <c r="J802" t="inlineStr">
        <is>
          <t/>
        </is>
      </c>
      <c r="K802" t="n">
        <v>0.0</v>
      </c>
      <c r="L802" t="n">
        <v>0.0</v>
      </c>
      <c r="M802" t="n">
        <v>0.0</v>
      </c>
      <c r="N802" t="n">
        <v>0.0</v>
      </c>
      <c r="O802" t="n">
        <v>0.0</v>
      </c>
      <c r="P802" t="n">
        <v>0.0</v>
      </c>
      <c r="Q802" t="inlineStr">
        <is>
          <t/>
        </is>
      </c>
      <c r="R802" t="inlineStr">
        <is>
          <t/>
        </is>
      </c>
      <c r="S802" t="n">
        <v>0.0</v>
      </c>
      <c r="T802" t="n">
        <v>0.0</v>
      </c>
      <c r="U802" t="n">
        <v>0.0</v>
      </c>
      <c r="V802" t="n">
        <v>0.0</v>
      </c>
      <c r="W802" t="inlineStr">
        <is>
          <t/>
        </is>
      </c>
      <c r="X802" t="n">
        <v>0.0</v>
      </c>
      <c r="Y802" t="n">
        <v>0.0</v>
      </c>
      <c r="Z802" t="n">
        <v>0.0</v>
      </c>
      <c r="AA802" t="n">
        <v>0.0</v>
      </c>
      <c r="AB802" t="n">
        <v>0.0</v>
      </c>
      <c r="AC802" t="n">
        <v>0.0</v>
      </c>
      <c r="AD802" t="n">
        <v>1.0</v>
      </c>
      <c r="AE802" t="n">
        <v>0.0</v>
      </c>
      <c r="AF802" t="n">
        <v>0.0</v>
      </c>
      <c r="AG802" t="n">
        <v>0.0</v>
      </c>
      <c r="AH802" t="n">
        <v>0.0</v>
      </c>
      <c r="AI802" t="n">
        <v>0.0</v>
      </c>
      <c r="AJ802" t="n">
        <v>0.0</v>
      </c>
      <c r="AK802" t="n">
        <v>2.0</v>
      </c>
      <c r="AL802" t="inlineStr">
        <is>
          <t/>
        </is>
      </c>
    </row>
    <row r="803">
      <c r="A803" t="inlineStr">
        <is>
          <t>建议冬至后狠狠吃生蚝，40+一箱的生蚝真肥</t>
        </is>
      </c>
      <c r="B803" t="inlineStr">
        <is>
          <t>6943d39b000000000d034d4f</t>
        </is>
      </c>
      <c r="C803" s="802" t="n">
        <f>HYPERLINK("https://www.xiaohongshu.com/explore/6943d39b000000000d034d4f?xsec_token=TB3ISCGERC3xZFl0ewfdTFyId3-4629b3-nxVDswtkamo=&amp;xsec_source=pc_trdark","https://www.xiaohongshu.com/explore/6943d39b000000000d034d4f?xsec_token=TB3ISCGERC3xZFl0ewfdTFyId3-4629b3-nxVDswtkamo=&amp;xsec_source=pc_trdark")</f>
        <v>0.0</v>
      </c>
      <c r="D803" t="inlineStr">
        <is>
          <t>婉婉上班吃什么</t>
        </is>
      </c>
      <c r="E803" t="inlineStr">
        <is>
          <t>11434449706</t>
        </is>
      </c>
      <c r="F803" t="inlineStr">
        <is>
          <t>2025-12-18 18:12:43</t>
        </is>
      </c>
      <c r="G803" t="inlineStr">
        <is>
          <t>视频</t>
        </is>
      </c>
      <c r="H803" t="inlineStr">
        <is>
          <t>生蚝乳山生蚝海蛎子顺丰包邮</t>
        </is>
      </c>
      <c r="I803" t="inlineStr">
        <is>
          <t>690c70971b787900010866cc</t>
        </is>
      </c>
      <c r="J803" t="n">
        <v>37.0</v>
      </c>
      <c r="K803" t="n">
        <v>0.0</v>
      </c>
      <c r="L803" t="n">
        <v>0.0</v>
      </c>
      <c r="M803" t="n">
        <v>0.0</v>
      </c>
      <c r="N803" t="n">
        <v>0.0</v>
      </c>
      <c r="O803" t="n">
        <v>0.0</v>
      </c>
      <c r="P803" t="n">
        <v>0.0</v>
      </c>
      <c r="Q803" t="inlineStr">
        <is>
          <t/>
        </is>
      </c>
      <c r="R803" t="inlineStr">
        <is>
          <t/>
        </is>
      </c>
      <c r="S803" t="n">
        <v>0.0</v>
      </c>
      <c r="T803" t="n">
        <v>0.0</v>
      </c>
      <c r="U803" t="n">
        <v>0.0</v>
      </c>
      <c r="V803" t="n">
        <v>0.0</v>
      </c>
      <c r="W803" t="inlineStr">
        <is>
          <t/>
        </is>
      </c>
      <c r="X803" t="n">
        <v>0.0</v>
      </c>
      <c r="Y803" t="n">
        <v>0.0</v>
      </c>
      <c r="Z803" t="n">
        <v>0.0</v>
      </c>
      <c r="AA803" t="n">
        <v>0.0</v>
      </c>
      <c r="AB803" t="n">
        <v>0.0</v>
      </c>
      <c r="AC803" t="n">
        <v>0.0</v>
      </c>
      <c r="AD803" t="n">
        <v>1.0</v>
      </c>
      <c r="AE803" t="n">
        <v>0.0</v>
      </c>
      <c r="AF803" t="n">
        <v>0.0</v>
      </c>
      <c r="AG803" t="n">
        <v>0.0</v>
      </c>
      <c r="AH803" t="n">
        <v>0.0</v>
      </c>
      <c r="AI803" t="n">
        <v>0.0</v>
      </c>
      <c r="AJ803" t="n">
        <v>0.0</v>
      </c>
      <c r="AK803" t="n">
        <v>24.0</v>
      </c>
      <c r="AL803" t="n">
        <v>0.0</v>
      </c>
    </row>
    <row r="804">
      <c r="A804" t="inlineStr">
        <is>
          <t>准爸爸吃完这一口又幸福了</t>
        </is>
      </c>
      <c r="B804" t="inlineStr">
        <is>
          <t>6942543a000000001f00d14c</t>
        </is>
      </c>
      <c r="C804" s="803" t="n">
        <f>HYPERLINK("https://www.xiaohongshu.com/explore/6942543a000000001f00d14c?xsec_token=TB0tDM60Z2n8tclFaINyevIV8AAGDWKFpC6kzdoIaSBkY=&amp;xsec_source=pc_trdark","https://www.xiaohongshu.com/explore/6942543a000000001f00d14c?xsec_token=TB0tDM60Z2n8tclFaINyevIV8AAGDWKFpC6kzdoIaSBkY=&amp;xsec_source=pc_trdark")</f>
        <v>0.0</v>
      </c>
      <c r="D804" t="inlineStr">
        <is>
          <t>婉婉上班吃什么</t>
        </is>
      </c>
      <c r="E804" t="inlineStr">
        <is>
          <t>11434449706</t>
        </is>
      </c>
      <c r="F804" t="inlineStr">
        <is>
          <t>2025-12-17 14:56:58</t>
        </is>
      </c>
      <c r="G804" t="inlineStr">
        <is>
          <t>视频</t>
        </is>
      </c>
      <c r="H804" t="inlineStr">
        <is>
          <t>生蚝乳山生蚝海蛎子顺丰包邮</t>
        </is>
      </c>
      <c r="I804" t="inlineStr">
        <is>
          <t>690c70971b787900010866cc</t>
        </is>
      </c>
      <c r="J804" t="n">
        <v>26.0</v>
      </c>
      <c r="K804" t="n">
        <v>0.0</v>
      </c>
      <c r="L804" t="n">
        <v>0.0</v>
      </c>
      <c r="M804" t="n">
        <v>0.0</v>
      </c>
      <c r="N804" t="n">
        <v>0.0</v>
      </c>
      <c r="O804" t="n">
        <v>0.0</v>
      </c>
      <c r="P804" t="n">
        <v>0.0</v>
      </c>
      <c r="Q804" t="inlineStr">
        <is>
          <t/>
        </is>
      </c>
      <c r="R804" t="inlineStr">
        <is>
          <t/>
        </is>
      </c>
      <c r="S804" t="n">
        <v>0.0</v>
      </c>
      <c r="T804" t="n">
        <v>0.0</v>
      </c>
      <c r="U804" t="n">
        <v>0.0</v>
      </c>
      <c r="V804" t="n">
        <v>0.0</v>
      </c>
      <c r="W804" t="inlineStr">
        <is>
          <t/>
        </is>
      </c>
      <c r="X804" t="n">
        <v>0.0</v>
      </c>
      <c r="Y804" t="n">
        <v>0.0</v>
      </c>
      <c r="Z804" t="n">
        <v>0.0</v>
      </c>
      <c r="AA804" t="n">
        <v>0.0</v>
      </c>
      <c r="AB804" t="n">
        <v>0.0</v>
      </c>
      <c r="AC804" t="n">
        <v>0.0</v>
      </c>
      <c r="AD804" t="n">
        <v>1.0</v>
      </c>
      <c r="AE804" t="n">
        <v>0.0</v>
      </c>
      <c r="AF804" t="n">
        <v>0.0</v>
      </c>
      <c r="AG804" t="n">
        <v>0.0</v>
      </c>
      <c r="AH804" t="n">
        <v>0.0</v>
      </c>
      <c r="AI804" t="n">
        <v>0.0</v>
      </c>
      <c r="AJ804" t="n">
        <v>0.0</v>
      </c>
      <c r="AK804" t="n">
        <v>18.0</v>
      </c>
      <c r="AL804" t="n">
        <v>0.0</v>
      </c>
    </row>
    <row r="805">
      <c r="A805" t="inlineStr">
        <is>
          <t>山东朋友推荐的，好好吃🥺忍不住……</t>
        </is>
      </c>
      <c r="B805" t="inlineStr">
        <is>
          <t>693f7f41000000001e026e27</t>
        </is>
      </c>
      <c r="C805" s="804" t="n">
        <f>HYPERLINK("https://www.xiaohongshu.com/explore/693f7f41000000001e026e27?xsec_token=TB1R2yju8ccr97WVPo1goJUOYgkTPvu0HR9X0r4UiwnvA=&amp;xsec_source=pc_trdark","https://www.xiaohongshu.com/explore/693f7f41000000001e026e27?xsec_token=TB1R2yju8ccr97WVPo1goJUOYgkTPvu0HR9X0r4UiwnvA=&amp;xsec_source=pc_trdark")</f>
        <v>0.0</v>
      </c>
      <c r="D805" t="inlineStr">
        <is>
          <t>鲜水湾</t>
        </is>
      </c>
      <c r="E805" t="inlineStr">
        <is>
          <t>49316638994</t>
        </is>
      </c>
      <c r="F805" t="inlineStr">
        <is>
          <t>2025-12-15 11:23:45</t>
        </is>
      </c>
      <c r="G805" t="inlineStr">
        <is>
          <t>图文</t>
        </is>
      </c>
      <c r="H805" t="inlineStr">
        <is>
          <t>生蚝乳山生蚝海蛎子顺丰包邮</t>
        </is>
      </c>
      <c r="I805" t="inlineStr">
        <is>
          <t>690c70971b787900010866cc</t>
        </is>
      </c>
      <c r="J805" t="inlineStr">
        <is>
          <t/>
        </is>
      </c>
      <c r="K805" t="n">
        <v>0.0</v>
      </c>
      <c r="L805" t="n">
        <v>0.0</v>
      </c>
      <c r="M805" t="n">
        <v>0.0</v>
      </c>
      <c r="N805" t="n">
        <v>0.0</v>
      </c>
      <c r="O805" t="n">
        <v>0.0</v>
      </c>
      <c r="P805" t="n">
        <v>0.0</v>
      </c>
      <c r="Q805" t="inlineStr">
        <is>
          <t/>
        </is>
      </c>
      <c r="R805" t="inlineStr">
        <is>
          <t/>
        </is>
      </c>
      <c r="S805" t="n">
        <v>0.0</v>
      </c>
      <c r="T805" t="n">
        <v>0.0</v>
      </c>
      <c r="U805" t="n">
        <v>0.0</v>
      </c>
      <c r="V805" t="n">
        <v>0.0</v>
      </c>
      <c r="W805" t="inlineStr">
        <is>
          <t/>
        </is>
      </c>
      <c r="X805" t="n">
        <v>0.0</v>
      </c>
      <c r="Y805" t="n">
        <v>0.0</v>
      </c>
      <c r="Z805" t="n">
        <v>0.0</v>
      </c>
      <c r="AA805" t="n">
        <v>0.0</v>
      </c>
      <c r="AB805" t="n">
        <v>0.0</v>
      </c>
      <c r="AC805" t="n">
        <v>0.0</v>
      </c>
      <c r="AD805" t="n">
        <v>1.0</v>
      </c>
      <c r="AE805" t="n">
        <v>0.0</v>
      </c>
      <c r="AF805" t="n">
        <v>0.0</v>
      </c>
      <c r="AG805" t="n">
        <v>0.0</v>
      </c>
      <c r="AH805" t="n">
        <v>1.0</v>
      </c>
      <c r="AI805" t="n">
        <v>0.0</v>
      </c>
      <c r="AJ805" t="n">
        <v>0.0</v>
      </c>
      <c r="AK805" t="n">
        <v>6.0</v>
      </c>
      <c r="AL805" t="inlineStr">
        <is>
          <t/>
        </is>
      </c>
    </row>
    <row r="806">
      <c r="A806" t="inlineStr">
        <is>
          <t>区区200多，承包了我整个月的减脂餐</t>
        </is>
      </c>
      <c r="B806" t="inlineStr">
        <is>
          <t>693d11c7000000001f00d4a6</t>
        </is>
      </c>
      <c r="C806" s="805" t="n">
        <f>HYPERLINK("https://www.xiaohongshu.com/explore/693d11c7000000001f00d4a6?xsec_token=TBz651BHP1Dr15NeLsAqSGPpHrcfQmPZ1RNBQG6o9sT3k=&amp;xsec_source=pc_trdark","https://www.xiaohongshu.com/explore/693d11c7000000001f00d4a6?xsec_token=TBz651BHP1Dr15NeLsAqSGPpHrcfQmPZ1RNBQG6o9sT3k=&amp;xsec_source=pc_trdark")</f>
        <v>0.0</v>
      </c>
      <c r="D806" t="inlineStr">
        <is>
          <t>鲜水湾</t>
        </is>
      </c>
      <c r="E806" t="inlineStr">
        <is>
          <t>49316638994</t>
        </is>
      </c>
      <c r="F806" t="inlineStr">
        <is>
          <t>2025-12-13 15:12:07</t>
        </is>
      </c>
      <c r="G806" t="inlineStr">
        <is>
          <t>图文</t>
        </is>
      </c>
      <c r="H806" t="inlineStr">
        <is>
          <t>智利三文鱼切块·整条三文鱼·深海鱼一人食健康饮食</t>
        </is>
      </c>
      <c r="I806" t="inlineStr">
        <is>
          <t>691ac562a524ee0001b51d7b</t>
        </is>
      </c>
      <c r="J806" t="inlineStr">
        <is>
          <t/>
        </is>
      </c>
      <c r="K806" t="n">
        <v>0.0</v>
      </c>
      <c r="L806" t="n">
        <v>0.0</v>
      </c>
      <c r="M806" t="n">
        <v>0.0</v>
      </c>
      <c r="N806" t="n">
        <v>0.0</v>
      </c>
      <c r="O806" t="n">
        <v>0.0</v>
      </c>
      <c r="P806" t="n">
        <v>0.0</v>
      </c>
      <c r="Q806" t="inlineStr">
        <is>
          <t/>
        </is>
      </c>
      <c r="R806" t="inlineStr">
        <is>
          <t/>
        </is>
      </c>
      <c r="S806" t="n">
        <v>0.0</v>
      </c>
      <c r="T806" t="n">
        <v>0.0</v>
      </c>
      <c r="U806" t="n">
        <v>0.0</v>
      </c>
      <c r="V806" t="n">
        <v>0.0</v>
      </c>
      <c r="W806" t="inlineStr">
        <is>
          <t/>
        </is>
      </c>
      <c r="X806" t="n">
        <v>0.0</v>
      </c>
      <c r="Y806" t="n">
        <v>0.0</v>
      </c>
      <c r="Z806" t="n">
        <v>0.0</v>
      </c>
      <c r="AA806" t="n">
        <v>0.0</v>
      </c>
      <c r="AB806" t="n">
        <v>0.0</v>
      </c>
      <c r="AC806" t="n">
        <v>0.0</v>
      </c>
      <c r="AD806" t="n">
        <v>1.0</v>
      </c>
      <c r="AE806" t="n">
        <v>0.0</v>
      </c>
      <c r="AF806" t="n">
        <v>0.0</v>
      </c>
      <c r="AG806" t="n">
        <v>0.0</v>
      </c>
      <c r="AH806" t="n">
        <v>0.0</v>
      </c>
      <c r="AI806" t="n">
        <v>0.0</v>
      </c>
      <c r="AJ806" t="n">
        <v>0.0</v>
      </c>
      <c r="AK806" t="n">
        <v>8.0</v>
      </c>
      <c r="AL806" t="inlineStr">
        <is>
          <t/>
        </is>
      </c>
    </row>
    <row r="807">
      <c r="A807" t="inlineStr">
        <is>
          <t>我的老天奶！40多买的乳山生蚝太好吃了！</t>
        </is>
      </c>
      <c r="B807" t="inlineStr">
        <is>
          <t>69367592000000001f00b9d5</t>
        </is>
      </c>
      <c r="C807" s="806" t="n">
        <f>HYPERLINK("https://www.xiaohongshu.com/explore/69367592000000001f00b9d5?xsec_token=TBlR01uRP0dY963Q_AxX8vHHkdu4G-K6XHvFrldCgAvmE=&amp;xsec_source=pc_trdark","https://www.xiaohongshu.com/explore/69367592000000001f00b9d5?xsec_token=TBlR01uRP0dY963Q_AxX8vHHkdu4G-K6XHvFrldCgAvmE=&amp;xsec_source=pc_trdark")</f>
        <v>0.0</v>
      </c>
      <c r="D807" t="inlineStr">
        <is>
          <t>婉婉上班吃什么</t>
        </is>
      </c>
      <c r="E807" t="inlineStr">
        <is>
          <t>11434449706</t>
        </is>
      </c>
      <c r="F807" t="inlineStr">
        <is>
          <t>2025-12-08 14:52:02</t>
        </is>
      </c>
      <c r="G807" t="inlineStr">
        <is>
          <t>视频</t>
        </is>
      </c>
      <c r="H807" t="inlineStr">
        <is>
          <t>生蚝乳山生蚝海蛎子顺丰包邮</t>
        </is>
      </c>
      <c r="I807" t="inlineStr">
        <is>
          <t>690c70971b787900010866cc</t>
        </is>
      </c>
      <c r="J807" t="n">
        <v>37.0</v>
      </c>
      <c r="K807" t="n">
        <v>0.0</v>
      </c>
      <c r="L807" t="n">
        <v>0.0</v>
      </c>
      <c r="M807" t="n">
        <v>0.0</v>
      </c>
      <c r="N807" t="n">
        <v>0.0</v>
      </c>
      <c r="O807" t="n">
        <v>0.0</v>
      </c>
      <c r="P807" t="n">
        <v>0.0</v>
      </c>
      <c r="Q807" t="inlineStr">
        <is>
          <t/>
        </is>
      </c>
      <c r="R807" t="inlineStr">
        <is>
          <t/>
        </is>
      </c>
      <c r="S807" t="n">
        <v>0.0</v>
      </c>
      <c r="T807" t="n">
        <v>0.0</v>
      </c>
      <c r="U807" t="n">
        <v>0.0</v>
      </c>
      <c r="V807" t="n">
        <v>0.0</v>
      </c>
      <c r="W807" t="inlineStr">
        <is>
          <t/>
        </is>
      </c>
      <c r="X807" t="n">
        <v>0.0</v>
      </c>
      <c r="Y807" t="n">
        <v>0.0</v>
      </c>
      <c r="Z807" t="n">
        <v>0.0</v>
      </c>
      <c r="AA807" t="n">
        <v>0.0</v>
      </c>
      <c r="AB807" t="n">
        <v>0.0</v>
      </c>
      <c r="AC807" t="n">
        <v>0.0</v>
      </c>
      <c r="AD807" t="n">
        <v>1.0</v>
      </c>
      <c r="AE807" t="n">
        <v>0.0</v>
      </c>
      <c r="AF807" t="n">
        <v>0.0</v>
      </c>
      <c r="AG807" t="n">
        <v>0.0</v>
      </c>
      <c r="AH807" t="n">
        <v>0.0</v>
      </c>
      <c r="AI807" t="n">
        <v>0.0</v>
      </c>
      <c r="AJ807" t="n">
        <v>0.0</v>
      </c>
      <c r="AK807" t="n">
        <v>7.0</v>
      </c>
      <c r="AL807" t="n">
        <v>0.0</v>
      </c>
    </row>
    <row r="808">
      <c r="A808" t="inlineStr">
        <is>
          <t>这么大的生蚝你能吃几只？</t>
        </is>
      </c>
      <c r="B808" t="inlineStr">
        <is>
          <t>6925cf4b000000001e03bc4d</t>
        </is>
      </c>
      <c r="C808" s="807" t="n">
        <f>HYPERLINK("https://www.xiaohongshu.com/explore/6925cf4b000000001e03bc4d?xsec_token=TBVx22ZAFho_bBgysCIliGP2k3jP77PzJI8Ic3cm6L0jk=&amp;xsec_source=pc_trdark","https://www.xiaohongshu.com/explore/6925cf4b000000001e03bc4d?xsec_token=TBVx22ZAFho_bBgysCIliGP2k3jP77PzJI8Ic3cm6L0jk=&amp;xsec_source=pc_trdark")</f>
        <v>0.0</v>
      </c>
      <c r="D808" t="inlineStr">
        <is>
          <t>婉婉上班吃什么</t>
        </is>
      </c>
      <c r="E808" t="inlineStr">
        <is>
          <t>11434449706</t>
        </is>
      </c>
      <c r="F808" t="inlineStr">
        <is>
          <t>2025-11-25 23:46:19</t>
        </is>
      </c>
      <c r="G808" t="inlineStr">
        <is>
          <t>视频</t>
        </is>
      </c>
      <c r="H808" t="inlineStr">
        <is>
          <t>生蚝乳山生蚝海蛎子顺丰包邮</t>
        </is>
      </c>
      <c r="I808" t="inlineStr">
        <is>
          <t>690c70971b787900010866cc</t>
        </is>
      </c>
      <c r="J808" t="n">
        <v>16.0</v>
      </c>
      <c r="K808" t="n">
        <v>0.0</v>
      </c>
      <c r="L808" t="n">
        <v>0.0</v>
      </c>
      <c r="M808" t="n">
        <v>0.0</v>
      </c>
      <c r="N808" t="n">
        <v>0.0</v>
      </c>
      <c r="O808" t="n">
        <v>0.0</v>
      </c>
      <c r="P808" t="n">
        <v>0.0</v>
      </c>
      <c r="Q808" t="inlineStr">
        <is>
          <t/>
        </is>
      </c>
      <c r="R808" t="inlineStr">
        <is>
          <t/>
        </is>
      </c>
      <c r="S808" t="n">
        <v>0.0</v>
      </c>
      <c r="T808" t="n">
        <v>0.0</v>
      </c>
      <c r="U808" t="n">
        <v>0.0</v>
      </c>
      <c r="V808" t="n">
        <v>0.0</v>
      </c>
      <c r="W808" t="inlineStr">
        <is>
          <t/>
        </is>
      </c>
      <c r="X808" t="n">
        <v>0.0</v>
      </c>
      <c r="Y808" t="n">
        <v>0.0</v>
      </c>
      <c r="Z808" t="n">
        <v>0.0</v>
      </c>
      <c r="AA808" t="n">
        <v>0.0</v>
      </c>
      <c r="AB808" t="n">
        <v>0.0</v>
      </c>
      <c r="AC808" t="n">
        <v>0.0</v>
      </c>
      <c r="AD808" t="n">
        <v>1.0</v>
      </c>
      <c r="AE808" t="n">
        <v>0.0</v>
      </c>
      <c r="AF808" t="n">
        <v>0.0</v>
      </c>
      <c r="AG808" t="n">
        <v>0.0</v>
      </c>
      <c r="AH808" t="n">
        <v>0.0</v>
      </c>
      <c r="AI808" t="n">
        <v>0.0</v>
      </c>
      <c r="AJ808" t="n">
        <v>0.0</v>
      </c>
      <c r="AK808" t="n">
        <v>0.0</v>
      </c>
      <c r="AL808" t="n">
        <v>0.0</v>
      </c>
    </row>
    <row r="809">
      <c r="A809" t="inlineStr">
        <is>
          <t>这么大的生蚝你能吃几个？</t>
        </is>
      </c>
      <c r="B809" t="inlineStr">
        <is>
          <t>691fc5ba000000000d00dc1c</t>
        </is>
      </c>
      <c r="C809" s="808" t="n">
        <f>HYPERLINK("https://www.xiaohongshu.com/explore/691fc5ba000000000d00dc1c?xsec_token=TB9t7o6BDguR_qahx6dS5pPXFWnUerXqHlE57ibpG65j0=&amp;xsec_source=pc_trdark","https://www.xiaohongshu.com/explore/691fc5ba000000000d00dc1c?xsec_token=TB9t7o6BDguR_qahx6dS5pPXFWnUerXqHlE57ibpG65j0=&amp;xsec_source=pc_trdark")</f>
        <v>0.0</v>
      </c>
      <c r="D809" t="inlineStr">
        <is>
          <t>婉婉上班吃什么</t>
        </is>
      </c>
      <c r="E809" t="inlineStr">
        <is>
          <t>11434449706</t>
        </is>
      </c>
      <c r="F809" t="inlineStr">
        <is>
          <t>2025-11-21 09:51:54</t>
        </is>
      </c>
      <c r="G809" t="inlineStr">
        <is>
          <t>视频</t>
        </is>
      </c>
      <c r="H809" t="inlineStr">
        <is>
          <t>生蚝乳山生蚝海蛎子顺丰包邮</t>
        </is>
      </c>
      <c r="I809" t="inlineStr">
        <is>
          <t>690c70971b787900010866cc</t>
        </is>
      </c>
      <c r="J809" t="n">
        <v>16.0</v>
      </c>
      <c r="K809" t="n">
        <v>0.0</v>
      </c>
      <c r="L809" t="n">
        <v>0.0</v>
      </c>
      <c r="M809" t="n">
        <v>0.0</v>
      </c>
      <c r="N809" t="n">
        <v>0.0</v>
      </c>
      <c r="O809" t="n">
        <v>0.0</v>
      </c>
      <c r="P809" t="n">
        <v>0.0</v>
      </c>
      <c r="Q809" t="inlineStr">
        <is>
          <t/>
        </is>
      </c>
      <c r="R809" t="inlineStr">
        <is>
          <t/>
        </is>
      </c>
      <c r="S809" t="n">
        <v>0.0</v>
      </c>
      <c r="T809" t="n">
        <v>0.0</v>
      </c>
      <c r="U809" t="n">
        <v>0.0</v>
      </c>
      <c r="V809" t="n">
        <v>0.0</v>
      </c>
      <c r="W809" t="inlineStr">
        <is>
          <t/>
        </is>
      </c>
      <c r="X809" t="n">
        <v>0.0</v>
      </c>
      <c r="Y809" t="n">
        <v>0.0</v>
      </c>
      <c r="Z809" t="n">
        <v>0.0</v>
      </c>
      <c r="AA809" t="n">
        <v>0.0</v>
      </c>
      <c r="AB809" t="n">
        <v>0.0</v>
      </c>
      <c r="AC809" t="n">
        <v>0.0</v>
      </c>
      <c r="AD809" t="n">
        <v>1.0</v>
      </c>
      <c r="AE809" t="n">
        <v>0.0</v>
      </c>
      <c r="AF809" t="n">
        <v>0.0</v>
      </c>
      <c r="AG809" t="n">
        <v>0.0</v>
      </c>
      <c r="AH809" t="n">
        <v>0.0</v>
      </c>
      <c r="AI809" t="n">
        <v>0.0</v>
      </c>
      <c r="AJ809" t="n">
        <v>0.0</v>
      </c>
      <c r="AK809" t="n">
        <v>10.0</v>
      </c>
      <c r="AL809" t="n">
        <v>0.0</v>
      </c>
    </row>
    <row r="810">
      <c r="A810" t="inlineStr">
        <is>
          <t>没招了，我爸让我在网上卖生蚝，谁买啊🥲</t>
        </is>
      </c>
      <c r="B810" t="inlineStr">
        <is>
          <t>691c462f000000001e007a24</t>
        </is>
      </c>
      <c r="C810" s="809" t="n">
        <f>HYPERLINK("https://www.xiaohongshu.com/explore/691c462f000000001e007a24?xsec_token=TBIS8v-01Optb7rxCGgHk_CUD45soF8KRG4e2bLv4cw1c=&amp;xsec_source=pc_trdark","https://www.xiaohongshu.com/explore/691c462f000000001e007a24?xsec_token=TBIS8v-01Optb7rxCGgHk_CUD45soF8KRG4e2bLv4cw1c=&amp;xsec_source=pc_trdark")</f>
        <v>0.0</v>
      </c>
      <c r="D810" t="inlineStr">
        <is>
          <t>婉婉上班吃什么</t>
        </is>
      </c>
      <c r="E810" t="inlineStr">
        <is>
          <t>11434449706</t>
        </is>
      </c>
      <c r="F810" t="inlineStr">
        <is>
          <t>2025-11-18 19:10:50</t>
        </is>
      </c>
      <c r="G810" t="inlineStr">
        <is>
          <t>视频</t>
        </is>
      </c>
      <c r="H810" t="inlineStr">
        <is>
          <t>生蚝乳山生蚝海蛎子顺丰包邮</t>
        </is>
      </c>
      <c r="I810" t="inlineStr">
        <is>
          <t>690c70971b787900010866cc</t>
        </is>
      </c>
      <c r="J810" t="n">
        <v>28.0</v>
      </c>
      <c r="K810" t="n">
        <v>0.0</v>
      </c>
      <c r="L810" t="n">
        <v>0.0</v>
      </c>
      <c r="M810" t="n">
        <v>0.0</v>
      </c>
      <c r="N810" t="n">
        <v>0.0</v>
      </c>
      <c r="O810" t="n">
        <v>0.0</v>
      </c>
      <c r="P810" t="n">
        <v>0.0</v>
      </c>
      <c r="Q810" t="inlineStr">
        <is>
          <t/>
        </is>
      </c>
      <c r="R810" t="inlineStr">
        <is>
          <t/>
        </is>
      </c>
      <c r="S810" t="n">
        <v>0.0</v>
      </c>
      <c r="T810" t="n">
        <v>0.0</v>
      </c>
      <c r="U810" t="n">
        <v>0.0</v>
      </c>
      <c r="V810" t="n">
        <v>0.0</v>
      </c>
      <c r="W810" t="inlineStr">
        <is>
          <t/>
        </is>
      </c>
      <c r="X810" t="n">
        <v>0.0</v>
      </c>
      <c r="Y810" t="n">
        <v>0.0</v>
      </c>
      <c r="Z810" t="n">
        <v>0.0</v>
      </c>
      <c r="AA810" t="n">
        <v>0.0</v>
      </c>
      <c r="AB810" t="n">
        <v>0.0</v>
      </c>
      <c r="AC810" t="n">
        <v>0.0</v>
      </c>
      <c r="AD810" t="n">
        <v>1.0</v>
      </c>
      <c r="AE810" t="n">
        <v>0.0</v>
      </c>
      <c r="AF810" t="n">
        <v>0.0</v>
      </c>
      <c r="AG810" t="n">
        <v>0.0</v>
      </c>
      <c r="AH810" t="n">
        <v>0.0</v>
      </c>
      <c r="AI810" t="n">
        <v>0.0</v>
      </c>
      <c r="AJ810" t="n">
        <v>0.0</v>
      </c>
      <c r="AK810" t="n">
        <v>25.0</v>
      </c>
      <c r="AL810" t="n">
        <v>0.0</v>
      </c>
    </row>
    <row r="811">
      <c r="A811" t="inlineStr">
        <is>
          <t>不要低估50💰的购买力，敞开吃吧……</t>
        </is>
      </c>
      <c r="B811" t="inlineStr">
        <is>
          <t>6916f37a00000000050114f9</t>
        </is>
      </c>
      <c r="C811" s="810" t="n">
        <f>HYPERLINK("https://www.xiaohongshu.com/explore/6916f37a00000000050114f9?xsec_token=TBHZiehrAOyLGw_5sWYDTDSTqbGta5UKl_XO9bysarN8A=&amp;xsec_source=pc_trdark","https://www.xiaohongshu.com/explore/6916f37a00000000050114f9?xsec_token=TBHZiehrAOyLGw_5sWYDTDSTqbGta5UKl_XO9bysarN8A=&amp;xsec_source=pc_trdark")</f>
        <v>0.0</v>
      </c>
      <c r="D811" t="inlineStr">
        <is>
          <t>婉婉上班吃什么</t>
        </is>
      </c>
      <c r="E811" t="inlineStr">
        <is>
          <t>11434449706</t>
        </is>
      </c>
      <c r="F811" t="inlineStr">
        <is>
          <t>2025-11-14 18:16:26</t>
        </is>
      </c>
      <c r="G811" t="inlineStr">
        <is>
          <t>视频</t>
        </is>
      </c>
      <c r="H811" t="inlineStr">
        <is>
          <t>生蚝乳山生蚝海蛎子顺丰包邮</t>
        </is>
      </c>
      <c r="I811" t="inlineStr">
        <is>
          <t>690c70971b787900010866cc</t>
        </is>
      </c>
      <c r="J811" t="n">
        <v>23.0</v>
      </c>
      <c r="K811" t="n">
        <v>0.0</v>
      </c>
      <c r="L811" t="n">
        <v>0.0</v>
      </c>
      <c r="M811" t="n">
        <v>0.0</v>
      </c>
      <c r="N811" t="n">
        <v>0.0</v>
      </c>
      <c r="O811" t="n">
        <v>0.0</v>
      </c>
      <c r="P811" t="n">
        <v>0.0</v>
      </c>
      <c r="Q811" t="inlineStr">
        <is>
          <t/>
        </is>
      </c>
      <c r="R811" t="inlineStr">
        <is>
          <t/>
        </is>
      </c>
      <c r="S811" t="n">
        <v>0.0</v>
      </c>
      <c r="T811" t="n">
        <v>0.0</v>
      </c>
      <c r="U811" t="n">
        <v>0.0</v>
      </c>
      <c r="V811" t="n">
        <v>0.0</v>
      </c>
      <c r="W811" t="inlineStr">
        <is>
          <t/>
        </is>
      </c>
      <c r="X811" t="n">
        <v>0.0</v>
      </c>
      <c r="Y811" t="n">
        <v>0.0</v>
      </c>
      <c r="Z811" t="n">
        <v>0.0</v>
      </c>
      <c r="AA811" t="n">
        <v>0.0</v>
      </c>
      <c r="AB811" t="n">
        <v>0.0</v>
      </c>
      <c r="AC811" t="n">
        <v>0.0</v>
      </c>
      <c r="AD811" t="n">
        <v>1.0</v>
      </c>
      <c r="AE811" t="n">
        <v>0.0</v>
      </c>
      <c r="AF811" t="n">
        <v>0.0</v>
      </c>
      <c r="AG811" t="n">
        <v>0.0</v>
      </c>
      <c r="AH811" t="n">
        <v>0.0</v>
      </c>
      <c r="AI811" t="n">
        <v>0.0</v>
      </c>
      <c r="AJ811" t="n">
        <v>0.0</v>
      </c>
      <c r="AK811" t="n">
        <v>1.0</v>
      </c>
      <c r="AL811" t="n">
        <v>0.0</v>
      </c>
    </row>
    <row r="812">
      <c r="A812" t="inlineStr">
        <is>
          <t>备孕姐妹冲！我家冷水蚝 59.9 元 5 斤</t>
        </is>
      </c>
      <c r="B812" t="inlineStr">
        <is>
          <t>6915949e000000000703b57a</t>
        </is>
      </c>
      <c r="C812" s="811" t="n">
        <f>HYPERLINK("https://www.xiaohongshu.com/explore/6915949e000000000703b57a?xsec_token=TBAg-veJq-9HvX6LdnoJFXah9og5KD9gcwieVsF90eyPI=&amp;xsec_source=pc_trdark","https://www.xiaohongshu.com/explore/6915949e000000000703b57a?xsec_token=TBAg-veJq-9HvX6LdnoJFXah9og5KD9gcwieVsF90eyPI=&amp;xsec_source=pc_trdark")</f>
        <v>0.0</v>
      </c>
      <c r="D812" t="inlineStr">
        <is>
          <t>婉婉上班吃什么</t>
        </is>
      </c>
      <c r="E812" t="inlineStr">
        <is>
          <t>11434449706</t>
        </is>
      </c>
      <c r="F812" t="inlineStr">
        <is>
          <t>2025-11-13 16:19:42</t>
        </is>
      </c>
      <c r="G812" t="inlineStr">
        <is>
          <t>视频</t>
        </is>
      </c>
      <c r="H812" t="inlineStr">
        <is>
          <t>生蚝乳山生蚝海蛎子顺丰包邮</t>
        </is>
      </c>
      <c r="I812" t="inlineStr">
        <is>
          <t>690c70971b787900010866cc</t>
        </is>
      </c>
      <c r="J812" t="n">
        <v>14.0</v>
      </c>
      <c r="K812" t="n">
        <v>0.0</v>
      </c>
      <c r="L812" t="n">
        <v>0.0</v>
      </c>
      <c r="M812" t="n">
        <v>0.0</v>
      </c>
      <c r="N812" t="n">
        <v>0.0</v>
      </c>
      <c r="O812" t="n">
        <v>0.0</v>
      </c>
      <c r="P812" t="n">
        <v>0.0</v>
      </c>
      <c r="Q812" t="inlineStr">
        <is>
          <t/>
        </is>
      </c>
      <c r="R812" t="inlineStr">
        <is>
          <t/>
        </is>
      </c>
      <c r="S812" t="n">
        <v>0.0</v>
      </c>
      <c r="T812" t="n">
        <v>0.0</v>
      </c>
      <c r="U812" t="n">
        <v>0.0</v>
      </c>
      <c r="V812" t="n">
        <v>0.0</v>
      </c>
      <c r="W812" t="inlineStr">
        <is>
          <t/>
        </is>
      </c>
      <c r="X812" t="n">
        <v>0.0</v>
      </c>
      <c r="Y812" t="n">
        <v>0.0</v>
      </c>
      <c r="Z812" t="n">
        <v>0.0</v>
      </c>
      <c r="AA812" t="n">
        <v>0.0</v>
      </c>
      <c r="AB812" t="n">
        <v>0.0</v>
      </c>
      <c r="AC812" t="n">
        <v>0.0</v>
      </c>
      <c r="AD812" t="n">
        <v>1.0</v>
      </c>
      <c r="AE812" t="n">
        <v>0.0</v>
      </c>
      <c r="AF812" t="n">
        <v>0.0</v>
      </c>
      <c r="AG812" t="n">
        <v>0.0</v>
      </c>
      <c r="AH812" t="n">
        <v>0.0</v>
      </c>
      <c r="AI812" t="n">
        <v>0.0</v>
      </c>
      <c r="AJ812" t="n">
        <v>0.0</v>
      </c>
      <c r="AK812" t="n">
        <v>1.0</v>
      </c>
      <c r="AL812" t="n">
        <v>0.0</v>
      </c>
    </row>
    <row r="813">
      <c r="A813" t="inlineStr">
        <is>
          <t>独居打工人下班，一餐一包才是腔调！！</t>
        </is>
      </c>
      <c r="B813" t="inlineStr">
        <is>
          <t>6a6b2f540000000032033f32</t>
        </is>
      </c>
      <c r="C813" s="812" t="n">
        <f>HYPERLINK("https://www.xiaohongshu.com/explore/6a6b2f540000000032033f32?xsec_token=TBHA1sOilTIahikB8-qFTo9iyTFPOgrehqIsbHslFbXBs=&amp;xsec_source=pc_trdark","https://www.xiaohongshu.com/explore/6a6b2f540000000032033f32?xsec_token=TBHA1sOilTIahikB8-qFTo9iyTFPOgrehqIsbHslFbXBs=&amp;xsec_source=pc_trdark")</f>
        <v>0.0</v>
      </c>
      <c r="D813" t="inlineStr">
        <is>
          <t>鲜水湾甄选</t>
        </is>
      </c>
      <c r="E813" t="inlineStr">
        <is>
          <t>27401929161</t>
        </is>
      </c>
      <c r="F813" t="inlineStr">
        <is>
          <t>2026-07-30 19:02:44</t>
        </is>
      </c>
      <c r="G813" t="inlineStr">
        <is>
          <t>图文</t>
        </is>
      </c>
      <c r="H813" t="inlineStr">
        <is>
          <t/>
        </is>
      </c>
      <c r="I813" t="inlineStr">
        <is>
          <t/>
        </is>
      </c>
      <c r="J813" t="inlineStr">
        <is>
          <t/>
        </is>
      </c>
      <c r="K813" t="n">
        <v>0.0</v>
      </c>
      <c r="L813" t="n">
        <v>0.0</v>
      </c>
      <c r="M813" t="n">
        <v>0.0</v>
      </c>
      <c r="N813" t="inlineStr">
        <is>
          <t/>
        </is>
      </c>
      <c r="O813" t="n">
        <v>0.0</v>
      </c>
      <c r="P813" t="n">
        <v>0.0</v>
      </c>
      <c r="Q813" t="inlineStr">
        <is>
          <t/>
        </is>
      </c>
      <c r="R813" t="inlineStr">
        <is>
          <t/>
        </is>
      </c>
      <c r="S813" t="n">
        <v>0.0</v>
      </c>
      <c r="T813" t="n">
        <v>0.0</v>
      </c>
      <c r="U813" t="n">
        <v>0.0</v>
      </c>
      <c r="V813" t="n">
        <v>0.0</v>
      </c>
      <c r="W813" t="inlineStr">
        <is>
          <t/>
        </is>
      </c>
      <c r="X813" t="n">
        <v>0.0</v>
      </c>
      <c r="Y813" t="n">
        <v>0.0</v>
      </c>
      <c r="Z813" t="n">
        <v>0.0</v>
      </c>
      <c r="AA813" t="n">
        <v>0.0</v>
      </c>
      <c r="AB813" t="n">
        <v>0.0</v>
      </c>
      <c r="AC813" t="n">
        <v>0.0</v>
      </c>
      <c r="AD813" t="n">
        <v>0.0</v>
      </c>
      <c r="AE813" t="n">
        <v>0.0</v>
      </c>
      <c r="AF813" t="n">
        <v>0.0</v>
      </c>
      <c r="AG813" t="n">
        <v>0.0</v>
      </c>
      <c r="AH813" t="n">
        <v>0.0</v>
      </c>
      <c r="AI813" t="n">
        <v>0.0</v>
      </c>
      <c r="AJ813" t="n">
        <v>0.0</v>
      </c>
      <c r="AK813" t="inlineStr">
        <is>
          <t/>
        </is>
      </c>
      <c r="AL813" t="inlineStr">
        <is>
          <t/>
        </is>
      </c>
    </row>
    <row r="814">
      <c r="A814" t="inlineStr">
        <is>
          <t>你听我说，控体期女孩子多吃点蛋白质！！！</t>
        </is>
      </c>
      <c r="B814" t="inlineStr">
        <is>
          <t>6a6acdf50000000011017233</t>
        </is>
      </c>
      <c r="C814" s="813" t="n">
        <f>HYPERLINK("https://www.xiaohongshu.com/explore/6a6acdf50000000011017233?xsec_token=TBlqVLEFjND1igtxhsDYFb6IrJl-m0zu3C3GFbplox4mI=&amp;xsec_source=pc_trdark","https://www.xiaohongshu.com/explore/6a6acdf50000000011017233?xsec_token=TBlqVLEFjND1igtxhsDYFb6IrJl-m0zu3C3GFbplox4mI=&amp;xsec_source=pc_trdark")</f>
        <v>0.0</v>
      </c>
      <c r="D814" t="inlineStr">
        <is>
          <t>鲜水湾甄选</t>
        </is>
      </c>
      <c r="E814" t="inlineStr">
        <is>
          <t>27401929161</t>
        </is>
      </c>
      <c r="F814" t="inlineStr">
        <is>
          <t>2026-07-30 12:07:17</t>
        </is>
      </c>
      <c r="G814" t="inlineStr">
        <is>
          <t>图文</t>
        </is>
      </c>
      <c r="H814" t="inlineStr">
        <is>
          <t>手剥虾仁 无冰衣无添加 低脂餐一人食 上班带饭 顺丰包邮 5盒装</t>
        </is>
      </c>
      <c r="I814" t="inlineStr">
        <is>
          <t>694baba01d450d00013662f0</t>
        </is>
      </c>
      <c r="J814" t="inlineStr">
        <is>
          <t/>
        </is>
      </c>
      <c r="K814" t="n">
        <v>0.0</v>
      </c>
      <c r="L814" t="n">
        <v>0.0</v>
      </c>
      <c r="M814" t="n">
        <v>0.0</v>
      </c>
      <c r="N814" t="inlineStr">
        <is>
          <t/>
        </is>
      </c>
      <c r="O814" t="n">
        <v>0.0</v>
      </c>
      <c r="P814" t="n">
        <v>0.0</v>
      </c>
      <c r="Q814" t="inlineStr">
        <is>
          <t/>
        </is>
      </c>
      <c r="R814" t="inlineStr">
        <is>
          <t/>
        </is>
      </c>
      <c r="S814" t="n">
        <v>0.0</v>
      </c>
      <c r="T814" t="n">
        <v>0.0</v>
      </c>
      <c r="U814" t="n">
        <v>0.0</v>
      </c>
      <c r="V814" t="n">
        <v>0.0</v>
      </c>
      <c r="W814" t="inlineStr">
        <is>
          <t/>
        </is>
      </c>
      <c r="X814" t="n">
        <v>0.0</v>
      </c>
      <c r="Y814" t="n">
        <v>0.0</v>
      </c>
      <c r="Z814" t="n">
        <v>0.0</v>
      </c>
      <c r="AA814" t="n">
        <v>0.0</v>
      </c>
      <c r="AB814" t="n">
        <v>0.0</v>
      </c>
      <c r="AC814" t="n">
        <v>0.0</v>
      </c>
      <c r="AD814" t="n">
        <v>0.0</v>
      </c>
      <c r="AE814" t="n">
        <v>0.0</v>
      </c>
      <c r="AF814" t="n">
        <v>0.0</v>
      </c>
      <c r="AG814" t="n">
        <v>0.0</v>
      </c>
      <c r="AH814" t="n">
        <v>0.0</v>
      </c>
      <c r="AI814" t="n">
        <v>0.0</v>
      </c>
      <c r="AJ814" t="n">
        <v>0.0</v>
      </c>
      <c r="AK814" t="inlineStr">
        <is>
          <t/>
        </is>
      </c>
      <c r="AL814" t="inlineStr">
        <is>
          <t/>
        </is>
      </c>
    </row>
    <row r="815">
      <c r="A815" t="inlineStr">
        <is>
          <t>夏日减脂真不贵，69承包我一周减脂餐！</t>
        </is>
      </c>
      <c r="B815" t="inlineStr">
        <is>
          <t>6a69bb1d000000000f028e36</t>
        </is>
      </c>
      <c r="C815" s="814" t="n">
        <f>HYPERLINK("https://www.xiaohongshu.com/explore/6a69bb1d000000000f028e36?xsec_token=TBJ6ASIbBevmLmI2amyjDnmUa4FrTRkMeL8BHjcn_G-Ik=&amp;xsec_source=pc_trdark","https://www.xiaohongshu.com/explore/6a69bb1d000000000f028e36?xsec_token=TBJ6ASIbBevmLmI2amyjDnmUa4FrTRkMeL8BHjcn_G-Ik=&amp;xsec_source=pc_trdark")</f>
        <v>0.0</v>
      </c>
      <c r="D815" t="inlineStr">
        <is>
          <t>鲜水湾甄选</t>
        </is>
      </c>
      <c r="E815" t="inlineStr">
        <is>
          <t>27401929161</t>
        </is>
      </c>
      <c r="F815" t="inlineStr">
        <is>
          <t>2026-07-29 16:34:37</t>
        </is>
      </c>
      <c r="G815" t="inlineStr">
        <is>
          <t>图文</t>
        </is>
      </c>
      <c r="H815" t="inlineStr">
        <is>
          <t>手剥虾仁 无冰衣无添加 低脂餐一人食 上班带饭 顺丰包邮 5盒装</t>
        </is>
      </c>
      <c r="I815" t="inlineStr">
        <is>
          <t>694baba01d450d00013662f0</t>
        </is>
      </c>
      <c r="J815" t="inlineStr">
        <is>
          <t/>
        </is>
      </c>
      <c r="K815" t="n">
        <v>0.0</v>
      </c>
      <c r="L815" t="n">
        <v>0.0</v>
      </c>
      <c r="M815" t="n">
        <v>0.0</v>
      </c>
      <c r="N815" t="inlineStr">
        <is>
          <t/>
        </is>
      </c>
      <c r="O815" t="n">
        <v>0.0</v>
      </c>
      <c r="P815" t="n">
        <v>0.0</v>
      </c>
      <c r="Q815" t="inlineStr">
        <is>
          <t/>
        </is>
      </c>
      <c r="R815" t="inlineStr">
        <is>
          <t/>
        </is>
      </c>
      <c r="S815" t="n">
        <v>0.0</v>
      </c>
      <c r="T815" t="n">
        <v>0.0</v>
      </c>
      <c r="U815" t="n">
        <v>0.0</v>
      </c>
      <c r="V815" t="n">
        <v>0.0</v>
      </c>
      <c r="W815" t="inlineStr">
        <is>
          <t/>
        </is>
      </c>
      <c r="X815" t="n">
        <v>0.0</v>
      </c>
      <c r="Y815" t="n">
        <v>0.0</v>
      </c>
      <c r="Z815" t="n">
        <v>0.0</v>
      </c>
      <c r="AA815" t="n">
        <v>0.0</v>
      </c>
      <c r="AB815" t="n">
        <v>0.0</v>
      </c>
      <c r="AC815" t="n">
        <v>0.0</v>
      </c>
      <c r="AD815" t="n">
        <v>0.0</v>
      </c>
      <c r="AE815" t="n">
        <v>0.0</v>
      </c>
      <c r="AF815" t="n">
        <v>0.0</v>
      </c>
      <c r="AG815" t="n">
        <v>0.0</v>
      </c>
      <c r="AH815" t="n">
        <v>0.0</v>
      </c>
      <c r="AI815" t="n">
        <v>0.0</v>
      </c>
      <c r="AJ815" t="n">
        <v>0.0</v>
      </c>
      <c r="AK815" t="inlineStr">
        <is>
          <t/>
        </is>
      </c>
      <c r="AL815" t="inlineStr">
        <is>
          <t/>
        </is>
      </c>
    </row>
    <row r="816">
      <c r="A816" t="inlineStr">
        <is>
          <t>不敢相信😱100块承包了我十顿轻食餐</t>
        </is>
      </c>
      <c r="B816" t="inlineStr">
        <is>
          <t>6a68afa2000000000f005b35</t>
        </is>
      </c>
      <c r="C816" s="815" t="n">
        <f>HYPERLINK("https://www.xiaohongshu.com/explore/6a68afa2000000000f005b35?xsec_token=TBuVqV6OAJJIOGGQlO2UOOSM7v4RBQ06nRKCNEYvHUhk0=&amp;xsec_source=pc_trdark","https://www.xiaohongshu.com/explore/6a68afa2000000000f005b35?xsec_token=TBuVqV6OAJJIOGGQlO2UOOSM7v4RBQ06nRKCNEYvHUhk0=&amp;xsec_source=pc_trdark")</f>
        <v>0.0</v>
      </c>
      <c r="D816" t="inlineStr">
        <is>
          <t>鲜水湾甄选</t>
        </is>
      </c>
      <c r="E816" t="inlineStr">
        <is>
          <t>27401929161</t>
        </is>
      </c>
      <c r="F816" t="inlineStr">
        <is>
          <t>2026-07-28 21:33:22</t>
        </is>
      </c>
      <c r="G816" t="inlineStr">
        <is>
          <t>图文</t>
        </is>
      </c>
      <c r="H816" t="inlineStr">
        <is>
          <t>手剥虾仁 无冰衣无添加 低脂餐一人食 上班带饭 顺丰包邮 5盒装</t>
        </is>
      </c>
      <c r="I816" t="inlineStr">
        <is>
          <t>694baba01d450d00013662f0</t>
        </is>
      </c>
      <c r="J816" t="inlineStr">
        <is>
          <t/>
        </is>
      </c>
      <c r="K816" t="n">
        <v>0.0</v>
      </c>
      <c r="L816" t="n">
        <v>0.0</v>
      </c>
      <c r="M816" t="n">
        <v>0.0</v>
      </c>
      <c r="N816" t="inlineStr">
        <is>
          <t/>
        </is>
      </c>
      <c r="O816" t="n">
        <v>0.0</v>
      </c>
      <c r="P816" t="n">
        <v>0.0</v>
      </c>
      <c r="Q816" t="inlineStr">
        <is>
          <t/>
        </is>
      </c>
      <c r="R816" t="inlineStr">
        <is>
          <t/>
        </is>
      </c>
      <c r="S816" t="n">
        <v>0.0</v>
      </c>
      <c r="T816" t="n">
        <v>0.0</v>
      </c>
      <c r="U816" t="n">
        <v>0.0</v>
      </c>
      <c r="V816" t="n">
        <v>0.0</v>
      </c>
      <c r="W816" t="inlineStr">
        <is>
          <t/>
        </is>
      </c>
      <c r="X816" t="n">
        <v>0.0</v>
      </c>
      <c r="Y816" t="n">
        <v>0.0</v>
      </c>
      <c r="Z816" t="n">
        <v>0.0</v>
      </c>
      <c r="AA816" t="n">
        <v>0.0</v>
      </c>
      <c r="AB816" t="n">
        <v>0.0</v>
      </c>
      <c r="AC816" t="n">
        <v>0.0</v>
      </c>
      <c r="AD816" t="n">
        <v>0.0</v>
      </c>
      <c r="AE816" t="n">
        <v>0.0</v>
      </c>
      <c r="AF816" t="n">
        <v>0.0</v>
      </c>
      <c r="AG816" t="n">
        <v>0.0</v>
      </c>
      <c r="AH816" t="n">
        <v>0.0</v>
      </c>
      <c r="AI816" t="n">
        <v>0.0</v>
      </c>
      <c r="AJ816" t="n">
        <v>0.0</v>
      </c>
      <c r="AK816" t="inlineStr">
        <is>
          <t/>
        </is>
      </c>
      <c r="AL816" t="inlineStr">
        <is>
          <t/>
        </is>
      </c>
    </row>
    <row r="817">
      <c r="A817" t="inlineStr">
        <is>
          <t>带饭坚持下来，打工人真的离不开这一餐</t>
        </is>
      </c>
      <c r="B817" t="inlineStr">
        <is>
          <t>6a689a09000000000f004561</t>
        </is>
      </c>
      <c r="C817" s="816" t="n">
        <f>HYPERLINK("https://www.xiaohongshu.com/explore/6a689a09000000000f004561?xsec_token=TBuVqV6OAJJIOGGQlO2UOOSO_nZ8NGzCWsUmtYO7sswVY=&amp;xsec_source=pc_trdark","https://www.xiaohongshu.com/explore/6a689a09000000000f004561?xsec_token=TBuVqV6OAJJIOGGQlO2UOOSO_nZ8NGzCWsUmtYO7sswVY=&amp;xsec_source=pc_trdark")</f>
        <v>0.0</v>
      </c>
      <c r="D817" t="inlineStr">
        <is>
          <t>鲜水湾甄选</t>
        </is>
      </c>
      <c r="E817" t="inlineStr">
        <is>
          <t>27401929161</t>
        </is>
      </c>
      <c r="F817" t="inlineStr">
        <is>
          <t>2026-07-28 20:01:13</t>
        </is>
      </c>
      <c r="G817" t="inlineStr">
        <is>
          <t>图文</t>
        </is>
      </c>
      <c r="H817" t="inlineStr">
        <is>
          <t>手剥虾仁 无冰衣无添加 低脂餐一人食 上班带饭 顺丰包邮 5盒装</t>
        </is>
      </c>
      <c r="I817" t="inlineStr">
        <is>
          <t>694baba01d450d00013662f0</t>
        </is>
      </c>
      <c r="J817" t="inlineStr">
        <is>
          <t/>
        </is>
      </c>
      <c r="K817" t="n">
        <v>0.0</v>
      </c>
      <c r="L817" t="n">
        <v>0.0</v>
      </c>
      <c r="M817" t="n">
        <v>0.0</v>
      </c>
      <c r="N817" t="inlineStr">
        <is>
          <t/>
        </is>
      </c>
      <c r="O817" t="n">
        <v>0.0</v>
      </c>
      <c r="P817" t="n">
        <v>0.0</v>
      </c>
      <c r="Q817" t="inlineStr">
        <is>
          <t/>
        </is>
      </c>
      <c r="R817" t="inlineStr">
        <is>
          <t/>
        </is>
      </c>
      <c r="S817" t="n">
        <v>0.0</v>
      </c>
      <c r="T817" t="n">
        <v>0.0</v>
      </c>
      <c r="U817" t="n">
        <v>0.0</v>
      </c>
      <c r="V817" t="n">
        <v>0.0</v>
      </c>
      <c r="W817" t="inlineStr">
        <is>
          <t/>
        </is>
      </c>
      <c r="X817" t="n">
        <v>0.0</v>
      </c>
      <c r="Y817" t="n">
        <v>0.0</v>
      </c>
      <c r="Z817" t="n">
        <v>0.0</v>
      </c>
      <c r="AA817" t="n">
        <v>0.0</v>
      </c>
      <c r="AB817" t="n">
        <v>0.0</v>
      </c>
      <c r="AC817" t="n">
        <v>0.0</v>
      </c>
      <c r="AD817" t="n">
        <v>0.0</v>
      </c>
      <c r="AE817" t="n">
        <v>0.0</v>
      </c>
      <c r="AF817" t="n">
        <v>0.0</v>
      </c>
      <c r="AG817" t="n">
        <v>0.0</v>
      </c>
      <c r="AH817" t="n">
        <v>0.0</v>
      </c>
      <c r="AI817" t="n">
        <v>0.0</v>
      </c>
      <c r="AJ817" t="n">
        <v>0.0</v>
      </c>
      <c r="AK817" t="inlineStr">
        <is>
          <t/>
        </is>
      </c>
      <c r="AL817" t="inlineStr">
        <is>
          <t/>
        </is>
      </c>
    </row>
    <row r="818">
      <c r="A818" t="inlineStr">
        <is>
          <t>轻食店卖你20一份，我60💰够你吃一月</t>
        </is>
      </c>
      <c r="B818" t="inlineStr">
        <is>
          <t>6a68845e0000000011010cc6</t>
        </is>
      </c>
      <c r="C818" s="817" t="n">
        <f>HYPERLINK("https://www.xiaohongshu.com/explore/6a68845e0000000011010cc6?xsec_token=TBuVqV6OAJJIOGGQlO2UOOSDQsw7yHVYPdrHUk8CNPuRM=&amp;xsec_source=pc_trdark","https://www.xiaohongshu.com/explore/6a68845e0000000011010cc6?xsec_token=TBuVqV6OAJJIOGGQlO2UOOSDQsw7yHVYPdrHUk8CNPuRM=&amp;xsec_source=pc_trdark")</f>
        <v>0.0</v>
      </c>
      <c r="D818" t="inlineStr">
        <is>
          <t>鲜水湾甄选</t>
        </is>
      </c>
      <c r="E818" t="inlineStr">
        <is>
          <t>27401929161</t>
        </is>
      </c>
      <c r="F818" t="inlineStr">
        <is>
          <t>2026-07-28 18:28:46</t>
        </is>
      </c>
      <c r="G818" t="inlineStr">
        <is>
          <t>图文</t>
        </is>
      </c>
      <c r="H818" t="inlineStr">
        <is>
          <t>手剥虾仁 无冰衣无添加 低脂餐一人食 上班带饭 顺丰包邮 5盒装</t>
        </is>
      </c>
      <c r="I818" t="inlineStr">
        <is>
          <t>694baba01d450d00013662f0</t>
        </is>
      </c>
      <c r="J818" t="inlineStr">
        <is>
          <t/>
        </is>
      </c>
      <c r="K818" t="n">
        <v>0.0</v>
      </c>
      <c r="L818" t="n">
        <v>0.0</v>
      </c>
      <c r="M818" t="n">
        <v>0.0</v>
      </c>
      <c r="N818" t="inlineStr">
        <is>
          <t/>
        </is>
      </c>
      <c r="O818" t="n">
        <v>0.0</v>
      </c>
      <c r="P818" t="n">
        <v>0.0</v>
      </c>
      <c r="Q818" t="inlineStr">
        <is>
          <t/>
        </is>
      </c>
      <c r="R818" t="inlineStr">
        <is>
          <t/>
        </is>
      </c>
      <c r="S818" t="n">
        <v>0.0</v>
      </c>
      <c r="T818" t="n">
        <v>0.0</v>
      </c>
      <c r="U818" t="n">
        <v>0.0</v>
      </c>
      <c r="V818" t="n">
        <v>0.0</v>
      </c>
      <c r="W818" t="inlineStr">
        <is>
          <t/>
        </is>
      </c>
      <c r="X818" t="n">
        <v>0.0</v>
      </c>
      <c r="Y818" t="n">
        <v>0.0</v>
      </c>
      <c r="Z818" t="n">
        <v>0.0</v>
      </c>
      <c r="AA818" t="n">
        <v>0.0</v>
      </c>
      <c r="AB818" t="n">
        <v>0.0</v>
      </c>
      <c r="AC818" t="n">
        <v>0.0</v>
      </c>
      <c r="AD818" t="n">
        <v>0.0</v>
      </c>
      <c r="AE818" t="n">
        <v>0.0</v>
      </c>
      <c r="AF818" t="n">
        <v>0.0</v>
      </c>
      <c r="AG818" t="n">
        <v>0.0</v>
      </c>
      <c r="AH818" t="n">
        <v>0.0</v>
      </c>
      <c r="AI818" t="n">
        <v>0.0</v>
      </c>
      <c r="AJ818" t="n">
        <v>0.0</v>
      </c>
      <c r="AK818" t="inlineStr">
        <is>
          <t/>
        </is>
      </c>
      <c r="AL818" t="inlineStr">
        <is>
          <t/>
        </is>
      </c>
    </row>
    <row r="819">
      <c r="A819" t="inlineStr">
        <is>
          <t>办公室午餐被问链接，我把轻食店拉黑了</t>
        </is>
      </c>
      <c r="B819" t="inlineStr">
        <is>
          <t>6a67408d000000001102de9e</t>
        </is>
      </c>
      <c r="C819" s="818" t="n">
        <f>HYPERLINK("https://www.xiaohongshu.com/explore/6a67408d000000001102de9e?xsec_token=TBUg_D-BIUqM0ucIsEuUBe2BrMCPr1JrSQtuCWrdM5F_Y=&amp;xsec_source=pc_trdark","https://www.xiaohongshu.com/explore/6a67408d000000001102de9e?xsec_token=TBUg_D-BIUqM0ucIsEuUBe2BrMCPr1JrSQtuCWrdM5F_Y=&amp;xsec_source=pc_trdark")</f>
        <v>0.0</v>
      </c>
      <c r="D819" t="inlineStr">
        <is>
          <t>鲜水湾甄选</t>
        </is>
      </c>
      <c r="E819" t="inlineStr">
        <is>
          <t>27401929161</t>
        </is>
      </c>
      <c r="F819" t="inlineStr">
        <is>
          <t>2026-07-27 19:27:09</t>
        </is>
      </c>
      <c r="G819" t="inlineStr">
        <is>
          <t>图文</t>
        </is>
      </c>
      <c r="H819" t="inlineStr">
        <is>
          <t>手剥虾仁 无冰衣无添加 低脂餐一人食 上班带饭 顺丰包邮 5盒装</t>
        </is>
      </c>
      <c r="I819" t="inlineStr">
        <is>
          <t>694baba01d450d00013662f0</t>
        </is>
      </c>
      <c r="J819" t="inlineStr">
        <is>
          <t/>
        </is>
      </c>
      <c r="K819" t="n">
        <v>0.0</v>
      </c>
      <c r="L819" t="n">
        <v>0.0</v>
      </c>
      <c r="M819" t="n">
        <v>0.0</v>
      </c>
      <c r="N819" t="inlineStr">
        <is>
          <t/>
        </is>
      </c>
      <c r="O819" t="n">
        <v>0.0</v>
      </c>
      <c r="P819" t="n">
        <v>0.0</v>
      </c>
      <c r="Q819" t="inlineStr">
        <is>
          <t/>
        </is>
      </c>
      <c r="R819" t="inlineStr">
        <is>
          <t/>
        </is>
      </c>
      <c r="S819" t="n">
        <v>0.0</v>
      </c>
      <c r="T819" t="n">
        <v>0.0</v>
      </c>
      <c r="U819" t="n">
        <v>0.0</v>
      </c>
      <c r="V819" t="n">
        <v>0.0</v>
      </c>
      <c r="W819" t="inlineStr">
        <is>
          <t/>
        </is>
      </c>
      <c r="X819" t="n">
        <v>0.0</v>
      </c>
      <c r="Y819" t="n">
        <v>0.0</v>
      </c>
      <c r="Z819" t="n">
        <v>0.0</v>
      </c>
      <c r="AA819" t="n">
        <v>0.0</v>
      </c>
      <c r="AB819" t="n">
        <v>0.0</v>
      </c>
      <c r="AC819" t="n">
        <v>0.0</v>
      </c>
      <c r="AD819" t="n">
        <v>0.0</v>
      </c>
      <c r="AE819" t="n">
        <v>0.0</v>
      </c>
      <c r="AF819" t="n">
        <v>0.0</v>
      </c>
      <c r="AG819" t="n">
        <v>0.0</v>
      </c>
      <c r="AH819" t="n">
        <v>0.0</v>
      </c>
      <c r="AI819" t="n">
        <v>0.0</v>
      </c>
      <c r="AJ819" t="n">
        <v>0.0</v>
      </c>
      <c r="AK819" t="inlineStr">
        <is>
          <t/>
        </is>
      </c>
      <c r="AL819" t="inlineStr">
        <is>
          <t/>
        </is>
      </c>
    </row>
    <row r="820">
      <c r="A820" t="inlineStr">
        <is>
          <t>吃半个多月的虾仁，发现才花了100多！！！</t>
        </is>
      </c>
      <c r="B820" t="inlineStr">
        <is>
          <t>6a672527000000001003ed27</t>
        </is>
      </c>
      <c r="C820" s="819" t="n">
        <f>HYPERLINK("https://www.xiaohongshu.com/explore/6a672527000000001003ed27?xsec_token=TBUg_D-BIUqM0ucIsEuUBe2GA5a5gFfSpRjI9sx22BwE4=&amp;xsec_source=pc_trdark","https://www.xiaohongshu.com/explore/6a672527000000001003ed27?xsec_token=TBUg_D-BIUqM0ucIsEuUBe2GA5a5gFfSpRjI9sx22BwE4=&amp;xsec_source=pc_trdark")</f>
        <v>0.0</v>
      </c>
      <c r="D820" t="inlineStr">
        <is>
          <t>鲜水湾甄选</t>
        </is>
      </c>
      <c r="E820" t="inlineStr">
        <is>
          <t>27401929161</t>
        </is>
      </c>
      <c r="F820" t="inlineStr">
        <is>
          <t>2026-07-27 17:30:15</t>
        </is>
      </c>
      <c r="G820" t="inlineStr">
        <is>
          <t>图文</t>
        </is>
      </c>
      <c r="H820" t="inlineStr">
        <is>
          <t>手剥虾仁 无冰衣无添加 低脂餐一人食 上班带饭 顺丰包邮 5盒装</t>
        </is>
      </c>
      <c r="I820" t="inlineStr">
        <is>
          <t>694baba01d450d00013662f0</t>
        </is>
      </c>
      <c r="J820" t="inlineStr">
        <is>
          <t/>
        </is>
      </c>
      <c r="K820" t="n">
        <v>0.0</v>
      </c>
      <c r="L820" t="n">
        <v>0.0</v>
      </c>
      <c r="M820" t="n">
        <v>0.0</v>
      </c>
      <c r="N820" t="inlineStr">
        <is>
          <t/>
        </is>
      </c>
      <c r="O820" t="n">
        <v>0.0</v>
      </c>
      <c r="P820" t="n">
        <v>0.0</v>
      </c>
      <c r="Q820" t="inlineStr">
        <is>
          <t/>
        </is>
      </c>
      <c r="R820" t="inlineStr">
        <is>
          <t/>
        </is>
      </c>
      <c r="S820" t="n">
        <v>0.0</v>
      </c>
      <c r="T820" t="n">
        <v>0.0</v>
      </c>
      <c r="U820" t="n">
        <v>0.0</v>
      </c>
      <c r="V820" t="n">
        <v>0.0</v>
      </c>
      <c r="W820" t="inlineStr">
        <is>
          <t/>
        </is>
      </c>
      <c r="X820" t="n">
        <v>0.0</v>
      </c>
      <c r="Y820" t="n">
        <v>0.0</v>
      </c>
      <c r="Z820" t="n">
        <v>0.0</v>
      </c>
      <c r="AA820" t="n">
        <v>0.0</v>
      </c>
      <c r="AB820" t="n">
        <v>0.0</v>
      </c>
      <c r="AC820" t="n">
        <v>0.0</v>
      </c>
      <c r="AD820" t="n">
        <v>0.0</v>
      </c>
      <c r="AE820" t="n">
        <v>0.0</v>
      </c>
      <c r="AF820" t="n">
        <v>0.0</v>
      </c>
      <c r="AG820" t="n">
        <v>0.0</v>
      </c>
      <c r="AH820" t="n">
        <v>0.0</v>
      </c>
      <c r="AI820" t="n">
        <v>0.0</v>
      </c>
      <c r="AJ820" t="n">
        <v>0.0</v>
      </c>
      <c r="AK820" t="inlineStr">
        <is>
          <t/>
        </is>
      </c>
      <c r="AL820" t="inlineStr">
        <is>
          <t/>
        </is>
      </c>
    </row>
    <row r="821">
      <c r="A821" t="inlineStr">
        <is>
          <t>不敢相信😱100块承包了我十顿轻食餐</t>
        </is>
      </c>
      <c r="B821" t="inlineStr">
        <is>
          <t>6a66cbf2000000000f016350</t>
        </is>
      </c>
      <c r="C821" s="820" t="n">
        <f>HYPERLINK("https://www.xiaohongshu.com/explore/6a66cbf2000000000f016350?xsec_token=TBIHthkK-vLT6HWx1MaVA_QdLJ7g2-lfbVeOCbRVHEzEY=&amp;xsec_source=pc_trdark","https://www.xiaohongshu.com/explore/6a66cbf2000000000f016350?xsec_token=TBIHthkK-vLT6HWx1MaVA_QdLJ7g2-lfbVeOCbRVHEzEY=&amp;xsec_source=pc_trdark")</f>
        <v>0.0</v>
      </c>
      <c r="D821" t="inlineStr">
        <is>
          <t>鲜水湾甄选</t>
        </is>
      </c>
      <c r="E821" t="inlineStr">
        <is>
          <t>27401929161</t>
        </is>
      </c>
      <c r="F821" t="inlineStr">
        <is>
          <t>2026-07-27 11:09:39</t>
        </is>
      </c>
      <c r="G821" t="inlineStr">
        <is>
          <t>图文</t>
        </is>
      </c>
      <c r="H821" t="inlineStr">
        <is>
          <t>手剥虾仁 无冰衣无添加 低脂餐一人食 上班带饭 顺丰包邮 5盒装</t>
        </is>
      </c>
      <c r="I821" t="inlineStr">
        <is>
          <t>694baba01d450d00013662f0</t>
        </is>
      </c>
      <c r="J821" t="inlineStr">
        <is>
          <t/>
        </is>
      </c>
      <c r="K821" t="n">
        <v>0.0</v>
      </c>
      <c r="L821" t="n">
        <v>0.0</v>
      </c>
      <c r="M821" t="n">
        <v>0.0</v>
      </c>
      <c r="N821" t="inlineStr">
        <is>
          <t/>
        </is>
      </c>
      <c r="O821" t="n">
        <v>0.0</v>
      </c>
      <c r="P821" t="n">
        <v>0.0</v>
      </c>
      <c r="Q821" t="inlineStr">
        <is>
          <t/>
        </is>
      </c>
      <c r="R821" t="inlineStr">
        <is>
          <t/>
        </is>
      </c>
      <c r="S821" t="n">
        <v>0.0</v>
      </c>
      <c r="T821" t="n">
        <v>0.0</v>
      </c>
      <c r="U821" t="n">
        <v>0.0</v>
      </c>
      <c r="V821" t="n">
        <v>0.0</v>
      </c>
      <c r="W821" t="inlineStr">
        <is>
          <t/>
        </is>
      </c>
      <c r="X821" t="n">
        <v>0.0</v>
      </c>
      <c r="Y821" t="n">
        <v>0.0</v>
      </c>
      <c r="Z821" t="n">
        <v>0.0</v>
      </c>
      <c r="AA821" t="n">
        <v>0.0</v>
      </c>
      <c r="AB821" t="n">
        <v>0.0</v>
      </c>
      <c r="AC821" t="n">
        <v>0.0</v>
      </c>
      <c r="AD821" t="n">
        <v>0.0</v>
      </c>
      <c r="AE821" t="n">
        <v>0.0</v>
      </c>
      <c r="AF821" t="n">
        <v>0.0</v>
      </c>
      <c r="AG821" t="n">
        <v>0.0</v>
      </c>
      <c r="AH821" t="n">
        <v>0.0</v>
      </c>
      <c r="AI821" t="n">
        <v>0.0</v>
      </c>
      <c r="AJ821" t="n">
        <v>0.0</v>
      </c>
      <c r="AK821" t="inlineStr">
        <is>
          <t/>
        </is>
      </c>
      <c r="AL821" t="inlineStr">
        <is>
          <t/>
        </is>
      </c>
    </row>
    <row r="822">
      <c r="A822" t="inlineStr">
        <is>
          <t>别拿山母盒🐎和我比，真就没得比</t>
        </is>
      </c>
      <c r="B822" t="inlineStr">
        <is>
          <t>6a660276000000000a03b2ec</t>
        </is>
      </c>
      <c r="C822" s="821" t="n">
        <f>HYPERLINK("https://www.xiaohongshu.com/explore/6a660276000000000a03b2ec?xsec_token=TBIHthkK-vLT6HWx1MaVA_QUa1LKyFPs4XQVqNYEFzFPw=&amp;xsec_source=pc_trdark","https://www.xiaohongshu.com/explore/6a660276000000000a03b2ec?xsec_token=TBIHthkK-vLT6HWx1MaVA_QUa1LKyFPs4XQVqNYEFzFPw=&amp;xsec_source=pc_trdark")</f>
        <v>0.0</v>
      </c>
      <c r="D822" t="inlineStr">
        <is>
          <t>鲜水湾</t>
        </is>
      </c>
      <c r="E822" t="inlineStr">
        <is>
          <t>49316638994</t>
        </is>
      </c>
      <c r="F822" t="inlineStr">
        <is>
          <t>2026-07-26 20:49:58</t>
        </is>
      </c>
      <c r="G822" t="inlineStr">
        <is>
          <t>图文</t>
        </is>
      </c>
      <c r="H822" t="inlineStr">
        <is>
          <t>手剥虾仁 无冰衣无添加 低脂餐一人食 上班带饭 顺丰包邮 5盒装</t>
        </is>
      </c>
      <c r="I822" t="inlineStr">
        <is>
          <t>694baba01d450d00013662f0</t>
        </is>
      </c>
      <c r="J822" t="inlineStr">
        <is>
          <t/>
        </is>
      </c>
      <c r="K822" t="n">
        <v>0.0</v>
      </c>
      <c r="L822" t="n">
        <v>0.0</v>
      </c>
      <c r="M822" t="n">
        <v>0.0</v>
      </c>
      <c r="N822" t="inlineStr">
        <is>
          <t/>
        </is>
      </c>
      <c r="O822" t="n">
        <v>0.0</v>
      </c>
      <c r="P822" t="n">
        <v>0.0</v>
      </c>
      <c r="Q822" t="inlineStr">
        <is>
          <t/>
        </is>
      </c>
      <c r="R822" t="inlineStr">
        <is>
          <t/>
        </is>
      </c>
      <c r="S822" t="n">
        <v>0.0</v>
      </c>
      <c r="T822" t="n">
        <v>0.0</v>
      </c>
      <c r="U822" t="n">
        <v>0.0</v>
      </c>
      <c r="V822" t="n">
        <v>0.0</v>
      </c>
      <c r="W822" t="inlineStr">
        <is>
          <t/>
        </is>
      </c>
      <c r="X822" t="n">
        <v>0.0</v>
      </c>
      <c r="Y822" t="n">
        <v>0.0</v>
      </c>
      <c r="Z822" t="n">
        <v>0.0</v>
      </c>
      <c r="AA822" t="n">
        <v>0.0</v>
      </c>
      <c r="AB822" t="n">
        <v>0.0</v>
      </c>
      <c r="AC822" t="n">
        <v>0.0</v>
      </c>
      <c r="AD822" t="n">
        <v>0.0</v>
      </c>
      <c r="AE822" t="n">
        <v>0.0</v>
      </c>
      <c r="AF822" t="n">
        <v>0.0</v>
      </c>
      <c r="AG822" t="n">
        <v>0.0</v>
      </c>
      <c r="AH822" t="n">
        <v>0.0</v>
      </c>
      <c r="AI822" t="n">
        <v>0.0</v>
      </c>
      <c r="AJ822" t="n">
        <v>0.0</v>
      </c>
      <c r="AK822" t="inlineStr">
        <is>
          <t/>
        </is>
      </c>
      <c r="AL822" t="inlineStr">
        <is>
          <t/>
        </is>
      </c>
    </row>
    <row r="823">
      <c r="A823" t="inlineStr">
        <is>
          <t>管理期反复回购！不咸不腥的虾仁🍤</t>
        </is>
      </c>
      <c r="B823" t="inlineStr">
        <is>
          <t>6a606c66000000001003e07b</t>
        </is>
      </c>
      <c r="C823" s="822" t="n">
        <f>HYPERLINK("https://www.xiaohongshu.com/explore/6a606c66000000001003e07b?xsec_token=TB_DG8qGiltVfTeMFvJTNQB7md9JAhD6HsNwIb8DTeudQ=&amp;xsec_source=pc_trdark","https://www.xiaohongshu.com/explore/6a606c66000000001003e07b?xsec_token=TB_DG8qGiltVfTeMFvJTNQB7md9JAhD6HsNwIb8DTeudQ=&amp;xsec_source=pc_trdark")</f>
        <v>0.0</v>
      </c>
      <c r="D823" t="inlineStr">
        <is>
          <t>鲜水湾甄选</t>
        </is>
      </c>
      <c r="E823" t="inlineStr">
        <is>
          <t>27401929161</t>
        </is>
      </c>
      <c r="F823" t="inlineStr">
        <is>
          <t>2026-07-22 15:08:22</t>
        </is>
      </c>
      <c r="G823" t="inlineStr">
        <is>
          <t>图文</t>
        </is>
      </c>
      <c r="H823" t="inlineStr">
        <is>
          <t>手剥虾仁 无冰衣无添加 低脂餐一人食 上班带饭 顺丰包邮 5盒装</t>
        </is>
      </c>
      <c r="I823" t="inlineStr">
        <is>
          <t>694baba01d450d00013662f0</t>
        </is>
      </c>
      <c r="J823" t="inlineStr">
        <is>
          <t/>
        </is>
      </c>
      <c r="K823" t="n">
        <v>0.0</v>
      </c>
      <c r="L823" t="n">
        <v>0.0</v>
      </c>
      <c r="M823" t="n">
        <v>0.0</v>
      </c>
      <c r="N823" t="inlineStr">
        <is>
          <t/>
        </is>
      </c>
      <c r="O823" t="n">
        <v>0.0</v>
      </c>
      <c r="P823" t="n">
        <v>0.0</v>
      </c>
      <c r="Q823" t="inlineStr">
        <is>
          <t/>
        </is>
      </c>
      <c r="R823" t="inlineStr">
        <is>
          <t/>
        </is>
      </c>
      <c r="S823" t="n">
        <v>0.0</v>
      </c>
      <c r="T823" t="n">
        <v>0.0</v>
      </c>
      <c r="U823" t="n">
        <v>0.0</v>
      </c>
      <c r="V823" t="n">
        <v>0.0</v>
      </c>
      <c r="W823" t="inlineStr">
        <is>
          <t/>
        </is>
      </c>
      <c r="X823" t="n">
        <v>0.0</v>
      </c>
      <c r="Y823" t="n">
        <v>0.0</v>
      </c>
      <c r="Z823" t="n">
        <v>0.0</v>
      </c>
      <c r="AA823" t="n">
        <v>0.0</v>
      </c>
      <c r="AB823" t="n">
        <v>0.0</v>
      </c>
      <c r="AC823" t="n">
        <v>0.0</v>
      </c>
      <c r="AD823" t="n">
        <v>0.0</v>
      </c>
      <c r="AE823" t="n">
        <v>0.0</v>
      </c>
      <c r="AF823" t="n">
        <v>0.0</v>
      </c>
      <c r="AG823" t="n">
        <v>0.0</v>
      </c>
      <c r="AH823" t="n">
        <v>0.0</v>
      </c>
      <c r="AI823" t="n">
        <v>0.0</v>
      </c>
      <c r="AJ823" t="n">
        <v>0.0</v>
      </c>
      <c r="AK823" t="inlineStr">
        <is>
          <t/>
        </is>
      </c>
      <c r="AL823" t="inlineStr">
        <is>
          <t/>
        </is>
      </c>
    </row>
    <row r="824">
      <c r="A824" t="inlineStr">
        <is>
          <t>减脂晚餐吃腻了水煮菜？试试这个虾仁减脂餐～</t>
        </is>
      </c>
      <c r="B824" t="inlineStr">
        <is>
          <t>6a601ebe000000001b01e939</t>
        </is>
      </c>
      <c r="C824" s="823" t="n">
        <f>HYPERLINK("https://www.xiaohongshu.com/explore/6a601ebe000000001b01e939?xsec_token=TB_DG8qGiltVfTeMFvJTNQB7JVGOpKykoNWnyZ0HtUD1Q=&amp;xsec_source=pc_trdark","https://www.xiaohongshu.com/explore/6a601ebe000000001b01e939?xsec_token=TB_DG8qGiltVfTeMFvJTNQB7JVGOpKykoNWnyZ0HtUD1Q=&amp;xsec_source=pc_trdark")</f>
        <v>0.0</v>
      </c>
      <c r="D824" t="inlineStr">
        <is>
          <t>婉婉上班吃什么</t>
        </is>
      </c>
      <c r="E824" t="inlineStr">
        <is>
          <t>11434449706</t>
        </is>
      </c>
      <c r="F824" t="inlineStr">
        <is>
          <t>2026-07-22 09:37:02</t>
        </is>
      </c>
      <c r="G824" t="inlineStr">
        <is>
          <t>图文</t>
        </is>
      </c>
      <c r="H824" t="inlineStr">
        <is>
          <t>手剥虾仁 无冰衣无添加 低脂餐一人食 上班带饭 顺丰包邮 5盒装</t>
        </is>
      </c>
      <c r="I824" t="inlineStr">
        <is>
          <t>694baba01d450d00013662f0</t>
        </is>
      </c>
      <c r="J824" t="inlineStr">
        <is>
          <t/>
        </is>
      </c>
      <c r="K824" t="n">
        <v>0.0</v>
      </c>
      <c r="L824" t="n">
        <v>0.0</v>
      </c>
      <c r="M824" t="n">
        <v>0.0</v>
      </c>
      <c r="N824" t="inlineStr">
        <is>
          <t/>
        </is>
      </c>
      <c r="O824" t="n">
        <v>0.0</v>
      </c>
      <c r="P824" t="n">
        <v>0.0</v>
      </c>
      <c r="Q824" t="inlineStr">
        <is>
          <t/>
        </is>
      </c>
      <c r="R824" t="inlineStr">
        <is>
          <t/>
        </is>
      </c>
      <c r="S824" t="n">
        <v>0.0</v>
      </c>
      <c r="T824" t="n">
        <v>0.0</v>
      </c>
      <c r="U824" t="n">
        <v>0.0</v>
      </c>
      <c r="V824" t="n">
        <v>0.0</v>
      </c>
      <c r="W824" t="inlineStr">
        <is>
          <t/>
        </is>
      </c>
      <c r="X824" t="n">
        <v>0.0</v>
      </c>
      <c r="Y824" t="n">
        <v>0.0</v>
      </c>
      <c r="Z824" t="n">
        <v>0.0</v>
      </c>
      <c r="AA824" t="n">
        <v>0.0</v>
      </c>
      <c r="AB824" t="n">
        <v>0.0</v>
      </c>
      <c r="AC824" t="n">
        <v>0.0</v>
      </c>
      <c r="AD824" t="n">
        <v>0.0</v>
      </c>
      <c r="AE824" t="n">
        <v>0.0</v>
      </c>
      <c r="AF824" t="n">
        <v>0.0</v>
      </c>
      <c r="AG824" t="n">
        <v>0.0</v>
      </c>
      <c r="AH824" t="n">
        <v>0.0</v>
      </c>
      <c r="AI824" t="n">
        <v>0.0</v>
      </c>
      <c r="AJ824" t="n">
        <v>0.0</v>
      </c>
      <c r="AK824" t="inlineStr">
        <is>
          <t/>
        </is>
      </c>
      <c r="AL824" t="inlineStr">
        <is>
          <t/>
        </is>
      </c>
    </row>
    <row r="825">
      <c r="A825" t="inlineStr">
        <is>
          <t>今年坠成功的消费降级，69吃一周！！！！</t>
        </is>
      </c>
      <c r="B825" t="inlineStr">
        <is>
          <t>6a5f253c0000000013027675</t>
        </is>
      </c>
      <c r="C825" s="824" t="n">
        <f>HYPERLINK("https://www.xiaohongshu.com/explore/6a5f253c0000000013027675?xsec_token=TBNiP87dDl0mbMa3fu0C81MXDBoGuFU6ZmvP3hO4R5Z4M=&amp;xsec_source=pc_trdark","https://www.xiaohongshu.com/explore/6a5f253c0000000013027675?xsec_token=TBNiP87dDl0mbMa3fu0C81MXDBoGuFU6ZmvP3hO4R5Z4M=&amp;xsec_source=pc_trdark")</f>
        <v>0.0</v>
      </c>
      <c r="D825" t="inlineStr">
        <is>
          <t>菲菲上班吃什么</t>
        </is>
      </c>
      <c r="E825" t="inlineStr">
        <is>
          <t>49936530607</t>
        </is>
      </c>
      <c r="F825" t="inlineStr">
        <is>
          <t>2026-07-21 15:52:28</t>
        </is>
      </c>
      <c r="G825" t="inlineStr">
        <is>
          <t>图文</t>
        </is>
      </c>
      <c r="H825" t="inlineStr">
        <is>
          <t>手剥虾仁 无冰衣无添加 低脂餐一人食 上班带饭 顺丰包邮 5盒装</t>
        </is>
      </c>
      <c r="I825" t="inlineStr">
        <is>
          <t>694baba01d450d00013662f0</t>
        </is>
      </c>
      <c r="J825" t="inlineStr">
        <is>
          <t/>
        </is>
      </c>
      <c r="K825" t="n">
        <v>0.0</v>
      </c>
      <c r="L825" t="n">
        <v>0.0</v>
      </c>
      <c r="M825" t="n">
        <v>0.0</v>
      </c>
      <c r="N825" t="inlineStr">
        <is>
          <t/>
        </is>
      </c>
      <c r="O825" t="n">
        <v>0.0</v>
      </c>
      <c r="P825" t="n">
        <v>0.0</v>
      </c>
      <c r="Q825" t="inlineStr">
        <is>
          <t/>
        </is>
      </c>
      <c r="R825" t="inlineStr">
        <is>
          <t/>
        </is>
      </c>
      <c r="S825" t="n">
        <v>0.0</v>
      </c>
      <c r="T825" t="n">
        <v>0.0</v>
      </c>
      <c r="U825" t="n">
        <v>0.0</v>
      </c>
      <c r="V825" t="n">
        <v>0.0</v>
      </c>
      <c r="W825" t="inlineStr">
        <is>
          <t/>
        </is>
      </c>
      <c r="X825" t="n">
        <v>0.0</v>
      </c>
      <c r="Y825" t="n">
        <v>0.0</v>
      </c>
      <c r="Z825" t="n">
        <v>0.0</v>
      </c>
      <c r="AA825" t="n">
        <v>0.0</v>
      </c>
      <c r="AB825" t="n">
        <v>0.0</v>
      </c>
      <c r="AC825" t="n">
        <v>0.0</v>
      </c>
      <c r="AD825" t="n">
        <v>0.0</v>
      </c>
      <c r="AE825" t="n">
        <v>0.0</v>
      </c>
      <c r="AF825" t="n">
        <v>0.0</v>
      </c>
      <c r="AG825" t="n">
        <v>0.0</v>
      </c>
      <c r="AH825" t="n">
        <v>0.0</v>
      </c>
      <c r="AI825" t="n">
        <v>0.0</v>
      </c>
      <c r="AJ825" t="n">
        <v>0.0</v>
      </c>
      <c r="AK825" t="inlineStr">
        <is>
          <t/>
        </is>
      </c>
      <c r="AL825" t="inlineStr">
        <is>
          <t/>
        </is>
      </c>
    </row>
    <row r="826">
      <c r="A826" t="inlineStr">
        <is>
          <t>带饭的尽头...真的是极简</t>
        </is>
      </c>
      <c r="B826" t="inlineStr">
        <is>
          <t>6a5f0235000000000c014538</t>
        </is>
      </c>
      <c r="C826" s="825" t="n">
        <f>HYPERLINK("https://www.xiaohongshu.com/explore/6a5f0235000000000c014538?xsec_token=TBNiP87dDl0mbMa3fu0C81MYW2tb_tWHVmG1d085KTvaY=&amp;xsec_source=pc_trdark","https://www.xiaohongshu.com/explore/6a5f0235000000000c014538?xsec_token=TBNiP87dDl0mbMa3fu0C81MYW2tb_tWHVmG1d085KTvaY=&amp;xsec_source=pc_trdark")</f>
        <v>0.0</v>
      </c>
      <c r="D826" t="inlineStr">
        <is>
          <t>婉婉上班吃什么</t>
        </is>
      </c>
      <c r="E826" t="inlineStr">
        <is>
          <t>11434449706</t>
        </is>
      </c>
      <c r="F826" t="inlineStr">
        <is>
          <t>2026-07-21 13:23:01</t>
        </is>
      </c>
      <c r="G826" t="inlineStr">
        <is>
          <t>图文</t>
        </is>
      </c>
      <c r="H826" t="inlineStr">
        <is>
          <t>手剥虾仁 无冰衣无添加 低脂餐一人食 上班带饭 顺丰包邮 5盒装</t>
        </is>
      </c>
      <c r="I826" t="inlineStr">
        <is>
          <t>694baba01d450d00013662f0</t>
        </is>
      </c>
      <c r="J826" t="inlineStr">
        <is>
          <t/>
        </is>
      </c>
      <c r="K826" t="n">
        <v>0.0</v>
      </c>
      <c r="L826" t="n">
        <v>0.0</v>
      </c>
      <c r="M826" t="n">
        <v>0.0</v>
      </c>
      <c r="N826" t="inlineStr">
        <is>
          <t/>
        </is>
      </c>
      <c r="O826" t="n">
        <v>0.0</v>
      </c>
      <c r="P826" t="n">
        <v>0.0</v>
      </c>
      <c r="Q826" t="inlineStr">
        <is>
          <t/>
        </is>
      </c>
      <c r="R826" t="inlineStr">
        <is>
          <t/>
        </is>
      </c>
      <c r="S826" t="n">
        <v>0.0</v>
      </c>
      <c r="T826" t="n">
        <v>0.0</v>
      </c>
      <c r="U826" t="n">
        <v>0.0</v>
      </c>
      <c r="V826" t="n">
        <v>0.0</v>
      </c>
      <c r="W826" t="inlineStr">
        <is>
          <t/>
        </is>
      </c>
      <c r="X826" t="n">
        <v>0.0</v>
      </c>
      <c r="Y826" t="n">
        <v>0.0</v>
      </c>
      <c r="Z826" t="n">
        <v>0.0</v>
      </c>
      <c r="AA826" t="n">
        <v>0.0</v>
      </c>
      <c r="AB826" t="n">
        <v>0.0</v>
      </c>
      <c r="AC826" t="n">
        <v>0.0</v>
      </c>
      <c r="AD826" t="n">
        <v>0.0</v>
      </c>
      <c r="AE826" t="n">
        <v>0.0</v>
      </c>
      <c r="AF826" t="n">
        <v>0.0</v>
      </c>
      <c r="AG826" t="n">
        <v>0.0</v>
      </c>
      <c r="AH826" t="n">
        <v>0.0</v>
      </c>
      <c r="AI826" t="n">
        <v>0.0</v>
      </c>
      <c r="AJ826" t="n">
        <v>0.0</v>
      </c>
      <c r="AK826" t="inlineStr">
        <is>
          <t/>
        </is>
      </c>
      <c r="AL826" t="inlineStr">
        <is>
          <t/>
        </is>
      </c>
    </row>
    <row r="827">
      <c r="A827" t="inlineStr">
        <is>
          <t>吃了半个月虾仁，发现才花了60多！！</t>
        </is>
      </c>
      <c r="B827" t="inlineStr">
        <is>
          <t>6a5ecd4e000000001c00f119</t>
        </is>
      </c>
      <c r="C827" s="826" t="n">
        <f>HYPERLINK("https://www.xiaohongshu.com/explore/6a5ecd4e000000001c00f119?xsec_token=TBbojWk_7wqvNRrckRPtQ4WI2mmAr5uubxolr1n8GfLjI=&amp;xsec_source=pc_trdark","https://www.xiaohongshu.com/explore/6a5ecd4e000000001c00f119?xsec_token=TBbojWk_7wqvNRrckRPtQ4WI2mmAr5uubxolr1n8GfLjI=&amp;xsec_source=pc_trdark")</f>
        <v>0.0</v>
      </c>
      <c r="D827" t="inlineStr">
        <is>
          <t>鲜水湾</t>
        </is>
      </c>
      <c r="E827" t="inlineStr">
        <is>
          <t>49316638994</t>
        </is>
      </c>
      <c r="F827" t="inlineStr">
        <is>
          <t>2026-07-21 09:37:18</t>
        </is>
      </c>
      <c r="G827" t="inlineStr">
        <is>
          <t>图文</t>
        </is>
      </c>
      <c r="H827" t="inlineStr">
        <is>
          <t>手剥虾仁 无冰衣无添加 低脂餐一人食 上班带饭 顺丰包邮 5盒装</t>
        </is>
      </c>
      <c r="I827" t="inlineStr">
        <is>
          <t>694baba01d450d00013662f0</t>
        </is>
      </c>
      <c r="J827" t="inlineStr">
        <is>
          <t/>
        </is>
      </c>
      <c r="K827" t="n">
        <v>0.0</v>
      </c>
      <c r="L827" t="n">
        <v>0.0</v>
      </c>
      <c r="M827" t="n">
        <v>0.0</v>
      </c>
      <c r="N827" t="inlineStr">
        <is>
          <t/>
        </is>
      </c>
      <c r="O827" t="n">
        <v>0.0</v>
      </c>
      <c r="P827" t="n">
        <v>0.0</v>
      </c>
      <c r="Q827" t="inlineStr">
        <is>
          <t/>
        </is>
      </c>
      <c r="R827" t="inlineStr">
        <is>
          <t/>
        </is>
      </c>
      <c r="S827" t="n">
        <v>0.0</v>
      </c>
      <c r="T827" t="n">
        <v>0.0</v>
      </c>
      <c r="U827" t="n">
        <v>0.0</v>
      </c>
      <c r="V827" t="n">
        <v>0.0</v>
      </c>
      <c r="W827" t="inlineStr">
        <is>
          <t/>
        </is>
      </c>
      <c r="X827" t="n">
        <v>0.0</v>
      </c>
      <c r="Y827" t="n">
        <v>0.0</v>
      </c>
      <c r="Z827" t="n">
        <v>0.0</v>
      </c>
      <c r="AA827" t="n">
        <v>0.0</v>
      </c>
      <c r="AB827" t="n">
        <v>0.0</v>
      </c>
      <c r="AC827" t="n">
        <v>0.0</v>
      </c>
      <c r="AD827" t="n">
        <v>0.0</v>
      </c>
      <c r="AE827" t="n">
        <v>0.0</v>
      </c>
      <c r="AF827" t="n">
        <v>0.0</v>
      </c>
      <c r="AG827" t="n">
        <v>0.0</v>
      </c>
      <c r="AH827" t="n">
        <v>0.0</v>
      </c>
      <c r="AI827" t="n">
        <v>0.0</v>
      </c>
      <c r="AJ827" t="n">
        <v>0.0</v>
      </c>
      <c r="AK827" t="inlineStr">
        <is>
          <t/>
        </is>
      </c>
      <c r="AL827" t="inlineStr">
        <is>
          <t/>
        </is>
      </c>
    </row>
    <row r="828">
      <c r="A828" t="inlineStr">
        <is>
          <t>终于在家吃上轻食同款了！巨简单！！</t>
        </is>
      </c>
      <c r="B828" t="inlineStr">
        <is>
          <t>6a5e2ba6000000001d021dc0</t>
        </is>
      </c>
      <c r="C828" s="827" t="n">
        <f>HYPERLINK("https://www.xiaohongshu.com/explore/6a5e2ba6000000001d021dc0?xsec_token=TBbojWk_7wqvNRrckRPtQ4WKZPouhiF4cRwQfAqUp3nG4=&amp;xsec_source=pc_trdark","https://www.xiaohongshu.com/explore/6a5e2ba6000000001d021dc0?xsec_token=TBbojWk_7wqvNRrckRPtQ4WKZPouhiF4cRwQfAqUp3nG4=&amp;xsec_source=pc_trdark")</f>
        <v>0.0</v>
      </c>
      <c r="D828" t="inlineStr">
        <is>
          <t>菲菲上班吃什么</t>
        </is>
      </c>
      <c r="E828" t="inlineStr">
        <is>
          <t>49936530607</t>
        </is>
      </c>
      <c r="F828" t="inlineStr">
        <is>
          <t>2026-07-20 22:07:34</t>
        </is>
      </c>
      <c r="G828" t="inlineStr">
        <is>
          <t>图文</t>
        </is>
      </c>
      <c r="H828" t="inlineStr">
        <is>
          <t>手剥虾仁 无冰衣无添加 低脂餐一人食 上班带饭 顺丰包邮 5盒装</t>
        </is>
      </c>
      <c r="I828" t="inlineStr">
        <is>
          <t>694baba01d450d00013662f0</t>
        </is>
      </c>
      <c r="J828" t="inlineStr">
        <is>
          <t/>
        </is>
      </c>
      <c r="K828" t="n">
        <v>0.0</v>
      </c>
      <c r="L828" t="n">
        <v>0.0</v>
      </c>
      <c r="M828" t="n">
        <v>0.0</v>
      </c>
      <c r="N828" t="inlineStr">
        <is>
          <t/>
        </is>
      </c>
      <c r="O828" t="n">
        <v>0.0</v>
      </c>
      <c r="P828" t="n">
        <v>0.0</v>
      </c>
      <c r="Q828" t="inlineStr">
        <is>
          <t/>
        </is>
      </c>
      <c r="R828" t="inlineStr">
        <is>
          <t/>
        </is>
      </c>
      <c r="S828" t="n">
        <v>0.0</v>
      </c>
      <c r="T828" t="n">
        <v>0.0</v>
      </c>
      <c r="U828" t="n">
        <v>0.0</v>
      </c>
      <c r="V828" t="n">
        <v>0.0</v>
      </c>
      <c r="W828" t="inlineStr">
        <is>
          <t/>
        </is>
      </c>
      <c r="X828" t="n">
        <v>0.0</v>
      </c>
      <c r="Y828" t="n">
        <v>0.0</v>
      </c>
      <c r="Z828" t="n">
        <v>0.0</v>
      </c>
      <c r="AA828" t="n">
        <v>0.0</v>
      </c>
      <c r="AB828" t="n">
        <v>0.0</v>
      </c>
      <c r="AC828" t="n">
        <v>0.0</v>
      </c>
      <c r="AD828" t="n">
        <v>0.0</v>
      </c>
      <c r="AE828" t="n">
        <v>0.0</v>
      </c>
      <c r="AF828" t="n">
        <v>0.0</v>
      </c>
      <c r="AG828" t="n">
        <v>0.0</v>
      </c>
      <c r="AH828" t="n">
        <v>0.0</v>
      </c>
      <c r="AI828" t="n">
        <v>0.0</v>
      </c>
      <c r="AJ828" t="n">
        <v>0.0</v>
      </c>
      <c r="AK828" t="inlineStr">
        <is>
          <t/>
        </is>
      </c>
      <c r="AL828" t="inlineStr">
        <is>
          <t/>
        </is>
      </c>
    </row>
    <row r="829">
      <c r="A829" t="inlineStr">
        <is>
          <t>按照客户要求，推出不到100卡一人食小包装</t>
        </is>
      </c>
      <c r="B829" t="inlineStr">
        <is>
          <t>6a5b721f000000001b01f085</t>
        </is>
      </c>
      <c r="C829" s="828" t="n">
        <f>HYPERLINK("https://www.xiaohongshu.com/explore/6a5b721f000000001b01f085?xsec_token=TBQiR21gM1WD-mfbMRSFpue2nq7N14dGrLpU9BacmTqMM=&amp;xsec_source=pc_trdark","https://www.xiaohongshu.com/explore/6a5b721f000000001b01f085?xsec_token=TBQiR21gM1WD-mfbMRSFpue2nq7N14dGrLpU9BacmTqMM=&amp;xsec_source=pc_trdark")</f>
        <v>0.0</v>
      </c>
      <c r="D829" t="inlineStr">
        <is>
          <t>菲菲上班吃什么</t>
        </is>
      </c>
      <c r="E829" t="inlineStr">
        <is>
          <t>49936530607</t>
        </is>
      </c>
      <c r="F829" t="inlineStr">
        <is>
          <t>2026-07-18 20:31:27</t>
        </is>
      </c>
      <c r="G829" t="inlineStr">
        <is>
          <t>图文</t>
        </is>
      </c>
      <c r="H829" t="inlineStr">
        <is>
          <t>手剥虾仁 无冰衣无添加 低脂餐一人食 上班带饭 顺丰包邮 5盒装</t>
        </is>
      </c>
      <c r="I829" t="inlineStr">
        <is>
          <t>694baba01d450d00013662f0</t>
        </is>
      </c>
      <c r="J829" t="inlineStr">
        <is>
          <t/>
        </is>
      </c>
      <c r="K829" t="n">
        <v>0.0</v>
      </c>
      <c r="L829" t="n">
        <v>0.0</v>
      </c>
      <c r="M829" t="n">
        <v>0.0</v>
      </c>
      <c r="N829" t="inlineStr">
        <is>
          <t/>
        </is>
      </c>
      <c r="O829" t="n">
        <v>0.0</v>
      </c>
      <c r="P829" t="n">
        <v>0.0</v>
      </c>
      <c r="Q829" t="inlineStr">
        <is>
          <t/>
        </is>
      </c>
      <c r="R829" t="inlineStr">
        <is>
          <t/>
        </is>
      </c>
      <c r="S829" t="n">
        <v>0.0</v>
      </c>
      <c r="T829" t="n">
        <v>0.0</v>
      </c>
      <c r="U829" t="n">
        <v>0.0</v>
      </c>
      <c r="V829" t="n">
        <v>0.0</v>
      </c>
      <c r="W829" t="inlineStr">
        <is>
          <t/>
        </is>
      </c>
      <c r="X829" t="n">
        <v>0.0</v>
      </c>
      <c r="Y829" t="n">
        <v>0.0</v>
      </c>
      <c r="Z829" t="n">
        <v>0.0</v>
      </c>
      <c r="AA829" t="n">
        <v>0.0</v>
      </c>
      <c r="AB829" t="n">
        <v>0.0</v>
      </c>
      <c r="AC829" t="n">
        <v>0.0</v>
      </c>
      <c r="AD829" t="n">
        <v>0.0</v>
      </c>
      <c r="AE829" t="n">
        <v>0.0</v>
      </c>
      <c r="AF829" t="n">
        <v>0.0</v>
      </c>
      <c r="AG829" t="n">
        <v>0.0</v>
      </c>
      <c r="AH829" t="n">
        <v>0.0</v>
      </c>
      <c r="AI829" t="n">
        <v>0.0</v>
      </c>
      <c r="AJ829" t="n">
        <v>0.0</v>
      </c>
      <c r="AK829" t="inlineStr">
        <is>
          <t/>
        </is>
      </c>
      <c r="AL829" t="inlineStr">
        <is>
          <t/>
        </is>
      </c>
    </row>
    <row r="830">
      <c r="A830" t="inlineStr">
        <is>
          <t>减脂期后发现，100块真能吃半个月虾仁</t>
        </is>
      </c>
      <c r="B830" t="inlineStr">
        <is>
          <t>6a5b542d000000000f013dc2</t>
        </is>
      </c>
      <c r="C830" s="829" t="n">
        <f>HYPERLINK("https://www.xiaohongshu.com/explore/6a5b542d000000000f013dc2?xsec_token=TBQiR21gM1WD-mfbMRSFpueyuxTTEWeAGeit2QC4I4X8g=&amp;xsec_source=pc_trdark","https://www.xiaohongshu.com/explore/6a5b542d000000000f013dc2?xsec_token=TBQiR21gM1WD-mfbMRSFpueyuxTTEWeAGeit2QC4I4X8g=&amp;xsec_source=pc_trdark")</f>
        <v>0.0</v>
      </c>
      <c r="D830" t="inlineStr">
        <is>
          <t>菲菲上班吃什么</t>
        </is>
      </c>
      <c r="E830" t="inlineStr">
        <is>
          <t>49936530607</t>
        </is>
      </c>
      <c r="F830" t="inlineStr">
        <is>
          <t>2026-07-18 18:23:41</t>
        </is>
      </c>
      <c r="G830" t="inlineStr">
        <is>
          <t>图文</t>
        </is>
      </c>
      <c r="H830" t="inlineStr">
        <is>
          <t>手剥虾仁 无冰衣无添加 低脂餐一人食 上班带饭 顺丰包邮 5盒装</t>
        </is>
      </c>
      <c r="I830" t="inlineStr">
        <is>
          <t>694baba01d450d00013662f0</t>
        </is>
      </c>
      <c r="J830" t="inlineStr">
        <is>
          <t/>
        </is>
      </c>
      <c r="K830" t="n">
        <v>0.0</v>
      </c>
      <c r="L830" t="n">
        <v>0.0</v>
      </c>
      <c r="M830" t="n">
        <v>0.0</v>
      </c>
      <c r="N830" t="inlineStr">
        <is>
          <t/>
        </is>
      </c>
      <c r="O830" t="n">
        <v>0.0</v>
      </c>
      <c r="P830" t="n">
        <v>0.0</v>
      </c>
      <c r="Q830" t="inlineStr">
        <is>
          <t/>
        </is>
      </c>
      <c r="R830" t="inlineStr">
        <is>
          <t/>
        </is>
      </c>
      <c r="S830" t="n">
        <v>0.0</v>
      </c>
      <c r="T830" t="n">
        <v>0.0</v>
      </c>
      <c r="U830" t="n">
        <v>0.0</v>
      </c>
      <c r="V830" t="n">
        <v>0.0</v>
      </c>
      <c r="W830" t="inlineStr">
        <is>
          <t/>
        </is>
      </c>
      <c r="X830" t="n">
        <v>0.0</v>
      </c>
      <c r="Y830" t="n">
        <v>0.0</v>
      </c>
      <c r="Z830" t="n">
        <v>0.0</v>
      </c>
      <c r="AA830" t="n">
        <v>0.0</v>
      </c>
      <c r="AB830" t="n">
        <v>0.0</v>
      </c>
      <c r="AC830" t="n">
        <v>0.0</v>
      </c>
      <c r="AD830" t="n">
        <v>0.0</v>
      </c>
      <c r="AE830" t="n">
        <v>0.0</v>
      </c>
      <c r="AF830" t="n">
        <v>0.0</v>
      </c>
      <c r="AG830" t="n">
        <v>0.0</v>
      </c>
      <c r="AH830" t="n">
        <v>0.0</v>
      </c>
      <c r="AI830" t="n">
        <v>0.0</v>
      </c>
      <c r="AJ830" t="n">
        <v>0.0</v>
      </c>
      <c r="AK830" t="inlineStr">
        <is>
          <t/>
        </is>
      </c>
      <c r="AL830" t="inlineStr">
        <is>
          <t/>
        </is>
      </c>
    </row>
    <row r="831">
      <c r="A831" t="inlineStr">
        <is>
          <t>我宣布！早八打工人终于等到一餐一包！！！</t>
        </is>
      </c>
      <c r="B831" t="inlineStr">
        <is>
          <t>6a5ae9c6000000000c017755</t>
        </is>
      </c>
      <c r="C831" s="830" t="n">
        <f>HYPERLINK("https://www.xiaohongshu.com/explore/6a5ae9c6000000000c017755?xsec_token=TB4snoxz_tGrT0swQwZBXFqk1O5D6HPn3UwQu9AmYcbSk=&amp;xsec_source=pc_trdark","https://www.xiaohongshu.com/explore/6a5ae9c6000000000c017755?xsec_token=TB4snoxz_tGrT0swQwZBXFqk1O5D6HPn3UwQu9AmYcbSk=&amp;xsec_source=pc_trdark")</f>
        <v>0.0</v>
      </c>
      <c r="D831" t="inlineStr">
        <is>
          <t>菲菲上班吃什么</t>
        </is>
      </c>
      <c r="E831" t="inlineStr">
        <is>
          <t>49936530607</t>
        </is>
      </c>
      <c r="F831" t="inlineStr">
        <is>
          <t>2026-07-18 10:49:42</t>
        </is>
      </c>
      <c r="G831" t="inlineStr">
        <is>
          <t>图文</t>
        </is>
      </c>
      <c r="H831" t="inlineStr">
        <is>
          <t>手剥虾仁 无冰衣无添加 低脂餐一人食 上班带饭 顺丰包邮 5盒装</t>
        </is>
      </c>
      <c r="I831" t="inlineStr">
        <is>
          <t>694baba01d450d00013662f0</t>
        </is>
      </c>
      <c r="J831" t="inlineStr">
        <is>
          <t/>
        </is>
      </c>
      <c r="K831" t="n">
        <v>0.0</v>
      </c>
      <c r="L831" t="n">
        <v>0.0</v>
      </c>
      <c r="M831" t="n">
        <v>0.0</v>
      </c>
      <c r="N831" t="inlineStr">
        <is>
          <t/>
        </is>
      </c>
      <c r="O831" t="n">
        <v>0.0</v>
      </c>
      <c r="P831" t="n">
        <v>0.0</v>
      </c>
      <c r="Q831" t="inlineStr">
        <is>
          <t/>
        </is>
      </c>
      <c r="R831" t="inlineStr">
        <is>
          <t/>
        </is>
      </c>
      <c r="S831" t="n">
        <v>0.0</v>
      </c>
      <c r="T831" t="n">
        <v>0.0</v>
      </c>
      <c r="U831" t="n">
        <v>0.0</v>
      </c>
      <c r="V831" t="n">
        <v>0.0</v>
      </c>
      <c r="W831" t="inlineStr">
        <is>
          <t/>
        </is>
      </c>
      <c r="X831" t="n">
        <v>0.0</v>
      </c>
      <c r="Y831" t="n">
        <v>0.0</v>
      </c>
      <c r="Z831" t="n">
        <v>0.0</v>
      </c>
      <c r="AA831" t="n">
        <v>0.0</v>
      </c>
      <c r="AB831" t="n">
        <v>0.0</v>
      </c>
      <c r="AC831" t="n">
        <v>0.0</v>
      </c>
      <c r="AD831" t="n">
        <v>0.0</v>
      </c>
      <c r="AE831" t="n">
        <v>0.0</v>
      </c>
      <c r="AF831" t="n">
        <v>0.0</v>
      </c>
      <c r="AG831" t="n">
        <v>0.0</v>
      </c>
      <c r="AH831" t="n">
        <v>0.0</v>
      </c>
      <c r="AI831" t="n">
        <v>0.0</v>
      </c>
      <c r="AJ831" t="n">
        <v>0.0</v>
      </c>
      <c r="AK831" t="inlineStr">
        <is>
          <t/>
        </is>
      </c>
      <c r="AL831" t="inlineStr">
        <is>
          <t/>
        </is>
      </c>
    </row>
    <row r="832">
      <c r="A832" t="inlineStr">
        <is>
          <t>夏天减脂真不贵，区区69💰够我吃一周了！</t>
        </is>
      </c>
      <c r="B832" t="inlineStr">
        <is>
          <t>6a5a16a2000000001302e292</t>
        </is>
      </c>
      <c r="C832" s="831" t="n">
        <f>HYPERLINK("https://www.xiaohongshu.com/explore/6a5a16a2000000001302e292?xsec_token=TB4snoxz_tGrT0swQwZBXFqrXOCnh5eIUPAW02ZUi8vyI=&amp;xsec_source=pc_trdark","https://www.xiaohongshu.com/explore/6a5a16a2000000001302e292?xsec_token=TB4snoxz_tGrT0swQwZBXFqrXOCnh5eIUPAW02ZUi8vyI=&amp;xsec_source=pc_trdark")</f>
        <v>0.0</v>
      </c>
      <c r="D832" t="inlineStr">
        <is>
          <t>菲菲上班吃什么</t>
        </is>
      </c>
      <c r="E832" t="inlineStr">
        <is>
          <t>49936530607</t>
        </is>
      </c>
      <c r="F832" t="inlineStr">
        <is>
          <t>2026-07-17 19:48:50</t>
        </is>
      </c>
      <c r="G832" t="inlineStr">
        <is>
          <t>图文</t>
        </is>
      </c>
      <c r="H832" t="inlineStr">
        <is>
          <t>手剥虾仁 无冰衣无添加 低脂餐一人食 上班带饭 顺丰包邮 5盒装</t>
        </is>
      </c>
      <c r="I832" t="inlineStr">
        <is>
          <t>694baba01d450d00013662f0</t>
        </is>
      </c>
      <c r="J832" t="inlineStr">
        <is>
          <t/>
        </is>
      </c>
      <c r="K832" t="n">
        <v>0.0</v>
      </c>
      <c r="L832" t="n">
        <v>0.0</v>
      </c>
      <c r="M832" t="n">
        <v>0.0</v>
      </c>
      <c r="N832" t="inlineStr">
        <is>
          <t/>
        </is>
      </c>
      <c r="O832" t="n">
        <v>0.0</v>
      </c>
      <c r="P832" t="n">
        <v>0.0</v>
      </c>
      <c r="Q832" t="inlineStr">
        <is>
          <t/>
        </is>
      </c>
      <c r="R832" t="inlineStr">
        <is>
          <t/>
        </is>
      </c>
      <c r="S832" t="n">
        <v>0.0</v>
      </c>
      <c r="T832" t="n">
        <v>0.0</v>
      </c>
      <c r="U832" t="n">
        <v>0.0</v>
      </c>
      <c r="V832" t="n">
        <v>0.0</v>
      </c>
      <c r="W832" t="inlineStr">
        <is>
          <t/>
        </is>
      </c>
      <c r="X832" t="n">
        <v>0.0</v>
      </c>
      <c r="Y832" t="n">
        <v>0.0</v>
      </c>
      <c r="Z832" t="n">
        <v>0.0</v>
      </c>
      <c r="AA832" t="n">
        <v>0.0</v>
      </c>
      <c r="AB832" t="n">
        <v>0.0</v>
      </c>
      <c r="AC832" t="n">
        <v>0.0</v>
      </c>
      <c r="AD832" t="n">
        <v>0.0</v>
      </c>
      <c r="AE832" t="n">
        <v>0.0</v>
      </c>
      <c r="AF832" t="n">
        <v>0.0</v>
      </c>
      <c r="AG832" t="n">
        <v>0.0</v>
      </c>
      <c r="AH832" t="n">
        <v>0.0</v>
      </c>
      <c r="AI832" t="n">
        <v>0.0</v>
      </c>
      <c r="AJ832" t="n">
        <v>0.0</v>
      </c>
      <c r="AK832" t="inlineStr">
        <is>
          <t/>
        </is>
      </c>
      <c r="AL832" t="inlineStr">
        <is>
          <t/>
        </is>
      </c>
    </row>
    <row r="833">
      <c r="A833" t="inlineStr">
        <is>
          <t>减脂期带饭一个月，独立小包装简直太爽了！</t>
        </is>
      </c>
      <c r="B833" t="inlineStr">
        <is>
          <t>6a59c32e000000001002817b</t>
        </is>
      </c>
      <c r="C833" s="832" t="n">
        <f>HYPERLINK("https://www.xiaohongshu.com/explore/6a59c32e000000001002817b?xsec_token=TBznzFg2a5AgktvQj-m55hPpWDcvNTNDElyEiOzvHS55A=&amp;xsec_source=pc_trdark","https://www.xiaohongshu.com/explore/6a59c32e000000001002817b?xsec_token=TBznzFg2a5AgktvQj-m55hPpWDcvNTNDElyEiOzvHS55A=&amp;xsec_source=pc_trdark")</f>
        <v>0.0</v>
      </c>
      <c r="D833" t="inlineStr">
        <is>
          <t>菲菲上班吃什么</t>
        </is>
      </c>
      <c r="E833" t="inlineStr">
        <is>
          <t>49936530607</t>
        </is>
      </c>
      <c r="F833" t="inlineStr">
        <is>
          <t>2026-07-17 13:52:46</t>
        </is>
      </c>
      <c r="G833" t="inlineStr">
        <is>
          <t>图文</t>
        </is>
      </c>
      <c r="H833" t="inlineStr">
        <is>
          <t>手剥虾仁 无冰衣无添加 低脂餐一人食 上班带饭 顺丰包邮 5盒装</t>
        </is>
      </c>
      <c r="I833" t="inlineStr">
        <is>
          <t>694baba01d450d00013662f0</t>
        </is>
      </c>
      <c r="J833" t="inlineStr">
        <is>
          <t/>
        </is>
      </c>
      <c r="K833" t="n">
        <v>0.0</v>
      </c>
      <c r="L833" t="n">
        <v>0.0</v>
      </c>
      <c r="M833" t="n">
        <v>0.0</v>
      </c>
      <c r="N833" t="inlineStr">
        <is>
          <t/>
        </is>
      </c>
      <c r="O833" t="n">
        <v>0.0</v>
      </c>
      <c r="P833" t="n">
        <v>0.0</v>
      </c>
      <c r="Q833" t="inlineStr">
        <is>
          <t/>
        </is>
      </c>
      <c r="R833" t="inlineStr">
        <is>
          <t/>
        </is>
      </c>
      <c r="S833" t="n">
        <v>0.0</v>
      </c>
      <c r="T833" t="n">
        <v>0.0</v>
      </c>
      <c r="U833" t="n">
        <v>0.0</v>
      </c>
      <c r="V833" t="n">
        <v>0.0</v>
      </c>
      <c r="W833" t="inlineStr">
        <is>
          <t/>
        </is>
      </c>
      <c r="X833" t="n">
        <v>0.0</v>
      </c>
      <c r="Y833" t="n">
        <v>0.0</v>
      </c>
      <c r="Z833" t="n">
        <v>0.0</v>
      </c>
      <c r="AA833" t="n">
        <v>0.0</v>
      </c>
      <c r="AB833" t="n">
        <v>0.0</v>
      </c>
      <c r="AC833" t="n">
        <v>0.0</v>
      </c>
      <c r="AD833" t="n">
        <v>0.0</v>
      </c>
      <c r="AE833" t="n">
        <v>0.0</v>
      </c>
      <c r="AF833" t="n">
        <v>0.0</v>
      </c>
      <c r="AG833" t="n">
        <v>0.0</v>
      </c>
      <c r="AH833" t="n">
        <v>0.0</v>
      </c>
      <c r="AI833" t="n">
        <v>0.0</v>
      </c>
      <c r="AJ833" t="n">
        <v>0.0</v>
      </c>
      <c r="AK833" t="inlineStr">
        <is>
          <t/>
        </is>
      </c>
      <c r="AL833" t="inlineStr">
        <is>
          <t/>
        </is>
      </c>
    </row>
    <row r="834">
      <c r="A834" t="inlineStr">
        <is>
          <t>和老爸商量后，推出夏日减脂小包装！！</t>
        </is>
      </c>
      <c r="B834" t="inlineStr">
        <is>
          <t>6a599c8e000000001d0204ca</t>
        </is>
      </c>
      <c r="C834" s="833" t="n">
        <f>HYPERLINK("https://www.xiaohongshu.com/explore/6a599c8e000000001d0204ca?xsec_token=TBznzFg2a5AgktvQj-m55hPjL8D1NGFW4_-NzPZePDM1I=&amp;xsec_source=pc_trdark","https://www.xiaohongshu.com/explore/6a599c8e000000001d0204ca?xsec_token=TBznzFg2a5AgktvQj-m55hPjL8D1NGFW4_-NzPZePDM1I=&amp;xsec_source=pc_trdark")</f>
        <v>0.0</v>
      </c>
      <c r="D834" t="inlineStr">
        <is>
          <t>菲菲上班吃什么</t>
        </is>
      </c>
      <c r="E834" t="inlineStr">
        <is>
          <t>49936530607</t>
        </is>
      </c>
      <c r="F834" t="inlineStr">
        <is>
          <t>2026-07-17 11:07:58</t>
        </is>
      </c>
      <c r="G834" t="inlineStr">
        <is>
          <t>图文</t>
        </is>
      </c>
      <c r="H834" t="inlineStr">
        <is>
          <t>手剥虾仁 无冰衣无添加 低脂餐一人食 上班带饭 顺丰包邮 5盒装</t>
        </is>
      </c>
      <c r="I834" t="inlineStr">
        <is>
          <t>694baba01d450d00013662f0</t>
        </is>
      </c>
      <c r="J834" t="inlineStr">
        <is>
          <t/>
        </is>
      </c>
      <c r="K834" t="n">
        <v>0.0</v>
      </c>
      <c r="L834" t="n">
        <v>0.0</v>
      </c>
      <c r="M834" t="n">
        <v>0.0</v>
      </c>
      <c r="N834" t="inlineStr">
        <is>
          <t/>
        </is>
      </c>
      <c r="O834" t="n">
        <v>0.0</v>
      </c>
      <c r="P834" t="n">
        <v>0.0</v>
      </c>
      <c r="Q834" t="inlineStr">
        <is>
          <t/>
        </is>
      </c>
      <c r="R834" t="inlineStr">
        <is>
          <t/>
        </is>
      </c>
      <c r="S834" t="n">
        <v>0.0</v>
      </c>
      <c r="T834" t="n">
        <v>0.0</v>
      </c>
      <c r="U834" t="n">
        <v>0.0</v>
      </c>
      <c r="V834" t="n">
        <v>0.0</v>
      </c>
      <c r="W834" t="inlineStr">
        <is>
          <t/>
        </is>
      </c>
      <c r="X834" t="n">
        <v>0.0</v>
      </c>
      <c r="Y834" t="n">
        <v>0.0</v>
      </c>
      <c r="Z834" t="n">
        <v>0.0</v>
      </c>
      <c r="AA834" t="n">
        <v>0.0</v>
      </c>
      <c r="AB834" t="n">
        <v>0.0</v>
      </c>
      <c r="AC834" t="n">
        <v>0.0</v>
      </c>
      <c r="AD834" t="n">
        <v>0.0</v>
      </c>
      <c r="AE834" t="n">
        <v>0.0</v>
      </c>
      <c r="AF834" t="n">
        <v>0.0</v>
      </c>
      <c r="AG834" t="n">
        <v>0.0</v>
      </c>
      <c r="AH834" t="n">
        <v>0.0</v>
      </c>
      <c r="AI834" t="n">
        <v>0.0</v>
      </c>
      <c r="AJ834" t="n">
        <v>0.0</v>
      </c>
      <c r="AK834" t="inlineStr">
        <is>
          <t/>
        </is>
      </c>
      <c r="AL834" t="inlineStr">
        <is>
          <t/>
        </is>
      </c>
    </row>
    <row r="835">
      <c r="A835" t="inlineStr">
        <is>
          <t>独居党终于有独立小包装，一餐一包的虾仁了</t>
        </is>
      </c>
      <c r="B835" t="inlineStr">
        <is>
          <t>6a5782a20000000021009643</t>
        </is>
      </c>
      <c r="C835" s="834" t="n">
        <f>HYPERLINK("https://www.xiaohongshu.com/explore/6a5782a20000000021009643?xsec_token=TB3zADzSb113WZKv-nEzvX6XxSsU6wAAR76ennXgSOKvY=&amp;xsec_source=pc_trdark","https://www.xiaohongshu.com/explore/6a5782a20000000021009643?xsec_token=TB3zADzSb113WZKv-nEzvX6XxSsU6wAAR76ennXgSOKvY=&amp;xsec_source=pc_trdark")</f>
        <v>0.0</v>
      </c>
      <c r="D835" t="inlineStr">
        <is>
          <t>菲菲上班吃什么</t>
        </is>
      </c>
      <c r="E835" t="inlineStr">
        <is>
          <t>49936530607</t>
        </is>
      </c>
      <c r="F835" t="inlineStr">
        <is>
          <t>2026-07-15 20:52:50</t>
        </is>
      </c>
      <c r="G835" t="inlineStr">
        <is>
          <t>图文</t>
        </is>
      </c>
      <c r="H835" t="inlineStr">
        <is>
          <t>手剥虾仁 无冰衣无添加 低脂餐一人食 上班带饭 顺丰包邮 5盒装</t>
        </is>
      </c>
      <c r="I835" t="inlineStr">
        <is>
          <t>694baba01d450d00013662f0</t>
        </is>
      </c>
      <c r="J835" t="inlineStr">
        <is>
          <t/>
        </is>
      </c>
      <c r="K835" t="n">
        <v>0.0</v>
      </c>
      <c r="L835" t="n">
        <v>0.0</v>
      </c>
      <c r="M835" t="n">
        <v>0.0</v>
      </c>
      <c r="N835" t="inlineStr">
        <is>
          <t/>
        </is>
      </c>
      <c r="O835" t="n">
        <v>0.0</v>
      </c>
      <c r="P835" t="n">
        <v>0.0</v>
      </c>
      <c r="Q835" t="inlineStr">
        <is>
          <t/>
        </is>
      </c>
      <c r="R835" t="inlineStr">
        <is>
          <t/>
        </is>
      </c>
      <c r="S835" t="n">
        <v>0.0</v>
      </c>
      <c r="T835" t="n">
        <v>0.0</v>
      </c>
      <c r="U835" t="n">
        <v>0.0</v>
      </c>
      <c r="V835" t="n">
        <v>0.0</v>
      </c>
      <c r="W835" t="inlineStr">
        <is>
          <t/>
        </is>
      </c>
      <c r="X835" t="n">
        <v>0.0</v>
      </c>
      <c r="Y835" t="n">
        <v>0.0</v>
      </c>
      <c r="Z835" t="n">
        <v>0.0</v>
      </c>
      <c r="AA835" t="n">
        <v>0.0</v>
      </c>
      <c r="AB835" t="n">
        <v>0.0</v>
      </c>
      <c r="AC835" t="n">
        <v>0.0</v>
      </c>
      <c r="AD835" t="n">
        <v>0.0</v>
      </c>
      <c r="AE835" t="n">
        <v>0.0</v>
      </c>
      <c r="AF835" t="n">
        <v>0.0</v>
      </c>
      <c r="AG835" t="n">
        <v>0.0</v>
      </c>
      <c r="AH835" t="n">
        <v>0.0</v>
      </c>
      <c r="AI835" t="n">
        <v>0.0</v>
      </c>
      <c r="AJ835" t="n">
        <v>0.0</v>
      </c>
      <c r="AK835" t="inlineStr">
        <is>
          <t/>
        </is>
      </c>
      <c r="AL835" t="inlineStr">
        <is>
          <t/>
        </is>
      </c>
    </row>
    <row r="836">
      <c r="A836" t="inlineStr">
        <is>
          <t>一餐一包，真把早八打工人外卖改了！！！！</t>
        </is>
      </c>
      <c r="B836" t="inlineStr">
        <is>
          <t>6a576f52000000000702bb94</t>
        </is>
      </c>
      <c r="C836" s="835" t="n">
        <f>HYPERLINK("https://www.xiaohongshu.com/explore/6a576f52000000000702bb94?xsec_token=TB3zADzSb113WZKv-nEzvX6TPuntDdq6XAAnkpuWSD5Bo=&amp;xsec_source=pc_trdark","https://www.xiaohongshu.com/explore/6a576f52000000000702bb94?xsec_token=TB3zADzSb113WZKv-nEzvX6TPuntDdq6XAAnkpuWSD5Bo=&amp;xsec_source=pc_trdark")</f>
        <v>0.0</v>
      </c>
      <c r="D836" t="inlineStr">
        <is>
          <t>菲菲上班吃什么</t>
        </is>
      </c>
      <c r="E836" t="inlineStr">
        <is>
          <t>49936530607</t>
        </is>
      </c>
      <c r="F836" t="inlineStr">
        <is>
          <t>2026-07-15 19:30:27</t>
        </is>
      </c>
      <c r="G836" t="inlineStr">
        <is>
          <t>图文</t>
        </is>
      </c>
      <c r="H836" t="inlineStr">
        <is>
          <t>手剥虾仁 无冰衣无添加 低脂餐一人食 上班带饭 顺丰包邮 5盒装</t>
        </is>
      </c>
      <c r="I836" t="inlineStr">
        <is>
          <t>694baba01d450d00013662f0</t>
        </is>
      </c>
      <c r="J836" t="inlineStr">
        <is>
          <t/>
        </is>
      </c>
      <c r="K836" t="n">
        <v>0.0</v>
      </c>
      <c r="L836" t="n">
        <v>0.0</v>
      </c>
      <c r="M836" t="n">
        <v>0.0</v>
      </c>
      <c r="N836" t="inlineStr">
        <is>
          <t/>
        </is>
      </c>
      <c r="O836" t="n">
        <v>0.0</v>
      </c>
      <c r="P836" t="n">
        <v>0.0</v>
      </c>
      <c r="Q836" t="inlineStr">
        <is>
          <t/>
        </is>
      </c>
      <c r="R836" t="inlineStr">
        <is>
          <t/>
        </is>
      </c>
      <c r="S836" t="n">
        <v>0.0</v>
      </c>
      <c r="T836" t="n">
        <v>0.0</v>
      </c>
      <c r="U836" t="n">
        <v>0.0</v>
      </c>
      <c r="V836" t="n">
        <v>0.0</v>
      </c>
      <c r="W836" t="inlineStr">
        <is>
          <t/>
        </is>
      </c>
      <c r="X836" t="n">
        <v>0.0</v>
      </c>
      <c r="Y836" t="n">
        <v>0.0</v>
      </c>
      <c r="Z836" t="n">
        <v>0.0</v>
      </c>
      <c r="AA836" t="n">
        <v>0.0</v>
      </c>
      <c r="AB836" t="n">
        <v>0.0</v>
      </c>
      <c r="AC836" t="n">
        <v>0.0</v>
      </c>
      <c r="AD836" t="n">
        <v>0.0</v>
      </c>
      <c r="AE836" t="n">
        <v>0.0</v>
      </c>
      <c r="AF836" t="n">
        <v>0.0</v>
      </c>
      <c r="AG836" t="n">
        <v>0.0</v>
      </c>
      <c r="AH836" t="n">
        <v>0.0</v>
      </c>
      <c r="AI836" t="n">
        <v>0.0</v>
      </c>
      <c r="AJ836" t="n">
        <v>0.0</v>
      </c>
      <c r="AK836" t="inlineStr">
        <is>
          <t/>
        </is>
      </c>
      <c r="AL836" t="inlineStr">
        <is>
          <t/>
        </is>
      </c>
    </row>
    <row r="837">
      <c r="A837" t="inlineStr">
        <is>
          <t>独居党的冰箱，没想到救我的一餐一包虾仁</t>
        </is>
      </c>
      <c r="B837" t="inlineStr">
        <is>
          <t>6a57357900000000080018d8</t>
        </is>
      </c>
      <c r="C837" s="836" t="n">
        <f>HYPERLINK("https://www.xiaohongshu.com/explore/6a57357900000000080018d8?xsec_token=TB3zADzSb113WZKv-nEzvX6V66CMomuHfhLwP5NhdAeHI=&amp;xsec_source=pc_trdark","https://www.xiaohongshu.com/explore/6a57357900000000080018d8?xsec_token=TB3zADzSb113WZKv-nEzvX6V66CMomuHfhLwP5NhdAeHI=&amp;xsec_source=pc_trdark")</f>
        <v>0.0</v>
      </c>
      <c r="D837" t="inlineStr">
        <is>
          <t>菲菲上班吃什么</t>
        </is>
      </c>
      <c r="E837" t="inlineStr">
        <is>
          <t>49936530607</t>
        </is>
      </c>
      <c r="F837" t="inlineStr">
        <is>
          <t>2026-07-15 15:23:37</t>
        </is>
      </c>
      <c r="G837" t="inlineStr">
        <is>
          <t>图文</t>
        </is>
      </c>
      <c r="H837" t="inlineStr">
        <is>
          <t>手剥虾仁 无冰衣无添加 低脂餐一人食 上班带饭 顺丰包邮 5盒装</t>
        </is>
      </c>
      <c r="I837" t="inlineStr">
        <is>
          <t>694baba01d450d00013662f0</t>
        </is>
      </c>
      <c r="J837" t="inlineStr">
        <is>
          <t/>
        </is>
      </c>
      <c r="K837" t="n">
        <v>0.0</v>
      </c>
      <c r="L837" t="n">
        <v>0.0</v>
      </c>
      <c r="M837" t="n">
        <v>0.0</v>
      </c>
      <c r="N837" t="inlineStr">
        <is>
          <t/>
        </is>
      </c>
      <c r="O837" t="n">
        <v>0.0</v>
      </c>
      <c r="P837" t="n">
        <v>0.0</v>
      </c>
      <c r="Q837" t="inlineStr">
        <is>
          <t/>
        </is>
      </c>
      <c r="R837" t="inlineStr">
        <is>
          <t/>
        </is>
      </c>
      <c r="S837" t="n">
        <v>0.0</v>
      </c>
      <c r="T837" t="n">
        <v>0.0</v>
      </c>
      <c r="U837" t="n">
        <v>0.0</v>
      </c>
      <c r="V837" t="n">
        <v>0.0</v>
      </c>
      <c r="W837" t="inlineStr">
        <is>
          <t/>
        </is>
      </c>
      <c r="X837" t="n">
        <v>0.0</v>
      </c>
      <c r="Y837" t="n">
        <v>0.0</v>
      </c>
      <c r="Z837" t="n">
        <v>0.0</v>
      </c>
      <c r="AA837" t="n">
        <v>0.0</v>
      </c>
      <c r="AB837" t="n">
        <v>0.0</v>
      </c>
      <c r="AC837" t="n">
        <v>0.0</v>
      </c>
      <c r="AD837" t="n">
        <v>0.0</v>
      </c>
      <c r="AE837" t="n">
        <v>0.0</v>
      </c>
      <c r="AF837" t="n">
        <v>0.0</v>
      </c>
      <c r="AG837" t="n">
        <v>0.0</v>
      </c>
      <c r="AH837" t="n">
        <v>0.0</v>
      </c>
      <c r="AI837" t="n">
        <v>0.0</v>
      </c>
      <c r="AJ837" t="n">
        <v>0.0</v>
      </c>
      <c r="AK837" t="inlineStr">
        <is>
          <t/>
        </is>
      </c>
      <c r="AL837" t="inlineStr">
        <is>
          <t/>
        </is>
      </c>
    </row>
    <row r="838">
      <c r="A838" t="inlineStr">
        <is>
          <t>早八打工人！感谢一餐一包的独立小包装🍤</t>
        </is>
      </c>
      <c r="B838" t="inlineStr">
        <is>
          <t>6a56326a000000000702469e</t>
        </is>
      </c>
      <c r="C838" s="837" t="n">
        <f>HYPERLINK("https://www.xiaohongshu.com/explore/6a56326a000000000702469e?xsec_token=TB9bhMHu11lwl7C-NRH9-rDAkIXJzVMUKMr9zb1DJXYKU=&amp;xsec_source=pc_trdark","https://www.xiaohongshu.com/explore/6a56326a000000000702469e?xsec_token=TB9bhMHu11lwl7C-NRH9-rDAkIXJzVMUKMr9zb1DJXYKU=&amp;xsec_source=pc_trdark")</f>
        <v>0.0</v>
      </c>
      <c r="D838" t="inlineStr">
        <is>
          <t>菲菲上班吃什么</t>
        </is>
      </c>
      <c r="E838" t="inlineStr">
        <is>
          <t>49936530607</t>
        </is>
      </c>
      <c r="F838" t="inlineStr">
        <is>
          <t>2026-07-14 20:58:18</t>
        </is>
      </c>
      <c r="G838" t="inlineStr">
        <is>
          <t>图文</t>
        </is>
      </c>
      <c r="H838" t="inlineStr">
        <is>
          <t>手剥虾仁 无冰衣无添加 低脂餐一人食 上班带饭 顺丰包邮 5盒装</t>
        </is>
      </c>
      <c r="I838" t="inlineStr">
        <is>
          <t>694baba01d450d00013662f0</t>
        </is>
      </c>
      <c r="J838" t="inlineStr">
        <is>
          <t/>
        </is>
      </c>
      <c r="K838" t="n">
        <v>0.0</v>
      </c>
      <c r="L838" t="n">
        <v>0.0</v>
      </c>
      <c r="M838" t="n">
        <v>0.0</v>
      </c>
      <c r="N838" t="inlineStr">
        <is>
          <t/>
        </is>
      </c>
      <c r="O838" t="n">
        <v>0.0</v>
      </c>
      <c r="P838" t="n">
        <v>0.0</v>
      </c>
      <c r="Q838" t="inlineStr">
        <is>
          <t/>
        </is>
      </c>
      <c r="R838" t="inlineStr">
        <is>
          <t/>
        </is>
      </c>
      <c r="S838" t="n">
        <v>0.0</v>
      </c>
      <c r="T838" t="n">
        <v>0.0</v>
      </c>
      <c r="U838" t="n">
        <v>0.0</v>
      </c>
      <c r="V838" t="n">
        <v>0.0</v>
      </c>
      <c r="W838" t="inlineStr">
        <is>
          <t/>
        </is>
      </c>
      <c r="X838" t="n">
        <v>0.0</v>
      </c>
      <c r="Y838" t="n">
        <v>0.0</v>
      </c>
      <c r="Z838" t="n">
        <v>0.0</v>
      </c>
      <c r="AA838" t="n">
        <v>0.0</v>
      </c>
      <c r="AB838" t="n">
        <v>0.0</v>
      </c>
      <c r="AC838" t="n">
        <v>0.0</v>
      </c>
      <c r="AD838" t="n">
        <v>0.0</v>
      </c>
      <c r="AE838" t="n">
        <v>0.0</v>
      </c>
      <c r="AF838" t="n">
        <v>0.0</v>
      </c>
      <c r="AG838" t="n">
        <v>0.0</v>
      </c>
      <c r="AH838" t="n">
        <v>0.0</v>
      </c>
      <c r="AI838" t="n">
        <v>0.0</v>
      </c>
      <c r="AJ838" t="n">
        <v>0.0</v>
      </c>
      <c r="AK838" t="inlineStr">
        <is>
          <t/>
        </is>
      </c>
      <c r="AL838" t="inlineStr">
        <is>
          <t/>
        </is>
      </c>
    </row>
    <row r="839">
      <c r="A839" t="inlineStr">
        <is>
          <t>一餐一包100g，减脂期打工人真的会需要！！！</t>
        </is>
      </c>
      <c r="B839" t="inlineStr">
        <is>
          <t>6a55cfd40000000007026250</t>
        </is>
      </c>
      <c r="C839" s="838" t="n">
        <f>HYPERLINK("https://www.xiaohongshu.com/explore/6a55cfd40000000007026250?xsec_token=TBtjT0D3LpwTfPk27zCmXZxT6Y11Wb3iCryHsiRG2pX2A=&amp;xsec_source=pc_trdark","https://www.xiaohongshu.com/explore/6a55cfd40000000007026250?xsec_token=TBtjT0D3LpwTfPk27zCmXZxT6Y11Wb3iCryHsiRG2pX2A=&amp;xsec_source=pc_trdark")</f>
        <v>0.0</v>
      </c>
      <c r="D839" t="inlineStr">
        <is>
          <t>菲菲上班吃什么</t>
        </is>
      </c>
      <c r="E839" t="inlineStr">
        <is>
          <t>49936530607</t>
        </is>
      </c>
      <c r="F839" t="inlineStr">
        <is>
          <t>2026-07-14 13:57:40</t>
        </is>
      </c>
      <c r="G839" t="inlineStr">
        <is>
          <t>图文</t>
        </is>
      </c>
      <c r="H839" t="inlineStr">
        <is>
          <t>手剥虾仁 无冰衣无添加 低脂餐一人食 上班带饭 顺丰包邮 5盒装</t>
        </is>
      </c>
      <c r="I839" t="inlineStr">
        <is>
          <t>694baba01d450d00013662f0</t>
        </is>
      </c>
      <c r="J839" t="inlineStr">
        <is>
          <t/>
        </is>
      </c>
      <c r="K839" t="n">
        <v>0.0</v>
      </c>
      <c r="L839" t="n">
        <v>0.0</v>
      </c>
      <c r="M839" t="n">
        <v>0.0</v>
      </c>
      <c r="N839" t="inlineStr">
        <is>
          <t/>
        </is>
      </c>
      <c r="O839" t="n">
        <v>0.0</v>
      </c>
      <c r="P839" t="n">
        <v>0.0</v>
      </c>
      <c r="Q839" t="inlineStr">
        <is>
          <t/>
        </is>
      </c>
      <c r="R839" t="inlineStr">
        <is>
          <t/>
        </is>
      </c>
      <c r="S839" t="n">
        <v>0.0</v>
      </c>
      <c r="T839" t="n">
        <v>0.0</v>
      </c>
      <c r="U839" t="n">
        <v>0.0</v>
      </c>
      <c r="V839" t="n">
        <v>0.0</v>
      </c>
      <c r="W839" t="inlineStr">
        <is>
          <t/>
        </is>
      </c>
      <c r="X839" t="n">
        <v>0.0</v>
      </c>
      <c r="Y839" t="n">
        <v>0.0</v>
      </c>
      <c r="Z839" t="n">
        <v>0.0</v>
      </c>
      <c r="AA839" t="n">
        <v>0.0</v>
      </c>
      <c r="AB839" t="n">
        <v>0.0</v>
      </c>
      <c r="AC839" t="n">
        <v>0.0</v>
      </c>
      <c r="AD839" t="n">
        <v>0.0</v>
      </c>
      <c r="AE839" t="n">
        <v>0.0</v>
      </c>
      <c r="AF839" t="n">
        <v>0.0</v>
      </c>
      <c r="AG839" t="n">
        <v>0.0</v>
      </c>
      <c r="AH839" t="n">
        <v>0.0</v>
      </c>
      <c r="AI839" t="n">
        <v>0.0</v>
      </c>
      <c r="AJ839" t="n">
        <v>0.0</v>
      </c>
      <c r="AK839" t="inlineStr">
        <is>
          <t/>
        </is>
      </c>
      <c r="AL839" t="inlineStr">
        <is>
          <t/>
        </is>
      </c>
    </row>
    <row r="840">
      <c r="A840" t="inlineStr">
        <is>
          <t>现在年轻人，严重低估了69的购买力！！！！</t>
        </is>
      </c>
      <c r="B840" t="inlineStr">
        <is>
          <t>6a54d7c40000000006030527</t>
        </is>
      </c>
      <c r="C840" s="839" t="n">
        <f>HYPERLINK("https://www.xiaohongshu.com/explore/6a54d7c40000000006030527?xsec_token=TBnijnMEPEnSTDzzHBYv-GM0KjY5GkaBuc7x5YpW23f88=&amp;xsec_source=pc_trdark","https://www.xiaohongshu.com/explore/6a54d7c40000000006030527?xsec_token=TBnijnMEPEnSTDzzHBYv-GM0KjY5GkaBuc7x5YpW23f88=&amp;xsec_source=pc_trdark")</f>
        <v>0.0</v>
      </c>
      <c r="D840" t="inlineStr">
        <is>
          <t>菲菲上班吃什么</t>
        </is>
      </c>
      <c r="E840" t="inlineStr">
        <is>
          <t>49936530607</t>
        </is>
      </c>
      <c r="F840" t="inlineStr">
        <is>
          <t>2026-07-13 20:19:16</t>
        </is>
      </c>
      <c r="G840" t="inlineStr">
        <is>
          <t>图文</t>
        </is>
      </c>
      <c r="H840" t="inlineStr">
        <is>
          <t>手剥虾仁 无冰衣无添加 低脂餐一人食 上班带饭 顺丰包邮 5盒装</t>
        </is>
      </c>
      <c r="I840" t="inlineStr">
        <is>
          <t>694baba01d450d00013662f0</t>
        </is>
      </c>
      <c r="J840" t="inlineStr">
        <is>
          <t/>
        </is>
      </c>
      <c r="K840" t="n">
        <v>0.0</v>
      </c>
      <c r="L840" t="n">
        <v>0.0</v>
      </c>
      <c r="M840" t="n">
        <v>0.0</v>
      </c>
      <c r="N840" t="inlineStr">
        <is>
          <t/>
        </is>
      </c>
      <c r="O840" t="n">
        <v>0.0</v>
      </c>
      <c r="P840" t="n">
        <v>0.0</v>
      </c>
      <c r="Q840" t="inlineStr">
        <is>
          <t/>
        </is>
      </c>
      <c r="R840" t="inlineStr">
        <is>
          <t/>
        </is>
      </c>
      <c r="S840" t="n">
        <v>0.0</v>
      </c>
      <c r="T840" t="n">
        <v>0.0</v>
      </c>
      <c r="U840" t="n">
        <v>0.0</v>
      </c>
      <c r="V840" t="n">
        <v>0.0</v>
      </c>
      <c r="W840" t="inlineStr">
        <is>
          <t/>
        </is>
      </c>
      <c r="X840" t="n">
        <v>0.0</v>
      </c>
      <c r="Y840" t="n">
        <v>0.0</v>
      </c>
      <c r="Z840" t="n">
        <v>0.0</v>
      </c>
      <c r="AA840" t="n">
        <v>0.0</v>
      </c>
      <c r="AB840" t="n">
        <v>0.0</v>
      </c>
      <c r="AC840" t="n">
        <v>0.0</v>
      </c>
      <c r="AD840" t="n">
        <v>0.0</v>
      </c>
      <c r="AE840" t="n">
        <v>0.0</v>
      </c>
      <c r="AF840" t="n">
        <v>0.0</v>
      </c>
      <c r="AG840" t="n">
        <v>0.0</v>
      </c>
      <c r="AH840" t="n">
        <v>0.0</v>
      </c>
      <c r="AI840" t="n">
        <v>0.0</v>
      </c>
      <c r="AJ840" t="n">
        <v>0.0</v>
      </c>
      <c r="AK840" t="inlineStr">
        <is>
          <t/>
        </is>
      </c>
      <c r="AL840" t="inlineStr">
        <is>
          <t/>
        </is>
      </c>
    </row>
    <row r="841">
      <c r="A841" t="inlineStr">
        <is>
          <t>减脂期必囤！多少个晚上靠一餐一包虾仁！！</t>
        </is>
      </c>
      <c r="B841" t="inlineStr">
        <is>
          <t>6a5498ad000000000f01d01b</t>
        </is>
      </c>
      <c r="C841" s="840" t="n">
        <f>HYPERLINK("https://www.xiaohongshu.com/explore/6a5498ad000000000f01d01b?xsec_token=TBnijnMEPEnSTDzzHBYv-GMw98gabpPSYlRRjn7A9vCXw=&amp;xsec_source=pc_trdark","https://www.xiaohongshu.com/explore/6a5498ad000000000f01d01b?xsec_token=TBnijnMEPEnSTDzzHBYv-GMw98gabpPSYlRRjn7A9vCXw=&amp;xsec_source=pc_trdark")</f>
        <v>0.0</v>
      </c>
      <c r="D841" t="inlineStr">
        <is>
          <t>鲜水湾甄选</t>
        </is>
      </c>
      <c r="E841" t="inlineStr">
        <is>
          <t>27401929161</t>
        </is>
      </c>
      <c r="F841" t="inlineStr">
        <is>
          <t>2026-07-13 15:50:05</t>
        </is>
      </c>
      <c r="G841" t="inlineStr">
        <is>
          <t>图文</t>
        </is>
      </c>
      <c r="H841" t="inlineStr">
        <is>
          <t>手剥虾仁 无冰衣无添加 低脂餐一人食 上班带饭 顺丰包邮 5盒装</t>
        </is>
      </c>
      <c r="I841" t="inlineStr">
        <is>
          <t>694baba01d450d00013662f0</t>
        </is>
      </c>
      <c r="J841" t="inlineStr">
        <is>
          <t/>
        </is>
      </c>
      <c r="K841" t="n">
        <v>0.0</v>
      </c>
      <c r="L841" t="n">
        <v>0.0</v>
      </c>
      <c r="M841" t="n">
        <v>0.0</v>
      </c>
      <c r="N841" t="inlineStr">
        <is>
          <t/>
        </is>
      </c>
      <c r="O841" t="n">
        <v>0.0</v>
      </c>
      <c r="P841" t="n">
        <v>0.0</v>
      </c>
      <c r="Q841" t="inlineStr">
        <is>
          <t/>
        </is>
      </c>
      <c r="R841" t="inlineStr">
        <is>
          <t/>
        </is>
      </c>
      <c r="S841" t="n">
        <v>0.0</v>
      </c>
      <c r="T841" t="n">
        <v>0.0</v>
      </c>
      <c r="U841" t="n">
        <v>0.0</v>
      </c>
      <c r="V841" t="n">
        <v>0.0</v>
      </c>
      <c r="W841" t="inlineStr">
        <is>
          <t/>
        </is>
      </c>
      <c r="X841" t="n">
        <v>0.0</v>
      </c>
      <c r="Y841" t="n">
        <v>0.0</v>
      </c>
      <c r="Z841" t="n">
        <v>0.0</v>
      </c>
      <c r="AA841" t="n">
        <v>0.0</v>
      </c>
      <c r="AB841" t="n">
        <v>0.0</v>
      </c>
      <c r="AC841" t="n">
        <v>0.0</v>
      </c>
      <c r="AD841" t="n">
        <v>0.0</v>
      </c>
      <c r="AE841" t="n">
        <v>0.0</v>
      </c>
      <c r="AF841" t="n">
        <v>0.0</v>
      </c>
      <c r="AG841" t="n">
        <v>0.0</v>
      </c>
      <c r="AH841" t="n">
        <v>0.0</v>
      </c>
      <c r="AI841" t="n">
        <v>0.0</v>
      </c>
      <c r="AJ841" t="n">
        <v>0.0</v>
      </c>
      <c r="AK841" t="inlineStr">
        <is>
          <t/>
        </is>
      </c>
      <c r="AL841" t="inlineStr">
        <is>
          <t/>
        </is>
      </c>
    </row>
    <row r="842">
      <c r="A842" t="inlineStr">
        <is>
          <t>我家的手剥虾仁，什么时候才能被更多人看到</t>
        </is>
      </c>
      <c r="B842" t="inlineStr">
        <is>
          <t>6a54780600000000210227fb</t>
        </is>
      </c>
      <c r="C842" s="841" t="n">
        <f>HYPERLINK("https://www.xiaohongshu.com/explore/6a54780600000000210227fb?xsec_token=TBnijnMEPEnSTDzzHBYv-GM7TCGYj5GcYnO_BMu7sJmOQ=&amp;xsec_source=pc_trdark","https://www.xiaohongshu.com/explore/6a54780600000000210227fb?xsec_token=TBnijnMEPEnSTDzzHBYv-GM7TCGYj5GcYnO_BMu7sJmOQ=&amp;xsec_source=pc_trdark")</f>
        <v>0.0</v>
      </c>
      <c r="D842" t="inlineStr">
        <is>
          <t>鲜水湾</t>
        </is>
      </c>
      <c r="E842" t="inlineStr">
        <is>
          <t>49316638994</t>
        </is>
      </c>
      <c r="F842" t="inlineStr">
        <is>
          <t>2026-07-13 13:30:46</t>
        </is>
      </c>
      <c r="G842" t="inlineStr">
        <is>
          <t>图文</t>
        </is>
      </c>
      <c r="H842" t="inlineStr">
        <is>
          <t>手剥虾仁 无冰衣无添加 低脂餐一人食 上班带饭 顺丰包邮 5盒装</t>
        </is>
      </c>
      <c r="I842" t="inlineStr">
        <is>
          <t>694baba01d450d00013662f0</t>
        </is>
      </c>
      <c r="J842" t="inlineStr">
        <is>
          <t/>
        </is>
      </c>
      <c r="K842" t="n">
        <v>0.0</v>
      </c>
      <c r="L842" t="n">
        <v>0.0</v>
      </c>
      <c r="M842" t="n">
        <v>0.0</v>
      </c>
      <c r="N842" t="inlineStr">
        <is>
          <t/>
        </is>
      </c>
      <c r="O842" t="n">
        <v>0.0</v>
      </c>
      <c r="P842" t="n">
        <v>0.0</v>
      </c>
      <c r="Q842" t="inlineStr">
        <is>
          <t/>
        </is>
      </c>
      <c r="R842" t="inlineStr">
        <is>
          <t/>
        </is>
      </c>
      <c r="S842" t="n">
        <v>0.0</v>
      </c>
      <c r="T842" t="n">
        <v>0.0</v>
      </c>
      <c r="U842" t="n">
        <v>0.0</v>
      </c>
      <c r="V842" t="n">
        <v>0.0</v>
      </c>
      <c r="W842" t="inlineStr">
        <is>
          <t/>
        </is>
      </c>
      <c r="X842" t="n">
        <v>0.0</v>
      </c>
      <c r="Y842" t="n">
        <v>0.0</v>
      </c>
      <c r="Z842" t="n">
        <v>0.0</v>
      </c>
      <c r="AA842" t="n">
        <v>0.0</v>
      </c>
      <c r="AB842" t="n">
        <v>0.0</v>
      </c>
      <c r="AC842" t="n">
        <v>0.0</v>
      </c>
      <c r="AD842" t="n">
        <v>0.0</v>
      </c>
      <c r="AE842" t="n">
        <v>0.0</v>
      </c>
      <c r="AF842" t="n">
        <v>0.0</v>
      </c>
      <c r="AG842" t="n">
        <v>0.0</v>
      </c>
      <c r="AH842" t="n">
        <v>0.0</v>
      </c>
      <c r="AI842" t="n">
        <v>0.0</v>
      </c>
      <c r="AJ842" t="n">
        <v>0.0</v>
      </c>
      <c r="AK842" t="inlineStr">
        <is>
          <t/>
        </is>
      </c>
      <c r="AL842" t="inlineStr">
        <is>
          <t/>
        </is>
      </c>
    </row>
    <row r="843">
      <c r="A843" t="inlineStr">
        <is>
          <t>健身后才发现，我买虾仁的频率越来越高</t>
        </is>
      </c>
      <c r="B843" t="inlineStr">
        <is>
          <t>6a5477d6000000000702095d</t>
        </is>
      </c>
      <c r="C843" s="842" t="n">
        <f>HYPERLINK("https://www.xiaohongshu.com/explore/6a5477d6000000000702095d?xsec_token=TBnijnMEPEnSTDzzHBYv-GM0KqDJ_uK5aFCSw2VMA5V2o=&amp;xsec_source=pc_trdark","https://www.xiaohongshu.com/explore/6a5477d6000000000702095d?xsec_token=TBnijnMEPEnSTDzzHBYv-GM0KqDJ_uK5aFCSw2VMA5V2o=&amp;xsec_source=pc_trdark")</f>
        <v>0.0</v>
      </c>
      <c r="D843" t="inlineStr">
        <is>
          <t>菲菲上班吃什么</t>
        </is>
      </c>
      <c r="E843" t="inlineStr">
        <is>
          <t>49936530607</t>
        </is>
      </c>
      <c r="F843" t="inlineStr">
        <is>
          <t>2026-07-13 13:29:58</t>
        </is>
      </c>
      <c r="G843" t="inlineStr">
        <is>
          <t>图文</t>
        </is>
      </c>
      <c r="H843" t="inlineStr">
        <is>
          <t>手剥虾仁 无冰衣无添加 低脂餐一人食 上班带饭 顺丰包邮 5盒装</t>
        </is>
      </c>
      <c r="I843" t="inlineStr">
        <is>
          <t>694baba01d450d00013662f0</t>
        </is>
      </c>
      <c r="J843" t="inlineStr">
        <is>
          <t/>
        </is>
      </c>
      <c r="K843" t="n">
        <v>0.0</v>
      </c>
      <c r="L843" t="n">
        <v>0.0</v>
      </c>
      <c r="M843" t="n">
        <v>0.0</v>
      </c>
      <c r="N843" t="inlineStr">
        <is>
          <t/>
        </is>
      </c>
      <c r="O843" t="n">
        <v>0.0</v>
      </c>
      <c r="P843" t="n">
        <v>0.0</v>
      </c>
      <c r="Q843" t="inlineStr">
        <is>
          <t/>
        </is>
      </c>
      <c r="R843" t="inlineStr">
        <is>
          <t/>
        </is>
      </c>
      <c r="S843" t="n">
        <v>0.0</v>
      </c>
      <c r="T843" t="n">
        <v>0.0</v>
      </c>
      <c r="U843" t="n">
        <v>0.0</v>
      </c>
      <c r="V843" t="n">
        <v>0.0</v>
      </c>
      <c r="W843" t="inlineStr">
        <is>
          <t/>
        </is>
      </c>
      <c r="X843" t="n">
        <v>0.0</v>
      </c>
      <c r="Y843" t="n">
        <v>0.0</v>
      </c>
      <c r="Z843" t="n">
        <v>0.0</v>
      </c>
      <c r="AA843" t="n">
        <v>0.0</v>
      </c>
      <c r="AB843" t="n">
        <v>0.0</v>
      </c>
      <c r="AC843" t="n">
        <v>0.0</v>
      </c>
      <c r="AD843" t="n">
        <v>0.0</v>
      </c>
      <c r="AE843" t="n">
        <v>0.0</v>
      </c>
      <c r="AF843" t="n">
        <v>0.0</v>
      </c>
      <c r="AG843" t="n">
        <v>0.0</v>
      </c>
      <c r="AH843" t="n">
        <v>0.0</v>
      </c>
      <c r="AI843" t="n">
        <v>0.0</v>
      </c>
      <c r="AJ843" t="n">
        <v>0.0</v>
      </c>
      <c r="AK843" t="inlineStr">
        <is>
          <t/>
        </is>
      </c>
      <c r="AL843" t="inlineStr">
        <is>
          <t/>
        </is>
      </c>
    </row>
    <row r="844">
      <c r="A844" t="inlineStr">
        <is>
          <t>区区69块，居然够我带一周虾仁饭了</t>
        </is>
      </c>
      <c r="B844" t="inlineStr">
        <is>
          <t>6a5390740000000022008891</t>
        </is>
      </c>
      <c r="C844" s="843" t="n">
        <f>HYPERLINK("https://www.xiaohongshu.com/explore/6a5390740000000022008891?xsec_token=TBFK5Se19N-rY8UMGPamuX6fKSLAz4f0bokgw25Q3Z3iA=&amp;xsec_source=pc_trdark","https://www.xiaohongshu.com/explore/6a5390740000000022008891?xsec_token=TBFK5Se19N-rY8UMGPamuX6fKSLAz4f0bokgw25Q3Z3iA=&amp;xsec_source=pc_trdark")</f>
        <v>0.0</v>
      </c>
      <c r="D844" t="inlineStr">
        <is>
          <t>婉婉上班吃什么</t>
        </is>
      </c>
      <c r="E844" t="inlineStr">
        <is>
          <t>11434449706</t>
        </is>
      </c>
      <c r="F844" t="inlineStr">
        <is>
          <t>2026-07-12 21:02:44</t>
        </is>
      </c>
      <c r="G844" t="inlineStr">
        <is>
          <t>图文</t>
        </is>
      </c>
      <c r="H844" t="inlineStr">
        <is>
          <t>手剥虾仁 无冰衣无添加 低脂餐一人食 上班带饭 顺丰包邮 5盒装</t>
        </is>
      </c>
      <c r="I844" t="inlineStr">
        <is>
          <t>694baba01d450d00013662f0</t>
        </is>
      </c>
      <c r="J844" t="inlineStr">
        <is>
          <t/>
        </is>
      </c>
      <c r="K844" t="n">
        <v>0.0</v>
      </c>
      <c r="L844" t="n">
        <v>0.0</v>
      </c>
      <c r="M844" t="n">
        <v>0.0</v>
      </c>
      <c r="N844" t="inlineStr">
        <is>
          <t/>
        </is>
      </c>
      <c r="O844" t="n">
        <v>0.0</v>
      </c>
      <c r="P844" t="n">
        <v>0.0</v>
      </c>
      <c r="Q844" t="inlineStr">
        <is>
          <t/>
        </is>
      </c>
      <c r="R844" t="inlineStr">
        <is>
          <t/>
        </is>
      </c>
      <c r="S844" t="n">
        <v>0.0</v>
      </c>
      <c r="T844" t="n">
        <v>0.0</v>
      </c>
      <c r="U844" t="n">
        <v>0.0</v>
      </c>
      <c r="V844" t="n">
        <v>0.0</v>
      </c>
      <c r="W844" t="inlineStr">
        <is>
          <t/>
        </is>
      </c>
      <c r="X844" t="n">
        <v>0.0</v>
      </c>
      <c r="Y844" t="n">
        <v>0.0</v>
      </c>
      <c r="Z844" t="n">
        <v>0.0</v>
      </c>
      <c r="AA844" t="n">
        <v>0.0</v>
      </c>
      <c r="AB844" t="n">
        <v>0.0</v>
      </c>
      <c r="AC844" t="n">
        <v>0.0</v>
      </c>
      <c r="AD844" t="n">
        <v>0.0</v>
      </c>
      <c r="AE844" t="n">
        <v>0.0</v>
      </c>
      <c r="AF844" t="n">
        <v>0.0</v>
      </c>
      <c r="AG844" t="n">
        <v>0.0</v>
      </c>
      <c r="AH844" t="n">
        <v>0.0</v>
      </c>
      <c r="AI844" t="n">
        <v>0.0</v>
      </c>
      <c r="AJ844" t="n">
        <v>0.0</v>
      </c>
      <c r="AK844" t="inlineStr">
        <is>
          <t/>
        </is>
      </c>
      <c r="AL844" t="inlineStr">
        <is>
          <t/>
        </is>
      </c>
    </row>
    <row r="845">
      <c r="A845" t="inlineStr">
        <is>
          <t>独居女夏日减脂，69吃一周轻食餐！</t>
        </is>
      </c>
      <c r="B845" t="inlineStr">
        <is>
          <t>6a5389510000000007026eb5</t>
        </is>
      </c>
      <c r="C845" s="844" t="n">
        <f>HYPERLINK("https://www.xiaohongshu.com/explore/6a5389510000000007026eb5?xsec_token=TBFK5Se19N-rY8UMGPamuX6e7GIo5yAS6rouFhdapVwPM=&amp;xsec_source=pc_trdark","https://www.xiaohongshu.com/explore/6a5389510000000007026eb5?xsec_token=TBFK5Se19N-rY8UMGPamuX6e7GIo5yAS6rouFhdapVwPM=&amp;xsec_source=pc_trdark")</f>
        <v>0.0</v>
      </c>
      <c r="D845" t="inlineStr">
        <is>
          <t>菲菲上班吃什么</t>
        </is>
      </c>
      <c r="E845" t="inlineStr">
        <is>
          <t>49936530607</t>
        </is>
      </c>
      <c r="F845" t="inlineStr">
        <is>
          <t>2026-07-12 20:32:17</t>
        </is>
      </c>
      <c r="G845" t="inlineStr">
        <is>
          <t>图文</t>
        </is>
      </c>
      <c r="H845" t="inlineStr">
        <is>
          <t>手剥虾仁 无冰衣无添加 低脂餐一人食 上班带饭 顺丰包邮 5盒装</t>
        </is>
      </c>
      <c r="I845" t="inlineStr">
        <is>
          <t>694baba01d450d00013662f0</t>
        </is>
      </c>
      <c r="J845" t="inlineStr">
        <is>
          <t/>
        </is>
      </c>
      <c r="K845" t="n">
        <v>0.0</v>
      </c>
      <c r="L845" t="n">
        <v>0.0</v>
      </c>
      <c r="M845" t="n">
        <v>0.0</v>
      </c>
      <c r="N845" t="inlineStr">
        <is>
          <t/>
        </is>
      </c>
      <c r="O845" t="n">
        <v>0.0</v>
      </c>
      <c r="P845" t="n">
        <v>0.0</v>
      </c>
      <c r="Q845" t="inlineStr">
        <is>
          <t/>
        </is>
      </c>
      <c r="R845" t="inlineStr">
        <is>
          <t/>
        </is>
      </c>
      <c r="S845" t="n">
        <v>0.0</v>
      </c>
      <c r="T845" t="n">
        <v>0.0</v>
      </c>
      <c r="U845" t="n">
        <v>0.0</v>
      </c>
      <c r="V845" t="n">
        <v>0.0</v>
      </c>
      <c r="W845" t="inlineStr">
        <is>
          <t/>
        </is>
      </c>
      <c r="X845" t="n">
        <v>0.0</v>
      </c>
      <c r="Y845" t="n">
        <v>0.0</v>
      </c>
      <c r="Z845" t="n">
        <v>0.0</v>
      </c>
      <c r="AA845" t="n">
        <v>0.0</v>
      </c>
      <c r="AB845" t="n">
        <v>0.0</v>
      </c>
      <c r="AC845" t="n">
        <v>0.0</v>
      </c>
      <c r="AD845" t="n">
        <v>0.0</v>
      </c>
      <c r="AE845" t="n">
        <v>0.0</v>
      </c>
      <c r="AF845" t="n">
        <v>0.0</v>
      </c>
      <c r="AG845" t="n">
        <v>0.0</v>
      </c>
      <c r="AH845" t="n">
        <v>0.0</v>
      </c>
      <c r="AI845" t="n">
        <v>0.0</v>
      </c>
      <c r="AJ845" t="n">
        <v>0.0</v>
      </c>
      <c r="AK845" t="inlineStr">
        <is>
          <t/>
        </is>
      </c>
      <c r="AL845" t="inlineStr">
        <is>
          <t/>
        </is>
      </c>
    </row>
    <row r="846">
      <c r="A846" t="inlineStr">
        <is>
          <t>夏天来了，我决定花69吃一周轻食餐！</t>
        </is>
      </c>
      <c r="B846" t="inlineStr">
        <is>
          <t>6a537add0000000008027d79</t>
        </is>
      </c>
      <c r="C846" s="845" t="n">
        <f>HYPERLINK("https://www.xiaohongshu.com/explore/6a537add0000000008027d79?xsec_token=TBFK5Se19N-rY8UMGPamuX6UUJ3PHef1Xic7gV0J1qMhk=&amp;xsec_source=pc_trdark","https://www.xiaohongshu.com/explore/6a537add0000000008027d79?xsec_token=TBFK5Se19N-rY8UMGPamuX6UUJ3PHef1Xic7gV0J1qMhk=&amp;xsec_source=pc_trdark")</f>
        <v>0.0</v>
      </c>
      <c r="D846" t="inlineStr">
        <is>
          <t>菲菲上班吃什么</t>
        </is>
      </c>
      <c r="E846" t="inlineStr">
        <is>
          <t>49936530607</t>
        </is>
      </c>
      <c r="F846" t="inlineStr">
        <is>
          <t>2026-07-12 19:30:37</t>
        </is>
      </c>
      <c r="G846" t="inlineStr">
        <is>
          <t>图文</t>
        </is>
      </c>
      <c r="H846" t="inlineStr">
        <is>
          <t>手剥虾仁 无冰衣无添加 低脂餐一人食 上班带饭 顺丰包邮 5盒装</t>
        </is>
      </c>
      <c r="I846" t="inlineStr">
        <is>
          <t>694baba01d450d00013662f0</t>
        </is>
      </c>
      <c r="J846" t="inlineStr">
        <is>
          <t/>
        </is>
      </c>
      <c r="K846" t="n">
        <v>0.0</v>
      </c>
      <c r="L846" t="n">
        <v>0.0</v>
      </c>
      <c r="M846" t="n">
        <v>0.0</v>
      </c>
      <c r="N846" t="inlineStr">
        <is>
          <t/>
        </is>
      </c>
      <c r="O846" t="n">
        <v>0.0</v>
      </c>
      <c r="P846" t="n">
        <v>0.0</v>
      </c>
      <c r="Q846" t="inlineStr">
        <is>
          <t/>
        </is>
      </c>
      <c r="R846" t="inlineStr">
        <is>
          <t/>
        </is>
      </c>
      <c r="S846" t="n">
        <v>0.0</v>
      </c>
      <c r="T846" t="n">
        <v>0.0</v>
      </c>
      <c r="U846" t="n">
        <v>0.0</v>
      </c>
      <c r="V846" t="n">
        <v>0.0</v>
      </c>
      <c r="W846" t="inlineStr">
        <is>
          <t/>
        </is>
      </c>
      <c r="X846" t="n">
        <v>0.0</v>
      </c>
      <c r="Y846" t="n">
        <v>0.0</v>
      </c>
      <c r="Z846" t="n">
        <v>0.0</v>
      </c>
      <c r="AA846" t="n">
        <v>0.0</v>
      </c>
      <c r="AB846" t="n">
        <v>0.0</v>
      </c>
      <c r="AC846" t="n">
        <v>0.0</v>
      </c>
      <c r="AD846" t="n">
        <v>0.0</v>
      </c>
      <c r="AE846" t="n">
        <v>0.0</v>
      </c>
      <c r="AF846" t="n">
        <v>0.0</v>
      </c>
      <c r="AG846" t="n">
        <v>0.0</v>
      </c>
      <c r="AH846" t="n">
        <v>0.0</v>
      </c>
      <c r="AI846" t="n">
        <v>0.0</v>
      </c>
      <c r="AJ846" t="n">
        <v>0.0</v>
      </c>
      <c r="AK846" t="inlineStr">
        <is>
          <t/>
        </is>
      </c>
      <c r="AL846" t="inlineStr">
        <is>
          <t/>
        </is>
      </c>
    </row>
    <row r="847">
      <c r="A847" t="inlineStr">
        <is>
          <t>独居人一餐一包后，我终于戒掉了大包装食材</t>
        </is>
      </c>
      <c r="B847" t="inlineStr">
        <is>
          <t>6a535ce20000000007012e1d</t>
        </is>
      </c>
      <c r="C847" s="846" t="n">
        <f>HYPERLINK("https://www.xiaohongshu.com/explore/6a535ce20000000007012e1d?xsec_token=TBFK5Se19N-rY8UMGPamuX6Wx6XQCMTy1fo1I2D1NhzXg=&amp;xsec_source=pc_trdark","https://www.xiaohongshu.com/explore/6a535ce20000000007012e1d?xsec_token=TBFK5Se19N-rY8UMGPamuX6Wx6XQCMTy1fo1I2D1NhzXg=&amp;xsec_source=pc_trdark")</f>
        <v>0.0</v>
      </c>
      <c r="D847" t="inlineStr">
        <is>
          <t>菲菲上班吃什么</t>
        </is>
      </c>
      <c r="E847" t="inlineStr">
        <is>
          <t>49936530607</t>
        </is>
      </c>
      <c r="F847" t="inlineStr">
        <is>
          <t>2026-07-12 17:22:42</t>
        </is>
      </c>
      <c r="G847" t="inlineStr">
        <is>
          <t>图文</t>
        </is>
      </c>
      <c r="H847" t="inlineStr">
        <is>
          <t>手剥虾仁 无冰衣无添加 低脂餐一人食 上班带饭 顺丰包邮 5盒装</t>
        </is>
      </c>
      <c r="I847" t="inlineStr">
        <is>
          <t>694baba01d450d00013662f0</t>
        </is>
      </c>
      <c r="J847" t="inlineStr">
        <is>
          <t/>
        </is>
      </c>
      <c r="K847" t="n">
        <v>0.0</v>
      </c>
      <c r="L847" t="n">
        <v>0.0</v>
      </c>
      <c r="M847" t="n">
        <v>0.0</v>
      </c>
      <c r="N847" t="inlineStr">
        <is>
          <t/>
        </is>
      </c>
      <c r="O847" t="n">
        <v>0.0</v>
      </c>
      <c r="P847" t="n">
        <v>0.0</v>
      </c>
      <c r="Q847" t="inlineStr">
        <is>
          <t/>
        </is>
      </c>
      <c r="R847" t="inlineStr">
        <is>
          <t/>
        </is>
      </c>
      <c r="S847" t="n">
        <v>0.0</v>
      </c>
      <c r="T847" t="n">
        <v>0.0</v>
      </c>
      <c r="U847" t="n">
        <v>0.0</v>
      </c>
      <c r="V847" t="n">
        <v>0.0</v>
      </c>
      <c r="W847" t="inlineStr">
        <is>
          <t/>
        </is>
      </c>
      <c r="X847" t="n">
        <v>0.0</v>
      </c>
      <c r="Y847" t="n">
        <v>0.0</v>
      </c>
      <c r="Z847" t="n">
        <v>0.0</v>
      </c>
      <c r="AA847" t="n">
        <v>0.0</v>
      </c>
      <c r="AB847" t="n">
        <v>0.0</v>
      </c>
      <c r="AC847" t="n">
        <v>0.0</v>
      </c>
      <c r="AD847" t="n">
        <v>0.0</v>
      </c>
      <c r="AE847" t="n">
        <v>0.0</v>
      </c>
      <c r="AF847" t="n">
        <v>0.0</v>
      </c>
      <c r="AG847" t="n">
        <v>0.0</v>
      </c>
      <c r="AH847" t="n">
        <v>0.0</v>
      </c>
      <c r="AI847" t="n">
        <v>0.0</v>
      </c>
      <c r="AJ847" t="n">
        <v>0.0</v>
      </c>
      <c r="AK847" t="inlineStr">
        <is>
          <t/>
        </is>
      </c>
      <c r="AL847" t="inlineStr">
        <is>
          <t/>
        </is>
      </c>
    </row>
    <row r="848">
      <c r="A848" t="inlineStr">
        <is>
          <t>办公室午饭被追着问，全靠这一餐一包🍤</t>
        </is>
      </c>
      <c r="B848" t="inlineStr">
        <is>
          <t>6a5331a1000000001003d86b</t>
        </is>
      </c>
      <c r="C848" s="847" t="n">
        <f>HYPERLINK("https://www.xiaohongshu.com/explore/6a5331a1000000001003d86b?xsec_token=TBFK5Se19N-rY8UMGPamuX6XfbuWMmESK2cJlf5oAn7Tc=&amp;xsec_source=pc_trdark","https://www.xiaohongshu.com/explore/6a5331a1000000001003d86b?xsec_token=TBFK5Se19N-rY8UMGPamuX6XfbuWMmESK2cJlf5oAn7Tc=&amp;xsec_source=pc_trdark")</f>
        <v>0.0</v>
      </c>
      <c r="D848" t="inlineStr">
        <is>
          <t>鲜水湾甄选</t>
        </is>
      </c>
      <c r="E848" t="inlineStr">
        <is>
          <t>27401929161</t>
        </is>
      </c>
      <c r="F848" t="inlineStr">
        <is>
          <t>2026-07-12 14:18:09</t>
        </is>
      </c>
      <c r="G848" t="inlineStr">
        <is>
          <t>图文</t>
        </is>
      </c>
      <c r="H848" t="inlineStr">
        <is>
          <t>手剥虾仁 无冰衣无添加 低脂餐一人食 上班带饭 顺丰包邮 5盒装</t>
        </is>
      </c>
      <c r="I848" t="inlineStr">
        <is>
          <t>694baba01d450d00013662f0</t>
        </is>
      </c>
      <c r="J848" t="inlineStr">
        <is>
          <t/>
        </is>
      </c>
      <c r="K848" t="n">
        <v>0.0</v>
      </c>
      <c r="L848" t="n">
        <v>0.0</v>
      </c>
      <c r="M848" t="n">
        <v>0.0</v>
      </c>
      <c r="N848" t="inlineStr">
        <is>
          <t/>
        </is>
      </c>
      <c r="O848" t="n">
        <v>0.0</v>
      </c>
      <c r="P848" t="n">
        <v>0.0</v>
      </c>
      <c r="Q848" t="inlineStr">
        <is>
          <t/>
        </is>
      </c>
      <c r="R848" t="inlineStr">
        <is>
          <t/>
        </is>
      </c>
      <c r="S848" t="n">
        <v>0.0</v>
      </c>
      <c r="T848" t="n">
        <v>0.0</v>
      </c>
      <c r="U848" t="n">
        <v>0.0</v>
      </c>
      <c r="V848" t="n">
        <v>0.0</v>
      </c>
      <c r="W848" t="inlineStr">
        <is>
          <t/>
        </is>
      </c>
      <c r="X848" t="n">
        <v>0.0</v>
      </c>
      <c r="Y848" t="n">
        <v>0.0</v>
      </c>
      <c r="Z848" t="n">
        <v>0.0</v>
      </c>
      <c r="AA848" t="n">
        <v>0.0</v>
      </c>
      <c r="AB848" t="n">
        <v>0.0</v>
      </c>
      <c r="AC848" t="n">
        <v>0.0</v>
      </c>
      <c r="AD848" t="n">
        <v>0.0</v>
      </c>
      <c r="AE848" t="n">
        <v>0.0</v>
      </c>
      <c r="AF848" t="n">
        <v>0.0</v>
      </c>
      <c r="AG848" t="n">
        <v>0.0</v>
      </c>
      <c r="AH848" t="n">
        <v>0.0</v>
      </c>
      <c r="AI848" t="n">
        <v>0.0</v>
      </c>
      <c r="AJ848" t="n">
        <v>0.0</v>
      </c>
      <c r="AK848" t="inlineStr">
        <is>
          <t/>
        </is>
      </c>
      <c r="AL848" t="inlineStr">
        <is>
          <t/>
        </is>
      </c>
    </row>
    <row r="849">
      <c r="A849" t="inlineStr">
        <is>
          <t>听客户说处理虾太烦，连夜改了独立小包装</t>
        </is>
      </c>
      <c r="B849" t="inlineStr">
        <is>
          <t>6a5309d10000000022008d99</t>
        </is>
      </c>
      <c r="C849" s="848" t="n">
        <f>HYPERLINK("https://www.xiaohongshu.com/explore/6a5309d10000000022008d99?xsec_token=TBFK5Se19N-rY8UMGPamuX6ar8abdepb4qjkqCnQ1wXMc=&amp;xsec_source=pc_trdark","https://www.xiaohongshu.com/explore/6a5309d10000000022008d99?xsec_token=TBFK5Se19N-rY8UMGPamuX6ar8abdepb4qjkqCnQ1wXMc=&amp;xsec_source=pc_trdark")</f>
        <v>0.0</v>
      </c>
      <c r="D849" t="inlineStr">
        <is>
          <t>菲菲上班吃什么</t>
        </is>
      </c>
      <c r="E849" t="inlineStr">
        <is>
          <t>49936530607</t>
        </is>
      </c>
      <c r="F849" t="inlineStr">
        <is>
          <t>2026-07-12 11:28:17</t>
        </is>
      </c>
      <c r="G849" t="inlineStr">
        <is>
          <t>图文</t>
        </is>
      </c>
      <c r="H849" t="inlineStr">
        <is>
          <t>手剥虾仁 无冰衣无添加 低脂餐一人食 上班带饭 顺丰包邮 5盒装</t>
        </is>
      </c>
      <c r="I849" t="inlineStr">
        <is>
          <t>694baba01d450d00013662f0</t>
        </is>
      </c>
      <c r="J849" t="inlineStr">
        <is>
          <t/>
        </is>
      </c>
      <c r="K849" t="n">
        <v>0.0</v>
      </c>
      <c r="L849" t="n">
        <v>0.0</v>
      </c>
      <c r="M849" t="n">
        <v>0.0</v>
      </c>
      <c r="N849" t="inlineStr">
        <is>
          <t/>
        </is>
      </c>
      <c r="O849" t="n">
        <v>0.0</v>
      </c>
      <c r="P849" t="n">
        <v>0.0</v>
      </c>
      <c r="Q849" t="inlineStr">
        <is>
          <t/>
        </is>
      </c>
      <c r="R849" t="inlineStr">
        <is>
          <t/>
        </is>
      </c>
      <c r="S849" t="n">
        <v>0.0</v>
      </c>
      <c r="T849" t="n">
        <v>0.0</v>
      </c>
      <c r="U849" t="n">
        <v>0.0</v>
      </c>
      <c r="V849" t="n">
        <v>0.0</v>
      </c>
      <c r="W849" t="inlineStr">
        <is>
          <t/>
        </is>
      </c>
      <c r="X849" t="n">
        <v>0.0</v>
      </c>
      <c r="Y849" t="n">
        <v>0.0</v>
      </c>
      <c r="Z849" t="n">
        <v>0.0</v>
      </c>
      <c r="AA849" t="n">
        <v>0.0</v>
      </c>
      <c r="AB849" t="n">
        <v>0.0</v>
      </c>
      <c r="AC849" t="n">
        <v>0.0</v>
      </c>
      <c r="AD849" t="n">
        <v>0.0</v>
      </c>
      <c r="AE849" t="n">
        <v>0.0</v>
      </c>
      <c r="AF849" t="n">
        <v>0.0</v>
      </c>
      <c r="AG849" t="n">
        <v>0.0</v>
      </c>
      <c r="AH849" t="n">
        <v>0.0</v>
      </c>
      <c r="AI849" t="n">
        <v>0.0</v>
      </c>
      <c r="AJ849" t="n">
        <v>0.0</v>
      </c>
      <c r="AK849" t="inlineStr">
        <is>
          <t/>
        </is>
      </c>
      <c r="AL849" t="inlineStr">
        <is>
          <t/>
        </is>
      </c>
    </row>
    <row r="850">
      <c r="A850" t="inlineStr">
        <is>
          <t>60块独立小包装虾仁，解决我一周减脂餐！！！</t>
        </is>
      </c>
      <c r="B850" t="inlineStr">
        <is>
          <t>6a5306b5000000001102eec6</t>
        </is>
      </c>
      <c r="C850" s="849" t="n">
        <f>HYPERLINK("https://www.xiaohongshu.com/explore/6a5306b5000000001102eec6?xsec_token=TBFK5Se19N-rY8UMGPamuX6VoJ4HHEwN6THiDtgUkBKrk=&amp;xsec_source=pc_trdark","https://www.xiaohongshu.com/explore/6a5306b5000000001102eec6?xsec_token=TBFK5Se19N-rY8UMGPamuX6VoJ4HHEwN6THiDtgUkBKrk=&amp;xsec_source=pc_trdark")</f>
        <v>0.0</v>
      </c>
      <c r="D850" t="inlineStr">
        <is>
          <t>鲜水湾甄选</t>
        </is>
      </c>
      <c r="E850" t="inlineStr">
        <is>
          <t>27401929161</t>
        </is>
      </c>
      <c r="F850" t="inlineStr">
        <is>
          <t>2026-07-12 11:15:01</t>
        </is>
      </c>
      <c r="G850" t="inlineStr">
        <is>
          <t>图文</t>
        </is>
      </c>
      <c r="H850" t="inlineStr">
        <is>
          <t>手剥虾仁 无冰衣无添加 低脂餐一人食 上班带饭 顺丰包邮 5盒装</t>
        </is>
      </c>
      <c r="I850" t="inlineStr">
        <is>
          <t>694baba01d450d00013662f0</t>
        </is>
      </c>
      <c r="J850" t="inlineStr">
        <is>
          <t/>
        </is>
      </c>
      <c r="K850" t="n">
        <v>0.0</v>
      </c>
      <c r="L850" t="n">
        <v>0.0</v>
      </c>
      <c r="M850" t="n">
        <v>0.0</v>
      </c>
      <c r="N850" t="inlineStr">
        <is>
          <t/>
        </is>
      </c>
      <c r="O850" t="n">
        <v>0.0</v>
      </c>
      <c r="P850" t="n">
        <v>0.0</v>
      </c>
      <c r="Q850" t="inlineStr">
        <is>
          <t/>
        </is>
      </c>
      <c r="R850" t="inlineStr">
        <is>
          <t/>
        </is>
      </c>
      <c r="S850" t="n">
        <v>0.0</v>
      </c>
      <c r="T850" t="n">
        <v>0.0</v>
      </c>
      <c r="U850" t="n">
        <v>0.0</v>
      </c>
      <c r="V850" t="n">
        <v>0.0</v>
      </c>
      <c r="W850" t="inlineStr">
        <is>
          <t/>
        </is>
      </c>
      <c r="X850" t="n">
        <v>0.0</v>
      </c>
      <c r="Y850" t="n">
        <v>0.0</v>
      </c>
      <c r="Z850" t="n">
        <v>0.0</v>
      </c>
      <c r="AA850" t="n">
        <v>0.0</v>
      </c>
      <c r="AB850" t="n">
        <v>0.0</v>
      </c>
      <c r="AC850" t="n">
        <v>0.0</v>
      </c>
      <c r="AD850" t="n">
        <v>0.0</v>
      </c>
      <c r="AE850" t="n">
        <v>0.0</v>
      </c>
      <c r="AF850" t="n">
        <v>0.0</v>
      </c>
      <c r="AG850" t="n">
        <v>0.0</v>
      </c>
      <c r="AH850" t="n">
        <v>0.0</v>
      </c>
      <c r="AI850" t="n">
        <v>0.0</v>
      </c>
      <c r="AJ850" t="n">
        <v>0.0</v>
      </c>
      <c r="AK850" t="inlineStr">
        <is>
          <t/>
        </is>
      </c>
      <c r="AL850" t="inlineStr">
        <is>
          <t/>
        </is>
      </c>
    </row>
    <row r="851">
      <c r="A851" t="inlineStr">
        <is>
          <t>夏日减脂真不贵，69承包我一周减脂餐！</t>
        </is>
      </c>
      <c r="B851" t="inlineStr">
        <is>
          <t>6a5231820000000022009485</t>
        </is>
      </c>
      <c r="C851" s="850" t="n">
        <f>HYPERLINK("https://www.xiaohongshu.com/explore/6a5231820000000022009485?xsec_token=TBmSeK3veO5WpVML9vpw2EHHxwObUYjBKPwM26lW_JF40=&amp;xsec_source=pc_trdark","https://www.xiaohongshu.com/explore/6a5231820000000022009485?xsec_token=TBmSeK3veO5WpVML9vpw2EHHxwObUYjBKPwM26lW_JF40=&amp;xsec_source=pc_trdark")</f>
        <v>0.0</v>
      </c>
      <c r="D851" t="inlineStr">
        <is>
          <t>菲菲上班吃什么</t>
        </is>
      </c>
      <c r="E851" t="inlineStr">
        <is>
          <t>49936530607</t>
        </is>
      </c>
      <c r="F851" t="inlineStr">
        <is>
          <t>2026-07-11 20:05:22</t>
        </is>
      </c>
      <c r="G851" t="inlineStr">
        <is>
          <t>图文</t>
        </is>
      </c>
      <c r="H851" t="inlineStr">
        <is>
          <t>手剥虾仁 无冰衣无添加 低脂餐一人食 上班带饭 顺丰包邮 5盒装</t>
        </is>
      </c>
      <c r="I851" t="inlineStr">
        <is>
          <t>694baba01d450d00013662f0</t>
        </is>
      </c>
      <c r="J851" t="inlineStr">
        <is>
          <t/>
        </is>
      </c>
      <c r="K851" t="n">
        <v>0.0</v>
      </c>
      <c r="L851" t="n">
        <v>0.0</v>
      </c>
      <c r="M851" t="n">
        <v>0.0</v>
      </c>
      <c r="N851" t="inlineStr">
        <is>
          <t/>
        </is>
      </c>
      <c r="O851" t="n">
        <v>0.0</v>
      </c>
      <c r="P851" t="n">
        <v>0.0</v>
      </c>
      <c r="Q851" t="inlineStr">
        <is>
          <t/>
        </is>
      </c>
      <c r="R851" t="inlineStr">
        <is>
          <t/>
        </is>
      </c>
      <c r="S851" t="n">
        <v>0.0</v>
      </c>
      <c r="T851" t="n">
        <v>0.0</v>
      </c>
      <c r="U851" t="n">
        <v>0.0</v>
      </c>
      <c r="V851" t="n">
        <v>0.0</v>
      </c>
      <c r="W851" t="inlineStr">
        <is>
          <t/>
        </is>
      </c>
      <c r="X851" t="n">
        <v>0.0</v>
      </c>
      <c r="Y851" t="n">
        <v>0.0</v>
      </c>
      <c r="Z851" t="n">
        <v>0.0</v>
      </c>
      <c r="AA851" t="n">
        <v>0.0</v>
      </c>
      <c r="AB851" t="n">
        <v>0.0</v>
      </c>
      <c r="AC851" t="n">
        <v>0.0</v>
      </c>
      <c r="AD851" t="n">
        <v>0.0</v>
      </c>
      <c r="AE851" t="n">
        <v>0.0</v>
      </c>
      <c r="AF851" t="n">
        <v>0.0</v>
      </c>
      <c r="AG851" t="n">
        <v>0.0</v>
      </c>
      <c r="AH851" t="n">
        <v>0.0</v>
      </c>
      <c r="AI851" t="n">
        <v>0.0</v>
      </c>
      <c r="AJ851" t="n">
        <v>0.0</v>
      </c>
      <c r="AK851" t="inlineStr">
        <is>
          <t/>
        </is>
      </c>
      <c r="AL851" t="inlineStr">
        <is>
          <t/>
        </is>
      </c>
    </row>
    <row r="852">
      <c r="A852" t="inlineStr">
        <is>
          <t>我妈说：现在年轻人就该这样囤一餐一包的</t>
        </is>
      </c>
      <c r="B852" t="inlineStr">
        <is>
          <t>6a521923000000002201797e</t>
        </is>
      </c>
      <c r="C852" s="851" t="n">
        <f>HYPERLINK("https://www.xiaohongshu.com/explore/6a521923000000002201797e?xsec_token=TBmSeK3veO5WpVML9vpw2EHP3yPq01yk4s8HYpGO3dQrY=&amp;xsec_source=pc_trdark","https://www.xiaohongshu.com/explore/6a521923000000002201797e?xsec_token=TBmSeK3veO5WpVML9vpw2EHP3yPq01yk4s8HYpGO3dQrY=&amp;xsec_source=pc_trdark")</f>
        <v>0.0</v>
      </c>
      <c r="D852" t="inlineStr">
        <is>
          <t>菲菲上班吃什么</t>
        </is>
      </c>
      <c r="E852" t="inlineStr">
        <is>
          <t>49936530607</t>
        </is>
      </c>
      <c r="F852" t="inlineStr">
        <is>
          <t>2026-07-11 18:21:24</t>
        </is>
      </c>
      <c r="G852" t="inlineStr">
        <is>
          <t>图文</t>
        </is>
      </c>
      <c r="H852" t="inlineStr">
        <is>
          <t>手剥虾仁 无冰衣无添加 低脂餐一人食 上班带饭 顺丰包邮 5盒装</t>
        </is>
      </c>
      <c r="I852" t="inlineStr">
        <is>
          <t>694baba01d450d00013662f0</t>
        </is>
      </c>
      <c r="J852" t="inlineStr">
        <is>
          <t/>
        </is>
      </c>
      <c r="K852" t="n">
        <v>0.0</v>
      </c>
      <c r="L852" t="n">
        <v>0.0</v>
      </c>
      <c r="M852" t="n">
        <v>0.0</v>
      </c>
      <c r="N852" t="inlineStr">
        <is>
          <t/>
        </is>
      </c>
      <c r="O852" t="n">
        <v>0.0</v>
      </c>
      <c r="P852" t="n">
        <v>0.0</v>
      </c>
      <c r="Q852" t="inlineStr">
        <is>
          <t/>
        </is>
      </c>
      <c r="R852" t="inlineStr">
        <is>
          <t/>
        </is>
      </c>
      <c r="S852" t="n">
        <v>0.0</v>
      </c>
      <c r="T852" t="n">
        <v>0.0</v>
      </c>
      <c r="U852" t="n">
        <v>0.0</v>
      </c>
      <c r="V852" t="n">
        <v>0.0</v>
      </c>
      <c r="W852" t="inlineStr">
        <is>
          <t/>
        </is>
      </c>
      <c r="X852" t="n">
        <v>0.0</v>
      </c>
      <c r="Y852" t="n">
        <v>0.0</v>
      </c>
      <c r="Z852" t="n">
        <v>0.0</v>
      </c>
      <c r="AA852" t="n">
        <v>0.0</v>
      </c>
      <c r="AB852" t="n">
        <v>0.0</v>
      </c>
      <c r="AC852" t="n">
        <v>0.0</v>
      </c>
      <c r="AD852" t="n">
        <v>0.0</v>
      </c>
      <c r="AE852" t="n">
        <v>0.0</v>
      </c>
      <c r="AF852" t="n">
        <v>0.0</v>
      </c>
      <c r="AG852" t="n">
        <v>0.0</v>
      </c>
      <c r="AH852" t="n">
        <v>0.0</v>
      </c>
      <c r="AI852" t="n">
        <v>0.0</v>
      </c>
      <c r="AJ852" t="n">
        <v>0.0</v>
      </c>
      <c r="AK852" t="inlineStr">
        <is>
          <t/>
        </is>
      </c>
      <c r="AL852" t="inlineStr">
        <is>
          <t/>
        </is>
      </c>
    </row>
    <row r="853">
      <c r="A853" t="inlineStr">
        <is>
          <t>听劝！真的别小看一包100g的小食材</t>
        </is>
      </c>
      <c r="B853" t="inlineStr">
        <is>
          <t>6a51dbb7000000000603219c</t>
        </is>
      </c>
      <c r="C853" s="852" t="n">
        <f>HYPERLINK("https://www.xiaohongshu.com/explore/6a51dbb7000000000603219c?xsec_token=TBLS-C17276h-9-sNpnQL8K1dUNgsxNmQAlM8yW-isSAQ=&amp;xsec_source=pc_trdark","https://www.xiaohongshu.com/explore/6a51dbb7000000000603219c?xsec_token=TBLS-C17276h-9-sNpnQL8K1dUNgsxNmQAlM8yW-isSAQ=&amp;xsec_source=pc_trdark")</f>
        <v>0.0</v>
      </c>
      <c r="D853" t="inlineStr">
        <is>
          <t>菲菲上班吃什么</t>
        </is>
      </c>
      <c r="E853" t="inlineStr">
        <is>
          <t>49936530607</t>
        </is>
      </c>
      <c r="F853" t="inlineStr">
        <is>
          <t>2026-07-11 13:59:19</t>
        </is>
      </c>
      <c r="G853" t="inlineStr">
        <is>
          <t>图文</t>
        </is>
      </c>
      <c r="H853" t="inlineStr">
        <is>
          <t>手剥虾仁 无冰衣无添加 低脂餐一人食 上班带饭 顺丰包邮 5盒装</t>
        </is>
      </c>
      <c r="I853" t="inlineStr">
        <is>
          <t>694baba01d450d00013662f0</t>
        </is>
      </c>
      <c r="J853" t="inlineStr">
        <is>
          <t/>
        </is>
      </c>
      <c r="K853" t="n">
        <v>0.0</v>
      </c>
      <c r="L853" t="n">
        <v>0.0</v>
      </c>
      <c r="M853" t="n">
        <v>0.0</v>
      </c>
      <c r="N853" t="inlineStr">
        <is>
          <t/>
        </is>
      </c>
      <c r="O853" t="n">
        <v>0.0</v>
      </c>
      <c r="P853" t="n">
        <v>0.0</v>
      </c>
      <c r="Q853" t="inlineStr">
        <is>
          <t/>
        </is>
      </c>
      <c r="R853" t="inlineStr">
        <is>
          <t/>
        </is>
      </c>
      <c r="S853" t="n">
        <v>0.0</v>
      </c>
      <c r="T853" t="n">
        <v>0.0</v>
      </c>
      <c r="U853" t="n">
        <v>0.0</v>
      </c>
      <c r="V853" t="n">
        <v>0.0</v>
      </c>
      <c r="W853" t="inlineStr">
        <is>
          <t/>
        </is>
      </c>
      <c r="X853" t="n">
        <v>0.0</v>
      </c>
      <c r="Y853" t="n">
        <v>0.0</v>
      </c>
      <c r="Z853" t="n">
        <v>0.0</v>
      </c>
      <c r="AA853" t="n">
        <v>0.0</v>
      </c>
      <c r="AB853" t="n">
        <v>0.0</v>
      </c>
      <c r="AC853" t="n">
        <v>0.0</v>
      </c>
      <c r="AD853" t="n">
        <v>0.0</v>
      </c>
      <c r="AE853" t="n">
        <v>0.0</v>
      </c>
      <c r="AF853" t="n">
        <v>0.0</v>
      </c>
      <c r="AG853" t="n">
        <v>0.0</v>
      </c>
      <c r="AH853" t="n">
        <v>0.0</v>
      </c>
      <c r="AI853" t="n">
        <v>0.0</v>
      </c>
      <c r="AJ853" t="n">
        <v>0.0</v>
      </c>
      <c r="AK853" t="inlineStr">
        <is>
          <t/>
        </is>
      </c>
      <c r="AL853" t="inlineStr">
        <is>
          <t/>
        </is>
      </c>
    </row>
    <row r="854">
      <c r="A854" t="inlineStr">
        <is>
          <t>真听劝，推出不到100卡一人食小包装</t>
        </is>
      </c>
      <c r="B854" t="inlineStr">
        <is>
          <t>6a51db650000000022018f3f</t>
        </is>
      </c>
      <c r="C854" s="853" t="n">
        <f>HYPERLINK("https://www.xiaohongshu.com/explore/6a51db650000000022018f3f?xsec_token=TBLS-C17276h-9-sNpnQL8Kx1T0jLppXGjqNjfAUWv3PE=&amp;xsec_source=pc_trdark","https://www.xiaohongshu.com/explore/6a51db650000000022018f3f?xsec_token=TBLS-C17276h-9-sNpnQL8Kx1T0jLppXGjqNjfAUWv3PE=&amp;xsec_source=pc_trdark")</f>
        <v>0.0</v>
      </c>
      <c r="D854" t="inlineStr">
        <is>
          <t>鲜水湾甄选</t>
        </is>
      </c>
      <c r="E854" t="inlineStr">
        <is>
          <t>27401929161</t>
        </is>
      </c>
      <c r="F854" t="inlineStr">
        <is>
          <t>2026-07-11 13:57:57</t>
        </is>
      </c>
      <c r="G854" t="inlineStr">
        <is>
          <t>图文</t>
        </is>
      </c>
      <c r="H854" t="inlineStr">
        <is>
          <t>手剥虾仁 无冰衣无添加 低脂餐一人食 上班带饭 顺丰包邮 5盒装</t>
        </is>
      </c>
      <c r="I854" t="inlineStr">
        <is>
          <t>694baba01d450d00013662f0</t>
        </is>
      </c>
      <c r="J854" t="inlineStr">
        <is>
          <t/>
        </is>
      </c>
      <c r="K854" t="n">
        <v>0.0</v>
      </c>
      <c r="L854" t="n">
        <v>0.0</v>
      </c>
      <c r="M854" t="n">
        <v>0.0</v>
      </c>
      <c r="N854" t="inlineStr">
        <is>
          <t/>
        </is>
      </c>
      <c r="O854" t="n">
        <v>0.0</v>
      </c>
      <c r="P854" t="n">
        <v>0.0</v>
      </c>
      <c r="Q854" t="inlineStr">
        <is>
          <t/>
        </is>
      </c>
      <c r="R854" t="inlineStr">
        <is>
          <t/>
        </is>
      </c>
      <c r="S854" t="n">
        <v>0.0</v>
      </c>
      <c r="T854" t="n">
        <v>0.0</v>
      </c>
      <c r="U854" t="n">
        <v>0.0</v>
      </c>
      <c r="V854" t="n">
        <v>0.0</v>
      </c>
      <c r="W854" t="inlineStr">
        <is>
          <t/>
        </is>
      </c>
      <c r="X854" t="n">
        <v>0.0</v>
      </c>
      <c r="Y854" t="n">
        <v>0.0</v>
      </c>
      <c r="Z854" t="n">
        <v>0.0</v>
      </c>
      <c r="AA854" t="n">
        <v>0.0</v>
      </c>
      <c r="AB854" t="n">
        <v>0.0</v>
      </c>
      <c r="AC854" t="n">
        <v>0.0</v>
      </c>
      <c r="AD854" t="n">
        <v>0.0</v>
      </c>
      <c r="AE854" t="n">
        <v>0.0</v>
      </c>
      <c r="AF854" t="n">
        <v>0.0</v>
      </c>
      <c r="AG854" t="n">
        <v>0.0</v>
      </c>
      <c r="AH854" t="n">
        <v>0.0</v>
      </c>
      <c r="AI854" t="n">
        <v>0.0</v>
      </c>
      <c r="AJ854" t="n">
        <v>0.0</v>
      </c>
      <c r="AK854" t="inlineStr">
        <is>
          <t/>
        </is>
      </c>
      <c r="AL854" t="inlineStr">
        <is>
          <t/>
        </is>
      </c>
    </row>
    <row r="855">
      <c r="A855" t="inlineStr">
        <is>
          <t>减脂期，打工人带饭靠独立小包装虾仁续命……</t>
        </is>
      </c>
      <c r="B855" t="inlineStr">
        <is>
          <t>6a50e0b9000000000803159f</t>
        </is>
      </c>
      <c r="C855" s="854" t="n">
        <f>HYPERLINK("https://www.xiaohongshu.com/explore/6a50e0b9000000000803159f?xsec_token=TBJUAT_bOmtyXvbJR8RCxT5GOsPJekFpYDiFU-iGJKeb8=&amp;xsec_source=pc_trdark","https://www.xiaohongshu.com/explore/6a50e0b9000000000803159f?xsec_token=TBJUAT_bOmtyXvbJR8RCxT5GOsPJekFpYDiFU-iGJKeb8=&amp;xsec_source=pc_trdark")</f>
        <v>0.0</v>
      </c>
      <c r="D855" t="inlineStr">
        <is>
          <t>菲菲上班吃什么</t>
        </is>
      </c>
      <c r="E855" t="inlineStr">
        <is>
          <t>49936530607</t>
        </is>
      </c>
      <c r="F855" t="inlineStr">
        <is>
          <t>2026-07-10 20:08:25</t>
        </is>
      </c>
      <c r="G855" t="inlineStr">
        <is>
          <t>图文</t>
        </is>
      </c>
      <c r="H855" t="inlineStr">
        <is>
          <t>手剥虾仁 无冰衣无添加 低脂餐一人食 上班带饭 顺丰包邮 5盒装</t>
        </is>
      </c>
      <c r="I855" t="inlineStr">
        <is>
          <t>694baba01d450d00013662f0</t>
        </is>
      </c>
      <c r="J855" t="inlineStr">
        <is>
          <t/>
        </is>
      </c>
      <c r="K855" t="n">
        <v>0.0</v>
      </c>
      <c r="L855" t="n">
        <v>0.0</v>
      </c>
      <c r="M855" t="n">
        <v>0.0</v>
      </c>
      <c r="N855" t="inlineStr">
        <is>
          <t/>
        </is>
      </c>
      <c r="O855" t="n">
        <v>0.0</v>
      </c>
      <c r="P855" t="n">
        <v>0.0</v>
      </c>
      <c r="Q855" t="inlineStr">
        <is>
          <t/>
        </is>
      </c>
      <c r="R855" t="inlineStr">
        <is>
          <t/>
        </is>
      </c>
      <c r="S855" t="n">
        <v>0.0</v>
      </c>
      <c r="T855" t="n">
        <v>0.0</v>
      </c>
      <c r="U855" t="n">
        <v>0.0</v>
      </c>
      <c r="V855" t="n">
        <v>0.0</v>
      </c>
      <c r="W855" t="inlineStr">
        <is>
          <t/>
        </is>
      </c>
      <c r="X855" t="n">
        <v>0.0</v>
      </c>
      <c r="Y855" t="n">
        <v>0.0</v>
      </c>
      <c r="Z855" t="n">
        <v>0.0</v>
      </c>
      <c r="AA855" t="n">
        <v>0.0</v>
      </c>
      <c r="AB855" t="n">
        <v>0.0</v>
      </c>
      <c r="AC855" t="n">
        <v>0.0</v>
      </c>
      <c r="AD855" t="n">
        <v>0.0</v>
      </c>
      <c r="AE855" t="n">
        <v>0.0</v>
      </c>
      <c r="AF855" t="n">
        <v>0.0</v>
      </c>
      <c r="AG855" t="n">
        <v>0.0</v>
      </c>
      <c r="AH855" t="n">
        <v>0.0</v>
      </c>
      <c r="AI855" t="n">
        <v>0.0</v>
      </c>
      <c r="AJ855" t="n">
        <v>0.0</v>
      </c>
      <c r="AK855" t="inlineStr">
        <is>
          <t/>
        </is>
      </c>
      <c r="AL855" t="inlineStr">
        <is>
          <t/>
        </is>
      </c>
    </row>
    <row r="856">
      <c r="A856" t="inlineStr">
        <is>
          <t>69块的虾仁，承包了我一周的工作餐</t>
        </is>
      </c>
      <c r="B856" t="inlineStr">
        <is>
          <t>6a50b6a6000000001102df78</t>
        </is>
      </c>
      <c r="C856" s="855" t="n">
        <f>HYPERLINK("https://www.xiaohongshu.com/explore/6a50b6a6000000001102df78?xsec_token=TBJUAT_bOmtyXvbJR8RCxT5Ik6Q_GTw2uGzn7FIS9Y9xE=&amp;xsec_source=pc_trdark","https://www.xiaohongshu.com/explore/6a50b6a6000000001102df78?xsec_token=TBJUAT_bOmtyXvbJR8RCxT5Ik6Q_GTw2uGzn7FIS9Y9xE=&amp;xsec_source=pc_trdark")</f>
        <v>0.0</v>
      </c>
      <c r="D856" t="inlineStr">
        <is>
          <t>鲜水湾甄选</t>
        </is>
      </c>
      <c r="E856" t="inlineStr">
        <is>
          <t>27401929161</t>
        </is>
      </c>
      <c r="F856" t="inlineStr">
        <is>
          <t>2026-07-10 17:08:54</t>
        </is>
      </c>
      <c r="G856" t="inlineStr">
        <is>
          <t>图文</t>
        </is>
      </c>
      <c r="H856" t="inlineStr">
        <is>
          <t>手剥虾仁 无冰衣无添加 低脂餐一人食 上班带饭 顺丰包邮 5盒装</t>
        </is>
      </c>
      <c r="I856" t="inlineStr">
        <is>
          <t>694baba01d450d00013662f0</t>
        </is>
      </c>
      <c r="J856" t="inlineStr">
        <is>
          <t/>
        </is>
      </c>
      <c r="K856" t="n">
        <v>0.0</v>
      </c>
      <c r="L856" t="n">
        <v>0.0</v>
      </c>
      <c r="M856" t="n">
        <v>0.0</v>
      </c>
      <c r="N856" t="inlineStr">
        <is>
          <t/>
        </is>
      </c>
      <c r="O856" t="n">
        <v>0.0</v>
      </c>
      <c r="P856" t="n">
        <v>0.0</v>
      </c>
      <c r="Q856" t="inlineStr">
        <is>
          <t/>
        </is>
      </c>
      <c r="R856" t="inlineStr">
        <is>
          <t/>
        </is>
      </c>
      <c r="S856" t="n">
        <v>0.0</v>
      </c>
      <c r="T856" t="n">
        <v>0.0</v>
      </c>
      <c r="U856" t="n">
        <v>0.0</v>
      </c>
      <c r="V856" t="n">
        <v>0.0</v>
      </c>
      <c r="W856" t="inlineStr">
        <is>
          <t/>
        </is>
      </c>
      <c r="X856" t="n">
        <v>0.0</v>
      </c>
      <c r="Y856" t="n">
        <v>0.0</v>
      </c>
      <c r="Z856" t="n">
        <v>0.0</v>
      </c>
      <c r="AA856" t="n">
        <v>0.0</v>
      </c>
      <c r="AB856" t="n">
        <v>0.0</v>
      </c>
      <c r="AC856" t="n">
        <v>0.0</v>
      </c>
      <c r="AD856" t="n">
        <v>0.0</v>
      </c>
      <c r="AE856" t="n">
        <v>0.0</v>
      </c>
      <c r="AF856" t="n">
        <v>0.0</v>
      </c>
      <c r="AG856" t="n">
        <v>0.0</v>
      </c>
      <c r="AH856" t="n">
        <v>0.0</v>
      </c>
      <c r="AI856" t="n">
        <v>0.0</v>
      </c>
      <c r="AJ856" t="n">
        <v>0.0</v>
      </c>
      <c r="AK856" t="inlineStr">
        <is>
          <t/>
        </is>
      </c>
      <c r="AL856" t="inlineStr">
        <is>
          <t/>
        </is>
      </c>
    </row>
    <row r="857">
      <c r="A857" t="inlineStr">
        <is>
          <t>独居女夏日减脂，69吃一周轻食餐！</t>
        </is>
      </c>
      <c r="B857" t="inlineStr">
        <is>
          <t>6a50a8e40000000021021a99</t>
        </is>
      </c>
      <c r="C857" s="856" t="n">
        <f>HYPERLINK("https://www.xiaohongshu.com/explore/6a50a8e40000000021021a99?xsec_token=TBJUAT_bOmtyXvbJR8RCxT5CXsM5lpsOseIHd2fArZRko=&amp;xsec_source=pc_trdark","https://www.xiaohongshu.com/explore/6a50a8e40000000021021a99?xsec_token=TBJUAT_bOmtyXvbJR8RCxT5CXsM5lpsOseIHd2fArZRko=&amp;xsec_source=pc_trdark")</f>
        <v>0.0</v>
      </c>
      <c r="D857" t="inlineStr">
        <is>
          <t>菲菲上班吃什么</t>
        </is>
      </c>
      <c r="E857" t="inlineStr">
        <is>
          <t>49936530607</t>
        </is>
      </c>
      <c r="F857" t="inlineStr">
        <is>
          <t>2026-07-10 16:10:12</t>
        </is>
      </c>
      <c r="G857" t="inlineStr">
        <is>
          <t>图文</t>
        </is>
      </c>
      <c r="H857" t="inlineStr">
        <is>
          <t>手剥虾仁 无冰衣无添加 低脂餐一人食 上班带饭 顺丰包邮 5盒装</t>
        </is>
      </c>
      <c r="I857" t="inlineStr">
        <is>
          <t>694baba01d450d00013662f0</t>
        </is>
      </c>
      <c r="J857" t="inlineStr">
        <is>
          <t/>
        </is>
      </c>
      <c r="K857" t="n">
        <v>0.0</v>
      </c>
      <c r="L857" t="n">
        <v>0.0</v>
      </c>
      <c r="M857" t="n">
        <v>0.0</v>
      </c>
      <c r="N857" t="inlineStr">
        <is>
          <t/>
        </is>
      </c>
      <c r="O857" t="n">
        <v>0.0</v>
      </c>
      <c r="P857" t="n">
        <v>0.0</v>
      </c>
      <c r="Q857" t="inlineStr">
        <is>
          <t/>
        </is>
      </c>
      <c r="R857" t="inlineStr">
        <is>
          <t/>
        </is>
      </c>
      <c r="S857" t="n">
        <v>0.0</v>
      </c>
      <c r="T857" t="n">
        <v>0.0</v>
      </c>
      <c r="U857" t="n">
        <v>0.0</v>
      </c>
      <c r="V857" t="n">
        <v>0.0</v>
      </c>
      <c r="W857" t="inlineStr">
        <is>
          <t/>
        </is>
      </c>
      <c r="X857" t="n">
        <v>0.0</v>
      </c>
      <c r="Y857" t="n">
        <v>0.0</v>
      </c>
      <c r="Z857" t="n">
        <v>0.0</v>
      </c>
      <c r="AA857" t="n">
        <v>0.0</v>
      </c>
      <c r="AB857" t="n">
        <v>0.0</v>
      </c>
      <c r="AC857" t="n">
        <v>0.0</v>
      </c>
      <c r="AD857" t="n">
        <v>0.0</v>
      </c>
      <c r="AE857" t="n">
        <v>0.0</v>
      </c>
      <c r="AF857" t="n">
        <v>0.0</v>
      </c>
      <c r="AG857" t="n">
        <v>0.0</v>
      </c>
      <c r="AH857" t="n">
        <v>0.0</v>
      </c>
      <c r="AI857" t="n">
        <v>0.0</v>
      </c>
      <c r="AJ857" t="n">
        <v>0.0</v>
      </c>
      <c r="AK857" t="inlineStr">
        <is>
          <t/>
        </is>
      </c>
      <c r="AL857" t="inlineStr">
        <is>
          <t/>
        </is>
      </c>
    </row>
    <row r="858">
      <c r="A858" t="inlineStr">
        <is>
          <t>很多人低估了 100 块的威力</t>
        </is>
      </c>
      <c r="B858" t="inlineStr">
        <is>
          <t>6a5091fd000000000602176a</t>
        </is>
      </c>
      <c r="C858" s="857" t="n">
        <f>HYPERLINK("https://www.xiaohongshu.com/explore/6a5091fd000000000602176a?xsec_token=TBJUAT_bOmtyXvbJR8RCxT5CI6Un5UJ260pW5IrLxl3k0=&amp;xsec_source=pc_trdark","https://www.xiaohongshu.com/explore/6a5091fd000000000602176a?xsec_token=TBJUAT_bOmtyXvbJR8RCxT5CI6Un5UJ260pW5IrLxl3k0=&amp;xsec_source=pc_trdark")</f>
        <v>0.0</v>
      </c>
      <c r="D858" t="inlineStr">
        <is>
          <t>鲜水湾</t>
        </is>
      </c>
      <c r="E858" t="inlineStr">
        <is>
          <t>49316638994</t>
        </is>
      </c>
      <c r="F858" t="inlineStr">
        <is>
          <t>2026-07-10 14:32:29</t>
        </is>
      </c>
      <c r="G858" t="inlineStr">
        <is>
          <t>图文</t>
        </is>
      </c>
      <c r="H858" t="inlineStr">
        <is>
          <t>手剥虾仁 无冰衣无添加 低脂餐一人食 上班带饭 顺丰包邮 5盒装</t>
        </is>
      </c>
      <c r="I858" t="inlineStr">
        <is>
          <t>694baba01d450d00013662f0</t>
        </is>
      </c>
      <c r="J858" t="inlineStr">
        <is>
          <t/>
        </is>
      </c>
      <c r="K858" t="n">
        <v>0.0</v>
      </c>
      <c r="L858" t="n">
        <v>0.0</v>
      </c>
      <c r="M858" t="n">
        <v>0.0</v>
      </c>
      <c r="N858" t="inlineStr">
        <is>
          <t/>
        </is>
      </c>
      <c r="O858" t="n">
        <v>0.0</v>
      </c>
      <c r="P858" t="n">
        <v>0.0</v>
      </c>
      <c r="Q858" t="inlineStr">
        <is>
          <t/>
        </is>
      </c>
      <c r="R858" t="inlineStr">
        <is>
          <t/>
        </is>
      </c>
      <c r="S858" t="n">
        <v>0.0</v>
      </c>
      <c r="T858" t="n">
        <v>0.0</v>
      </c>
      <c r="U858" t="n">
        <v>0.0</v>
      </c>
      <c r="V858" t="n">
        <v>0.0</v>
      </c>
      <c r="W858" t="inlineStr">
        <is>
          <t/>
        </is>
      </c>
      <c r="X858" t="n">
        <v>0.0</v>
      </c>
      <c r="Y858" t="n">
        <v>0.0</v>
      </c>
      <c r="Z858" t="n">
        <v>0.0</v>
      </c>
      <c r="AA858" t="n">
        <v>0.0</v>
      </c>
      <c r="AB858" t="n">
        <v>0.0</v>
      </c>
      <c r="AC858" t="n">
        <v>0.0</v>
      </c>
      <c r="AD858" t="n">
        <v>0.0</v>
      </c>
      <c r="AE858" t="n">
        <v>0.0</v>
      </c>
      <c r="AF858" t="n">
        <v>0.0</v>
      </c>
      <c r="AG858" t="n">
        <v>0.0</v>
      </c>
      <c r="AH858" t="n">
        <v>0.0</v>
      </c>
      <c r="AI858" t="n">
        <v>0.0</v>
      </c>
      <c r="AJ858" t="n">
        <v>0.0</v>
      </c>
      <c r="AK858" t="inlineStr">
        <is>
          <t/>
        </is>
      </c>
      <c r="AL858" t="inlineStr">
        <is>
          <t/>
        </is>
      </c>
    </row>
    <row r="859">
      <c r="A859" t="inlineStr">
        <is>
          <t>打工人的减脂餐，真的不用每天想吃什么</t>
        </is>
      </c>
      <c r="B859" t="inlineStr">
        <is>
          <t>6a5065b100000000060334e8</t>
        </is>
      </c>
      <c r="C859" s="858" t="n">
        <f>HYPERLINK("https://www.xiaohongshu.com/explore/6a5065b100000000060334e8?xsec_token=TBJUAT_bOmtyXvbJR8RCxT5KsGBCAtRkGokRWwin7FuAk=&amp;xsec_source=pc_trdark","https://www.xiaohongshu.com/explore/6a5065b100000000060334e8?xsec_token=TBJUAT_bOmtyXvbJR8RCxT5KsGBCAtRkGokRWwin7FuAk=&amp;xsec_source=pc_trdark")</f>
        <v>0.0</v>
      </c>
      <c r="D859" t="inlineStr">
        <is>
          <t>菲菲上班吃什么</t>
        </is>
      </c>
      <c r="E859" t="inlineStr">
        <is>
          <t>49936530607</t>
        </is>
      </c>
      <c r="F859" t="inlineStr">
        <is>
          <t>2026-07-10 11:23:29</t>
        </is>
      </c>
      <c r="G859" t="inlineStr">
        <is>
          <t>图文</t>
        </is>
      </c>
      <c r="H859" t="inlineStr">
        <is>
          <t>手剥虾仁 无冰衣无添加 低脂餐一人食 上班带饭 顺丰包邮 5盒装</t>
        </is>
      </c>
      <c r="I859" t="inlineStr">
        <is>
          <t>694baba01d450d00013662f0</t>
        </is>
      </c>
      <c r="J859" t="inlineStr">
        <is>
          <t/>
        </is>
      </c>
      <c r="K859" t="n">
        <v>0.0</v>
      </c>
      <c r="L859" t="n">
        <v>0.0</v>
      </c>
      <c r="M859" t="n">
        <v>0.0</v>
      </c>
      <c r="N859" t="inlineStr">
        <is>
          <t/>
        </is>
      </c>
      <c r="O859" t="n">
        <v>0.0</v>
      </c>
      <c r="P859" t="n">
        <v>0.0</v>
      </c>
      <c r="Q859" t="inlineStr">
        <is>
          <t/>
        </is>
      </c>
      <c r="R859" t="inlineStr">
        <is>
          <t/>
        </is>
      </c>
      <c r="S859" t="n">
        <v>0.0</v>
      </c>
      <c r="T859" t="n">
        <v>0.0</v>
      </c>
      <c r="U859" t="n">
        <v>0.0</v>
      </c>
      <c r="V859" t="n">
        <v>0.0</v>
      </c>
      <c r="W859" t="inlineStr">
        <is>
          <t/>
        </is>
      </c>
      <c r="X859" t="n">
        <v>0.0</v>
      </c>
      <c r="Y859" t="n">
        <v>0.0</v>
      </c>
      <c r="Z859" t="n">
        <v>0.0</v>
      </c>
      <c r="AA859" t="n">
        <v>0.0</v>
      </c>
      <c r="AB859" t="n">
        <v>0.0</v>
      </c>
      <c r="AC859" t="n">
        <v>0.0</v>
      </c>
      <c r="AD859" t="n">
        <v>0.0</v>
      </c>
      <c r="AE859" t="n">
        <v>0.0</v>
      </c>
      <c r="AF859" t="n">
        <v>0.0</v>
      </c>
      <c r="AG859" t="n">
        <v>0.0</v>
      </c>
      <c r="AH859" t="n">
        <v>0.0</v>
      </c>
      <c r="AI859" t="n">
        <v>0.0</v>
      </c>
      <c r="AJ859" t="n">
        <v>0.0</v>
      </c>
      <c r="AK859" t="inlineStr">
        <is>
          <t/>
        </is>
      </c>
      <c r="AL859" t="inlineStr">
        <is>
          <t/>
        </is>
      </c>
    </row>
    <row r="860">
      <c r="A860" t="inlineStr">
        <is>
          <t>同事以为我天天吃虾很贵，其实真不是</t>
        </is>
      </c>
      <c r="B860" t="inlineStr">
        <is>
          <t>6a4faf8f000000002200a863</t>
        </is>
      </c>
      <c r="C860" s="859" t="n">
        <f>HYPERLINK("https://www.xiaohongshu.com/explore/6a4faf8f000000002200a863?xsec_token=TBFAmOxEStEk-753Ha7GZ-q1y2I7Ot3FxXlGpyL0jtY_E=&amp;xsec_source=pc_trdark","https://www.xiaohongshu.com/explore/6a4faf8f000000002200a863?xsec_token=TBFAmOxEStEk-753Ha7GZ-q1y2I7Ot3FxXlGpyL0jtY_E=&amp;xsec_source=pc_trdark")</f>
        <v>0.0</v>
      </c>
      <c r="D860" t="inlineStr">
        <is>
          <t>菲菲上班吃什么</t>
        </is>
      </c>
      <c r="E860" t="inlineStr">
        <is>
          <t>49936530607</t>
        </is>
      </c>
      <c r="F860" t="inlineStr">
        <is>
          <t>2026-07-09 22:26:23</t>
        </is>
      </c>
      <c r="G860" t="inlineStr">
        <is>
          <t>图文</t>
        </is>
      </c>
      <c r="H860" t="inlineStr">
        <is>
          <t>手剥虾仁 无冰衣无添加 低脂餐一人食 上班带饭 顺丰包邮 5盒装</t>
        </is>
      </c>
      <c r="I860" t="inlineStr">
        <is>
          <t>694baba01d450d00013662f0</t>
        </is>
      </c>
      <c r="J860" t="inlineStr">
        <is>
          <t/>
        </is>
      </c>
      <c r="K860" t="n">
        <v>0.0</v>
      </c>
      <c r="L860" t="n">
        <v>0.0</v>
      </c>
      <c r="M860" t="n">
        <v>0.0</v>
      </c>
      <c r="N860" t="inlineStr">
        <is>
          <t/>
        </is>
      </c>
      <c r="O860" t="n">
        <v>0.0</v>
      </c>
      <c r="P860" t="n">
        <v>0.0</v>
      </c>
      <c r="Q860" t="inlineStr">
        <is>
          <t/>
        </is>
      </c>
      <c r="R860" t="inlineStr">
        <is>
          <t/>
        </is>
      </c>
      <c r="S860" t="n">
        <v>0.0</v>
      </c>
      <c r="T860" t="n">
        <v>0.0</v>
      </c>
      <c r="U860" t="n">
        <v>0.0</v>
      </c>
      <c r="V860" t="n">
        <v>0.0</v>
      </c>
      <c r="W860" t="inlineStr">
        <is>
          <t/>
        </is>
      </c>
      <c r="X860" t="n">
        <v>0.0</v>
      </c>
      <c r="Y860" t="n">
        <v>0.0</v>
      </c>
      <c r="Z860" t="n">
        <v>0.0</v>
      </c>
      <c r="AA860" t="n">
        <v>0.0</v>
      </c>
      <c r="AB860" t="n">
        <v>0.0</v>
      </c>
      <c r="AC860" t="n">
        <v>0.0</v>
      </c>
      <c r="AD860" t="n">
        <v>0.0</v>
      </c>
      <c r="AE860" t="n">
        <v>0.0</v>
      </c>
      <c r="AF860" t="n">
        <v>0.0</v>
      </c>
      <c r="AG860" t="n">
        <v>0.0</v>
      </c>
      <c r="AH860" t="n">
        <v>0.0</v>
      </c>
      <c r="AI860" t="n">
        <v>0.0</v>
      </c>
      <c r="AJ860" t="n">
        <v>0.0</v>
      </c>
      <c r="AK860" t="inlineStr">
        <is>
          <t/>
        </is>
      </c>
      <c r="AL860" t="inlineStr">
        <is>
          <t/>
        </is>
      </c>
    </row>
    <row r="861">
      <c r="A861" t="inlineStr">
        <is>
          <t>100g一包，终于有人替一人食考虑了😭</t>
        </is>
      </c>
      <c r="B861" t="inlineStr">
        <is>
          <t>6a4f9e760000000007013fc0</t>
        </is>
      </c>
      <c r="C861" s="860" t="n">
        <f>HYPERLINK("https://www.xiaohongshu.com/explore/6a4f9e760000000007013fc0?xsec_token=TBFAmOxEStEk-753Ha7GZ-q-Or_7nGLKd_1NPwX2rQsbw=&amp;xsec_source=pc_trdark","https://www.xiaohongshu.com/explore/6a4f9e760000000007013fc0?xsec_token=TBFAmOxEStEk-753Ha7GZ-q-Or_7nGLKd_1NPwX2rQsbw=&amp;xsec_source=pc_trdark")</f>
        <v>0.0</v>
      </c>
      <c r="D861" t="inlineStr">
        <is>
          <t>菲菲上班吃什么</t>
        </is>
      </c>
      <c r="E861" t="inlineStr">
        <is>
          <t>49936530607</t>
        </is>
      </c>
      <c r="F861" t="inlineStr">
        <is>
          <t>2026-07-09 21:13:26</t>
        </is>
      </c>
      <c r="G861" t="inlineStr">
        <is>
          <t>图文</t>
        </is>
      </c>
      <c r="H861" t="inlineStr">
        <is>
          <t>手剥虾仁 无冰衣无添加 低脂餐一人食 上班带饭 顺丰包邮 5盒装</t>
        </is>
      </c>
      <c r="I861" t="inlineStr">
        <is>
          <t>694baba01d450d00013662f0</t>
        </is>
      </c>
      <c r="J861" t="inlineStr">
        <is>
          <t/>
        </is>
      </c>
      <c r="K861" t="n">
        <v>0.0</v>
      </c>
      <c r="L861" t="n">
        <v>0.0</v>
      </c>
      <c r="M861" t="n">
        <v>0.0</v>
      </c>
      <c r="N861" t="inlineStr">
        <is>
          <t/>
        </is>
      </c>
      <c r="O861" t="n">
        <v>0.0</v>
      </c>
      <c r="P861" t="n">
        <v>0.0</v>
      </c>
      <c r="Q861" t="inlineStr">
        <is>
          <t/>
        </is>
      </c>
      <c r="R861" t="inlineStr">
        <is>
          <t/>
        </is>
      </c>
      <c r="S861" t="n">
        <v>0.0</v>
      </c>
      <c r="T861" t="n">
        <v>0.0</v>
      </c>
      <c r="U861" t="n">
        <v>0.0</v>
      </c>
      <c r="V861" t="n">
        <v>0.0</v>
      </c>
      <c r="W861" t="inlineStr">
        <is>
          <t/>
        </is>
      </c>
      <c r="X861" t="n">
        <v>0.0</v>
      </c>
      <c r="Y861" t="n">
        <v>0.0</v>
      </c>
      <c r="Z861" t="n">
        <v>0.0</v>
      </c>
      <c r="AA861" t="n">
        <v>0.0</v>
      </c>
      <c r="AB861" t="n">
        <v>0.0</v>
      </c>
      <c r="AC861" t="n">
        <v>0.0</v>
      </c>
      <c r="AD861" t="n">
        <v>0.0</v>
      </c>
      <c r="AE861" t="n">
        <v>0.0</v>
      </c>
      <c r="AF861" t="n">
        <v>0.0</v>
      </c>
      <c r="AG861" t="n">
        <v>0.0</v>
      </c>
      <c r="AH861" t="n">
        <v>0.0</v>
      </c>
      <c r="AI861" t="n">
        <v>0.0</v>
      </c>
      <c r="AJ861" t="n">
        <v>0.0</v>
      </c>
      <c r="AK861" t="inlineStr">
        <is>
          <t/>
        </is>
      </c>
      <c r="AL861" t="inlineStr">
        <is>
          <t/>
        </is>
      </c>
    </row>
    <row r="862">
      <c r="A862" t="inlineStr">
        <is>
          <t>健身后，我买一餐一包的虾仁越来越勤了…</t>
        </is>
      </c>
      <c r="B862" t="inlineStr">
        <is>
          <t>6a4f32c9000000001102f122</t>
        </is>
      </c>
      <c r="C862" s="861" t="n">
        <f>HYPERLINK("https://www.xiaohongshu.com/explore/6a4f32c9000000001102f122?xsec_token=TBFAmOxEStEk-753Ha7GZ-q2o2kPBMETphX02cMs058M8=&amp;xsec_source=pc_trdark","https://www.xiaohongshu.com/explore/6a4f32c9000000001102f122?xsec_token=TBFAmOxEStEk-753Ha7GZ-q2o2kPBMETphX02cMs058M8=&amp;xsec_source=pc_trdark")</f>
        <v>0.0</v>
      </c>
      <c r="D862" t="inlineStr">
        <is>
          <t>鲜水湾甄选</t>
        </is>
      </c>
      <c r="E862" t="inlineStr">
        <is>
          <t>27401929161</t>
        </is>
      </c>
      <c r="F862" t="inlineStr">
        <is>
          <t>2026-07-09 13:34:01</t>
        </is>
      </c>
      <c r="G862" t="inlineStr">
        <is>
          <t>图文</t>
        </is>
      </c>
      <c r="H862" t="inlineStr">
        <is>
          <t>手剥虾仁 无冰衣无添加 低脂餐一人食 上班带饭 顺丰包邮 5盒装</t>
        </is>
      </c>
      <c r="I862" t="inlineStr">
        <is>
          <t>694baba01d450d00013662f0</t>
        </is>
      </c>
      <c r="J862" t="inlineStr">
        <is>
          <t/>
        </is>
      </c>
      <c r="K862" t="n">
        <v>0.0</v>
      </c>
      <c r="L862" t="n">
        <v>0.0</v>
      </c>
      <c r="M862" t="n">
        <v>0.0</v>
      </c>
      <c r="N862" t="inlineStr">
        <is>
          <t/>
        </is>
      </c>
      <c r="O862" t="n">
        <v>0.0</v>
      </c>
      <c r="P862" t="n">
        <v>0.0</v>
      </c>
      <c r="Q862" t="inlineStr">
        <is>
          <t/>
        </is>
      </c>
      <c r="R862" t="inlineStr">
        <is>
          <t/>
        </is>
      </c>
      <c r="S862" t="n">
        <v>0.0</v>
      </c>
      <c r="T862" t="n">
        <v>0.0</v>
      </c>
      <c r="U862" t="n">
        <v>0.0</v>
      </c>
      <c r="V862" t="n">
        <v>0.0</v>
      </c>
      <c r="W862" t="inlineStr">
        <is>
          <t/>
        </is>
      </c>
      <c r="X862" t="n">
        <v>0.0</v>
      </c>
      <c r="Y862" t="n">
        <v>0.0</v>
      </c>
      <c r="Z862" t="n">
        <v>0.0</v>
      </c>
      <c r="AA862" t="n">
        <v>0.0</v>
      </c>
      <c r="AB862" t="n">
        <v>0.0</v>
      </c>
      <c r="AC862" t="n">
        <v>0.0</v>
      </c>
      <c r="AD862" t="n">
        <v>0.0</v>
      </c>
      <c r="AE862" t="n">
        <v>0.0</v>
      </c>
      <c r="AF862" t="n">
        <v>0.0</v>
      </c>
      <c r="AG862" t="n">
        <v>0.0</v>
      </c>
      <c r="AH862" t="n">
        <v>0.0</v>
      </c>
      <c r="AI862" t="n">
        <v>0.0</v>
      </c>
      <c r="AJ862" t="n">
        <v>0.0</v>
      </c>
      <c r="AK862" t="inlineStr">
        <is>
          <t/>
        </is>
      </c>
      <c r="AL862" t="inlineStr">
        <is>
          <t/>
        </is>
      </c>
    </row>
    <row r="863">
      <c r="A863" t="inlineStr">
        <is>
          <t>独居人的饭盒，一餐一包真的经不起复杂操作</t>
        </is>
      </c>
      <c r="B863" t="inlineStr">
        <is>
          <t>6a4e527a0000000008002247</t>
        </is>
      </c>
      <c r="C863" s="862" t="n">
        <f>HYPERLINK("https://www.xiaohongshu.com/explore/6a4e527a0000000008002247?xsec_token=TByg8Q0foMV6ZY6QKX3S5GBUtseqC1DrF9b4U2pUwsYLU=&amp;xsec_source=pc_trdark","https://www.xiaohongshu.com/explore/6a4e527a0000000008002247?xsec_token=TByg8Q0foMV6ZY6QKX3S5GBUtseqC1DrF9b4U2pUwsYLU=&amp;xsec_source=pc_trdark")</f>
        <v>0.0</v>
      </c>
      <c r="D863" t="inlineStr">
        <is>
          <t>菲菲上班吃什么</t>
        </is>
      </c>
      <c r="E863" t="inlineStr">
        <is>
          <t>49936530607</t>
        </is>
      </c>
      <c r="F863" t="inlineStr">
        <is>
          <t>2026-07-08 21:36:58</t>
        </is>
      </c>
      <c r="G863" t="inlineStr">
        <is>
          <t>图文</t>
        </is>
      </c>
      <c r="H863" t="inlineStr">
        <is>
          <t>手剥虾仁 无冰衣无添加 低脂餐一人食 上班带饭 顺丰包邮 5盒装</t>
        </is>
      </c>
      <c r="I863" t="inlineStr">
        <is>
          <t>694baba01d450d00013662f0</t>
        </is>
      </c>
      <c r="J863" t="inlineStr">
        <is>
          <t/>
        </is>
      </c>
      <c r="K863" t="n">
        <v>0.0</v>
      </c>
      <c r="L863" t="n">
        <v>0.0</v>
      </c>
      <c r="M863" t="n">
        <v>0.0</v>
      </c>
      <c r="N863" t="inlineStr">
        <is>
          <t/>
        </is>
      </c>
      <c r="O863" t="n">
        <v>0.0</v>
      </c>
      <c r="P863" t="n">
        <v>0.0</v>
      </c>
      <c r="Q863" t="inlineStr">
        <is>
          <t/>
        </is>
      </c>
      <c r="R863" t="inlineStr">
        <is>
          <t/>
        </is>
      </c>
      <c r="S863" t="n">
        <v>0.0</v>
      </c>
      <c r="T863" t="n">
        <v>0.0</v>
      </c>
      <c r="U863" t="n">
        <v>0.0</v>
      </c>
      <c r="V863" t="n">
        <v>0.0</v>
      </c>
      <c r="W863" t="inlineStr">
        <is>
          <t/>
        </is>
      </c>
      <c r="X863" t="n">
        <v>0.0</v>
      </c>
      <c r="Y863" t="n">
        <v>0.0</v>
      </c>
      <c r="Z863" t="n">
        <v>0.0</v>
      </c>
      <c r="AA863" t="n">
        <v>0.0</v>
      </c>
      <c r="AB863" t="n">
        <v>0.0</v>
      </c>
      <c r="AC863" t="n">
        <v>0.0</v>
      </c>
      <c r="AD863" t="n">
        <v>0.0</v>
      </c>
      <c r="AE863" t="n">
        <v>0.0</v>
      </c>
      <c r="AF863" t="n">
        <v>0.0</v>
      </c>
      <c r="AG863" t="n">
        <v>0.0</v>
      </c>
      <c r="AH863" t="n">
        <v>0.0</v>
      </c>
      <c r="AI863" t="n">
        <v>0.0</v>
      </c>
      <c r="AJ863" t="n">
        <v>0.0</v>
      </c>
      <c r="AK863" t="inlineStr">
        <is>
          <t/>
        </is>
      </c>
      <c r="AL863" t="inlineStr">
        <is>
          <t/>
        </is>
      </c>
    </row>
    <row r="864">
      <c r="A864" t="inlineStr">
        <is>
          <t>我宣布！独居人一餐一包是减脂餐的天花板！！！</t>
        </is>
      </c>
      <c r="B864" t="inlineStr">
        <is>
          <t>6a4e2a8b00000000070133d4</t>
        </is>
      </c>
      <c r="C864" s="863" t="n">
        <f>HYPERLINK("https://www.xiaohongshu.com/explore/6a4e2a8b00000000070133d4?xsec_token=TByg8Q0foMV6ZY6QKX3S5GBa7Wc4CSbFhObw5QyKgj9hQ=&amp;xsec_source=pc_trdark","https://www.xiaohongshu.com/explore/6a4e2a8b00000000070133d4?xsec_token=TByg8Q0foMV6ZY6QKX3S5GBa7Wc4CSbFhObw5QyKgj9hQ=&amp;xsec_source=pc_trdark")</f>
        <v>0.0</v>
      </c>
      <c r="D864" t="inlineStr">
        <is>
          <t>菲菲上班吃什么</t>
        </is>
      </c>
      <c r="E864" t="inlineStr">
        <is>
          <t>49936530607</t>
        </is>
      </c>
      <c r="F864" t="inlineStr">
        <is>
          <t>2026-07-08 18:46:35</t>
        </is>
      </c>
      <c r="G864" t="inlineStr">
        <is>
          <t>图文</t>
        </is>
      </c>
      <c r="H864" t="inlineStr">
        <is>
          <t>手剥虾仁 无冰衣无添加 低脂餐一人食 上班带饭 顺丰包邮 5盒装</t>
        </is>
      </c>
      <c r="I864" t="inlineStr">
        <is>
          <t>694baba01d450d00013662f0</t>
        </is>
      </c>
      <c r="J864" t="inlineStr">
        <is>
          <t/>
        </is>
      </c>
      <c r="K864" t="n">
        <v>0.0</v>
      </c>
      <c r="L864" t="n">
        <v>0.0</v>
      </c>
      <c r="M864" t="n">
        <v>0.0</v>
      </c>
      <c r="N864" t="inlineStr">
        <is>
          <t/>
        </is>
      </c>
      <c r="O864" t="n">
        <v>0.0</v>
      </c>
      <c r="P864" t="n">
        <v>0.0</v>
      </c>
      <c r="Q864" t="inlineStr">
        <is>
          <t/>
        </is>
      </c>
      <c r="R864" t="inlineStr">
        <is>
          <t/>
        </is>
      </c>
      <c r="S864" t="n">
        <v>0.0</v>
      </c>
      <c r="T864" t="n">
        <v>0.0</v>
      </c>
      <c r="U864" t="n">
        <v>0.0</v>
      </c>
      <c r="V864" t="n">
        <v>0.0</v>
      </c>
      <c r="W864" t="inlineStr">
        <is>
          <t/>
        </is>
      </c>
      <c r="X864" t="n">
        <v>0.0</v>
      </c>
      <c r="Y864" t="n">
        <v>0.0</v>
      </c>
      <c r="Z864" t="n">
        <v>0.0</v>
      </c>
      <c r="AA864" t="n">
        <v>0.0</v>
      </c>
      <c r="AB864" t="n">
        <v>0.0</v>
      </c>
      <c r="AC864" t="n">
        <v>0.0</v>
      </c>
      <c r="AD864" t="n">
        <v>0.0</v>
      </c>
      <c r="AE864" t="n">
        <v>0.0</v>
      </c>
      <c r="AF864" t="n">
        <v>0.0</v>
      </c>
      <c r="AG864" t="n">
        <v>0.0</v>
      </c>
      <c r="AH864" t="n">
        <v>0.0</v>
      </c>
      <c r="AI864" t="n">
        <v>0.0</v>
      </c>
      <c r="AJ864" t="n">
        <v>0.0</v>
      </c>
      <c r="AK864" t="inlineStr">
        <is>
          <t/>
        </is>
      </c>
      <c r="AL864" t="inlineStr">
        <is>
          <t/>
        </is>
      </c>
    </row>
    <row r="865">
      <c r="A865" t="inlineStr">
        <is>
          <t>69块的虾仁，承包了我一周的工作餐</t>
        </is>
      </c>
      <c r="B865" t="inlineStr">
        <is>
          <t>6a4e2a610000000011016161</t>
        </is>
      </c>
      <c r="C865" s="864" t="n">
        <f>HYPERLINK("https://www.xiaohongshu.com/explore/6a4e2a610000000011016161?xsec_token=TByg8Q0foMV6ZY6QKX3S5GBQjnIBn2J3mzxeVHoYHa_Oo=&amp;xsec_source=pc_trdark","https://www.xiaohongshu.com/explore/6a4e2a610000000011016161?xsec_token=TByg8Q0foMV6ZY6QKX3S5GBQjnIBn2J3mzxeVHoYHa_Oo=&amp;xsec_source=pc_trdark")</f>
        <v>0.0</v>
      </c>
      <c r="D865" t="inlineStr">
        <is>
          <t>鲜水湾甄选</t>
        </is>
      </c>
      <c r="E865" t="inlineStr">
        <is>
          <t>27401929161</t>
        </is>
      </c>
      <c r="F865" t="inlineStr">
        <is>
          <t>2026-07-08 18:45:53</t>
        </is>
      </c>
      <c r="G865" t="inlineStr">
        <is>
          <t>图文</t>
        </is>
      </c>
      <c r="H865" t="inlineStr">
        <is>
          <t>手剥虾仁 无冰衣无添加 低脂餐一人食 上班带饭 顺丰包邮 5盒装</t>
        </is>
      </c>
      <c r="I865" t="inlineStr">
        <is>
          <t>694baba01d450d00013662f0</t>
        </is>
      </c>
      <c r="J865" t="inlineStr">
        <is>
          <t/>
        </is>
      </c>
      <c r="K865" t="n">
        <v>0.0</v>
      </c>
      <c r="L865" t="n">
        <v>0.0</v>
      </c>
      <c r="M865" t="n">
        <v>0.0</v>
      </c>
      <c r="N865" t="inlineStr">
        <is>
          <t/>
        </is>
      </c>
      <c r="O865" t="n">
        <v>0.0</v>
      </c>
      <c r="P865" t="n">
        <v>0.0</v>
      </c>
      <c r="Q865" t="inlineStr">
        <is>
          <t/>
        </is>
      </c>
      <c r="R865" t="inlineStr">
        <is>
          <t/>
        </is>
      </c>
      <c r="S865" t="n">
        <v>0.0</v>
      </c>
      <c r="T865" t="n">
        <v>0.0</v>
      </c>
      <c r="U865" t="n">
        <v>0.0</v>
      </c>
      <c r="V865" t="n">
        <v>0.0</v>
      </c>
      <c r="W865" t="inlineStr">
        <is>
          <t/>
        </is>
      </c>
      <c r="X865" t="n">
        <v>0.0</v>
      </c>
      <c r="Y865" t="n">
        <v>0.0</v>
      </c>
      <c r="Z865" t="n">
        <v>0.0</v>
      </c>
      <c r="AA865" t="n">
        <v>0.0</v>
      </c>
      <c r="AB865" t="n">
        <v>0.0</v>
      </c>
      <c r="AC865" t="n">
        <v>0.0</v>
      </c>
      <c r="AD865" t="n">
        <v>0.0</v>
      </c>
      <c r="AE865" t="n">
        <v>0.0</v>
      </c>
      <c r="AF865" t="n">
        <v>0.0</v>
      </c>
      <c r="AG865" t="n">
        <v>0.0</v>
      </c>
      <c r="AH865" t="n">
        <v>0.0</v>
      </c>
      <c r="AI865" t="n">
        <v>0.0</v>
      </c>
      <c r="AJ865" t="n">
        <v>0.0</v>
      </c>
      <c r="AK865" t="inlineStr">
        <is>
          <t/>
        </is>
      </c>
      <c r="AL865" t="inlineStr">
        <is>
          <t/>
        </is>
      </c>
    </row>
    <row r="866">
      <c r="A866" t="inlineStr">
        <is>
          <t>69 元的购买力，解决一周工作餐</t>
        </is>
      </c>
      <c r="B866" t="inlineStr">
        <is>
          <t>6a4e2027000000002200bf2d</t>
        </is>
      </c>
      <c r="C866" s="865" t="n">
        <f>HYPERLINK("https://www.xiaohongshu.com/explore/6a4e2027000000002200bf2d?xsec_token=TByg8Q0foMV6ZY6QKX3S5GBWBYiZfRVYlJ6ZEXCyG4owk=&amp;xsec_source=pc_trdark","https://www.xiaohongshu.com/explore/6a4e2027000000002200bf2d?xsec_token=TByg8Q0foMV6ZY6QKX3S5GBWBYiZfRVYlJ6ZEXCyG4owk=&amp;xsec_source=pc_trdark")</f>
        <v>0.0</v>
      </c>
      <c r="D866" t="inlineStr">
        <is>
          <t>婉婉上班吃什么</t>
        </is>
      </c>
      <c r="E866" t="inlineStr">
        <is>
          <t>11434449706</t>
        </is>
      </c>
      <c r="F866" t="inlineStr">
        <is>
          <t>2026-07-08 18:02:15</t>
        </is>
      </c>
      <c r="G866" t="inlineStr">
        <is>
          <t>图文</t>
        </is>
      </c>
      <c r="H866" t="inlineStr">
        <is>
          <t>手剥虾仁 无冰衣无添加 低脂餐一人食 上班带饭 顺丰包邮 5盒装</t>
        </is>
      </c>
      <c r="I866" t="inlineStr">
        <is>
          <t>694baba01d450d00013662f0</t>
        </is>
      </c>
      <c r="J866" t="inlineStr">
        <is>
          <t/>
        </is>
      </c>
      <c r="K866" t="n">
        <v>0.0</v>
      </c>
      <c r="L866" t="n">
        <v>0.0</v>
      </c>
      <c r="M866" t="n">
        <v>0.0</v>
      </c>
      <c r="N866" t="inlineStr">
        <is>
          <t/>
        </is>
      </c>
      <c r="O866" t="n">
        <v>0.0</v>
      </c>
      <c r="P866" t="n">
        <v>0.0</v>
      </c>
      <c r="Q866" t="inlineStr">
        <is>
          <t/>
        </is>
      </c>
      <c r="R866" t="inlineStr">
        <is>
          <t/>
        </is>
      </c>
      <c r="S866" t="n">
        <v>0.0</v>
      </c>
      <c r="T866" t="n">
        <v>0.0</v>
      </c>
      <c r="U866" t="n">
        <v>0.0</v>
      </c>
      <c r="V866" t="n">
        <v>0.0</v>
      </c>
      <c r="W866" t="inlineStr">
        <is>
          <t/>
        </is>
      </c>
      <c r="X866" t="n">
        <v>0.0</v>
      </c>
      <c r="Y866" t="n">
        <v>0.0</v>
      </c>
      <c r="Z866" t="n">
        <v>0.0</v>
      </c>
      <c r="AA866" t="n">
        <v>0.0</v>
      </c>
      <c r="AB866" t="n">
        <v>0.0</v>
      </c>
      <c r="AC866" t="n">
        <v>0.0</v>
      </c>
      <c r="AD866" t="n">
        <v>0.0</v>
      </c>
      <c r="AE866" t="n">
        <v>0.0</v>
      </c>
      <c r="AF866" t="n">
        <v>0.0</v>
      </c>
      <c r="AG866" t="n">
        <v>0.0</v>
      </c>
      <c r="AH866" t="n">
        <v>0.0</v>
      </c>
      <c r="AI866" t="n">
        <v>0.0</v>
      </c>
      <c r="AJ866" t="n">
        <v>0.0</v>
      </c>
      <c r="AK866" t="inlineStr">
        <is>
          <t/>
        </is>
      </c>
      <c r="AL866" t="inlineStr">
        <is>
          <t/>
        </is>
      </c>
    </row>
    <row r="867">
      <c r="A867" t="inlineStr">
        <is>
          <t>奉劝大家不要低估 100 来块的购买力</t>
        </is>
      </c>
      <c r="B867" t="inlineStr">
        <is>
          <t>6a4e18ab000000002103f72f</t>
        </is>
      </c>
      <c r="C867" s="866" t="n">
        <f>HYPERLINK("https://www.xiaohongshu.com/explore/6a4e18ab000000002103f72f?xsec_token=TByg8Q0foMV6ZY6QKX3S5GBRat4RYEINqp3DXNmS7oQw8=&amp;xsec_source=pc_trdark","https://www.xiaohongshu.com/explore/6a4e18ab000000002103f72f?xsec_token=TByg8Q0foMV6ZY6QKX3S5GBRat4RYEINqp3DXNmS7oQw8=&amp;xsec_source=pc_trdark")</f>
        <v>0.0</v>
      </c>
      <c r="D867" t="inlineStr">
        <is>
          <t>鲜水湾</t>
        </is>
      </c>
      <c r="E867" t="inlineStr">
        <is>
          <t>49316638994</t>
        </is>
      </c>
      <c r="F867" t="inlineStr">
        <is>
          <t>2026-07-08 17:30:19</t>
        </is>
      </c>
      <c r="G867" t="inlineStr">
        <is>
          <t>图文</t>
        </is>
      </c>
      <c r="H867" t="inlineStr">
        <is>
          <t>手剥虾仁 无冰衣无添加 低脂餐一人食 上班带饭 顺丰包邮 5盒装</t>
        </is>
      </c>
      <c r="I867" t="inlineStr">
        <is>
          <t>694baba01d450d00013662f0</t>
        </is>
      </c>
      <c r="J867" t="inlineStr">
        <is>
          <t/>
        </is>
      </c>
      <c r="K867" t="n">
        <v>0.0</v>
      </c>
      <c r="L867" t="n">
        <v>0.0</v>
      </c>
      <c r="M867" t="n">
        <v>0.0</v>
      </c>
      <c r="N867" t="inlineStr">
        <is>
          <t/>
        </is>
      </c>
      <c r="O867" t="n">
        <v>0.0</v>
      </c>
      <c r="P867" t="n">
        <v>0.0</v>
      </c>
      <c r="Q867" t="inlineStr">
        <is>
          <t/>
        </is>
      </c>
      <c r="R867" t="inlineStr">
        <is>
          <t/>
        </is>
      </c>
      <c r="S867" t="n">
        <v>0.0</v>
      </c>
      <c r="T867" t="n">
        <v>0.0</v>
      </c>
      <c r="U867" t="n">
        <v>0.0</v>
      </c>
      <c r="V867" t="n">
        <v>0.0</v>
      </c>
      <c r="W867" t="inlineStr">
        <is>
          <t/>
        </is>
      </c>
      <c r="X867" t="n">
        <v>0.0</v>
      </c>
      <c r="Y867" t="n">
        <v>0.0</v>
      </c>
      <c r="Z867" t="n">
        <v>0.0</v>
      </c>
      <c r="AA867" t="n">
        <v>0.0</v>
      </c>
      <c r="AB867" t="n">
        <v>0.0</v>
      </c>
      <c r="AC867" t="n">
        <v>0.0</v>
      </c>
      <c r="AD867" t="n">
        <v>0.0</v>
      </c>
      <c r="AE867" t="n">
        <v>0.0</v>
      </c>
      <c r="AF867" t="n">
        <v>0.0</v>
      </c>
      <c r="AG867" t="n">
        <v>0.0</v>
      </c>
      <c r="AH867" t="n">
        <v>0.0</v>
      </c>
      <c r="AI867" t="n">
        <v>0.0</v>
      </c>
      <c r="AJ867" t="n">
        <v>0.0</v>
      </c>
      <c r="AK867" t="inlineStr">
        <is>
          <t/>
        </is>
      </c>
      <c r="AL867" t="inlineStr">
        <is>
          <t/>
        </is>
      </c>
    </row>
    <row r="868">
      <c r="A868" t="inlineStr">
        <is>
          <t>身材管理期也能吃得超满足，自制上班轻食✌️</t>
        </is>
      </c>
      <c r="B868" t="inlineStr">
        <is>
          <t>6a4dba01000000000702c1f7</t>
        </is>
      </c>
      <c r="C868" s="867" t="n">
        <f>HYPERLINK("https://www.xiaohongshu.com/explore/6a4dba01000000000702c1f7?xsec_token=TB_h-LxY0T3CKUVqNJJaetsEgCapUg6eJAPdqEdeMd1rU=&amp;xsec_source=pc_trdark","https://www.xiaohongshu.com/explore/6a4dba01000000000702c1f7?xsec_token=TB_h-LxY0T3CKUVqNJJaetsEgCapUg6eJAPdqEdeMd1rU=&amp;xsec_source=pc_trdark")</f>
        <v>0.0</v>
      </c>
      <c r="D868" t="inlineStr">
        <is>
          <t>鲜水湾</t>
        </is>
      </c>
      <c r="E868" t="inlineStr">
        <is>
          <t>49316638994</t>
        </is>
      </c>
      <c r="F868" t="inlineStr">
        <is>
          <t>2026-07-08 10:46:25</t>
        </is>
      </c>
      <c r="G868" t="inlineStr">
        <is>
          <t>图文</t>
        </is>
      </c>
      <c r="H868" t="inlineStr">
        <is>
          <t>智利三文鱼切块·整条三文鱼·深海鱼一人食健康饮食</t>
        </is>
      </c>
      <c r="I868" t="inlineStr">
        <is>
          <t>691ac562a524ee0001b51d7b</t>
        </is>
      </c>
      <c r="J868" t="inlineStr">
        <is>
          <t/>
        </is>
      </c>
      <c r="K868" t="n">
        <v>446.0</v>
      </c>
      <c r="L868" t="n">
        <v>2.0</v>
      </c>
      <c r="M868" t="n">
        <v>0.0</v>
      </c>
      <c r="N868" t="inlineStr">
        <is>
          <t/>
        </is>
      </c>
      <c r="O868" t="n">
        <v>0.0</v>
      </c>
      <c r="P868" t="n">
        <v>2.0</v>
      </c>
      <c r="Q868" t="inlineStr">
        <is>
          <t/>
        </is>
      </c>
      <c r="R868" t="inlineStr">
        <is>
          <t/>
        </is>
      </c>
      <c r="S868" t="n">
        <v>0.0</v>
      </c>
      <c r="T868" t="n">
        <v>0.0</v>
      </c>
      <c r="U868" t="n">
        <v>0.0</v>
      </c>
      <c r="V868" t="n">
        <v>0.0</v>
      </c>
      <c r="W868" t="n">
        <v>0.0</v>
      </c>
      <c r="X868" t="n">
        <v>0.0</v>
      </c>
      <c r="Y868" t="n">
        <v>0.0</v>
      </c>
      <c r="Z868" t="n">
        <v>0.0</v>
      </c>
      <c r="AA868" t="n">
        <v>0.0</v>
      </c>
      <c r="AB868" t="n">
        <v>0.0</v>
      </c>
      <c r="AC868" t="n">
        <v>0.0</v>
      </c>
      <c r="AD868" t="n">
        <v>0.0</v>
      </c>
      <c r="AE868" t="n">
        <v>0.0</v>
      </c>
      <c r="AF868" t="n">
        <v>0.0</v>
      </c>
      <c r="AG868" t="n">
        <v>0.0</v>
      </c>
      <c r="AH868" t="n">
        <v>0.0</v>
      </c>
      <c r="AI868" t="n">
        <v>0.0</v>
      </c>
      <c r="AJ868" t="n">
        <v>0.0</v>
      </c>
      <c r="AK868" t="inlineStr">
        <is>
          <t/>
        </is>
      </c>
      <c r="AL868" t="inlineStr">
        <is>
          <t/>
        </is>
      </c>
    </row>
    <row r="869">
      <c r="A869" t="inlineStr">
        <is>
          <t>天爷啊，我居然开始期待每天中午开饭了！！</t>
        </is>
      </c>
      <c r="B869" t="inlineStr">
        <is>
          <t>6a4cef7a0000000007020124</t>
        </is>
      </c>
      <c r="C869" s="868" t="n">
        <f>HYPERLINK("https://www.xiaohongshu.com/explore/6a4cef7a0000000007020124?xsec_token=TBUTHXond34IOioCHeuH06uf5iNSC-9I6Q7DlgT2VMxlk=&amp;xsec_source=pc_trdark","https://www.xiaohongshu.com/explore/6a4cef7a0000000007020124?xsec_token=TBUTHXond34IOioCHeuH06uf5iNSC-9I6Q7DlgT2VMxlk=&amp;xsec_source=pc_trdark")</f>
        <v>0.0</v>
      </c>
      <c r="D869" t="inlineStr">
        <is>
          <t>菲菲上班吃什么</t>
        </is>
      </c>
      <c r="E869" t="inlineStr">
        <is>
          <t>49936530607</t>
        </is>
      </c>
      <c r="F869" t="inlineStr">
        <is>
          <t>2026-07-07 20:22:18</t>
        </is>
      </c>
      <c r="G869" t="inlineStr">
        <is>
          <t>图文</t>
        </is>
      </c>
      <c r="H869" t="inlineStr">
        <is>
          <t>手剥虾仁 无冰衣无添加 低脂餐一人食 上班带饭 顺丰包邮 5盒装</t>
        </is>
      </c>
      <c r="I869" t="inlineStr">
        <is>
          <t>694baba01d450d00013662f0</t>
        </is>
      </c>
      <c r="J869" t="inlineStr">
        <is>
          <t/>
        </is>
      </c>
      <c r="K869" t="n">
        <v>0.0</v>
      </c>
      <c r="L869" t="n">
        <v>0.0</v>
      </c>
      <c r="M869" t="n">
        <v>0.0</v>
      </c>
      <c r="N869" t="inlineStr">
        <is>
          <t/>
        </is>
      </c>
      <c r="O869" t="n">
        <v>0.0</v>
      </c>
      <c r="P869" t="n">
        <v>0.0</v>
      </c>
      <c r="Q869" t="inlineStr">
        <is>
          <t/>
        </is>
      </c>
      <c r="R869" t="inlineStr">
        <is>
          <t/>
        </is>
      </c>
      <c r="S869" t="n">
        <v>0.0</v>
      </c>
      <c r="T869" t="n">
        <v>0.0</v>
      </c>
      <c r="U869" t="n">
        <v>0.0</v>
      </c>
      <c r="V869" t="n">
        <v>0.0</v>
      </c>
      <c r="W869" t="inlineStr">
        <is>
          <t/>
        </is>
      </c>
      <c r="X869" t="n">
        <v>0.0</v>
      </c>
      <c r="Y869" t="n">
        <v>0.0</v>
      </c>
      <c r="Z869" t="n">
        <v>0.0</v>
      </c>
      <c r="AA869" t="n">
        <v>0.0</v>
      </c>
      <c r="AB869" t="n">
        <v>0.0</v>
      </c>
      <c r="AC869" t="n">
        <v>0.0</v>
      </c>
      <c r="AD869" t="n">
        <v>0.0</v>
      </c>
      <c r="AE869" t="n">
        <v>0.0</v>
      </c>
      <c r="AF869" t="n">
        <v>0.0</v>
      </c>
      <c r="AG869" t="n">
        <v>0.0</v>
      </c>
      <c r="AH869" t="n">
        <v>0.0</v>
      </c>
      <c r="AI869" t="n">
        <v>0.0</v>
      </c>
      <c r="AJ869" t="n">
        <v>0.0</v>
      </c>
      <c r="AK869" t="inlineStr">
        <is>
          <t/>
        </is>
      </c>
      <c r="AL869" t="inlineStr">
        <is>
          <t/>
        </is>
      </c>
    </row>
    <row r="870">
      <c r="A870" t="inlineStr">
        <is>
          <t>打工人的虾仁，居然让我戒掉了工作日的外卖</t>
        </is>
      </c>
      <c r="B870" t="inlineStr">
        <is>
          <t>6a4ce10d0000000006033311</t>
        </is>
      </c>
      <c r="C870" s="869" t="n">
        <f>HYPERLINK("https://www.xiaohongshu.com/explore/6a4ce10d0000000006033311?xsec_token=TBUTHXond34IOioCHeuH06uRPh_LSnrAW6QKCEHHStdmA=&amp;xsec_source=pc_trdark","https://www.xiaohongshu.com/explore/6a4ce10d0000000006033311?xsec_token=TBUTHXond34IOioCHeuH06uRPh_LSnrAW6QKCEHHStdmA=&amp;xsec_source=pc_trdark")</f>
        <v>0.0</v>
      </c>
      <c r="D870" t="inlineStr">
        <is>
          <t>菲菲上班吃什么</t>
        </is>
      </c>
      <c r="E870" t="inlineStr">
        <is>
          <t>49936530607</t>
        </is>
      </c>
      <c r="F870" t="inlineStr">
        <is>
          <t>2026-07-07 19:20:45</t>
        </is>
      </c>
      <c r="G870" t="inlineStr">
        <is>
          <t>图文</t>
        </is>
      </c>
      <c r="H870" t="inlineStr">
        <is>
          <t>手剥虾仁 无冰衣无添加 低脂餐一人食 上班带饭 顺丰包邮 5盒装</t>
        </is>
      </c>
      <c r="I870" t="inlineStr">
        <is>
          <t>694baba01d450d00013662f0</t>
        </is>
      </c>
      <c r="J870" t="inlineStr">
        <is>
          <t/>
        </is>
      </c>
      <c r="K870" t="n">
        <v>0.0</v>
      </c>
      <c r="L870" t="n">
        <v>0.0</v>
      </c>
      <c r="M870" t="n">
        <v>0.0</v>
      </c>
      <c r="N870" t="inlineStr">
        <is>
          <t/>
        </is>
      </c>
      <c r="O870" t="n">
        <v>0.0</v>
      </c>
      <c r="P870" t="n">
        <v>0.0</v>
      </c>
      <c r="Q870" t="inlineStr">
        <is>
          <t/>
        </is>
      </c>
      <c r="R870" t="inlineStr">
        <is>
          <t/>
        </is>
      </c>
      <c r="S870" t="n">
        <v>0.0</v>
      </c>
      <c r="T870" t="n">
        <v>0.0</v>
      </c>
      <c r="U870" t="n">
        <v>0.0</v>
      </c>
      <c r="V870" t="n">
        <v>0.0</v>
      </c>
      <c r="W870" t="inlineStr">
        <is>
          <t/>
        </is>
      </c>
      <c r="X870" t="n">
        <v>0.0</v>
      </c>
      <c r="Y870" t="n">
        <v>0.0</v>
      </c>
      <c r="Z870" t="n">
        <v>0.0</v>
      </c>
      <c r="AA870" t="n">
        <v>0.0</v>
      </c>
      <c r="AB870" t="n">
        <v>0.0</v>
      </c>
      <c r="AC870" t="n">
        <v>0.0</v>
      </c>
      <c r="AD870" t="n">
        <v>0.0</v>
      </c>
      <c r="AE870" t="n">
        <v>0.0</v>
      </c>
      <c r="AF870" t="n">
        <v>0.0</v>
      </c>
      <c r="AG870" t="n">
        <v>0.0</v>
      </c>
      <c r="AH870" t="n">
        <v>0.0</v>
      </c>
      <c r="AI870" t="n">
        <v>0.0</v>
      </c>
      <c r="AJ870" t="n">
        <v>0.0</v>
      </c>
      <c r="AK870" t="inlineStr">
        <is>
          <t/>
        </is>
      </c>
      <c r="AL870" t="inlineStr">
        <is>
          <t/>
        </is>
      </c>
    </row>
    <row r="871">
      <c r="A871" t="inlineStr">
        <is>
          <t>我宣布！一次一袋！太适合早八打工人了！！</t>
        </is>
      </c>
      <c r="B871" t="inlineStr">
        <is>
          <t>6a4ca0960000000022019ec0</t>
        </is>
      </c>
      <c r="C871" s="870" t="n">
        <f>HYPERLINK("https://www.xiaohongshu.com/explore/6a4ca0960000000022019ec0?xsec_token=TBUTHXond34IOioCHeuH06uVPN5weXf0mrw60G9_sh8Qg=&amp;xsec_source=pc_trdark","https://www.xiaohongshu.com/explore/6a4ca0960000000022019ec0?xsec_token=TBUTHXond34IOioCHeuH06uVPN5weXf0mrw60G9_sh8Qg=&amp;xsec_source=pc_trdark")</f>
        <v>0.0</v>
      </c>
      <c r="D871" t="inlineStr">
        <is>
          <t>鲜水湾甄选</t>
        </is>
      </c>
      <c r="E871" t="inlineStr">
        <is>
          <t>27401929161</t>
        </is>
      </c>
      <c r="F871" t="inlineStr">
        <is>
          <t>2026-07-07 14:45:42</t>
        </is>
      </c>
      <c r="G871" t="inlineStr">
        <is>
          <t>图文</t>
        </is>
      </c>
      <c r="H871" t="inlineStr">
        <is>
          <t>手剥虾仁 无冰衣无添加 低脂餐一人食 上班带饭 顺丰包邮 5盒装</t>
        </is>
      </c>
      <c r="I871" t="inlineStr">
        <is>
          <t>694baba01d450d00013662f0</t>
        </is>
      </c>
      <c r="J871" t="inlineStr">
        <is>
          <t/>
        </is>
      </c>
      <c r="K871" t="n">
        <v>0.0</v>
      </c>
      <c r="L871" t="n">
        <v>0.0</v>
      </c>
      <c r="M871" t="n">
        <v>0.0</v>
      </c>
      <c r="N871" t="inlineStr">
        <is>
          <t/>
        </is>
      </c>
      <c r="O871" t="n">
        <v>0.0</v>
      </c>
      <c r="P871" t="n">
        <v>0.0</v>
      </c>
      <c r="Q871" t="inlineStr">
        <is>
          <t/>
        </is>
      </c>
      <c r="R871" t="inlineStr">
        <is>
          <t/>
        </is>
      </c>
      <c r="S871" t="n">
        <v>0.0</v>
      </c>
      <c r="T871" t="n">
        <v>0.0</v>
      </c>
      <c r="U871" t="n">
        <v>0.0</v>
      </c>
      <c r="V871" t="n">
        <v>0.0</v>
      </c>
      <c r="W871" t="inlineStr">
        <is>
          <t/>
        </is>
      </c>
      <c r="X871" t="n">
        <v>0.0</v>
      </c>
      <c r="Y871" t="n">
        <v>0.0</v>
      </c>
      <c r="Z871" t="n">
        <v>0.0</v>
      </c>
      <c r="AA871" t="n">
        <v>0.0</v>
      </c>
      <c r="AB871" t="n">
        <v>0.0</v>
      </c>
      <c r="AC871" t="n">
        <v>0.0</v>
      </c>
      <c r="AD871" t="n">
        <v>0.0</v>
      </c>
      <c r="AE871" t="n">
        <v>0.0</v>
      </c>
      <c r="AF871" t="n">
        <v>0.0</v>
      </c>
      <c r="AG871" t="n">
        <v>0.0</v>
      </c>
      <c r="AH871" t="n">
        <v>0.0</v>
      </c>
      <c r="AI871" t="n">
        <v>0.0</v>
      </c>
      <c r="AJ871" t="n">
        <v>0.0</v>
      </c>
      <c r="AK871" t="inlineStr">
        <is>
          <t/>
        </is>
      </c>
      <c r="AL871" t="inlineStr">
        <is>
          <t/>
        </is>
      </c>
    </row>
    <row r="872">
      <c r="A872" t="inlineStr">
        <is>
          <t>谁懂啊😭60块独立小包装虾仁承包我一周快乐</t>
        </is>
      </c>
      <c r="B872" t="inlineStr">
        <is>
          <t>6a4c6f64000000002100a401</t>
        </is>
      </c>
      <c r="C872" s="871" t="n">
        <f>HYPERLINK("https://www.xiaohongshu.com/explore/6a4c6f64000000002100a401?xsec_token=TBUTHXond34IOioCHeuH06uYxIzn5n98kd5PUvPpnVq24=&amp;xsec_source=pc_trdark","https://www.xiaohongshu.com/explore/6a4c6f64000000002100a401?xsec_token=TBUTHXond34IOioCHeuH06uYxIzn5n98kd5PUvPpnVq24=&amp;xsec_source=pc_trdark")</f>
        <v>0.0</v>
      </c>
      <c r="D872" t="inlineStr">
        <is>
          <t>菲菲上班吃什么</t>
        </is>
      </c>
      <c r="E872" t="inlineStr">
        <is>
          <t>49936530607</t>
        </is>
      </c>
      <c r="F872" t="inlineStr">
        <is>
          <t>2026-07-07 11:15:48</t>
        </is>
      </c>
      <c r="G872" t="inlineStr">
        <is>
          <t>图文</t>
        </is>
      </c>
      <c r="H872" t="inlineStr">
        <is>
          <t>手剥虾仁 无冰衣无添加 低脂餐一人食 上班带饭 顺丰包邮 5盒装</t>
        </is>
      </c>
      <c r="I872" t="inlineStr">
        <is>
          <t>694baba01d450d00013662f0</t>
        </is>
      </c>
      <c r="J872" t="inlineStr">
        <is>
          <t/>
        </is>
      </c>
      <c r="K872" t="n">
        <v>0.0</v>
      </c>
      <c r="L872" t="n">
        <v>0.0</v>
      </c>
      <c r="M872" t="n">
        <v>0.0</v>
      </c>
      <c r="N872" t="inlineStr">
        <is>
          <t/>
        </is>
      </c>
      <c r="O872" t="n">
        <v>0.0</v>
      </c>
      <c r="P872" t="n">
        <v>0.0</v>
      </c>
      <c r="Q872" t="inlineStr">
        <is>
          <t/>
        </is>
      </c>
      <c r="R872" t="inlineStr">
        <is>
          <t/>
        </is>
      </c>
      <c r="S872" t="n">
        <v>0.0</v>
      </c>
      <c r="T872" t="n">
        <v>0.0</v>
      </c>
      <c r="U872" t="n">
        <v>0.0</v>
      </c>
      <c r="V872" t="n">
        <v>0.0</v>
      </c>
      <c r="W872" t="inlineStr">
        <is>
          <t/>
        </is>
      </c>
      <c r="X872" t="n">
        <v>0.0</v>
      </c>
      <c r="Y872" t="n">
        <v>0.0</v>
      </c>
      <c r="Z872" t="n">
        <v>0.0</v>
      </c>
      <c r="AA872" t="n">
        <v>0.0</v>
      </c>
      <c r="AB872" t="n">
        <v>0.0</v>
      </c>
      <c r="AC872" t="n">
        <v>0.0</v>
      </c>
      <c r="AD872" t="n">
        <v>0.0</v>
      </c>
      <c r="AE872" t="n">
        <v>0.0</v>
      </c>
      <c r="AF872" t="n">
        <v>0.0</v>
      </c>
      <c r="AG872" t="n">
        <v>0.0</v>
      </c>
      <c r="AH872" t="n">
        <v>0.0</v>
      </c>
      <c r="AI872" t="n">
        <v>0.0</v>
      </c>
      <c r="AJ872" t="n">
        <v>0.0</v>
      </c>
      <c r="AK872" t="inlineStr">
        <is>
          <t/>
        </is>
      </c>
      <c r="AL872" t="inlineStr">
        <is>
          <t/>
        </is>
      </c>
    </row>
    <row r="873">
      <c r="A873" t="inlineStr">
        <is>
          <t>靠虾仁布局一下今年夏天的小裙子计划！！！</t>
        </is>
      </c>
      <c r="B873" t="inlineStr">
        <is>
          <t>6a4b6d40000000002103d678</t>
        </is>
      </c>
      <c r="C873" s="872" t="n">
        <f>HYPERLINK("https://www.xiaohongshu.com/explore/6a4b6d40000000002103d678?xsec_token=TBbJ-JHK-PBbJgek6K72FYkQtBfzQVb42NVo4Gtr-aQwU=&amp;xsec_source=pc_trdark","https://www.xiaohongshu.com/explore/6a4b6d40000000002103d678?xsec_token=TBbJ-JHK-PBbJgek6K72FYkQtBfzQVb42NVo4Gtr-aQwU=&amp;xsec_source=pc_trdark")</f>
        <v>0.0</v>
      </c>
      <c r="D873" t="inlineStr">
        <is>
          <t>婉婉上班吃什么</t>
        </is>
      </c>
      <c r="E873" t="inlineStr">
        <is>
          <t>11434449706</t>
        </is>
      </c>
      <c r="F873" t="inlineStr">
        <is>
          <t>2026-07-06 16:54:24</t>
        </is>
      </c>
      <c r="G873" t="inlineStr">
        <is>
          <t>图文</t>
        </is>
      </c>
      <c r="H873" t="inlineStr">
        <is>
          <t>手剥虾仁 无冰衣无添加 低脂餐一人食 上班带饭 顺丰包邮 5盒装</t>
        </is>
      </c>
      <c r="I873" t="inlineStr">
        <is>
          <t>694baba01d450d00013662f0</t>
        </is>
      </c>
      <c r="J873" t="inlineStr">
        <is>
          <t/>
        </is>
      </c>
      <c r="K873" t="n">
        <v>0.0</v>
      </c>
      <c r="L873" t="n">
        <v>0.0</v>
      </c>
      <c r="M873" t="n">
        <v>0.0</v>
      </c>
      <c r="N873" t="inlineStr">
        <is>
          <t/>
        </is>
      </c>
      <c r="O873" t="n">
        <v>0.0</v>
      </c>
      <c r="P873" t="n">
        <v>0.0</v>
      </c>
      <c r="Q873" t="inlineStr">
        <is>
          <t/>
        </is>
      </c>
      <c r="R873" t="inlineStr">
        <is>
          <t/>
        </is>
      </c>
      <c r="S873" t="n">
        <v>0.0</v>
      </c>
      <c r="T873" t="n">
        <v>0.0</v>
      </c>
      <c r="U873" t="n">
        <v>0.0</v>
      </c>
      <c r="V873" t="n">
        <v>0.0</v>
      </c>
      <c r="W873" t="inlineStr">
        <is>
          <t/>
        </is>
      </c>
      <c r="X873" t="n">
        <v>0.0</v>
      </c>
      <c r="Y873" t="n">
        <v>0.0</v>
      </c>
      <c r="Z873" t="n">
        <v>0.0</v>
      </c>
      <c r="AA873" t="n">
        <v>0.0</v>
      </c>
      <c r="AB873" t="n">
        <v>0.0</v>
      </c>
      <c r="AC873" t="n">
        <v>0.0</v>
      </c>
      <c r="AD873" t="n">
        <v>0.0</v>
      </c>
      <c r="AE873" t="n">
        <v>0.0</v>
      </c>
      <c r="AF873" t="n">
        <v>0.0</v>
      </c>
      <c r="AG873" t="n">
        <v>0.0</v>
      </c>
      <c r="AH873" t="n">
        <v>0.0</v>
      </c>
      <c r="AI873" t="n">
        <v>0.0</v>
      </c>
      <c r="AJ873" t="n">
        <v>0.0</v>
      </c>
      <c r="AK873" t="inlineStr">
        <is>
          <t/>
        </is>
      </c>
      <c r="AL873" t="inlineStr">
        <is>
          <t/>
        </is>
      </c>
    </row>
    <row r="874">
      <c r="A874" t="inlineStr">
        <is>
          <t>以为小小的60块钱没多少，结果够我吃一周了</t>
        </is>
      </c>
      <c r="B874" t="inlineStr">
        <is>
          <t>6a4b1ae700000000220189f8</t>
        </is>
      </c>
      <c r="C874" s="873" t="n">
        <f>HYPERLINK("https://www.xiaohongshu.com/explore/6a4b1ae700000000220189f8?xsec_token=TBbJ-JHK-PBbJgek6K72FYkRuQPAAw8Vc0CQNZlz7JzEU=&amp;xsec_source=pc_trdark","https://www.xiaohongshu.com/explore/6a4b1ae700000000220189f8?xsec_token=TBbJ-JHK-PBbJgek6K72FYkRuQPAAw8Vc0CQNZlz7JzEU=&amp;xsec_source=pc_trdark")</f>
        <v>0.0</v>
      </c>
      <c r="D874" t="inlineStr">
        <is>
          <t>鲜水湾甄选</t>
        </is>
      </c>
      <c r="E874" t="inlineStr">
        <is>
          <t>27401929161</t>
        </is>
      </c>
      <c r="F874" t="inlineStr">
        <is>
          <t>2026-07-06 11:03:04</t>
        </is>
      </c>
      <c r="G874" t="inlineStr">
        <is>
          <t>图文</t>
        </is>
      </c>
      <c r="H874" t="inlineStr">
        <is>
          <t>手剥虾仁 无冰衣无添加 低脂餐一人食 上班带饭 顺丰包邮 5盒装</t>
        </is>
      </c>
      <c r="I874" t="inlineStr">
        <is>
          <t>694baba01d450d00013662f0</t>
        </is>
      </c>
      <c r="J874" t="inlineStr">
        <is>
          <t/>
        </is>
      </c>
      <c r="K874" t="n">
        <v>0.0</v>
      </c>
      <c r="L874" t="n">
        <v>0.0</v>
      </c>
      <c r="M874" t="n">
        <v>0.0</v>
      </c>
      <c r="N874" t="inlineStr">
        <is>
          <t/>
        </is>
      </c>
      <c r="O874" t="n">
        <v>0.0</v>
      </c>
      <c r="P874" t="n">
        <v>0.0</v>
      </c>
      <c r="Q874" t="inlineStr">
        <is>
          <t/>
        </is>
      </c>
      <c r="R874" t="inlineStr">
        <is>
          <t/>
        </is>
      </c>
      <c r="S874" t="n">
        <v>0.0</v>
      </c>
      <c r="T874" t="n">
        <v>0.0</v>
      </c>
      <c r="U874" t="n">
        <v>0.0</v>
      </c>
      <c r="V874" t="n">
        <v>0.0</v>
      </c>
      <c r="W874" t="inlineStr">
        <is>
          <t/>
        </is>
      </c>
      <c r="X874" t="n">
        <v>0.0</v>
      </c>
      <c r="Y874" t="n">
        <v>0.0</v>
      </c>
      <c r="Z874" t="n">
        <v>0.0</v>
      </c>
      <c r="AA874" t="n">
        <v>0.0</v>
      </c>
      <c r="AB874" t="n">
        <v>0.0</v>
      </c>
      <c r="AC874" t="n">
        <v>0.0</v>
      </c>
      <c r="AD874" t="n">
        <v>0.0</v>
      </c>
      <c r="AE874" t="n">
        <v>0.0</v>
      </c>
      <c r="AF874" t="n">
        <v>0.0</v>
      </c>
      <c r="AG874" t="n">
        <v>0.0</v>
      </c>
      <c r="AH874" t="n">
        <v>0.0</v>
      </c>
      <c r="AI874" t="n">
        <v>0.0</v>
      </c>
      <c r="AJ874" t="n">
        <v>0.0</v>
      </c>
      <c r="AK874" t="inlineStr">
        <is>
          <t/>
        </is>
      </c>
      <c r="AL874" t="inlineStr">
        <is>
          <t/>
        </is>
      </c>
    </row>
    <row r="875">
      <c r="A875" t="inlineStr">
        <is>
          <t>谁顶得住啊😭60元直接实现虾仁自由！</t>
        </is>
      </c>
      <c r="B875" t="inlineStr">
        <is>
          <t>6a4a45f30000000006030f2e</t>
        </is>
      </c>
      <c r="C875" s="874" t="n">
        <f>HYPERLINK("https://www.xiaohongshu.com/explore/6a4a45f30000000006030f2e?xsec_token=TB7YZZ7VJ5Jmt_-44GQgzs2yaNTQ2sCAgbbh3qdus5ShE=&amp;xsec_source=pc_trdark","https://www.xiaohongshu.com/explore/6a4a45f30000000006030f2e?xsec_token=TB7YZZ7VJ5Jmt_-44GQgzs2yaNTQ2sCAgbbh3qdus5ShE=&amp;xsec_source=pc_trdark")</f>
        <v>0.0</v>
      </c>
      <c r="D875" t="inlineStr">
        <is>
          <t>菲菲上班吃什么</t>
        </is>
      </c>
      <c r="E875" t="inlineStr">
        <is>
          <t>49936530607</t>
        </is>
      </c>
      <c r="F875" t="inlineStr">
        <is>
          <t>2026-07-05 19:54:27</t>
        </is>
      </c>
      <c r="G875" t="inlineStr">
        <is>
          <t>图文</t>
        </is>
      </c>
      <c r="H875" t="inlineStr">
        <is>
          <t>手剥虾仁 无冰衣无添加 低脂餐一人食 上班带饭 顺丰包邮 5盒装</t>
        </is>
      </c>
      <c r="I875" t="inlineStr">
        <is>
          <t>694baba01d450d00013662f0</t>
        </is>
      </c>
      <c r="J875" t="inlineStr">
        <is>
          <t/>
        </is>
      </c>
      <c r="K875" t="n">
        <v>0.0</v>
      </c>
      <c r="L875" t="n">
        <v>0.0</v>
      </c>
      <c r="M875" t="n">
        <v>0.0</v>
      </c>
      <c r="N875" t="inlineStr">
        <is>
          <t/>
        </is>
      </c>
      <c r="O875" t="n">
        <v>0.0</v>
      </c>
      <c r="P875" t="n">
        <v>0.0</v>
      </c>
      <c r="Q875" t="inlineStr">
        <is>
          <t/>
        </is>
      </c>
      <c r="R875" t="inlineStr">
        <is>
          <t/>
        </is>
      </c>
      <c r="S875" t="n">
        <v>0.0</v>
      </c>
      <c r="T875" t="n">
        <v>0.0</v>
      </c>
      <c r="U875" t="n">
        <v>0.0</v>
      </c>
      <c r="V875" t="n">
        <v>0.0</v>
      </c>
      <c r="W875" t="inlineStr">
        <is>
          <t/>
        </is>
      </c>
      <c r="X875" t="n">
        <v>0.0</v>
      </c>
      <c r="Y875" t="n">
        <v>0.0</v>
      </c>
      <c r="Z875" t="n">
        <v>0.0</v>
      </c>
      <c r="AA875" t="n">
        <v>0.0</v>
      </c>
      <c r="AB875" t="n">
        <v>0.0</v>
      </c>
      <c r="AC875" t="n">
        <v>0.0</v>
      </c>
      <c r="AD875" t="n">
        <v>0.0</v>
      </c>
      <c r="AE875" t="n">
        <v>0.0</v>
      </c>
      <c r="AF875" t="n">
        <v>0.0</v>
      </c>
      <c r="AG875" t="n">
        <v>0.0</v>
      </c>
      <c r="AH875" t="n">
        <v>0.0</v>
      </c>
      <c r="AI875" t="n">
        <v>0.0</v>
      </c>
      <c r="AJ875" t="n">
        <v>0.0</v>
      </c>
      <c r="AK875" t="inlineStr">
        <is>
          <t/>
        </is>
      </c>
      <c r="AL875" t="inlineStr">
        <is>
          <t/>
        </is>
      </c>
    </row>
    <row r="876">
      <c r="A876" t="inlineStr">
        <is>
          <t>69元的减脂餐，真的让我吃了一星期！！！</t>
        </is>
      </c>
      <c r="B876" t="inlineStr">
        <is>
          <t>6a4a347b000000000803d1b7</t>
        </is>
      </c>
      <c r="C876" s="875" t="n">
        <f>HYPERLINK("https://www.xiaohongshu.com/explore/6a4a347b000000000803d1b7?xsec_token=TB7YZZ7VJ5Jmt_-44GQgzs2yZ0PjjQEsVtWzeb8jc9UU4=&amp;xsec_source=pc_trdark","https://www.xiaohongshu.com/explore/6a4a347b000000000803d1b7?xsec_token=TB7YZZ7VJ5Jmt_-44GQgzs2yZ0PjjQEsVtWzeb8jc9UU4=&amp;xsec_source=pc_trdark")</f>
        <v>0.0</v>
      </c>
      <c r="D876" t="inlineStr">
        <is>
          <t>菲菲上班吃什么</t>
        </is>
      </c>
      <c r="E876" t="inlineStr">
        <is>
          <t>49936530607</t>
        </is>
      </c>
      <c r="F876" t="inlineStr">
        <is>
          <t>2026-07-05 18:39:55</t>
        </is>
      </c>
      <c r="G876" t="inlineStr">
        <is>
          <t>图文</t>
        </is>
      </c>
      <c r="H876" t="inlineStr">
        <is>
          <t>手剥虾仁 无冰衣无添加 低脂餐一人食 上班带饭 顺丰包邮 5盒装</t>
        </is>
      </c>
      <c r="I876" t="inlineStr">
        <is>
          <t>694baba01d450d00013662f0</t>
        </is>
      </c>
      <c r="J876" t="inlineStr">
        <is>
          <t/>
        </is>
      </c>
      <c r="K876" t="n">
        <v>0.0</v>
      </c>
      <c r="L876" t="n">
        <v>0.0</v>
      </c>
      <c r="M876" t="n">
        <v>0.0</v>
      </c>
      <c r="N876" t="inlineStr">
        <is>
          <t/>
        </is>
      </c>
      <c r="O876" t="n">
        <v>0.0</v>
      </c>
      <c r="P876" t="n">
        <v>0.0</v>
      </c>
      <c r="Q876" t="inlineStr">
        <is>
          <t/>
        </is>
      </c>
      <c r="R876" t="inlineStr">
        <is>
          <t/>
        </is>
      </c>
      <c r="S876" t="n">
        <v>0.0</v>
      </c>
      <c r="T876" t="n">
        <v>0.0</v>
      </c>
      <c r="U876" t="n">
        <v>0.0</v>
      </c>
      <c r="V876" t="n">
        <v>0.0</v>
      </c>
      <c r="W876" t="inlineStr">
        <is>
          <t/>
        </is>
      </c>
      <c r="X876" t="n">
        <v>0.0</v>
      </c>
      <c r="Y876" t="n">
        <v>0.0</v>
      </c>
      <c r="Z876" t="n">
        <v>0.0</v>
      </c>
      <c r="AA876" t="n">
        <v>0.0</v>
      </c>
      <c r="AB876" t="n">
        <v>0.0</v>
      </c>
      <c r="AC876" t="n">
        <v>0.0</v>
      </c>
      <c r="AD876" t="n">
        <v>0.0</v>
      </c>
      <c r="AE876" t="n">
        <v>0.0</v>
      </c>
      <c r="AF876" t="n">
        <v>0.0</v>
      </c>
      <c r="AG876" t="n">
        <v>0.0</v>
      </c>
      <c r="AH876" t="n">
        <v>0.0</v>
      </c>
      <c r="AI876" t="n">
        <v>0.0</v>
      </c>
      <c r="AJ876" t="n">
        <v>0.0</v>
      </c>
      <c r="AK876" t="inlineStr">
        <is>
          <t/>
        </is>
      </c>
      <c r="AL876" t="inlineStr">
        <is>
          <t/>
        </is>
      </c>
    </row>
    <row r="877">
      <c r="A877" t="inlineStr">
        <is>
          <t>果然是邪修减脂餐，独居一顿一盒很方便！！！</t>
        </is>
      </c>
      <c r="B877" t="inlineStr">
        <is>
          <t>6a49f67e0000000011012ac3</t>
        </is>
      </c>
      <c r="C877" s="876" t="n">
        <f>HYPERLINK("https://www.xiaohongshu.com/explore/6a49f67e0000000011012ac3?xsec_token=TBdy3WzTYpUaCubN7g4FIBO03O2ywlPdLzrXX8OQFLIXI=&amp;xsec_source=pc_trdark","https://www.xiaohongshu.com/explore/6a49f67e0000000011012ac3?xsec_token=TBdy3WzTYpUaCubN7g4FIBO03O2ywlPdLzrXX8OQFLIXI=&amp;xsec_source=pc_trdark")</f>
        <v>0.0</v>
      </c>
      <c r="D877" t="inlineStr">
        <is>
          <t>鲜水湾甄选</t>
        </is>
      </c>
      <c r="E877" t="inlineStr">
        <is>
          <t>27401929161</t>
        </is>
      </c>
      <c r="F877" t="inlineStr">
        <is>
          <t>2026-07-05 14:15:26</t>
        </is>
      </c>
      <c r="G877" t="inlineStr">
        <is>
          <t>图文</t>
        </is>
      </c>
      <c r="H877" t="inlineStr">
        <is>
          <t>手剥虾仁 无冰衣无添加 低脂餐一人食 上班带饭 顺丰包邮 5盒装</t>
        </is>
      </c>
      <c r="I877" t="inlineStr">
        <is>
          <t>694baba01d450d00013662f0</t>
        </is>
      </c>
      <c r="J877" t="inlineStr">
        <is>
          <t/>
        </is>
      </c>
      <c r="K877" t="n">
        <v>0.0</v>
      </c>
      <c r="L877" t="n">
        <v>0.0</v>
      </c>
      <c r="M877" t="n">
        <v>0.0</v>
      </c>
      <c r="N877" t="inlineStr">
        <is>
          <t/>
        </is>
      </c>
      <c r="O877" t="n">
        <v>0.0</v>
      </c>
      <c r="P877" t="n">
        <v>0.0</v>
      </c>
      <c r="Q877" t="inlineStr">
        <is>
          <t/>
        </is>
      </c>
      <c r="R877" t="inlineStr">
        <is>
          <t/>
        </is>
      </c>
      <c r="S877" t="n">
        <v>0.0</v>
      </c>
      <c r="T877" t="n">
        <v>0.0</v>
      </c>
      <c r="U877" t="n">
        <v>0.0</v>
      </c>
      <c r="V877" t="n">
        <v>0.0</v>
      </c>
      <c r="W877" t="inlineStr">
        <is>
          <t/>
        </is>
      </c>
      <c r="X877" t="n">
        <v>0.0</v>
      </c>
      <c r="Y877" t="n">
        <v>0.0</v>
      </c>
      <c r="Z877" t="n">
        <v>0.0</v>
      </c>
      <c r="AA877" t="n">
        <v>0.0</v>
      </c>
      <c r="AB877" t="n">
        <v>0.0</v>
      </c>
      <c r="AC877" t="n">
        <v>0.0</v>
      </c>
      <c r="AD877" t="n">
        <v>0.0</v>
      </c>
      <c r="AE877" t="n">
        <v>0.0</v>
      </c>
      <c r="AF877" t="n">
        <v>0.0</v>
      </c>
      <c r="AG877" t="n">
        <v>0.0</v>
      </c>
      <c r="AH877" t="n">
        <v>0.0</v>
      </c>
      <c r="AI877" t="n">
        <v>0.0</v>
      </c>
      <c r="AJ877" t="n">
        <v>0.0</v>
      </c>
      <c r="AK877" t="inlineStr">
        <is>
          <t/>
        </is>
      </c>
      <c r="AL877" t="inlineStr">
        <is>
          <t/>
        </is>
      </c>
    </row>
    <row r="878">
      <c r="A878" t="inlineStr">
        <is>
          <t>真听劝，推出不到100卡一人食小包装</t>
        </is>
      </c>
      <c r="B878" t="inlineStr">
        <is>
          <t>6a49f2bf00000000070295bf</t>
        </is>
      </c>
      <c r="C878" s="877" t="n">
        <f>HYPERLINK("https://www.xiaohongshu.com/explore/6a49f2bf00000000070295bf?xsec_token=TBdy3WzTYpUaCubN7g4FIBOxNP5CuL50EcpHcsCK6VQ1g=&amp;xsec_source=pc_trdark","https://www.xiaohongshu.com/explore/6a49f2bf00000000070295bf?xsec_token=TBdy3WzTYpUaCubN7g4FIBOxNP5CuL50EcpHcsCK6VQ1g=&amp;xsec_source=pc_trdark")</f>
        <v>0.0</v>
      </c>
      <c r="D878" t="inlineStr">
        <is>
          <t>菲菲上班吃什么</t>
        </is>
      </c>
      <c r="E878" t="inlineStr">
        <is>
          <t>49936530607</t>
        </is>
      </c>
      <c r="F878" t="inlineStr">
        <is>
          <t>2026-07-05 13:59:27</t>
        </is>
      </c>
      <c r="G878" t="inlineStr">
        <is>
          <t>图文</t>
        </is>
      </c>
      <c r="H878" t="inlineStr">
        <is>
          <t>手剥虾仁 无冰衣无添加 低脂餐一人食 上班带饭 顺丰包邮 5盒装</t>
        </is>
      </c>
      <c r="I878" t="inlineStr">
        <is>
          <t>694baba01d450d00013662f0</t>
        </is>
      </c>
      <c r="J878" t="inlineStr">
        <is>
          <t/>
        </is>
      </c>
      <c r="K878" t="n">
        <v>0.0</v>
      </c>
      <c r="L878" t="n">
        <v>0.0</v>
      </c>
      <c r="M878" t="n">
        <v>0.0</v>
      </c>
      <c r="N878" t="inlineStr">
        <is>
          <t/>
        </is>
      </c>
      <c r="O878" t="n">
        <v>0.0</v>
      </c>
      <c r="P878" t="n">
        <v>0.0</v>
      </c>
      <c r="Q878" t="inlineStr">
        <is>
          <t/>
        </is>
      </c>
      <c r="R878" t="inlineStr">
        <is>
          <t/>
        </is>
      </c>
      <c r="S878" t="n">
        <v>0.0</v>
      </c>
      <c r="T878" t="n">
        <v>0.0</v>
      </c>
      <c r="U878" t="n">
        <v>0.0</v>
      </c>
      <c r="V878" t="n">
        <v>0.0</v>
      </c>
      <c r="W878" t="inlineStr">
        <is>
          <t/>
        </is>
      </c>
      <c r="X878" t="n">
        <v>0.0</v>
      </c>
      <c r="Y878" t="n">
        <v>0.0</v>
      </c>
      <c r="Z878" t="n">
        <v>0.0</v>
      </c>
      <c r="AA878" t="n">
        <v>0.0</v>
      </c>
      <c r="AB878" t="n">
        <v>0.0</v>
      </c>
      <c r="AC878" t="n">
        <v>0.0</v>
      </c>
      <c r="AD878" t="n">
        <v>0.0</v>
      </c>
      <c r="AE878" t="n">
        <v>0.0</v>
      </c>
      <c r="AF878" t="n">
        <v>0.0</v>
      </c>
      <c r="AG878" t="n">
        <v>0.0</v>
      </c>
      <c r="AH878" t="n">
        <v>0.0</v>
      </c>
      <c r="AI878" t="n">
        <v>0.0</v>
      </c>
      <c r="AJ878" t="n">
        <v>0.0</v>
      </c>
      <c r="AK878" t="inlineStr">
        <is>
          <t/>
        </is>
      </c>
      <c r="AL878" t="inlineStr">
        <is>
          <t/>
        </is>
      </c>
    </row>
    <row r="879">
      <c r="A879" t="inlineStr">
        <is>
          <t>早八打工人，一餐一包虾仁搞定减脂餐！！！</t>
        </is>
      </c>
      <c r="B879" t="inlineStr">
        <is>
          <t>6a49b90d0000000008026942</t>
        </is>
      </c>
      <c r="C879" s="878" t="n">
        <f>HYPERLINK("https://www.xiaohongshu.com/explore/6a49b90d0000000008026942?xsec_token=TBdy3WzTYpUaCubN7g4FIBO67sqQdwvlM8YgsY46P4Q9k=&amp;xsec_source=pc_trdark","https://www.xiaohongshu.com/explore/6a49b90d0000000008026942?xsec_token=TBdy3WzTYpUaCubN7g4FIBO67sqQdwvlM8YgsY46P4Q9k=&amp;xsec_source=pc_trdark")</f>
        <v>0.0</v>
      </c>
      <c r="D879" t="inlineStr">
        <is>
          <t>菲菲上班吃什么</t>
        </is>
      </c>
      <c r="E879" t="inlineStr">
        <is>
          <t>49936530607</t>
        </is>
      </c>
      <c r="F879" t="inlineStr">
        <is>
          <t>2026-07-05 09:53:17</t>
        </is>
      </c>
      <c r="G879" t="inlineStr">
        <is>
          <t>图文</t>
        </is>
      </c>
      <c r="H879" t="inlineStr">
        <is>
          <t>手剥虾仁 无冰衣无添加 低脂餐一人食 上班带饭 顺丰包邮 5盒装</t>
        </is>
      </c>
      <c r="I879" t="inlineStr">
        <is>
          <t>694baba01d450d00013662f0</t>
        </is>
      </c>
      <c r="J879" t="inlineStr">
        <is>
          <t/>
        </is>
      </c>
      <c r="K879" t="n">
        <v>0.0</v>
      </c>
      <c r="L879" t="n">
        <v>0.0</v>
      </c>
      <c r="M879" t="n">
        <v>0.0</v>
      </c>
      <c r="N879" t="inlineStr">
        <is>
          <t/>
        </is>
      </c>
      <c r="O879" t="n">
        <v>0.0</v>
      </c>
      <c r="P879" t="n">
        <v>0.0</v>
      </c>
      <c r="Q879" t="inlineStr">
        <is>
          <t/>
        </is>
      </c>
      <c r="R879" t="inlineStr">
        <is>
          <t/>
        </is>
      </c>
      <c r="S879" t="n">
        <v>0.0</v>
      </c>
      <c r="T879" t="n">
        <v>0.0</v>
      </c>
      <c r="U879" t="n">
        <v>0.0</v>
      </c>
      <c r="V879" t="n">
        <v>0.0</v>
      </c>
      <c r="W879" t="inlineStr">
        <is>
          <t/>
        </is>
      </c>
      <c r="X879" t="n">
        <v>0.0</v>
      </c>
      <c r="Y879" t="n">
        <v>0.0</v>
      </c>
      <c r="Z879" t="n">
        <v>0.0</v>
      </c>
      <c r="AA879" t="n">
        <v>0.0</v>
      </c>
      <c r="AB879" t="n">
        <v>0.0</v>
      </c>
      <c r="AC879" t="n">
        <v>0.0</v>
      </c>
      <c r="AD879" t="n">
        <v>0.0</v>
      </c>
      <c r="AE879" t="n">
        <v>0.0</v>
      </c>
      <c r="AF879" t="n">
        <v>0.0</v>
      </c>
      <c r="AG879" t="n">
        <v>0.0</v>
      </c>
      <c r="AH879" t="n">
        <v>0.0</v>
      </c>
      <c r="AI879" t="n">
        <v>0.0</v>
      </c>
      <c r="AJ879" t="n">
        <v>0.0</v>
      </c>
      <c r="AK879" t="inlineStr">
        <is>
          <t/>
        </is>
      </c>
      <c r="AL879" t="inlineStr">
        <is>
          <t/>
        </is>
      </c>
    </row>
    <row r="880">
      <c r="A880" t="inlineStr">
        <is>
          <t>同事问我：你天天吃独立小包装虾仁，工资多少</t>
        </is>
      </c>
      <c r="B880" t="inlineStr">
        <is>
          <t>6a48f8ad00000000070240bc</t>
        </is>
      </c>
      <c r="C880" s="879" t="n">
        <f>HYPERLINK("https://www.xiaohongshu.com/explore/6a48f8ad00000000070240bc?xsec_token=TBXcQ3yr16tRF4vODUHcKAuYqNvoS-THN2-P_EVq1e4ro=&amp;xsec_source=pc_trdark","https://www.xiaohongshu.com/explore/6a48f8ad00000000070240bc?xsec_token=TBXcQ3yr16tRF4vODUHcKAuYqNvoS-THN2-P_EVq1e4ro=&amp;xsec_source=pc_trdark")</f>
        <v>0.0</v>
      </c>
      <c r="D880" t="inlineStr">
        <is>
          <t>菲菲上班吃什么</t>
        </is>
      </c>
      <c r="E880" t="inlineStr">
        <is>
          <t>49936530607</t>
        </is>
      </c>
      <c r="F880" t="inlineStr">
        <is>
          <t>2026-07-04 20:12:29</t>
        </is>
      </c>
      <c r="G880" t="inlineStr">
        <is>
          <t>图文</t>
        </is>
      </c>
      <c r="H880" t="inlineStr">
        <is>
          <t>手剥虾仁 无冰衣无添加 低脂餐一人食 上班带饭 顺丰包邮 5盒装</t>
        </is>
      </c>
      <c r="I880" t="inlineStr">
        <is>
          <t>694baba01d450d00013662f0</t>
        </is>
      </c>
      <c r="J880" t="inlineStr">
        <is>
          <t/>
        </is>
      </c>
      <c r="K880" t="n">
        <v>0.0</v>
      </c>
      <c r="L880" t="n">
        <v>0.0</v>
      </c>
      <c r="M880" t="n">
        <v>0.0</v>
      </c>
      <c r="N880" t="inlineStr">
        <is>
          <t/>
        </is>
      </c>
      <c r="O880" t="n">
        <v>0.0</v>
      </c>
      <c r="P880" t="n">
        <v>0.0</v>
      </c>
      <c r="Q880" t="inlineStr">
        <is>
          <t/>
        </is>
      </c>
      <c r="R880" t="inlineStr">
        <is>
          <t/>
        </is>
      </c>
      <c r="S880" t="n">
        <v>0.0</v>
      </c>
      <c r="T880" t="n">
        <v>0.0</v>
      </c>
      <c r="U880" t="n">
        <v>0.0</v>
      </c>
      <c r="V880" t="n">
        <v>0.0</v>
      </c>
      <c r="W880" t="inlineStr">
        <is>
          <t/>
        </is>
      </c>
      <c r="X880" t="n">
        <v>0.0</v>
      </c>
      <c r="Y880" t="n">
        <v>0.0</v>
      </c>
      <c r="Z880" t="n">
        <v>0.0</v>
      </c>
      <c r="AA880" t="n">
        <v>0.0</v>
      </c>
      <c r="AB880" t="n">
        <v>0.0</v>
      </c>
      <c r="AC880" t="n">
        <v>0.0</v>
      </c>
      <c r="AD880" t="n">
        <v>0.0</v>
      </c>
      <c r="AE880" t="n">
        <v>0.0</v>
      </c>
      <c r="AF880" t="n">
        <v>0.0</v>
      </c>
      <c r="AG880" t="n">
        <v>0.0</v>
      </c>
      <c r="AH880" t="n">
        <v>0.0</v>
      </c>
      <c r="AI880" t="n">
        <v>0.0</v>
      </c>
      <c r="AJ880" t="n">
        <v>0.0</v>
      </c>
      <c r="AK880" t="inlineStr">
        <is>
          <t/>
        </is>
      </c>
      <c r="AL880" t="inlineStr">
        <is>
          <t/>
        </is>
      </c>
    </row>
    <row r="881">
      <c r="A881" t="inlineStr">
        <is>
          <t>听劝，推出为早八人设计的独立小包装 ！！！</t>
        </is>
      </c>
      <c r="B881" t="inlineStr">
        <is>
          <t>6a48e750000000002100a6b6</t>
        </is>
      </c>
      <c r="C881" s="880" t="n">
        <f>HYPERLINK("https://www.xiaohongshu.com/explore/6a48e750000000002100a6b6?xsec_token=TBXcQ3yr16tRF4vODUHcKAuf1zxjRIjCnVTfOJjnAvxkw=&amp;xsec_source=pc_trdark","https://www.xiaohongshu.com/explore/6a48e750000000002100a6b6?xsec_token=TBXcQ3yr16tRF4vODUHcKAuf1zxjRIjCnVTfOJjnAvxkw=&amp;xsec_source=pc_trdark")</f>
        <v>0.0</v>
      </c>
      <c r="D881" t="inlineStr">
        <is>
          <t>菲菲上班吃什么</t>
        </is>
      </c>
      <c r="E881" t="inlineStr">
        <is>
          <t>49936530607</t>
        </is>
      </c>
      <c r="F881" t="inlineStr">
        <is>
          <t>2026-07-04 18:58:24</t>
        </is>
      </c>
      <c r="G881" t="inlineStr">
        <is>
          <t>图文</t>
        </is>
      </c>
      <c r="H881" t="inlineStr">
        <is>
          <t>手剥虾仁 无冰衣无添加 低脂餐一人食 上班带饭 顺丰包邮 5盒装</t>
        </is>
      </c>
      <c r="I881" t="inlineStr">
        <is>
          <t>694baba01d450d00013662f0</t>
        </is>
      </c>
      <c r="J881" t="inlineStr">
        <is>
          <t/>
        </is>
      </c>
      <c r="K881" t="n">
        <v>0.0</v>
      </c>
      <c r="L881" t="n">
        <v>0.0</v>
      </c>
      <c r="M881" t="n">
        <v>0.0</v>
      </c>
      <c r="N881" t="inlineStr">
        <is>
          <t/>
        </is>
      </c>
      <c r="O881" t="n">
        <v>0.0</v>
      </c>
      <c r="P881" t="n">
        <v>0.0</v>
      </c>
      <c r="Q881" t="inlineStr">
        <is>
          <t/>
        </is>
      </c>
      <c r="R881" t="inlineStr">
        <is>
          <t/>
        </is>
      </c>
      <c r="S881" t="n">
        <v>0.0</v>
      </c>
      <c r="T881" t="n">
        <v>0.0</v>
      </c>
      <c r="U881" t="n">
        <v>0.0</v>
      </c>
      <c r="V881" t="n">
        <v>0.0</v>
      </c>
      <c r="W881" t="inlineStr">
        <is>
          <t/>
        </is>
      </c>
      <c r="X881" t="n">
        <v>0.0</v>
      </c>
      <c r="Y881" t="n">
        <v>0.0</v>
      </c>
      <c r="Z881" t="n">
        <v>0.0</v>
      </c>
      <c r="AA881" t="n">
        <v>0.0</v>
      </c>
      <c r="AB881" t="n">
        <v>0.0</v>
      </c>
      <c r="AC881" t="n">
        <v>0.0</v>
      </c>
      <c r="AD881" t="n">
        <v>0.0</v>
      </c>
      <c r="AE881" t="n">
        <v>0.0</v>
      </c>
      <c r="AF881" t="n">
        <v>0.0</v>
      </c>
      <c r="AG881" t="n">
        <v>0.0</v>
      </c>
      <c r="AH881" t="n">
        <v>0.0</v>
      </c>
      <c r="AI881" t="n">
        <v>0.0</v>
      </c>
      <c r="AJ881" t="n">
        <v>0.0</v>
      </c>
      <c r="AK881" t="inlineStr">
        <is>
          <t/>
        </is>
      </c>
      <c r="AL881" t="inlineStr">
        <is>
          <t/>
        </is>
      </c>
    </row>
    <row r="882">
      <c r="A882" t="inlineStr">
        <is>
          <t>独居人减脂餐，一餐一包虾仁搞定减脂餐</t>
        </is>
      </c>
      <c r="B882" t="inlineStr">
        <is>
          <t>6a48cba10000000021008632</t>
        </is>
      </c>
      <c r="C882" s="881" t="n">
        <f>HYPERLINK("https://www.xiaohongshu.com/explore/6a48cba10000000021008632?xsec_token=TBXcQ3yr16tRF4vODUHcKAuVvFRdG6D_LuaBlOe4uLpXo=&amp;xsec_source=pc_trdark","https://www.xiaohongshu.com/explore/6a48cba10000000021008632?xsec_token=TBXcQ3yr16tRF4vODUHcKAuVvFRdG6D_LuaBlOe4uLpXo=&amp;xsec_source=pc_trdark")</f>
        <v>0.0</v>
      </c>
      <c r="D882" t="inlineStr">
        <is>
          <t>菲菲上班吃什么</t>
        </is>
      </c>
      <c r="E882" t="inlineStr">
        <is>
          <t>49936530607</t>
        </is>
      </c>
      <c r="F882" t="inlineStr">
        <is>
          <t>2026-07-04 17:00:17</t>
        </is>
      </c>
      <c r="G882" t="inlineStr">
        <is>
          <t>图文</t>
        </is>
      </c>
      <c r="H882" t="inlineStr">
        <is>
          <t>手剥虾仁 无冰衣无添加 低脂餐一人食 上班带饭 顺丰包邮 5盒装</t>
        </is>
      </c>
      <c r="I882" t="inlineStr">
        <is>
          <t>694baba01d450d00013662f0</t>
        </is>
      </c>
      <c r="J882" t="inlineStr">
        <is>
          <t/>
        </is>
      </c>
      <c r="K882" t="n">
        <v>0.0</v>
      </c>
      <c r="L882" t="n">
        <v>0.0</v>
      </c>
      <c r="M882" t="n">
        <v>0.0</v>
      </c>
      <c r="N882" t="inlineStr">
        <is>
          <t/>
        </is>
      </c>
      <c r="O882" t="n">
        <v>0.0</v>
      </c>
      <c r="P882" t="n">
        <v>0.0</v>
      </c>
      <c r="Q882" t="inlineStr">
        <is>
          <t/>
        </is>
      </c>
      <c r="R882" t="inlineStr">
        <is>
          <t/>
        </is>
      </c>
      <c r="S882" t="n">
        <v>0.0</v>
      </c>
      <c r="T882" t="n">
        <v>0.0</v>
      </c>
      <c r="U882" t="n">
        <v>0.0</v>
      </c>
      <c r="V882" t="n">
        <v>0.0</v>
      </c>
      <c r="W882" t="inlineStr">
        <is>
          <t/>
        </is>
      </c>
      <c r="X882" t="n">
        <v>0.0</v>
      </c>
      <c r="Y882" t="n">
        <v>0.0</v>
      </c>
      <c r="Z882" t="n">
        <v>0.0</v>
      </c>
      <c r="AA882" t="n">
        <v>0.0</v>
      </c>
      <c r="AB882" t="n">
        <v>0.0</v>
      </c>
      <c r="AC882" t="n">
        <v>0.0</v>
      </c>
      <c r="AD882" t="n">
        <v>0.0</v>
      </c>
      <c r="AE882" t="n">
        <v>0.0</v>
      </c>
      <c r="AF882" t="n">
        <v>0.0</v>
      </c>
      <c r="AG882" t="n">
        <v>0.0</v>
      </c>
      <c r="AH882" t="n">
        <v>0.0</v>
      </c>
      <c r="AI882" t="n">
        <v>0.0</v>
      </c>
      <c r="AJ882" t="n">
        <v>0.0</v>
      </c>
      <c r="AK882" t="inlineStr">
        <is>
          <t/>
        </is>
      </c>
      <c r="AL882" t="inlineStr">
        <is>
          <t/>
        </is>
      </c>
    </row>
    <row r="883">
      <c r="A883" t="inlineStr">
        <is>
          <t>早八打工人，饭盒一包虾仁搞定减脂餐</t>
        </is>
      </c>
      <c r="B883" t="inlineStr">
        <is>
          <t>6a47bd510000000007022f52</t>
        </is>
      </c>
      <c r="C883" s="882" t="n">
        <f>HYPERLINK("https://www.xiaohongshu.com/explore/6a47bd510000000007022f52?xsec_token=TBfioABv3EUaNcb0n3V9sKZiy0Spvy-covsXSVBzo3X-c=&amp;xsec_source=pc_trdark","https://www.xiaohongshu.com/explore/6a47bd510000000007022f52?xsec_token=TBfioABv3EUaNcb0n3V9sKZiy0Spvy-covsXSVBzo3X-c=&amp;xsec_source=pc_trdark")</f>
        <v>0.0</v>
      </c>
      <c r="D883" t="inlineStr">
        <is>
          <t>菲菲上班吃什么</t>
        </is>
      </c>
      <c r="E883" t="inlineStr">
        <is>
          <t>49936530607</t>
        </is>
      </c>
      <c r="F883" t="inlineStr">
        <is>
          <t>2026-07-03 21:46:57</t>
        </is>
      </c>
      <c r="G883" t="inlineStr">
        <is>
          <t>图文</t>
        </is>
      </c>
      <c r="H883" t="inlineStr">
        <is>
          <t>手剥虾仁 无冰衣无添加 低脂餐一人食 上班带饭 顺丰包邮 5盒装</t>
        </is>
      </c>
      <c r="I883" t="inlineStr">
        <is>
          <t>694baba01d450d00013662f0</t>
        </is>
      </c>
      <c r="J883" t="inlineStr">
        <is>
          <t/>
        </is>
      </c>
      <c r="K883" t="n">
        <v>0.0</v>
      </c>
      <c r="L883" t="n">
        <v>0.0</v>
      </c>
      <c r="M883" t="n">
        <v>0.0</v>
      </c>
      <c r="N883" t="inlineStr">
        <is>
          <t/>
        </is>
      </c>
      <c r="O883" t="n">
        <v>0.0</v>
      </c>
      <c r="P883" t="n">
        <v>0.0</v>
      </c>
      <c r="Q883" t="inlineStr">
        <is>
          <t/>
        </is>
      </c>
      <c r="R883" t="inlineStr">
        <is>
          <t/>
        </is>
      </c>
      <c r="S883" t="n">
        <v>0.0</v>
      </c>
      <c r="T883" t="n">
        <v>0.0</v>
      </c>
      <c r="U883" t="n">
        <v>0.0</v>
      </c>
      <c r="V883" t="n">
        <v>0.0</v>
      </c>
      <c r="W883" t="inlineStr">
        <is>
          <t/>
        </is>
      </c>
      <c r="X883" t="n">
        <v>0.0</v>
      </c>
      <c r="Y883" t="n">
        <v>0.0</v>
      </c>
      <c r="Z883" t="n">
        <v>0.0</v>
      </c>
      <c r="AA883" t="n">
        <v>0.0</v>
      </c>
      <c r="AB883" t="n">
        <v>0.0</v>
      </c>
      <c r="AC883" t="n">
        <v>0.0</v>
      </c>
      <c r="AD883" t="n">
        <v>0.0</v>
      </c>
      <c r="AE883" t="n">
        <v>0.0</v>
      </c>
      <c r="AF883" t="n">
        <v>0.0</v>
      </c>
      <c r="AG883" t="n">
        <v>0.0</v>
      </c>
      <c r="AH883" t="n">
        <v>0.0</v>
      </c>
      <c r="AI883" t="n">
        <v>0.0</v>
      </c>
      <c r="AJ883" t="n">
        <v>0.0</v>
      </c>
      <c r="AK883" t="inlineStr">
        <is>
          <t/>
        </is>
      </c>
      <c r="AL883" t="inlineStr">
        <is>
          <t/>
        </is>
      </c>
    </row>
    <row r="884">
      <c r="A884" t="inlineStr">
        <is>
          <t>健身3年建议：减脂期虾仁不要随便买！！！</t>
        </is>
      </c>
      <c r="B884" t="inlineStr">
        <is>
          <t>6a479fca0000000021014065</t>
        </is>
      </c>
      <c r="C884" s="883" t="n">
        <f>HYPERLINK("https://www.xiaohongshu.com/explore/6a479fca0000000021014065?xsec_token=TBfioABv3EUaNcb0n3V9sKZh87HCLMZpTimTOBYXZxF3c=&amp;xsec_source=pc_trdark","https://www.xiaohongshu.com/explore/6a479fca0000000021014065?xsec_token=TBfioABv3EUaNcb0n3V9sKZh87HCLMZpTimTOBYXZxF3c=&amp;xsec_source=pc_trdark")</f>
        <v>0.0</v>
      </c>
      <c r="D884" t="inlineStr">
        <is>
          <t>菲菲上班吃什么</t>
        </is>
      </c>
      <c r="E884" t="inlineStr">
        <is>
          <t>49936530607</t>
        </is>
      </c>
      <c r="F884" t="inlineStr">
        <is>
          <t>2026-07-03 19:40:58</t>
        </is>
      </c>
      <c r="G884" t="inlineStr">
        <is>
          <t>图文</t>
        </is>
      </c>
      <c r="H884" t="inlineStr">
        <is>
          <t>手剥虾仁 无冰衣无添加 低脂餐一人食 上班带饭 顺丰包邮 5盒装</t>
        </is>
      </c>
      <c r="I884" t="inlineStr">
        <is>
          <t>694baba01d450d00013662f0</t>
        </is>
      </c>
      <c r="J884" t="inlineStr">
        <is>
          <t/>
        </is>
      </c>
      <c r="K884" t="n">
        <v>0.0</v>
      </c>
      <c r="L884" t="n">
        <v>0.0</v>
      </c>
      <c r="M884" t="n">
        <v>0.0</v>
      </c>
      <c r="N884" t="inlineStr">
        <is>
          <t/>
        </is>
      </c>
      <c r="O884" t="n">
        <v>0.0</v>
      </c>
      <c r="P884" t="n">
        <v>0.0</v>
      </c>
      <c r="Q884" t="inlineStr">
        <is>
          <t/>
        </is>
      </c>
      <c r="R884" t="inlineStr">
        <is>
          <t/>
        </is>
      </c>
      <c r="S884" t="n">
        <v>0.0</v>
      </c>
      <c r="T884" t="n">
        <v>0.0</v>
      </c>
      <c r="U884" t="n">
        <v>0.0</v>
      </c>
      <c r="V884" t="n">
        <v>0.0</v>
      </c>
      <c r="W884" t="inlineStr">
        <is>
          <t/>
        </is>
      </c>
      <c r="X884" t="n">
        <v>0.0</v>
      </c>
      <c r="Y884" t="n">
        <v>0.0</v>
      </c>
      <c r="Z884" t="n">
        <v>0.0</v>
      </c>
      <c r="AA884" t="n">
        <v>0.0</v>
      </c>
      <c r="AB884" t="n">
        <v>0.0</v>
      </c>
      <c r="AC884" t="n">
        <v>0.0</v>
      </c>
      <c r="AD884" t="n">
        <v>0.0</v>
      </c>
      <c r="AE884" t="n">
        <v>0.0</v>
      </c>
      <c r="AF884" t="n">
        <v>0.0</v>
      </c>
      <c r="AG884" t="n">
        <v>0.0</v>
      </c>
      <c r="AH884" t="n">
        <v>0.0</v>
      </c>
      <c r="AI884" t="n">
        <v>0.0</v>
      </c>
      <c r="AJ884" t="n">
        <v>0.0</v>
      </c>
      <c r="AK884" t="inlineStr">
        <is>
          <t/>
        </is>
      </c>
      <c r="AL884" t="inlineStr">
        <is>
          <t/>
        </is>
      </c>
    </row>
    <row r="885">
      <c r="A885" t="inlineStr">
        <is>
          <t>69吃一周减脂虾仁吗？那确实很爽了</t>
        </is>
      </c>
      <c r="B885" t="inlineStr">
        <is>
          <t>6a47839a000000002103e47e</t>
        </is>
      </c>
      <c r="C885" s="884" t="n">
        <f>HYPERLINK("https://www.xiaohongshu.com/explore/6a47839a000000002103e47e?xsec_token=TBfioABv3EUaNcb0n3V9sKZhd7VS-xacF4b7UhPceF6qQ=&amp;xsec_source=pc_trdark","https://www.xiaohongshu.com/explore/6a47839a000000002103e47e?xsec_token=TBfioABv3EUaNcb0n3V9sKZhd7VS-xacF4b7UhPceF6qQ=&amp;xsec_source=pc_trdark")</f>
        <v>0.0</v>
      </c>
      <c r="D885" t="inlineStr">
        <is>
          <t>婉婉上班吃什么</t>
        </is>
      </c>
      <c r="E885" t="inlineStr">
        <is>
          <t>11434449706</t>
        </is>
      </c>
      <c r="F885" t="inlineStr">
        <is>
          <t>2026-07-03 17:40:42</t>
        </is>
      </c>
      <c r="G885" t="inlineStr">
        <is>
          <t>图文</t>
        </is>
      </c>
      <c r="H885" t="inlineStr">
        <is>
          <t>手剥虾仁 无冰衣无添加 低脂餐一人食 上班带饭 顺丰包邮 5盒装</t>
        </is>
      </c>
      <c r="I885" t="inlineStr">
        <is>
          <t>694baba01d450d00013662f0</t>
        </is>
      </c>
      <c r="J885" t="inlineStr">
        <is>
          <t/>
        </is>
      </c>
      <c r="K885" t="n">
        <v>0.0</v>
      </c>
      <c r="L885" t="n">
        <v>0.0</v>
      </c>
      <c r="M885" t="n">
        <v>0.0</v>
      </c>
      <c r="N885" t="inlineStr">
        <is>
          <t/>
        </is>
      </c>
      <c r="O885" t="n">
        <v>0.0</v>
      </c>
      <c r="P885" t="n">
        <v>0.0</v>
      </c>
      <c r="Q885" t="inlineStr">
        <is>
          <t/>
        </is>
      </c>
      <c r="R885" t="inlineStr">
        <is>
          <t/>
        </is>
      </c>
      <c r="S885" t="n">
        <v>0.0</v>
      </c>
      <c r="T885" t="n">
        <v>0.0</v>
      </c>
      <c r="U885" t="n">
        <v>0.0</v>
      </c>
      <c r="V885" t="n">
        <v>0.0</v>
      </c>
      <c r="W885" t="inlineStr">
        <is>
          <t/>
        </is>
      </c>
      <c r="X885" t="n">
        <v>0.0</v>
      </c>
      <c r="Y885" t="n">
        <v>0.0</v>
      </c>
      <c r="Z885" t="n">
        <v>0.0</v>
      </c>
      <c r="AA885" t="n">
        <v>0.0</v>
      </c>
      <c r="AB885" t="n">
        <v>0.0</v>
      </c>
      <c r="AC885" t="n">
        <v>0.0</v>
      </c>
      <c r="AD885" t="n">
        <v>0.0</v>
      </c>
      <c r="AE885" t="n">
        <v>0.0</v>
      </c>
      <c r="AF885" t="n">
        <v>0.0</v>
      </c>
      <c r="AG885" t="n">
        <v>0.0</v>
      </c>
      <c r="AH885" t="n">
        <v>0.0</v>
      </c>
      <c r="AI885" t="n">
        <v>0.0</v>
      </c>
      <c r="AJ885" t="n">
        <v>0.0</v>
      </c>
      <c r="AK885" t="inlineStr">
        <is>
          <t/>
        </is>
      </c>
      <c r="AL885" t="inlineStr">
        <is>
          <t/>
        </is>
      </c>
    </row>
    <row r="886">
      <c r="A886" t="inlineStr">
        <is>
          <t>减脂期吃的最频繁的就是一餐一包的虾仁了</t>
        </is>
      </c>
      <c r="B886" t="inlineStr">
        <is>
          <t>6a4771ca000000001102eb13</t>
        </is>
      </c>
      <c r="C886" s="885" t="n">
        <f>HYPERLINK("https://www.xiaohongshu.com/explore/6a4771ca000000001102eb13?xsec_token=TBfioABv3EUaNcb0n3V9sKZu6H2SZUX0CzoTmSPsTbzjA=&amp;xsec_source=pc_trdark","https://www.xiaohongshu.com/explore/6a4771ca000000001102eb13?xsec_token=TBfioABv3EUaNcb0n3V9sKZu6H2SZUX0CzoTmSPsTbzjA=&amp;xsec_source=pc_trdark")</f>
        <v>0.0</v>
      </c>
      <c r="D886" t="inlineStr">
        <is>
          <t>鲜水湾甄选</t>
        </is>
      </c>
      <c r="E886" t="inlineStr">
        <is>
          <t>27401929161</t>
        </is>
      </c>
      <c r="F886" t="inlineStr">
        <is>
          <t>2026-07-03 16:24:42</t>
        </is>
      </c>
      <c r="G886" t="inlineStr">
        <is>
          <t>图文</t>
        </is>
      </c>
      <c r="H886" t="inlineStr">
        <is>
          <t>手剥虾仁 无冰衣无添加 低脂餐一人食 上班带饭 顺丰包邮 5盒装</t>
        </is>
      </c>
      <c r="I886" t="inlineStr">
        <is>
          <t>694baba01d450d00013662f0</t>
        </is>
      </c>
      <c r="J886" t="inlineStr">
        <is>
          <t/>
        </is>
      </c>
      <c r="K886" t="n">
        <v>0.0</v>
      </c>
      <c r="L886" t="n">
        <v>0.0</v>
      </c>
      <c r="M886" t="n">
        <v>0.0</v>
      </c>
      <c r="N886" t="inlineStr">
        <is>
          <t/>
        </is>
      </c>
      <c r="O886" t="n">
        <v>0.0</v>
      </c>
      <c r="P886" t="n">
        <v>0.0</v>
      </c>
      <c r="Q886" t="inlineStr">
        <is>
          <t/>
        </is>
      </c>
      <c r="R886" t="inlineStr">
        <is>
          <t/>
        </is>
      </c>
      <c r="S886" t="n">
        <v>0.0</v>
      </c>
      <c r="T886" t="n">
        <v>0.0</v>
      </c>
      <c r="U886" t="n">
        <v>0.0</v>
      </c>
      <c r="V886" t="n">
        <v>0.0</v>
      </c>
      <c r="W886" t="inlineStr">
        <is>
          <t/>
        </is>
      </c>
      <c r="X886" t="n">
        <v>0.0</v>
      </c>
      <c r="Y886" t="n">
        <v>0.0</v>
      </c>
      <c r="Z886" t="n">
        <v>0.0</v>
      </c>
      <c r="AA886" t="n">
        <v>0.0</v>
      </c>
      <c r="AB886" t="n">
        <v>0.0</v>
      </c>
      <c r="AC886" t="n">
        <v>0.0</v>
      </c>
      <c r="AD886" t="n">
        <v>0.0</v>
      </c>
      <c r="AE886" t="n">
        <v>0.0</v>
      </c>
      <c r="AF886" t="n">
        <v>0.0</v>
      </c>
      <c r="AG886" t="n">
        <v>0.0</v>
      </c>
      <c r="AH886" t="n">
        <v>0.0</v>
      </c>
      <c r="AI886" t="n">
        <v>0.0</v>
      </c>
      <c r="AJ886" t="n">
        <v>0.0</v>
      </c>
      <c r="AK886" t="inlineStr">
        <is>
          <t/>
        </is>
      </c>
      <c r="AL886" t="inlineStr">
        <is>
          <t/>
        </is>
      </c>
    </row>
    <row r="887">
      <c r="A887" t="inlineStr">
        <is>
          <t>成功突破控体平台期，三文鱼上大分！</t>
        </is>
      </c>
      <c r="B887" t="inlineStr">
        <is>
          <t>6a4756d7000000000702081f</t>
        </is>
      </c>
      <c r="C887" s="886" t="n">
        <f>HYPERLINK("https://www.xiaohongshu.com/explore/6a4756d7000000000702081f?xsec_token=TBfioABv3EUaNcb0n3V9sKZuom0TQ5v6X5HOxgNzuLVrA=&amp;xsec_source=pc_trdark","https://www.xiaohongshu.com/explore/6a4756d7000000000702081f?xsec_token=TBfioABv3EUaNcb0n3V9sKZuom0TQ5v6X5HOxgNzuLVrA=&amp;xsec_source=pc_trdark")</f>
        <v>0.0</v>
      </c>
      <c r="D887" t="inlineStr">
        <is>
          <t>婉婉上班吃什么</t>
        </is>
      </c>
      <c r="E887" t="inlineStr">
        <is>
          <t>11434449706</t>
        </is>
      </c>
      <c r="F887" t="inlineStr">
        <is>
          <t>2026-07-03 14:29:43</t>
        </is>
      </c>
      <c r="G887" t="inlineStr">
        <is>
          <t>图文</t>
        </is>
      </c>
      <c r="H887" t="inlineStr">
        <is>
          <t>智利三文鱼切块·整条三文鱼·深海鱼一人食健康饮食</t>
        </is>
      </c>
      <c r="I887" t="inlineStr">
        <is>
          <t>691ac562a524ee0001b51d7b</t>
        </is>
      </c>
      <c r="J887" t="inlineStr">
        <is>
          <t/>
        </is>
      </c>
      <c r="K887" t="n">
        <v>0.0</v>
      </c>
      <c r="L887" t="n">
        <v>0.0</v>
      </c>
      <c r="M887" t="n">
        <v>0.0</v>
      </c>
      <c r="N887" t="inlineStr">
        <is>
          <t/>
        </is>
      </c>
      <c r="O887" t="n">
        <v>0.0</v>
      </c>
      <c r="P887" t="n">
        <v>0.0</v>
      </c>
      <c r="Q887" t="inlineStr">
        <is>
          <t/>
        </is>
      </c>
      <c r="R887" t="inlineStr">
        <is>
          <t/>
        </is>
      </c>
      <c r="S887" t="n">
        <v>0.0</v>
      </c>
      <c r="T887" t="n">
        <v>0.0</v>
      </c>
      <c r="U887" t="n">
        <v>0.0</v>
      </c>
      <c r="V887" t="n">
        <v>0.0</v>
      </c>
      <c r="W887" t="inlineStr">
        <is>
          <t/>
        </is>
      </c>
      <c r="X887" t="n">
        <v>0.0</v>
      </c>
      <c r="Y887" t="n">
        <v>0.0</v>
      </c>
      <c r="Z887" t="n">
        <v>0.0</v>
      </c>
      <c r="AA887" t="n">
        <v>0.0</v>
      </c>
      <c r="AB887" t="n">
        <v>0.0</v>
      </c>
      <c r="AC887" t="n">
        <v>0.0</v>
      </c>
      <c r="AD887" t="n">
        <v>0.0</v>
      </c>
      <c r="AE887" t="n">
        <v>0.0</v>
      </c>
      <c r="AF887" t="n">
        <v>0.0</v>
      </c>
      <c r="AG887" t="n">
        <v>0.0</v>
      </c>
      <c r="AH887" t="n">
        <v>0.0</v>
      </c>
      <c r="AI887" t="n">
        <v>0.0</v>
      </c>
      <c r="AJ887" t="n">
        <v>0.0</v>
      </c>
      <c r="AK887" t="inlineStr">
        <is>
          <t/>
        </is>
      </c>
      <c r="AL887" t="inlineStr">
        <is>
          <t/>
        </is>
      </c>
    </row>
    <row r="888">
      <c r="A888" t="inlineStr">
        <is>
          <t>后来才发现，100块就能搞定一周减脂餐</t>
        </is>
      </c>
      <c r="B888" t="inlineStr">
        <is>
          <t>6a475434000000000f0076ce</t>
        </is>
      </c>
      <c r="C888" s="887" t="n">
        <f>HYPERLINK("https://www.xiaohongshu.com/explore/6a475434000000000f0076ce?xsec_token=TBfioABv3EUaNcb0n3V9sKZnpmNJMUYVBwZ7ZcjYubxcY=&amp;xsec_source=pc_trdark","https://www.xiaohongshu.com/explore/6a475434000000000f0076ce?xsec_token=TBfioABv3EUaNcb0n3V9sKZnpmNJMUYVBwZ7ZcjYubxcY=&amp;xsec_source=pc_trdark")</f>
        <v>0.0</v>
      </c>
      <c r="D888" t="inlineStr">
        <is>
          <t>鲜水湾甄选</t>
        </is>
      </c>
      <c r="E888" t="inlineStr">
        <is>
          <t>27401929161</t>
        </is>
      </c>
      <c r="F888" t="inlineStr">
        <is>
          <t>2026-07-03 14:18:28</t>
        </is>
      </c>
      <c r="G888" t="inlineStr">
        <is>
          <t>图文</t>
        </is>
      </c>
      <c r="H888" t="inlineStr">
        <is>
          <t>手剥虾仁 无冰衣无添加 低脂餐一人食 上班带饭 顺丰包邮 5盒装</t>
        </is>
      </c>
      <c r="I888" t="inlineStr">
        <is>
          <t>694baba01d450d00013662f0</t>
        </is>
      </c>
      <c r="J888" t="inlineStr">
        <is>
          <t/>
        </is>
      </c>
      <c r="K888" t="n">
        <v>0.0</v>
      </c>
      <c r="L888" t="n">
        <v>0.0</v>
      </c>
      <c r="M888" t="n">
        <v>0.0</v>
      </c>
      <c r="N888" t="inlineStr">
        <is>
          <t/>
        </is>
      </c>
      <c r="O888" t="n">
        <v>0.0</v>
      </c>
      <c r="P888" t="n">
        <v>0.0</v>
      </c>
      <c r="Q888" t="inlineStr">
        <is>
          <t/>
        </is>
      </c>
      <c r="R888" t="inlineStr">
        <is>
          <t/>
        </is>
      </c>
      <c r="S888" t="n">
        <v>0.0</v>
      </c>
      <c r="T888" t="n">
        <v>0.0</v>
      </c>
      <c r="U888" t="n">
        <v>0.0</v>
      </c>
      <c r="V888" t="n">
        <v>0.0</v>
      </c>
      <c r="W888" t="inlineStr">
        <is>
          <t/>
        </is>
      </c>
      <c r="X888" t="n">
        <v>0.0</v>
      </c>
      <c r="Y888" t="n">
        <v>0.0</v>
      </c>
      <c r="Z888" t="n">
        <v>0.0</v>
      </c>
      <c r="AA888" t="n">
        <v>0.0</v>
      </c>
      <c r="AB888" t="n">
        <v>0.0</v>
      </c>
      <c r="AC888" t="n">
        <v>0.0</v>
      </c>
      <c r="AD888" t="n">
        <v>0.0</v>
      </c>
      <c r="AE888" t="n">
        <v>0.0</v>
      </c>
      <c r="AF888" t="n">
        <v>0.0</v>
      </c>
      <c r="AG888" t="n">
        <v>0.0</v>
      </c>
      <c r="AH888" t="n">
        <v>0.0</v>
      </c>
      <c r="AI888" t="n">
        <v>0.0</v>
      </c>
      <c r="AJ888" t="n">
        <v>0.0</v>
      </c>
      <c r="AK888" t="inlineStr">
        <is>
          <t/>
        </is>
      </c>
      <c r="AL888" t="inlineStr">
        <is>
          <t/>
        </is>
      </c>
    </row>
    <row r="889">
      <c r="A889" t="inlineStr">
        <is>
          <t>网友说的是真的。。。吃的干净真的能控体</t>
        </is>
      </c>
      <c r="B889" t="inlineStr">
        <is>
          <t>6a467a8a0000000021022e86</t>
        </is>
      </c>
      <c r="C889" s="888" t="n">
        <f>HYPERLINK("https://www.xiaohongshu.com/explore/6a467a8a0000000021022e86?xsec_token=TBh16dqEaGc_HtFtaLZGOnEMcKD8QndGgzThsGaNdt-P4=&amp;xsec_source=pc_trdark","https://www.xiaohongshu.com/explore/6a467a8a0000000021022e86?xsec_token=TBh16dqEaGc_HtFtaLZGOnEMcKD8QndGgzThsGaNdt-P4=&amp;xsec_source=pc_trdark")</f>
        <v>0.0</v>
      </c>
      <c r="D889" t="inlineStr">
        <is>
          <t>婉婉上班吃什么</t>
        </is>
      </c>
      <c r="E889" t="inlineStr">
        <is>
          <t>11434449706</t>
        </is>
      </c>
      <c r="F889" t="inlineStr">
        <is>
          <t>2026-07-02 22:49:46</t>
        </is>
      </c>
      <c r="G889" t="inlineStr">
        <is>
          <t>图文</t>
        </is>
      </c>
      <c r="H889" t="inlineStr">
        <is>
          <t>手剥虾仁 无冰衣无添加 低脂餐一人食 上班带饭 顺丰包邮 5盒装</t>
        </is>
      </c>
      <c r="I889" t="inlineStr">
        <is>
          <t>694baba01d450d00013662f0</t>
        </is>
      </c>
      <c r="J889" t="inlineStr">
        <is>
          <t/>
        </is>
      </c>
      <c r="K889" t="n">
        <v>0.0</v>
      </c>
      <c r="L889" t="n">
        <v>0.0</v>
      </c>
      <c r="M889" t="n">
        <v>0.0</v>
      </c>
      <c r="N889" t="inlineStr">
        <is>
          <t/>
        </is>
      </c>
      <c r="O889" t="n">
        <v>0.0</v>
      </c>
      <c r="P889" t="n">
        <v>0.0</v>
      </c>
      <c r="Q889" t="inlineStr">
        <is>
          <t/>
        </is>
      </c>
      <c r="R889" t="inlineStr">
        <is>
          <t/>
        </is>
      </c>
      <c r="S889" t="n">
        <v>0.0</v>
      </c>
      <c r="T889" t="n">
        <v>0.0</v>
      </c>
      <c r="U889" t="n">
        <v>0.0</v>
      </c>
      <c r="V889" t="n">
        <v>0.0</v>
      </c>
      <c r="W889" t="inlineStr">
        <is>
          <t/>
        </is>
      </c>
      <c r="X889" t="n">
        <v>0.0</v>
      </c>
      <c r="Y889" t="n">
        <v>0.0</v>
      </c>
      <c r="Z889" t="n">
        <v>0.0</v>
      </c>
      <c r="AA889" t="n">
        <v>0.0</v>
      </c>
      <c r="AB889" t="n">
        <v>0.0</v>
      </c>
      <c r="AC889" t="n">
        <v>0.0</v>
      </c>
      <c r="AD889" t="n">
        <v>0.0</v>
      </c>
      <c r="AE889" t="n">
        <v>0.0</v>
      </c>
      <c r="AF889" t="n">
        <v>0.0</v>
      </c>
      <c r="AG889" t="n">
        <v>0.0</v>
      </c>
      <c r="AH889" t="n">
        <v>0.0</v>
      </c>
      <c r="AI889" t="n">
        <v>0.0</v>
      </c>
      <c r="AJ889" t="n">
        <v>0.0</v>
      </c>
      <c r="AK889" t="inlineStr">
        <is>
          <t/>
        </is>
      </c>
      <c r="AL889" t="inlineStr">
        <is>
          <t/>
        </is>
      </c>
    </row>
    <row r="890">
      <c r="A890" t="inlineStr">
        <is>
          <t>我妈说：你真会吃，一餐一包虾仁午饭赢麻了！</t>
        </is>
      </c>
      <c r="B890" t="inlineStr">
        <is>
          <t>6a4671040000000008026236</t>
        </is>
      </c>
      <c r="C890" s="889" t="n">
        <f>HYPERLINK("https://www.xiaohongshu.com/explore/6a4671040000000008026236?xsec_token=TBh16dqEaGc_HtFtaLZGOnEBRxAA35aokICVSdXCp_pe4=&amp;xsec_source=pc_trdark","https://www.xiaohongshu.com/explore/6a4671040000000008026236?xsec_token=TBh16dqEaGc_HtFtaLZGOnEBRxAA35aokICVSdXCp_pe4=&amp;xsec_source=pc_trdark")</f>
        <v>0.0</v>
      </c>
      <c r="D890" t="inlineStr">
        <is>
          <t>菲菲上班吃什么</t>
        </is>
      </c>
      <c r="E890" t="inlineStr">
        <is>
          <t>49936530607</t>
        </is>
      </c>
      <c r="F890" t="inlineStr">
        <is>
          <t>2026-07-02 22:09:08</t>
        </is>
      </c>
      <c r="G890" t="inlineStr">
        <is>
          <t>图文</t>
        </is>
      </c>
      <c r="H890" t="inlineStr">
        <is>
          <t>手剥虾仁 无冰衣无添加 低脂餐一人食 上班带饭 顺丰包邮 5盒装</t>
        </is>
      </c>
      <c r="I890" t="inlineStr">
        <is>
          <t>694baba01d450d00013662f0</t>
        </is>
      </c>
      <c r="J890" t="inlineStr">
        <is>
          <t/>
        </is>
      </c>
      <c r="K890" t="n">
        <v>0.0</v>
      </c>
      <c r="L890" t="n">
        <v>0.0</v>
      </c>
      <c r="M890" t="n">
        <v>0.0</v>
      </c>
      <c r="N890" t="inlineStr">
        <is>
          <t/>
        </is>
      </c>
      <c r="O890" t="n">
        <v>0.0</v>
      </c>
      <c r="P890" t="n">
        <v>0.0</v>
      </c>
      <c r="Q890" t="inlineStr">
        <is>
          <t/>
        </is>
      </c>
      <c r="R890" t="inlineStr">
        <is>
          <t/>
        </is>
      </c>
      <c r="S890" t="n">
        <v>0.0</v>
      </c>
      <c r="T890" t="n">
        <v>0.0</v>
      </c>
      <c r="U890" t="n">
        <v>0.0</v>
      </c>
      <c r="V890" t="n">
        <v>0.0</v>
      </c>
      <c r="W890" t="inlineStr">
        <is>
          <t/>
        </is>
      </c>
      <c r="X890" t="n">
        <v>0.0</v>
      </c>
      <c r="Y890" t="n">
        <v>0.0</v>
      </c>
      <c r="Z890" t="n">
        <v>0.0</v>
      </c>
      <c r="AA890" t="n">
        <v>0.0</v>
      </c>
      <c r="AB890" t="n">
        <v>0.0</v>
      </c>
      <c r="AC890" t="n">
        <v>0.0</v>
      </c>
      <c r="AD890" t="n">
        <v>0.0</v>
      </c>
      <c r="AE890" t="n">
        <v>0.0</v>
      </c>
      <c r="AF890" t="n">
        <v>0.0</v>
      </c>
      <c r="AG890" t="n">
        <v>0.0</v>
      </c>
      <c r="AH890" t="n">
        <v>0.0</v>
      </c>
      <c r="AI890" t="n">
        <v>0.0</v>
      </c>
      <c r="AJ890" t="n">
        <v>0.0</v>
      </c>
      <c r="AK890" t="inlineStr">
        <is>
          <t/>
        </is>
      </c>
      <c r="AL890" t="inlineStr">
        <is>
          <t/>
        </is>
      </c>
    </row>
    <row r="891">
      <c r="A891" t="inlineStr">
        <is>
          <t>打工人，懒人减脂餐真的别低估这包虾仁…</t>
        </is>
      </c>
      <c r="B891" t="inlineStr">
        <is>
          <t>6a462caa000000000f01c241</t>
        </is>
      </c>
      <c r="C891" s="890" t="n">
        <f>HYPERLINK("https://www.xiaohongshu.com/explore/6a462caa000000000f01c241?xsec_token=TBh16dqEaGc_HtFtaLZGOnEGaZVNg2T5GgZYyqZSqHm6k=&amp;xsec_source=pc_trdark","https://www.xiaohongshu.com/explore/6a462caa000000000f01c241?xsec_token=TBh16dqEaGc_HtFtaLZGOnEGaZVNg2T5GgZYyqZSqHm6k=&amp;xsec_source=pc_trdark")</f>
        <v>0.0</v>
      </c>
      <c r="D891" t="inlineStr">
        <is>
          <t>鲜水湾甄选</t>
        </is>
      </c>
      <c r="E891" t="inlineStr">
        <is>
          <t>27401929161</t>
        </is>
      </c>
      <c r="F891" t="inlineStr">
        <is>
          <t>2026-07-02 17:17:30</t>
        </is>
      </c>
      <c r="G891" t="inlineStr">
        <is>
          <t>图文</t>
        </is>
      </c>
      <c r="H891" t="inlineStr">
        <is>
          <t>手剥虾仁 无冰衣无添加 低脂餐一人食 上班带饭 顺丰包邮 5盒装</t>
        </is>
      </c>
      <c r="I891" t="inlineStr">
        <is>
          <t>694baba01d450d00013662f0</t>
        </is>
      </c>
      <c r="J891" t="inlineStr">
        <is>
          <t/>
        </is>
      </c>
      <c r="K891" t="n">
        <v>0.0</v>
      </c>
      <c r="L891" t="n">
        <v>0.0</v>
      </c>
      <c r="M891" t="n">
        <v>0.0</v>
      </c>
      <c r="N891" t="inlineStr">
        <is>
          <t/>
        </is>
      </c>
      <c r="O891" t="n">
        <v>0.0</v>
      </c>
      <c r="P891" t="n">
        <v>0.0</v>
      </c>
      <c r="Q891" t="inlineStr">
        <is>
          <t/>
        </is>
      </c>
      <c r="R891" t="inlineStr">
        <is>
          <t/>
        </is>
      </c>
      <c r="S891" t="n">
        <v>0.0</v>
      </c>
      <c r="T891" t="n">
        <v>0.0</v>
      </c>
      <c r="U891" t="n">
        <v>0.0</v>
      </c>
      <c r="V891" t="n">
        <v>0.0</v>
      </c>
      <c r="W891" t="inlineStr">
        <is>
          <t/>
        </is>
      </c>
      <c r="X891" t="n">
        <v>0.0</v>
      </c>
      <c r="Y891" t="n">
        <v>0.0</v>
      </c>
      <c r="Z891" t="n">
        <v>0.0</v>
      </c>
      <c r="AA891" t="n">
        <v>0.0</v>
      </c>
      <c r="AB891" t="n">
        <v>0.0</v>
      </c>
      <c r="AC891" t="n">
        <v>0.0</v>
      </c>
      <c r="AD891" t="n">
        <v>0.0</v>
      </c>
      <c r="AE891" t="n">
        <v>0.0</v>
      </c>
      <c r="AF891" t="n">
        <v>0.0</v>
      </c>
      <c r="AG891" t="n">
        <v>0.0</v>
      </c>
      <c r="AH891" t="n">
        <v>0.0</v>
      </c>
      <c r="AI891" t="n">
        <v>0.0</v>
      </c>
      <c r="AJ891" t="n">
        <v>0.0</v>
      </c>
      <c r="AK891" t="inlineStr">
        <is>
          <t/>
        </is>
      </c>
      <c r="AL891" t="inlineStr">
        <is>
          <t/>
        </is>
      </c>
    </row>
    <row r="892">
      <c r="A892" t="inlineStr">
        <is>
          <t>真听劝，严重低估了70块的购买力了！！！</t>
        </is>
      </c>
      <c r="B892" t="inlineStr">
        <is>
          <t>6a460f500000000022008d30</t>
        </is>
      </c>
      <c r="C892" s="891" t="n">
        <f>HYPERLINK("https://www.xiaohongshu.com/explore/6a460f500000000022008d30?xsec_token=TBh16dqEaGc_HtFtaLZGOnEJkpOKEuLdgqto9E3xId_3c=&amp;xsec_source=pc_trdark","https://www.xiaohongshu.com/explore/6a460f500000000022008d30?xsec_token=TBh16dqEaGc_HtFtaLZGOnEJkpOKEuLdgqto9E3xId_3c=&amp;xsec_source=pc_trdark")</f>
        <v>0.0</v>
      </c>
      <c r="D892" t="inlineStr">
        <is>
          <t>菲菲上班吃什么</t>
        </is>
      </c>
      <c r="E892" t="inlineStr">
        <is>
          <t>49936530607</t>
        </is>
      </c>
      <c r="F892" t="inlineStr">
        <is>
          <t>2026-07-02 15:12:16</t>
        </is>
      </c>
      <c r="G892" t="inlineStr">
        <is>
          <t>图文</t>
        </is>
      </c>
      <c r="H892" t="inlineStr">
        <is>
          <t>手剥虾仁 无冰衣无添加 低脂餐一人食 上班带饭 顺丰包邮 5盒装</t>
        </is>
      </c>
      <c r="I892" t="inlineStr">
        <is>
          <t>694baba01d450d00013662f0</t>
        </is>
      </c>
      <c r="J892" t="inlineStr">
        <is>
          <t/>
        </is>
      </c>
      <c r="K892" t="n">
        <v>0.0</v>
      </c>
      <c r="L892" t="n">
        <v>0.0</v>
      </c>
      <c r="M892" t="n">
        <v>0.0</v>
      </c>
      <c r="N892" t="inlineStr">
        <is>
          <t/>
        </is>
      </c>
      <c r="O892" t="n">
        <v>0.0</v>
      </c>
      <c r="P892" t="n">
        <v>0.0</v>
      </c>
      <c r="Q892" t="inlineStr">
        <is>
          <t/>
        </is>
      </c>
      <c r="R892" t="inlineStr">
        <is>
          <t/>
        </is>
      </c>
      <c r="S892" t="n">
        <v>0.0</v>
      </c>
      <c r="T892" t="n">
        <v>0.0</v>
      </c>
      <c r="U892" t="n">
        <v>0.0</v>
      </c>
      <c r="V892" t="n">
        <v>0.0</v>
      </c>
      <c r="W892" t="inlineStr">
        <is>
          <t/>
        </is>
      </c>
      <c r="X892" t="n">
        <v>0.0</v>
      </c>
      <c r="Y892" t="n">
        <v>0.0</v>
      </c>
      <c r="Z892" t="n">
        <v>0.0</v>
      </c>
      <c r="AA892" t="n">
        <v>0.0</v>
      </c>
      <c r="AB892" t="n">
        <v>0.0</v>
      </c>
      <c r="AC892" t="n">
        <v>0.0</v>
      </c>
      <c r="AD892" t="n">
        <v>0.0</v>
      </c>
      <c r="AE892" t="n">
        <v>0.0</v>
      </c>
      <c r="AF892" t="n">
        <v>0.0</v>
      </c>
      <c r="AG892" t="n">
        <v>0.0</v>
      </c>
      <c r="AH892" t="n">
        <v>0.0</v>
      </c>
      <c r="AI892" t="n">
        <v>0.0</v>
      </c>
      <c r="AJ892" t="n">
        <v>0.0</v>
      </c>
      <c r="AK892" t="inlineStr">
        <is>
          <t/>
        </is>
      </c>
      <c r="AL892" t="inlineStr">
        <is>
          <t/>
        </is>
      </c>
    </row>
    <row r="893">
      <c r="A893" t="inlineStr">
        <is>
          <t>独居人囤货，一餐一包才是腔调！！</t>
        </is>
      </c>
      <c r="B893" t="inlineStr">
        <is>
          <t>6a45f6a700000000110119c3</t>
        </is>
      </c>
      <c r="C893" s="892" t="n">
        <f>HYPERLINK("https://www.xiaohongshu.com/explore/6a45f6a700000000110119c3?xsec_token=TBc3hrIjXUbUVl-pJFVTIemV27dWeS0AGtq63Rvsa8qXw=&amp;xsec_source=pc_trdark","https://www.xiaohongshu.com/explore/6a45f6a700000000110119c3?xsec_token=TBc3hrIjXUbUVl-pJFVTIemV27dWeS0AGtq63Rvsa8qXw=&amp;xsec_source=pc_trdark")</f>
        <v>0.0</v>
      </c>
      <c r="D893" t="inlineStr">
        <is>
          <t>鲜水湾甄选</t>
        </is>
      </c>
      <c r="E893" t="inlineStr">
        <is>
          <t>27401929161</t>
        </is>
      </c>
      <c r="F893" t="inlineStr">
        <is>
          <t>2026-07-02 13:27:03</t>
        </is>
      </c>
      <c r="G893" t="inlineStr">
        <is>
          <t>图文</t>
        </is>
      </c>
      <c r="H893" t="inlineStr">
        <is>
          <t>手剥虾仁 无冰衣无添加 低脂餐一人食 上班带饭 顺丰包邮 5盒装</t>
        </is>
      </c>
      <c r="I893" t="inlineStr">
        <is>
          <t>694baba01d450d00013662f0</t>
        </is>
      </c>
      <c r="J893" t="inlineStr">
        <is>
          <t/>
        </is>
      </c>
      <c r="K893" t="n">
        <v>0.0</v>
      </c>
      <c r="L893" t="n">
        <v>0.0</v>
      </c>
      <c r="M893" t="n">
        <v>0.0</v>
      </c>
      <c r="N893" t="inlineStr">
        <is>
          <t/>
        </is>
      </c>
      <c r="O893" t="n">
        <v>0.0</v>
      </c>
      <c r="P893" t="n">
        <v>0.0</v>
      </c>
      <c r="Q893" t="inlineStr">
        <is>
          <t/>
        </is>
      </c>
      <c r="R893" t="inlineStr">
        <is>
          <t/>
        </is>
      </c>
      <c r="S893" t="n">
        <v>0.0</v>
      </c>
      <c r="T893" t="n">
        <v>0.0</v>
      </c>
      <c r="U893" t="n">
        <v>0.0</v>
      </c>
      <c r="V893" t="n">
        <v>0.0</v>
      </c>
      <c r="W893" t="inlineStr">
        <is>
          <t/>
        </is>
      </c>
      <c r="X893" t="n">
        <v>0.0</v>
      </c>
      <c r="Y893" t="n">
        <v>0.0</v>
      </c>
      <c r="Z893" t="n">
        <v>0.0</v>
      </c>
      <c r="AA893" t="n">
        <v>0.0</v>
      </c>
      <c r="AB893" t="n">
        <v>0.0</v>
      </c>
      <c r="AC893" t="n">
        <v>0.0</v>
      </c>
      <c r="AD893" t="n">
        <v>0.0</v>
      </c>
      <c r="AE893" t="n">
        <v>0.0</v>
      </c>
      <c r="AF893" t="n">
        <v>0.0</v>
      </c>
      <c r="AG893" t="n">
        <v>0.0</v>
      </c>
      <c r="AH893" t="n">
        <v>0.0</v>
      </c>
      <c r="AI893" t="n">
        <v>0.0</v>
      </c>
      <c r="AJ893" t="n">
        <v>0.0</v>
      </c>
      <c r="AK893" t="inlineStr">
        <is>
          <t/>
        </is>
      </c>
      <c r="AL893" t="inlineStr">
        <is>
          <t/>
        </is>
      </c>
    </row>
    <row r="894">
      <c r="A894" t="inlineStr">
        <is>
          <t>健身后才发现，我买虾仁的频率越来越高</t>
        </is>
      </c>
      <c r="B894" t="inlineStr">
        <is>
          <t>6a450868000000000702a5b4</t>
        </is>
      </c>
      <c r="C894" s="893" t="n">
        <f>HYPERLINK("https://www.xiaohongshu.com/explore/6a450868000000000702a5b4?xsec_token=TBc3hrIjXUbUVl-pJFVTIembGxe-FFFZ7lrnU5GZu4U3c=&amp;xsec_source=pc_trdark","https://www.xiaohongshu.com/explore/6a450868000000000702a5b4?xsec_token=TBc3hrIjXUbUVl-pJFVTIembGxe-FFFZ7lrnU5GZu4U3c=&amp;xsec_source=pc_trdark")</f>
        <v>0.0</v>
      </c>
      <c r="D894" t="inlineStr">
        <is>
          <t>菲菲上班吃什么</t>
        </is>
      </c>
      <c r="E894" t="inlineStr">
        <is>
          <t>49936530607</t>
        </is>
      </c>
      <c r="F894" t="inlineStr">
        <is>
          <t>2026-07-01 20:30:32</t>
        </is>
      </c>
      <c r="G894" t="inlineStr">
        <is>
          <t>图文</t>
        </is>
      </c>
      <c r="H894" t="inlineStr">
        <is>
          <t>手剥虾仁 无冰衣无添加 低脂餐一人食 上班带饭 顺丰包邮 5盒装</t>
        </is>
      </c>
      <c r="I894" t="inlineStr">
        <is>
          <t>694baba01d450d00013662f0</t>
        </is>
      </c>
      <c r="J894" t="inlineStr">
        <is>
          <t/>
        </is>
      </c>
      <c r="K894" t="n">
        <v>0.0</v>
      </c>
      <c r="L894" t="n">
        <v>0.0</v>
      </c>
      <c r="M894" t="n">
        <v>0.0</v>
      </c>
      <c r="N894" t="inlineStr">
        <is>
          <t/>
        </is>
      </c>
      <c r="O894" t="n">
        <v>0.0</v>
      </c>
      <c r="P894" t="n">
        <v>0.0</v>
      </c>
      <c r="Q894" t="inlineStr">
        <is>
          <t/>
        </is>
      </c>
      <c r="R894" t="inlineStr">
        <is>
          <t/>
        </is>
      </c>
      <c r="S894" t="n">
        <v>0.0</v>
      </c>
      <c r="T894" t="n">
        <v>0.0</v>
      </c>
      <c r="U894" t="n">
        <v>0.0</v>
      </c>
      <c r="V894" t="n">
        <v>0.0</v>
      </c>
      <c r="W894" t="inlineStr">
        <is>
          <t/>
        </is>
      </c>
      <c r="X894" t="n">
        <v>0.0</v>
      </c>
      <c r="Y894" t="n">
        <v>0.0</v>
      </c>
      <c r="Z894" t="n">
        <v>0.0</v>
      </c>
      <c r="AA894" t="n">
        <v>0.0</v>
      </c>
      <c r="AB894" t="n">
        <v>0.0</v>
      </c>
      <c r="AC894" t="n">
        <v>0.0</v>
      </c>
      <c r="AD894" t="n">
        <v>0.0</v>
      </c>
      <c r="AE894" t="n">
        <v>0.0</v>
      </c>
      <c r="AF894" t="n">
        <v>0.0</v>
      </c>
      <c r="AG894" t="n">
        <v>0.0</v>
      </c>
      <c r="AH894" t="n">
        <v>0.0</v>
      </c>
      <c r="AI894" t="n">
        <v>0.0</v>
      </c>
      <c r="AJ894" t="n">
        <v>0.0</v>
      </c>
      <c r="AK894" t="inlineStr">
        <is>
          <t/>
        </is>
      </c>
      <c r="AL894" t="inlineStr">
        <is>
          <t/>
        </is>
      </c>
    </row>
    <row r="895">
      <c r="A895" t="inlineStr">
        <is>
          <t>你永远可以相信一个减脂人的选择！！</t>
        </is>
      </c>
      <c r="B895" t="inlineStr">
        <is>
          <t>6a44f8fb000000000f032740</t>
        </is>
      </c>
      <c r="C895" s="894" t="n">
        <f>HYPERLINK("https://www.xiaohongshu.com/explore/6a44f8fb000000000f032740?xsec_token=TBsNLvvwxdidvAFeSxmUSQxV7CUJMbzd5fNCBCpZhkJZM=&amp;xsec_source=pc_trdark","https://www.xiaohongshu.com/explore/6a44f8fb000000000f032740?xsec_token=TBsNLvvwxdidvAFeSxmUSQxV7CUJMbzd5fNCBCpZhkJZM=&amp;xsec_source=pc_trdark")</f>
        <v>0.0</v>
      </c>
      <c r="D895" t="inlineStr">
        <is>
          <t>鲜水湾甄选</t>
        </is>
      </c>
      <c r="E895" t="inlineStr">
        <is>
          <t>27401929161</t>
        </is>
      </c>
      <c r="F895" t="inlineStr">
        <is>
          <t>2026-07-01 19:24:43</t>
        </is>
      </c>
      <c r="G895" t="inlineStr">
        <is>
          <t>图文</t>
        </is>
      </c>
      <c r="H895" t="inlineStr">
        <is>
          <t>手剥虾仁 无冰衣无添加 低脂餐一人食 上班带饭 顺丰包邮 5盒装</t>
        </is>
      </c>
      <c r="I895" t="inlineStr">
        <is>
          <t>694baba01d450d00013662f0</t>
        </is>
      </c>
      <c r="J895" t="inlineStr">
        <is>
          <t/>
        </is>
      </c>
      <c r="K895" t="n">
        <v>0.0</v>
      </c>
      <c r="L895" t="n">
        <v>0.0</v>
      </c>
      <c r="M895" t="n">
        <v>0.0</v>
      </c>
      <c r="N895" t="inlineStr">
        <is>
          <t/>
        </is>
      </c>
      <c r="O895" t="n">
        <v>0.0</v>
      </c>
      <c r="P895" t="n">
        <v>0.0</v>
      </c>
      <c r="Q895" t="inlineStr">
        <is>
          <t/>
        </is>
      </c>
      <c r="R895" t="inlineStr">
        <is>
          <t/>
        </is>
      </c>
      <c r="S895" t="n">
        <v>0.0</v>
      </c>
      <c r="T895" t="n">
        <v>0.0</v>
      </c>
      <c r="U895" t="n">
        <v>0.0</v>
      </c>
      <c r="V895" t="n">
        <v>0.0</v>
      </c>
      <c r="W895" t="inlineStr">
        <is>
          <t/>
        </is>
      </c>
      <c r="X895" t="n">
        <v>0.0</v>
      </c>
      <c r="Y895" t="n">
        <v>0.0</v>
      </c>
      <c r="Z895" t="n">
        <v>0.0</v>
      </c>
      <c r="AA895" t="n">
        <v>0.0</v>
      </c>
      <c r="AB895" t="n">
        <v>0.0</v>
      </c>
      <c r="AC895" t="n">
        <v>0.0</v>
      </c>
      <c r="AD895" t="n">
        <v>0.0</v>
      </c>
      <c r="AE895" t="n">
        <v>0.0</v>
      </c>
      <c r="AF895" t="n">
        <v>0.0</v>
      </c>
      <c r="AG895" t="n">
        <v>0.0</v>
      </c>
      <c r="AH895" t="n">
        <v>0.0</v>
      </c>
      <c r="AI895" t="n">
        <v>0.0</v>
      </c>
      <c r="AJ895" t="n">
        <v>0.0</v>
      </c>
      <c r="AK895" t="inlineStr">
        <is>
          <t/>
        </is>
      </c>
      <c r="AL895" t="inlineStr">
        <is>
          <t/>
        </is>
      </c>
    </row>
    <row r="896">
      <c r="A896" t="inlineStr">
        <is>
          <t>通过全家会议决定 300 来块一整条，不要邮费</t>
        </is>
      </c>
      <c r="B896" t="inlineStr">
        <is>
          <t>6a44a93b0000000008025f7a</t>
        </is>
      </c>
      <c r="C896" s="895" t="n">
        <f>HYPERLINK("https://www.xiaohongshu.com/explore/6a44a93b0000000008025f7a?xsec_token=TBsNLvvwxdidvAFeSxmUSQxQAF3vqkfeAGqcg2wQFAP84=&amp;xsec_source=pc_trdark","https://www.xiaohongshu.com/explore/6a44a93b0000000008025f7a?xsec_token=TBsNLvvwxdidvAFeSxmUSQxQAF3vqkfeAGqcg2wQFAP84=&amp;xsec_source=pc_trdark")</f>
        <v>0.0</v>
      </c>
      <c r="D896" t="inlineStr">
        <is>
          <t>鲜水湾</t>
        </is>
      </c>
      <c r="E896" t="inlineStr">
        <is>
          <t>49316638994</t>
        </is>
      </c>
      <c r="F896" t="inlineStr">
        <is>
          <t>2026-07-01 13:44:27</t>
        </is>
      </c>
      <c r="G896" t="inlineStr">
        <is>
          <t>图文</t>
        </is>
      </c>
      <c r="H896" t="inlineStr">
        <is>
          <t>智利三文鱼切块·整条三文鱼·深海鱼一人食健康饮食</t>
        </is>
      </c>
      <c r="I896" t="inlineStr">
        <is>
          <t>691ac562a524ee0001b51d7b</t>
        </is>
      </c>
      <c r="J896" t="inlineStr">
        <is>
          <t/>
        </is>
      </c>
      <c r="K896" t="n">
        <v>0.0</v>
      </c>
      <c r="L896" t="n">
        <v>0.0</v>
      </c>
      <c r="M896" t="n">
        <v>0.0</v>
      </c>
      <c r="N896" t="inlineStr">
        <is>
          <t/>
        </is>
      </c>
      <c r="O896" t="n">
        <v>0.0</v>
      </c>
      <c r="P896" t="n">
        <v>0.0</v>
      </c>
      <c r="Q896" t="inlineStr">
        <is>
          <t/>
        </is>
      </c>
      <c r="R896" t="inlineStr">
        <is>
          <t/>
        </is>
      </c>
      <c r="S896" t="n">
        <v>0.0</v>
      </c>
      <c r="T896" t="n">
        <v>0.0</v>
      </c>
      <c r="U896" t="n">
        <v>0.0</v>
      </c>
      <c r="V896" t="n">
        <v>0.0</v>
      </c>
      <c r="W896" t="inlineStr">
        <is>
          <t/>
        </is>
      </c>
      <c r="X896" t="n">
        <v>0.0</v>
      </c>
      <c r="Y896" t="n">
        <v>0.0</v>
      </c>
      <c r="Z896" t="n">
        <v>0.0</v>
      </c>
      <c r="AA896" t="n">
        <v>0.0</v>
      </c>
      <c r="AB896" t="n">
        <v>0.0</v>
      </c>
      <c r="AC896" t="n">
        <v>0.0</v>
      </c>
      <c r="AD896" t="n">
        <v>0.0</v>
      </c>
      <c r="AE896" t="n">
        <v>0.0</v>
      </c>
      <c r="AF896" t="n">
        <v>0.0</v>
      </c>
      <c r="AG896" t="n">
        <v>0.0</v>
      </c>
      <c r="AH896" t="n">
        <v>0.0</v>
      </c>
      <c r="AI896" t="n">
        <v>0.0</v>
      </c>
      <c r="AJ896" t="n">
        <v>0.0</v>
      </c>
      <c r="AK896" t="inlineStr">
        <is>
          <t/>
        </is>
      </c>
      <c r="AL896" t="inlineStr">
        <is>
          <t/>
        </is>
      </c>
    </row>
    <row r="897">
      <c r="A897" t="inlineStr">
        <is>
          <t>每天吃上一片，入夏悄悄惊艳所有人🥰</t>
        </is>
      </c>
      <c r="B897" t="inlineStr">
        <is>
          <t>6a447b49000000000800079e</t>
        </is>
      </c>
      <c r="C897" s="896" t="n">
        <f>HYPERLINK("https://www.xiaohongshu.com/explore/6a447b49000000000800079e?xsec_token=TBsNLvvwxdidvAFeSxmUSQxQJw8CfqLQ6t8WfUAYpRjeQ=&amp;xsec_source=pc_trdark","https://www.xiaohongshu.com/explore/6a447b49000000000800079e?xsec_token=TBsNLvvwxdidvAFeSxmUSQxQJw8CfqLQ6t8WfUAYpRjeQ=&amp;xsec_source=pc_trdark")</f>
        <v>0.0</v>
      </c>
      <c r="D897" t="inlineStr">
        <is>
          <t>鲜水湾</t>
        </is>
      </c>
      <c r="E897" t="inlineStr">
        <is>
          <t>49316638994</t>
        </is>
      </c>
      <c r="F897" t="inlineStr">
        <is>
          <t>2026-07-01 10:28:25</t>
        </is>
      </c>
      <c r="G897" t="inlineStr">
        <is>
          <t>图文</t>
        </is>
      </c>
      <c r="H897" t="inlineStr">
        <is>
          <t>智利三文鱼切块·整条三文鱼·深海鱼一人食健康饮食</t>
        </is>
      </c>
      <c r="I897" t="inlineStr">
        <is>
          <t>691ac562a524ee0001b51d7b</t>
        </is>
      </c>
      <c r="J897" t="inlineStr">
        <is>
          <t/>
        </is>
      </c>
      <c r="K897" t="n">
        <v>0.0</v>
      </c>
      <c r="L897" t="n">
        <v>0.0</v>
      </c>
      <c r="M897" t="n">
        <v>0.0</v>
      </c>
      <c r="N897" t="inlineStr">
        <is>
          <t/>
        </is>
      </c>
      <c r="O897" t="n">
        <v>0.0</v>
      </c>
      <c r="P897" t="n">
        <v>0.0</v>
      </c>
      <c r="Q897" t="inlineStr">
        <is>
          <t/>
        </is>
      </c>
      <c r="R897" t="inlineStr">
        <is>
          <t/>
        </is>
      </c>
      <c r="S897" t="n">
        <v>0.0</v>
      </c>
      <c r="T897" t="n">
        <v>0.0</v>
      </c>
      <c r="U897" t="n">
        <v>0.0</v>
      </c>
      <c r="V897" t="n">
        <v>0.0</v>
      </c>
      <c r="W897" t="inlineStr">
        <is>
          <t/>
        </is>
      </c>
      <c r="X897" t="n">
        <v>0.0</v>
      </c>
      <c r="Y897" t="n">
        <v>0.0</v>
      </c>
      <c r="Z897" t="n">
        <v>0.0</v>
      </c>
      <c r="AA897" t="n">
        <v>0.0</v>
      </c>
      <c r="AB897" t="n">
        <v>0.0</v>
      </c>
      <c r="AC897" t="n">
        <v>0.0</v>
      </c>
      <c r="AD897" t="n">
        <v>0.0</v>
      </c>
      <c r="AE897" t="n">
        <v>0.0</v>
      </c>
      <c r="AF897" t="n">
        <v>0.0</v>
      </c>
      <c r="AG897" t="n">
        <v>0.0</v>
      </c>
      <c r="AH897" t="n">
        <v>0.0</v>
      </c>
      <c r="AI897" t="n">
        <v>0.0</v>
      </c>
      <c r="AJ897" t="n">
        <v>0.0</v>
      </c>
      <c r="AK897" t="inlineStr">
        <is>
          <t/>
        </is>
      </c>
      <c r="AL897" t="inlineStr">
        <is>
          <t/>
        </is>
      </c>
    </row>
    <row r="898">
      <c r="A898" t="inlineStr">
        <is>
          <t>和老爸商量了，专为独居人推出专属小包装</t>
        </is>
      </c>
      <c r="B898" t="inlineStr">
        <is>
          <t>6a439f220000000021016b17</t>
        </is>
      </c>
      <c r="C898" s="897" t="n">
        <f>HYPERLINK("https://www.xiaohongshu.com/explore/6a439f220000000021016b17?xsec_token=TBHlcLEn6fokKWIeUTfT7NlV4TkHZu0mHqyphizbYy4Eo=&amp;xsec_source=pc_trdark","https://www.xiaohongshu.com/explore/6a439f220000000021016b17?xsec_token=TBHlcLEn6fokKWIeUTfT7NlV4TkHZu0mHqyphizbYy4Eo=&amp;xsec_source=pc_trdark")</f>
        <v>0.0</v>
      </c>
      <c r="D898" t="inlineStr">
        <is>
          <t>菲菲上班吃什么</t>
        </is>
      </c>
      <c r="E898" t="inlineStr">
        <is>
          <t>49936530607</t>
        </is>
      </c>
      <c r="F898" t="inlineStr">
        <is>
          <t>2026-06-30 18:49:06</t>
        </is>
      </c>
      <c r="G898" t="inlineStr">
        <is>
          <t>图文</t>
        </is>
      </c>
      <c r="H898" t="inlineStr">
        <is>
          <t>手剥虾仁 无冰衣无添加 低脂餐一人食 上班带饭 顺丰包邮 5盒装</t>
        </is>
      </c>
      <c r="I898" t="inlineStr">
        <is>
          <t>694baba01d450d00013662f0</t>
        </is>
      </c>
      <c r="J898" t="inlineStr">
        <is>
          <t/>
        </is>
      </c>
      <c r="K898" t="n">
        <v>0.0</v>
      </c>
      <c r="L898" t="n">
        <v>0.0</v>
      </c>
      <c r="M898" t="n">
        <v>0.0</v>
      </c>
      <c r="N898" t="inlineStr">
        <is>
          <t/>
        </is>
      </c>
      <c r="O898" t="n">
        <v>0.0</v>
      </c>
      <c r="P898" t="n">
        <v>0.0</v>
      </c>
      <c r="Q898" t="inlineStr">
        <is>
          <t/>
        </is>
      </c>
      <c r="R898" t="inlineStr">
        <is>
          <t/>
        </is>
      </c>
      <c r="S898" t="n">
        <v>0.0</v>
      </c>
      <c r="T898" t="n">
        <v>0.0</v>
      </c>
      <c r="U898" t="n">
        <v>0.0</v>
      </c>
      <c r="V898" t="n">
        <v>0.0</v>
      </c>
      <c r="W898" t="inlineStr">
        <is>
          <t/>
        </is>
      </c>
      <c r="X898" t="n">
        <v>0.0</v>
      </c>
      <c r="Y898" t="n">
        <v>0.0</v>
      </c>
      <c r="Z898" t="n">
        <v>0.0</v>
      </c>
      <c r="AA898" t="n">
        <v>0.0</v>
      </c>
      <c r="AB898" t="n">
        <v>0.0</v>
      </c>
      <c r="AC898" t="n">
        <v>0.0</v>
      </c>
      <c r="AD898" t="n">
        <v>0.0</v>
      </c>
      <c r="AE898" t="n">
        <v>0.0</v>
      </c>
      <c r="AF898" t="n">
        <v>0.0</v>
      </c>
      <c r="AG898" t="n">
        <v>0.0</v>
      </c>
      <c r="AH898" t="n">
        <v>0.0</v>
      </c>
      <c r="AI898" t="n">
        <v>0.0</v>
      </c>
      <c r="AJ898" t="n">
        <v>0.0</v>
      </c>
      <c r="AK898" t="inlineStr">
        <is>
          <t/>
        </is>
      </c>
      <c r="AL898" t="inlineStr">
        <is>
          <t/>
        </is>
      </c>
    </row>
    <row r="899">
      <c r="A899" t="inlineStr">
        <is>
          <t>我承认，是虾仁让我开始认真吃饭了</t>
        </is>
      </c>
      <c r="B899" t="inlineStr">
        <is>
          <t>6a437c610000000011013283</t>
        </is>
      </c>
      <c r="C899" s="898" t="n">
        <f>HYPERLINK("https://www.xiaohongshu.com/explore/6a437c610000000011013283?xsec_token=TBHlcLEn6fokKWIeUTfT7Nle9vNsA5Wld6qX7czZO-ulU=&amp;xsec_source=pc_trdark","https://www.xiaohongshu.com/explore/6a437c610000000011013283?xsec_token=TBHlcLEn6fokKWIeUTfT7Nle9vNsA5Wld6qX7czZO-ulU=&amp;xsec_source=pc_trdark")</f>
        <v>0.0</v>
      </c>
      <c r="D899" t="inlineStr">
        <is>
          <t>鲜水湾甄选</t>
        </is>
      </c>
      <c r="E899" t="inlineStr">
        <is>
          <t>27401929161</t>
        </is>
      </c>
      <c r="F899" t="inlineStr">
        <is>
          <t>2026-06-30 16:20:49</t>
        </is>
      </c>
      <c r="G899" t="inlineStr">
        <is>
          <t>图文</t>
        </is>
      </c>
      <c r="H899" t="inlineStr">
        <is>
          <t>手剥虾仁 无冰衣无添加 低脂餐一人食 上班带饭 顺丰包邮 5盒装</t>
        </is>
      </c>
      <c r="I899" t="inlineStr">
        <is>
          <t>694baba01d450d00013662f0</t>
        </is>
      </c>
      <c r="J899" t="inlineStr">
        <is>
          <t/>
        </is>
      </c>
      <c r="K899" t="n">
        <v>0.0</v>
      </c>
      <c r="L899" t="n">
        <v>0.0</v>
      </c>
      <c r="M899" t="n">
        <v>0.0</v>
      </c>
      <c r="N899" t="inlineStr">
        <is>
          <t/>
        </is>
      </c>
      <c r="O899" t="n">
        <v>0.0</v>
      </c>
      <c r="P899" t="n">
        <v>0.0</v>
      </c>
      <c r="Q899" t="inlineStr">
        <is>
          <t/>
        </is>
      </c>
      <c r="R899" t="inlineStr">
        <is>
          <t/>
        </is>
      </c>
      <c r="S899" t="n">
        <v>0.0</v>
      </c>
      <c r="T899" t="n">
        <v>0.0</v>
      </c>
      <c r="U899" t="n">
        <v>0.0</v>
      </c>
      <c r="V899" t="n">
        <v>0.0</v>
      </c>
      <c r="W899" t="inlineStr">
        <is>
          <t/>
        </is>
      </c>
      <c r="X899" t="n">
        <v>0.0</v>
      </c>
      <c r="Y899" t="n">
        <v>0.0</v>
      </c>
      <c r="Z899" t="n">
        <v>0.0</v>
      </c>
      <c r="AA899" t="n">
        <v>0.0</v>
      </c>
      <c r="AB899" t="n">
        <v>0.0</v>
      </c>
      <c r="AC899" t="n">
        <v>0.0</v>
      </c>
      <c r="AD899" t="n">
        <v>0.0</v>
      </c>
      <c r="AE899" t="n">
        <v>0.0</v>
      </c>
      <c r="AF899" t="n">
        <v>0.0</v>
      </c>
      <c r="AG899" t="n">
        <v>0.0</v>
      </c>
      <c r="AH899" t="n">
        <v>0.0</v>
      </c>
      <c r="AI899" t="n">
        <v>0.0</v>
      </c>
      <c r="AJ899" t="n">
        <v>0.0</v>
      </c>
      <c r="AK899" t="inlineStr">
        <is>
          <t/>
        </is>
      </c>
      <c r="AL899" t="inlineStr">
        <is>
          <t/>
        </is>
      </c>
    </row>
    <row r="900">
      <c r="A900" t="inlineStr">
        <is>
          <t>身材管理期吃它，连裤子都穿不住了！🤣</t>
        </is>
      </c>
      <c r="B900" t="inlineStr">
        <is>
          <t>6a435d660000000007028889</t>
        </is>
      </c>
      <c r="C900" s="899" t="n">
        <f>HYPERLINK("https://www.xiaohongshu.com/explore/6a435d660000000007028889?xsec_token=TBHlcLEn6fokKWIeUTfT7NlS4yWZFOdIEfkbO-xWW_GOA=&amp;xsec_source=pc_trdark","https://www.xiaohongshu.com/explore/6a435d660000000007028889?xsec_token=TBHlcLEn6fokKWIeUTfT7NlS4yWZFOdIEfkbO-xWW_GOA=&amp;xsec_source=pc_trdark")</f>
        <v>0.0</v>
      </c>
      <c r="D900" t="inlineStr">
        <is>
          <t>鲜水湾</t>
        </is>
      </c>
      <c r="E900" t="inlineStr">
        <is>
          <t>49316638994</t>
        </is>
      </c>
      <c r="F900" t="inlineStr">
        <is>
          <t>2026-06-30 14:08:38</t>
        </is>
      </c>
      <c r="G900" t="inlineStr">
        <is>
          <t>图文</t>
        </is>
      </c>
      <c r="H900" t="inlineStr">
        <is>
          <t>手剥虾仁 无冰衣无添加 低脂餐一人食 上班带饭 顺丰包邮 5盒装</t>
        </is>
      </c>
      <c r="I900" t="inlineStr">
        <is>
          <t>694baba01d450d00013662f0</t>
        </is>
      </c>
      <c r="J900" t="inlineStr">
        <is>
          <t/>
        </is>
      </c>
      <c r="K900" t="n">
        <v>0.0</v>
      </c>
      <c r="L900" t="n">
        <v>0.0</v>
      </c>
      <c r="M900" t="n">
        <v>0.0</v>
      </c>
      <c r="N900" t="inlineStr">
        <is>
          <t/>
        </is>
      </c>
      <c r="O900" t="n">
        <v>0.0</v>
      </c>
      <c r="P900" t="n">
        <v>0.0</v>
      </c>
      <c r="Q900" t="inlineStr">
        <is>
          <t/>
        </is>
      </c>
      <c r="R900" t="inlineStr">
        <is>
          <t/>
        </is>
      </c>
      <c r="S900" t="n">
        <v>0.0</v>
      </c>
      <c r="T900" t="n">
        <v>0.0</v>
      </c>
      <c r="U900" t="n">
        <v>0.0</v>
      </c>
      <c r="V900" t="n">
        <v>0.0</v>
      </c>
      <c r="W900" t="inlineStr">
        <is>
          <t/>
        </is>
      </c>
      <c r="X900" t="n">
        <v>0.0</v>
      </c>
      <c r="Y900" t="n">
        <v>0.0</v>
      </c>
      <c r="Z900" t="n">
        <v>0.0</v>
      </c>
      <c r="AA900" t="n">
        <v>0.0</v>
      </c>
      <c r="AB900" t="n">
        <v>0.0</v>
      </c>
      <c r="AC900" t="n">
        <v>0.0</v>
      </c>
      <c r="AD900" t="n">
        <v>0.0</v>
      </c>
      <c r="AE900" t="n">
        <v>0.0</v>
      </c>
      <c r="AF900" t="n">
        <v>0.0</v>
      </c>
      <c r="AG900" t="n">
        <v>0.0</v>
      </c>
      <c r="AH900" t="n">
        <v>0.0</v>
      </c>
      <c r="AI900" t="n">
        <v>0.0</v>
      </c>
      <c r="AJ900" t="n">
        <v>0.0</v>
      </c>
      <c r="AK900" t="inlineStr">
        <is>
          <t/>
        </is>
      </c>
      <c r="AL900" t="inlineStr">
        <is>
          <t/>
        </is>
      </c>
    </row>
    <row r="901">
      <c r="A901" t="inlineStr">
        <is>
          <t>下班不想做饭，69带够一周减脂餐！！！</t>
        </is>
      </c>
      <c r="B901" t="inlineStr">
        <is>
          <t>6a435825000000001101b6cd</t>
        </is>
      </c>
      <c r="C901" s="900" t="n">
        <f>HYPERLINK("https://www.xiaohongshu.com/explore/6a435825000000001101b6cd?xsec_token=TBHlcLEn6fokKWIeUTfT7NleTQvXZrZWxdJkwBlZnn6MU=&amp;xsec_source=pc_trdark","https://www.xiaohongshu.com/explore/6a435825000000001101b6cd?xsec_token=TBHlcLEn6fokKWIeUTfT7NleTQvXZrZWxdJkwBlZnn6MU=&amp;xsec_source=pc_trdark")</f>
        <v>0.0</v>
      </c>
      <c r="D901" t="inlineStr">
        <is>
          <t>鲜水湾甄选</t>
        </is>
      </c>
      <c r="E901" t="inlineStr">
        <is>
          <t>27401929161</t>
        </is>
      </c>
      <c r="F901" t="inlineStr">
        <is>
          <t>2026-06-30 13:46:13</t>
        </is>
      </c>
      <c r="G901" t="inlineStr">
        <is>
          <t>图文</t>
        </is>
      </c>
      <c r="H901" t="inlineStr">
        <is>
          <t>手剥虾仁 无冰衣无添加 低脂餐一人食 上班带饭 顺丰包邮 5盒装</t>
        </is>
      </c>
      <c r="I901" t="inlineStr">
        <is>
          <t>694baba01d450d00013662f0</t>
        </is>
      </c>
      <c r="J901" t="inlineStr">
        <is>
          <t/>
        </is>
      </c>
      <c r="K901" t="n">
        <v>0.0</v>
      </c>
      <c r="L901" t="n">
        <v>0.0</v>
      </c>
      <c r="M901" t="n">
        <v>0.0</v>
      </c>
      <c r="N901" t="inlineStr">
        <is>
          <t/>
        </is>
      </c>
      <c r="O901" t="n">
        <v>0.0</v>
      </c>
      <c r="P901" t="n">
        <v>0.0</v>
      </c>
      <c r="Q901" t="inlineStr">
        <is>
          <t/>
        </is>
      </c>
      <c r="R901" t="inlineStr">
        <is>
          <t/>
        </is>
      </c>
      <c r="S901" t="n">
        <v>0.0</v>
      </c>
      <c r="T901" t="n">
        <v>0.0</v>
      </c>
      <c r="U901" t="n">
        <v>0.0</v>
      </c>
      <c r="V901" t="n">
        <v>0.0</v>
      </c>
      <c r="W901" t="inlineStr">
        <is>
          <t/>
        </is>
      </c>
      <c r="X901" t="n">
        <v>0.0</v>
      </c>
      <c r="Y901" t="n">
        <v>0.0</v>
      </c>
      <c r="Z901" t="n">
        <v>0.0</v>
      </c>
      <c r="AA901" t="n">
        <v>0.0</v>
      </c>
      <c r="AB901" t="n">
        <v>0.0</v>
      </c>
      <c r="AC901" t="n">
        <v>0.0</v>
      </c>
      <c r="AD901" t="n">
        <v>0.0</v>
      </c>
      <c r="AE901" t="n">
        <v>0.0</v>
      </c>
      <c r="AF901" t="n">
        <v>0.0</v>
      </c>
      <c r="AG901" t="n">
        <v>0.0</v>
      </c>
      <c r="AH901" t="n">
        <v>0.0</v>
      </c>
      <c r="AI901" t="n">
        <v>0.0</v>
      </c>
      <c r="AJ901" t="n">
        <v>0.0</v>
      </c>
      <c r="AK901" t="inlineStr">
        <is>
          <t/>
        </is>
      </c>
      <c r="AL901" t="inlineStr">
        <is>
          <t/>
        </is>
      </c>
    </row>
    <row r="902">
      <c r="A902" t="inlineStr">
        <is>
          <t>当代年轻人对100块的购买力还有概念吗……</t>
        </is>
      </c>
      <c r="B902" t="inlineStr">
        <is>
          <t>6a43385e000000002100b463</t>
        </is>
      </c>
      <c r="C902" s="901" t="n">
        <f>HYPERLINK("https://www.xiaohongshu.com/explore/6a43385e000000002100b463?xsec_token=TBHlcLEn6fokKWIeUTfT7NlWXIdd2tFUpWQprtQacpQ2Y=&amp;xsec_source=pc_trdark","https://www.xiaohongshu.com/explore/6a43385e000000002100b463?xsec_token=TBHlcLEn6fokKWIeUTfT7NlWXIdd2tFUpWQprtQacpQ2Y=&amp;xsec_source=pc_trdark")</f>
        <v>0.0</v>
      </c>
      <c r="D902" t="inlineStr">
        <is>
          <t>菲菲上班吃什么</t>
        </is>
      </c>
      <c r="E902" t="inlineStr">
        <is>
          <t>49936530607</t>
        </is>
      </c>
      <c r="F902" t="inlineStr">
        <is>
          <t>2026-06-30 11:30:38</t>
        </is>
      </c>
      <c r="G902" t="inlineStr">
        <is>
          <t>图文</t>
        </is>
      </c>
      <c r="H902" t="inlineStr">
        <is>
          <t>手剥虾仁 无冰衣无添加 低脂餐一人食 上班带饭 顺丰包邮 5盒装</t>
        </is>
      </c>
      <c r="I902" t="inlineStr">
        <is>
          <t>694baba01d450d00013662f0</t>
        </is>
      </c>
      <c r="J902" t="inlineStr">
        <is>
          <t/>
        </is>
      </c>
      <c r="K902" t="n">
        <v>0.0</v>
      </c>
      <c r="L902" t="n">
        <v>0.0</v>
      </c>
      <c r="M902" t="n">
        <v>0.0</v>
      </c>
      <c r="N902" t="inlineStr">
        <is>
          <t/>
        </is>
      </c>
      <c r="O902" t="n">
        <v>0.0</v>
      </c>
      <c r="P902" t="n">
        <v>0.0</v>
      </c>
      <c r="Q902" t="inlineStr">
        <is>
          <t/>
        </is>
      </c>
      <c r="R902" t="inlineStr">
        <is>
          <t/>
        </is>
      </c>
      <c r="S902" t="n">
        <v>0.0</v>
      </c>
      <c r="T902" t="n">
        <v>0.0</v>
      </c>
      <c r="U902" t="n">
        <v>0.0</v>
      </c>
      <c r="V902" t="n">
        <v>0.0</v>
      </c>
      <c r="W902" t="inlineStr">
        <is>
          <t/>
        </is>
      </c>
      <c r="X902" t="n">
        <v>0.0</v>
      </c>
      <c r="Y902" t="n">
        <v>0.0</v>
      </c>
      <c r="Z902" t="n">
        <v>0.0</v>
      </c>
      <c r="AA902" t="n">
        <v>0.0</v>
      </c>
      <c r="AB902" t="n">
        <v>0.0</v>
      </c>
      <c r="AC902" t="n">
        <v>0.0</v>
      </c>
      <c r="AD902" t="n">
        <v>0.0</v>
      </c>
      <c r="AE902" t="n">
        <v>0.0</v>
      </c>
      <c r="AF902" t="n">
        <v>0.0</v>
      </c>
      <c r="AG902" t="n">
        <v>0.0</v>
      </c>
      <c r="AH902" t="n">
        <v>0.0</v>
      </c>
      <c r="AI902" t="n">
        <v>0.0</v>
      </c>
      <c r="AJ902" t="n">
        <v>0.0</v>
      </c>
      <c r="AK902" t="inlineStr">
        <is>
          <t/>
        </is>
      </c>
      <c r="AL902" t="inlineStr">
        <is>
          <t/>
        </is>
      </c>
    </row>
    <row r="903">
      <c r="A903" t="inlineStr">
        <is>
          <t>爸妈决定了，推出一人食小包装虾仁</t>
        </is>
      </c>
      <c r="B903" t="inlineStr">
        <is>
          <t>6a4322a40000000006036c71</t>
        </is>
      </c>
      <c r="C903" s="902" t="n">
        <f>HYPERLINK("https://www.xiaohongshu.com/explore/6a4322a40000000006036c71?xsec_token=TBHlcLEn6fokKWIeUTfT7NlQTCGcmhxIXB9Fr5D69EQ3E=&amp;xsec_source=pc_trdark","https://www.xiaohongshu.com/explore/6a4322a40000000006036c71?xsec_token=TBHlcLEn6fokKWIeUTfT7NlQTCGcmhxIXB9Fr5D69EQ3E=&amp;xsec_source=pc_trdark")</f>
        <v>0.0</v>
      </c>
      <c r="D903" t="inlineStr">
        <is>
          <t>鲜水湾</t>
        </is>
      </c>
      <c r="E903" t="inlineStr">
        <is>
          <t>49316638994</t>
        </is>
      </c>
      <c r="F903" t="inlineStr">
        <is>
          <t>2026-06-30 09:57:56</t>
        </is>
      </c>
      <c r="G903" t="inlineStr">
        <is>
          <t>图文</t>
        </is>
      </c>
      <c r="H903" t="inlineStr">
        <is>
          <t>手剥虾仁 无冰衣无添加 低脂餐一人食 上班带饭 顺丰包邮 5盒装</t>
        </is>
      </c>
      <c r="I903" t="inlineStr">
        <is>
          <t>694baba01d450d00013662f0</t>
        </is>
      </c>
      <c r="J903" t="inlineStr">
        <is>
          <t/>
        </is>
      </c>
      <c r="K903" t="n">
        <v>0.0</v>
      </c>
      <c r="L903" t="n">
        <v>0.0</v>
      </c>
      <c r="M903" t="n">
        <v>0.0</v>
      </c>
      <c r="N903" t="inlineStr">
        <is>
          <t/>
        </is>
      </c>
      <c r="O903" t="n">
        <v>0.0</v>
      </c>
      <c r="P903" t="n">
        <v>0.0</v>
      </c>
      <c r="Q903" t="inlineStr">
        <is>
          <t/>
        </is>
      </c>
      <c r="R903" t="inlineStr">
        <is>
          <t/>
        </is>
      </c>
      <c r="S903" t="n">
        <v>0.0</v>
      </c>
      <c r="T903" t="n">
        <v>0.0</v>
      </c>
      <c r="U903" t="n">
        <v>0.0</v>
      </c>
      <c r="V903" t="n">
        <v>0.0</v>
      </c>
      <c r="W903" t="inlineStr">
        <is>
          <t/>
        </is>
      </c>
      <c r="X903" t="n">
        <v>0.0</v>
      </c>
      <c r="Y903" t="n">
        <v>0.0</v>
      </c>
      <c r="Z903" t="n">
        <v>0.0</v>
      </c>
      <c r="AA903" t="n">
        <v>0.0</v>
      </c>
      <c r="AB903" t="n">
        <v>0.0</v>
      </c>
      <c r="AC903" t="n">
        <v>0.0</v>
      </c>
      <c r="AD903" t="n">
        <v>0.0</v>
      </c>
      <c r="AE903" t="n">
        <v>0.0</v>
      </c>
      <c r="AF903" t="n">
        <v>0.0</v>
      </c>
      <c r="AG903" t="n">
        <v>0.0</v>
      </c>
      <c r="AH903" t="n">
        <v>0.0</v>
      </c>
      <c r="AI903" t="n">
        <v>0.0</v>
      </c>
      <c r="AJ903" t="n">
        <v>0.0</v>
      </c>
      <c r="AK903" t="inlineStr">
        <is>
          <t/>
        </is>
      </c>
      <c r="AL903" t="inlineStr">
        <is>
          <t/>
        </is>
      </c>
    </row>
    <row r="904">
      <c r="A904" t="inlineStr">
        <is>
          <t>我想问问，70块吃一个月虾仁是怎么吃的😂😂</t>
        </is>
      </c>
      <c r="B904" t="inlineStr">
        <is>
          <t>6a4279a80000000008024b63</t>
        </is>
      </c>
      <c r="C904" s="903" t="n">
        <f>HYPERLINK("https://www.xiaohongshu.com/explore/6a4279a80000000008024b63?xsec_token=TBuZ9ZXJUs9vOVh3V3slJbLNokRKjEy4J7BdHFQvVehmk=&amp;xsec_source=pc_trdark","https://www.xiaohongshu.com/explore/6a4279a80000000008024b63?xsec_token=TBuZ9ZXJUs9vOVh3V3slJbLNokRKjEy4J7BdHFQvVehmk=&amp;xsec_source=pc_trdark")</f>
        <v>0.0</v>
      </c>
      <c r="D904" t="inlineStr">
        <is>
          <t>菲菲上班吃什么</t>
        </is>
      </c>
      <c r="E904" t="inlineStr">
        <is>
          <t>49936530607</t>
        </is>
      </c>
      <c r="F904" t="inlineStr">
        <is>
          <t>2026-06-29 22:34:00</t>
        </is>
      </c>
      <c r="G904" t="inlineStr">
        <is>
          <t>图文</t>
        </is>
      </c>
      <c r="H904" t="inlineStr">
        <is>
          <t>手剥虾仁 无冰衣无添加 低脂餐一人食 上班带饭 顺丰包邮 5盒装</t>
        </is>
      </c>
      <c r="I904" t="inlineStr">
        <is>
          <t>694baba01d450d00013662f0</t>
        </is>
      </c>
      <c r="J904" t="inlineStr">
        <is>
          <t/>
        </is>
      </c>
      <c r="K904" t="n">
        <v>0.0</v>
      </c>
      <c r="L904" t="n">
        <v>0.0</v>
      </c>
      <c r="M904" t="n">
        <v>0.0</v>
      </c>
      <c r="N904" t="inlineStr">
        <is>
          <t/>
        </is>
      </c>
      <c r="O904" t="n">
        <v>0.0</v>
      </c>
      <c r="P904" t="n">
        <v>0.0</v>
      </c>
      <c r="Q904" t="inlineStr">
        <is>
          <t/>
        </is>
      </c>
      <c r="R904" t="inlineStr">
        <is>
          <t/>
        </is>
      </c>
      <c r="S904" t="n">
        <v>0.0</v>
      </c>
      <c r="T904" t="n">
        <v>0.0</v>
      </c>
      <c r="U904" t="n">
        <v>0.0</v>
      </c>
      <c r="V904" t="n">
        <v>0.0</v>
      </c>
      <c r="W904" t="inlineStr">
        <is>
          <t/>
        </is>
      </c>
      <c r="X904" t="n">
        <v>0.0</v>
      </c>
      <c r="Y904" t="n">
        <v>0.0</v>
      </c>
      <c r="Z904" t="n">
        <v>0.0</v>
      </c>
      <c r="AA904" t="n">
        <v>0.0</v>
      </c>
      <c r="AB904" t="n">
        <v>0.0</v>
      </c>
      <c r="AC904" t="n">
        <v>0.0</v>
      </c>
      <c r="AD904" t="n">
        <v>0.0</v>
      </c>
      <c r="AE904" t="n">
        <v>0.0</v>
      </c>
      <c r="AF904" t="n">
        <v>0.0</v>
      </c>
      <c r="AG904" t="n">
        <v>0.0</v>
      </c>
      <c r="AH904" t="n">
        <v>0.0</v>
      </c>
      <c r="AI904" t="n">
        <v>0.0</v>
      </c>
      <c r="AJ904" t="n">
        <v>0.0</v>
      </c>
      <c r="AK904" t="inlineStr">
        <is>
          <t/>
        </is>
      </c>
      <c r="AL904" t="inlineStr">
        <is>
          <t/>
        </is>
      </c>
    </row>
    <row r="905">
      <c r="A905" t="inlineStr">
        <is>
          <t>区区69元，承包了我一星期的减脂餐✅</t>
        </is>
      </c>
      <c r="B905" t="inlineStr">
        <is>
          <t>6a426894000000001102e9d5</t>
        </is>
      </c>
      <c r="C905" s="904" t="n">
        <f>HYPERLINK("https://www.xiaohongshu.com/explore/6a426894000000001102e9d5?xsec_token=TBuZ9ZXJUs9vOVh3V3slJbLDOsJfkKcvN5gAV5-eFnV2w=&amp;xsec_source=pc_trdark","https://www.xiaohongshu.com/explore/6a426894000000001102e9d5?xsec_token=TBuZ9ZXJUs9vOVh3V3slJbLDOsJfkKcvN5gAV5-eFnV2w=&amp;xsec_source=pc_trdark")</f>
        <v>0.0</v>
      </c>
      <c r="D905" t="inlineStr">
        <is>
          <t>鲜水湾甄选</t>
        </is>
      </c>
      <c r="E905" t="inlineStr">
        <is>
          <t>27401929161</t>
        </is>
      </c>
      <c r="F905" t="inlineStr">
        <is>
          <t>2026-06-29 20:44:04</t>
        </is>
      </c>
      <c r="G905" t="inlineStr">
        <is>
          <t>图文</t>
        </is>
      </c>
      <c r="H905" t="inlineStr">
        <is>
          <t>手剥虾仁 无冰衣无添加 低脂餐一人食 上班带饭 顺丰包邮 5盒装</t>
        </is>
      </c>
      <c r="I905" t="inlineStr">
        <is>
          <t>694baba01d450d00013662f0</t>
        </is>
      </c>
      <c r="J905" t="inlineStr">
        <is>
          <t/>
        </is>
      </c>
      <c r="K905" t="n">
        <v>0.0</v>
      </c>
      <c r="L905" t="n">
        <v>0.0</v>
      </c>
      <c r="M905" t="n">
        <v>0.0</v>
      </c>
      <c r="N905" t="inlineStr">
        <is>
          <t/>
        </is>
      </c>
      <c r="O905" t="n">
        <v>0.0</v>
      </c>
      <c r="P905" t="n">
        <v>0.0</v>
      </c>
      <c r="Q905" t="inlineStr">
        <is>
          <t/>
        </is>
      </c>
      <c r="R905" t="inlineStr">
        <is>
          <t/>
        </is>
      </c>
      <c r="S905" t="n">
        <v>0.0</v>
      </c>
      <c r="T905" t="n">
        <v>0.0</v>
      </c>
      <c r="U905" t="n">
        <v>0.0</v>
      </c>
      <c r="V905" t="n">
        <v>0.0</v>
      </c>
      <c r="W905" t="inlineStr">
        <is>
          <t/>
        </is>
      </c>
      <c r="X905" t="n">
        <v>0.0</v>
      </c>
      <c r="Y905" t="n">
        <v>0.0</v>
      </c>
      <c r="Z905" t="n">
        <v>0.0</v>
      </c>
      <c r="AA905" t="n">
        <v>0.0</v>
      </c>
      <c r="AB905" t="n">
        <v>0.0</v>
      </c>
      <c r="AC905" t="n">
        <v>0.0</v>
      </c>
      <c r="AD905" t="n">
        <v>0.0</v>
      </c>
      <c r="AE905" t="n">
        <v>0.0</v>
      </c>
      <c r="AF905" t="n">
        <v>0.0</v>
      </c>
      <c r="AG905" t="n">
        <v>0.0</v>
      </c>
      <c r="AH905" t="n">
        <v>0.0</v>
      </c>
      <c r="AI905" t="n">
        <v>0.0</v>
      </c>
      <c r="AJ905" t="n">
        <v>0.0</v>
      </c>
      <c r="AK905" t="inlineStr">
        <is>
          <t/>
        </is>
      </c>
      <c r="AL905" t="inlineStr">
        <is>
          <t/>
        </is>
      </c>
    </row>
    <row r="906">
      <c r="A906" t="inlineStr">
        <is>
          <t>减脂人的冰箱，区区100块搞定半个月轻食餐！</t>
        </is>
      </c>
      <c r="B906" t="inlineStr">
        <is>
          <t>6a426836000000000702e443</t>
        </is>
      </c>
      <c r="C906" s="905" t="n">
        <f>HYPERLINK("https://www.xiaohongshu.com/explore/6a426836000000000702e443?xsec_token=TBuZ9ZXJUs9vOVh3V3slJbLH9fD4IC0zkrESOKe3zx4gs=&amp;xsec_source=pc_trdark","https://www.xiaohongshu.com/explore/6a426836000000000702e443?xsec_token=TBuZ9ZXJUs9vOVh3V3slJbLH9fD4IC0zkrESOKe3zx4gs=&amp;xsec_source=pc_trdark")</f>
        <v>0.0</v>
      </c>
      <c r="D906" t="inlineStr">
        <is>
          <t>菲菲上班吃什么</t>
        </is>
      </c>
      <c r="E906" t="inlineStr">
        <is>
          <t>49936530607</t>
        </is>
      </c>
      <c r="F906" t="inlineStr">
        <is>
          <t>2026-06-29 20:42:30</t>
        </is>
      </c>
      <c r="G906" t="inlineStr">
        <is>
          <t>图文</t>
        </is>
      </c>
      <c r="H906" t="inlineStr">
        <is>
          <t>手剥虾仁 无冰衣无添加 低脂餐一人食 上班带饭 顺丰包邮 5盒装</t>
        </is>
      </c>
      <c r="I906" t="inlineStr">
        <is>
          <t>694baba01d450d00013662f0</t>
        </is>
      </c>
      <c r="J906" t="inlineStr">
        <is>
          <t/>
        </is>
      </c>
      <c r="K906" t="n">
        <v>0.0</v>
      </c>
      <c r="L906" t="n">
        <v>0.0</v>
      </c>
      <c r="M906" t="n">
        <v>0.0</v>
      </c>
      <c r="N906" t="inlineStr">
        <is>
          <t/>
        </is>
      </c>
      <c r="O906" t="n">
        <v>0.0</v>
      </c>
      <c r="P906" t="n">
        <v>0.0</v>
      </c>
      <c r="Q906" t="inlineStr">
        <is>
          <t/>
        </is>
      </c>
      <c r="R906" t="inlineStr">
        <is>
          <t/>
        </is>
      </c>
      <c r="S906" t="n">
        <v>0.0</v>
      </c>
      <c r="T906" t="n">
        <v>0.0</v>
      </c>
      <c r="U906" t="n">
        <v>0.0</v>
      </c>
      <c r="V906" t="n">
        <v>0.0</v>
      </c>
      <c r="W906" t="inlineStr">
        <is>
          <t/>
        </is>
      </c>
      <c r="X906" t="n">
        <v>0.0</v>
      </c>
      <c r="Y906" t="n">
        <v>0.0</v>
      </c>
      <c r="Z906" t="n">
        <v>0.0</v>
      </c>
      <c r="AA906" t="n">
        <v>0.0</v>
      </c>
      <c r="AB906" t="n">
        <v>0.0</v>
      </c>
      <c r="AC906" t="n">
        <v>0.0</v>
      </c>
      <c r="AD906" t="n">
        <v>0.0</v>
      </c>
      <c r="AE906" t="n">
        <v>0.0</v>
      </c>
      <c r="AF906" t="n">
        <v>0.0</v>
      </c>
      <c r="AG906" t="n">
        <v>0.0</v>
      </c>
      <c r="AH906" t="n">
        <v>0.0</v>
      </c>
      <c r="AI906" t="n">
        <v>0.0</v>
      </c>
      <c r="AJ906" t="n">
        <v>0.0</v>
      </c>
      <c r="AK906" t="inlineStr">
        <is>
          <t/>
        </is>
      </c>
      <c r="AL906" t="inlineStr">
        <is>
          <t/>
        </is>
      </c>
    </row>
    <row r="907">
      <c r="A907" t="inlineStr">
        <is>
          <t>同事对于我每天吃一盒虾仁，表示很奢侈！</t>
        </is>
      </c>
      <c r="B907" t="inlineStr">
        <is>
          <t>6a41fd7c000000000f01ee4f</t>
        </is>
      </c>
      <c r="C907" s="906" t="n">
        <f>HYPERLINK("https://www.xiaohongshu.com/explore/6a41fd7c000000000f01ee4f?xsec_token=TBRNUk5wH66TXTF2VcDeTk6cGL6dS4eFl3Uz6P_gTTGto=&amp;xsec_source=pc_trdark","https://www.xiaohongshu.com/explore/6a41fd7c000000000f01ee4f?xsec_token=TBRNUk5wH66TXTF2VcDeTk6cGL6dS4eFl3Uz6P_gTTGto=&amp;xsec_source=pc_trdark")</f>
        <v>0.0</v>
      </c>
      <c r="D907" t="inlineStr">
        <is>
          <t>鲜水湾甄选</t>
        </is>
      </c>
      <c r="E907" t="inlineStr">
        <is>
          <t>27401929161</t>
        </is>
      </c>
      <c r="F907" t="inlineStr">
        <is>
          <t>2026-06-29 13:07:09</t>
        </is>
      </c>
      <c r="G907" t="inlineStr">
        <is>
          <t>图文</t>
        </is>
      </c>
      <c r="H907" t="inlineStr">
        <is>
          <t>手剥虾仁 无冰衣无添加 低脂餐一人食 上班带饭 顺丰包邮 5盒装</t>
        </is>
      </c>
      <c r="I907" t="inlineStr">
        <is>
          <t>694baba01d450d00013662f0</t>
        </is>
      </c>
      <c r="J907" t="inlineStr">
        <is>
          <t/>
        </is>
      </c>
      <c r="K907" t="n">
        <v>0.0</v>
      </c>
      <c r="L907" t="n">
        <v>0.0</v>
      </c>
      <c r="M907" t="n">
        <v>0.0</v>
      </c>
      <c r="N907" t="inlineStr">
        <is>
          <t/>
        </is>
      </c>
      <c r="O907" t="n">
        <v>0.0</v>
      </c>
      <c r="P907" t="n">
        <v>0.0</v>
      </c>
      <c r="Q907" t="inlineStr">
        <is>
          <t/>
        </is>
      </c>
      <c r="R907" t="inlineStr">
        <is>
          <t/>
        </is>
      </c>
      <c r="S907" t="n">
        <v>0.0</v>
      </c>
      <c r="T907" t="n">
        <v>0.0</v>
      </c>
      <c r="U907" t="n">
        <v>0.0</v>
      </c>
      <c r="V907" t="n">
        <v>0.0</v>
      </c>
      <c r="W907" t="inlineStr">
        <is>
          <t/>
        </is>
      </c>
      <c r="X907" t="n">
        <v>0.0</v>
      </c>
      <c r="Y907" t="n">
        <v>0.0</v>
      </c>
      <c r="Z907" t="n">
        <v>0.0</v>
      </c>
      <c r="AA907" t="n">
        <v>0.0</v>
      </c>
      <c r="AB907" t="n">
        <v>0.0</v>
      </c>
      <c r="AC907" t="n">
        <v>0.0</v>
      </c>
      <c r="AD907" t="n">
        <v>0.0</v>
      </c>
      <c r="AE907" t="n">
        <v>0.0</v>
      </c>
      <c r="AF907" t="n">
        <v>0.0</v>
      </c>
      <c r="AG907" t="n">
        <v>0.0</v>
      </c>
      <c r="AH907" t="n">
        <v>0.0</v>
      </c>
      <c r="AI907" t="n">
        <v>0.0</v>
      </c>
      <c r="AJ907" t="n">
        <v>0.0</v>
      </c>
      <c r="AK907" t="inlineStr">
        <is>
          <t/>
        </is>
      </c>
      <c r="AL907" t="inlineStr">
        <is>
          <t/>
        </is>
      </c>
    </row>
    <row r="908">
      <c r="A908" t="inlineStr">
        <is>
          <t>原来 69 块真的能吃这么久😎</t>
        </is>
      </c>
      <c r="B908" t="inlineStr">
        <is>
          <t>6a41d24f00000000070273ff</t>
        </is>
      </c>
      <c r="C908" s="907" t="n">
        <f>HYPERLINK("https://www.xiaohongshu.com/explore/6a41d24f00000000070273ff?xsec_token=TBRNUk5wH66TXTF2VcDeTk6V7ckQufLiT8Nkp_y8MgB0E=&amp;xsec_source=pc_trdark","https://www.xiaohongshu.com/explore/6a41d24f00000000070273ff?xsec_token=TBRNUk5wH66TXTF2VcDeTk6V7ckQufLiT8Nkp_y8MgB0E=&amp;xsec_source=pc_trdark")</f>
        <v>0.0</v>
      </c>
      <c r="D908" t="inlineStr">
        <is>
          <t>婉婉上班吃什么</t>
        </is>
      </c>
      <c r="E908" t="inlineStr">
        <is>
          <t>11434449706</t>
        </is>
      </c>
      <c r="F908" t="inlineStr">
        <is>
          <t>2026-06-29 10:02:55</t>
        </is>
      </c>
      <c r="G908" t="inlineStr">
        <is>
          <t>图文</t>
        </is>
      </c>
      <c r="H908" t="inlineStr">
        <is>
          <t>手剥虾仁 无冰衣无添加 低脂餐一人食 上班带饭 顺丰包邮 5盒装</t>
        </is>
      </c>
      <c r="I908" t="inlineStr">
        <is>
          <t>694baba01d450d00013662f0</t>
        </is>
      </c>
      <c r="J908" t="inlineStr">
        <is>
          <t/>
        </is>
      </c>
      <c r="K908" t="n">
        <v>0.0</v>
      </c>
      <c r="L908" t="n">
        <v>0.0</v>
      </c>
      <c r="M908" t="n">
        <v>0.0</v>
      </c>
      <c r="N908" t="inlineStr">
        <is>
          <t/>
        </is>
      </c>
      <c r="O908" t="n">
        <v>0.0</v>
      </c>
      <c r="P908" t="n">
        <v>0.0</v>
      </c>
      <c r="Q908" t="inlineStr">
        <is>
          <t/>
        </is>
      </c>
      <c r="R908" t="inlineStr">
        <is>
          <t/>
        </is>
      </c>
      <c r="S908" t="n">
        <v>0.0</v>
      </c>
      <c r="T908" t="n">
        <v>0.0</v>
      </c>
      <c r="U908" t="n">
        <v>0.0</v>
      </c>
      <c r="V908" t="n">
        <v>0.0</v>
      </c>
      <c r="W908" t="inlineStr">
        <is>
          <t/>
        </is>
      </c>
      <c r="X908" t="n">
        <v>0.0</v>
      </c>
      <c r="Y908" t="n">
        <v>0.0</v>
      </c>
      <c r="Z908" t="n">
        <v>0.0</v>
      </c>
      <c r="AA908" t="n">
        <v>0.0</v>
      </c>
      <c r="AB908" t="n">
        <v>0.0</v>
      </c>
      <c r="AC908" t="n">
        <v>0.0</v>
      </c>
      <c r="AD908" t="n">
        <v>0.0</v>
      </c>
      <c r="AE908" t="n">
        <v>0.0</v>
      </c>
      <c r="AF908" t="n">
        <v>0.0</v>
      </c>
      <c r="AG908" t="n">
        <v>0.0</v>
      </c>
      <c r="AH908" t="n">
        <v>0.0</v>
      </c>
      <c r="AI908" t="n">
        <v>0.0</v>
      </c>
      <c r="AJ908" t="n">
        <v>0.0</v>
      </c>
      <c r="AK908" t="inlineStr">
        <is>
          <t/>
        </is>
      </c>
      <c r="AL908" t="inlineStr">
        <is>
          <t/>
        </is>
      </c>
    </row>
    <row r="909">
      <c r="A909" t="inlineStr">
        <is>
          <t>我承认，是虾仁让我开始认真吃饭了</t>
        </is>
      </c>
      <c r="B909" t="inlineStr">
        <is>
          <t>6a411b61000000000f028dea</t>
        </is>
      </c>
      <c r="C909" s="908" t="n">
        <f>HYPERLINK("https://www.xiaohongshu.com/explore/6a411b61000000000f028dea?xsec_token=TBRNUk5wH66TXTF2VcDeTk6UDPIEOK7fDuQtXZzhog_uA=&amp;xsec_source=pc_trdark","https://www.xiaohongshu.com/explore/6a411b61000000000f028dea?xsec_token=TBRNUk5wH66TXTF2VcDeTk6UDPIEOK7fDuQtXZzhog_uA=&amp;xsec_source=pc_trdark")</f>
        <v>0.0</v>
      </c>
      <c r="D909" t="inlineStr">
        <is>
          <t>鲜水湾甄选</t>
        </is>
      </c>
      <c r="E909" t="inlineStr">
        <is>
          <t>27401929161</t>
        </is>
      </c>
      <c r="F909" t="inlineStr">
        <is>
          <t>2026-06-28 21:02:25</t>
        </is>
      </c>
      <c r="G909" t="inlineStr">
        <is>
          <t>图文</t>
        </is>
      </c>
      <c r="H909" t="inlineStr">
        <is>
          <t>手剥虾仁 无冰衣无添加 低脂餐一人食 上班带饭 顺丰包邮 5盒装</t>
        </is>
      </c>
      <c r="I909" t="inlineStr">
        <is>
          <t>694baba01d450d00013662f0</t>
        </is>
      </c>
      <c r="J909" t="inlineStr">
        <is>
          <t/>
        </is>
      </c>
      <c r="K909" t="n">
        <v>0.0</v>
      </c>
      <c r="L909" t="n">
        <v>0.0</v>
      </c>
      <c r="M909" t="n">
        <v>0.0</v>
      </c>
      <c r="N909" t="inlineStr">
        <is>
          <t/>
        </is>
      </c>
      <c r="O909" t="n">
        <v>0.0</v>
      </c>
      <c r="P909" t="n">
        <v>0.0</v>
      </c>
      <c r="Q909" t="inlineStr">
        <is>
          <t/>
        </is>
      </c>
      <c r="R909" t="inlineStr">
        <is>
          <t/>
        </is>
      </c>
      <c r="S909" t="n">
        <v>0.0</v>
      </c>
      <c r="T909" t="n">
        <v>0.0</v>
      </c>
      <c r="U909" t="n">
        <v>0.0</v>
      </c>
      <c r="V909" t="n">
        <v>0.0</v>
      </c>
      <c r="W909" t="inlineStr">
        <is>
          <t/>
        </is>
      </c>
      <c r="X909" t="n">
        <v>0.0</v>
      </c>
      <c r="Y909" t="n">
        <v>0.0</v>
      </c>
      <c r="Z909" t="n">
        <v>0.0</v>
      </c>
      <c r="AA909" t="n">
        <v>0.0</v>
      </c>
      <c r="AB909" t="n">
        <v>0.0</v>
      </c>
      <c r="AC909" t="n">
        <v>0.0</v>
      </c>
      <c r="AD909" t="n">
        <v>0.0</v>
      </c>
      <c r="AE909" t="n">
        <v>0.0</v>
      </c>
      <c r="AF909" t="n">
        <v>0.0</v>
      </c>
      <c r="AG909" t="n">
        <v>0.0</v>
      </c>
      <c r="AH909" t="n">
        <v>0.0</v>
      </c>
      <c r="AI909" t="n">
        <v>0.0</v>
      </c>
      <c r="AJ909" t="n">
        <v>0.0</v>
      </c>
      <c r="AK909" t="inlineStr">
        <is>
          <t/>
        </is>
      </c>
      <c r="AL909" t="inlineStr">
        <is>
          <t/>
        </is>
      </c>
    </row>
    <row r="910">
      <c r="A910" t="inlineStr">
        <is>
          <t>和老爸决定，上架了一人食方便携带的小包装</t>
        </is>
      </c>
      <c r="B910" t="inlineStr">
        <is>
          <t>6a411b440000000021009837</t>
        </is>
      </c>
      <c r="C910" s="909" t="n">
        <f>HYPERLINK("https://www.xiaohongshu.com/explore/6a411b440000000021009837?xsec_token=TBRNUk5wH66TXTF2VcDeTk6QmRHVH9H63jgDqb98ri4DA=&amp;xsec_source=pc_trdark","https://www.xiaohongshu.com/explore/6a411b440000000021009837?xsec_token=TBRNUk5wH66TXTF2VcDeTk6QmRHVH9H63jgDqb98ri4DA=&amp;xsec_source=pc_trdark")</f>
        <v>0.0</v>
      </c>
      <c r="D910" t="inlineStr">
        <is>
          <t>菲菲上班吃什么</t>
        </is>
      </c>
      <c r="E910" t="inlineStr">
        <is>
          <t>49936530607</t>
        </is>
      </c>
      <c r="F910" t="inlineStr">
        <is>
          <t>2026-06-28 21:01:56</t>
        </is>
      </c>
      <c r="G910" t="inlineStr">
        <is>
          <t>图文</t>
        </is>
      </c>
      <c r="H910" t="inlineStr">
        <is>
          <t>手剥虾仁 无冰衣无添加 低脂餐一人食 上班带饭 顺丰包邮 5盒装</t>
        </is>
      </c>
      <c r="I910" t="inlineStr">
        <is>
          <t>694baba01d450d00013662f0</t>
        </is>
      </c>
      <c r="J910" t="inlineStr">
        <is>
          <t/>
        </is>
      </c>
      <c r="K910" t="n">
        <v>0.0</v>
      </c>
      <c r="L910" t="n">
        <v>0.0</v>
      </c>
      <c r="M910" t="n">
        <v>0.0</v>
      </c>
      <c r="N910" t="inlineStr">
        <is>
          <t/>
        </is>
      </c>
      <c r="O910" t="n">
        <v>0.0</v>
      </c>
      <c r="P910" t="n">
        <v>0.0</v>
      </c>
      <c r="Q910" t="inlineStr">
        <is>
          <t/>
        </is>
      </c>
      <c r="R910" t="inlineStr">
        <is>
          <t/>
        </is>
      </c>
      <c r="S910" t="n">
        <v>0.0</v>
      </c>
      <c r="T910" t="n">
        <v>0.0</v>
      </c>
      <c r="U910" t="n">
        <v>0.0</v>
      </c>
      <c r="V910" t="n">
        <v>0.0</v>
      </c>
      <c r="W910" t="inlineStr">
        <is>
          <t/>
        </is>
      </c>
      <c r="X910" t="n">
        <v>0.0</v>
      </c>
      <c r="Y910" t="n">
        <v>0.0</v>
      </c>
      <c r="Z910" t="n">
        <v>0.0</v>
      </c>
      <c r="AA910" t="n">
        <v>0.0</v>
      </c>
      <c r="AB910" t="n">
        <v>0.0</v>
      </c>
      <c r="AC910" t="n">
        <v>0.0</v>
      </c>
      <c r="AD910" t="n">
        <v>0.0</v>
      </c>
      <c r="AE910" t="n">
        <v>0.0</v>
      </c>
      <c r="AF910" t="n">
        <v>0.0</v>
      </c>
      <c r="AG910" t="n">
        <v>0.0</v>
      </c>
      <c r="AH910" t="n">
        <v>0.0</v>
      </c>
      <c r="AI910" t="n">
        <v>0.0</v>
      </c>
      <c r="AJ910" t="n">
        <v>0.0</v>
      </c>
      <c r="AK910" t="inlineStr">
        <is>
          <t/>
        </is>
      </c>
      <c r="AL910" t="inlineStr">
        <is>
          <t/>
        </is>
      </c>
    </row>
    <row r="911">
      <c r="A911" t="inlineStr">
        <is>
          <t>早八人5分钟便当，同事以为我点外卖😎</t>
        </is>
      </c>
      <c r="B911" t="inlineStr">
        <is>
          <t>6a41037100000000060343a6</t>
        </is>
      </c>
      <c r="C911" s="910" t="n">
        <f>HYPERLINK("https://www.xiaohongshu.com/explore/6a41037100000000060343a6?xsec_token=TBRNUk5wH66TXTF2VcDeTk6ZxG2J20zMAxqzxHvQx_PmE=&amp;xsec_source=pc_trdark","https://www.xiaohongshu.com/explore/6a41037100000000060343a6?xsec_token=TBRNUk5wH66TXTF2VcDeTk6ZxG2J20zMAxqzxHvQx_PmE=&amp;xsec_source=pc_trdark")</f>
        <v>0.0</v>
      </c>
      <c r="D911" t="inlineStr">
        <is>
          <t>菲菲上班吃什么</t>
        </is>
      </c>
      <c r="E911" t="inlineStr">
        <is>
          <t>49936530607</t>
        </is>
      </c>
      <c r="F911" t="inlineStr">
        <is>
          <t>2026-06-28 19:20:17</t>
        </is>
      </c>
      <c r="G911" t="inlineStr">
        <is>
          <t>图文</t>
        </is>
      </c>
      <c r="H911" t="inlineStr">
        <is>
          <t>手剥虾仁 无冰衣无添加 低脂餐一人食 上班带饭 顺丰包邮 5盒装</t>
        </is>
      </c>
      <c r="I911" t="inlineStr">
        <is>
          <t>694baba01d450d00013662f0</t>
        </is>
      </c>
      <c r="J911" t="inlineStr">
        <is>
          <t/>
        </is>
      </c>
      <c r="K911" t="n">
        <v>0.0</v>
      </c>
      <c r="L911" t="n">
        <v>0.0</v>
      </c>
      <c r="M911" t="n">
        <v>0.0</v>
      </c>
      <c r="N911" t="inlineStr">
        <is>
          <t/>
        </is>
      </c>
      <c r="O911" t="n">
        <v>0.0</v>
      </c>
      <c r="P911" t="n">
        <v>0.0</v>
      </c>
      <c r="Q911" t="inlineStr">
        <is>
          <t/>
        </is>
      </c>
      <c r="R911" t="inlineStr">
        <is>
          <t/>
        </is>
      </c>
      <c r="S911" t="n">
        <v>0.0</v>
      </c>
      <c r="T911" t="n">
        <v>0.0</v>
      </c>
      <c r="U911" t="n">
        <v>0.0</v>
      </c>
      <c r="V911" t="n">
        <v>0.0</v>
      </c>
      <c r="W911" t="inlineStr">
        <is>
          <t/>
        </is>
      </c>
      <c r="X911" t="n">
        <v>0.0</v>
      </c>
      <c r="Y911" t="n">
        <v>0.0</v>
      </c>
      <c r="Z911" t="n">
        <v>0.0</v>
      </c>
      <c r="AA911" t="n">
        <v>0.0</v>
      </c>
      <c r="AB911" t="n">
        <v>0.0</v>
      </c>
      <c r="AC911" t="n">
        <v>0.0</v>
      </c>
      <c r="AD911" t="n">
        <v>0.0</v>
      </c>
      <c r="AE911" t="n">
        <v>0.0</v>
      </c>
      <c r="AF911" t="n">
        <v>0.0</v>
      </c>
      <c r="AG911" t="n">
        <v>0.0</v>
      </c>
      <c r="AH911" t="n">
        <v>0.0</v>
      </c>
      <c r="AI911" t="n">
        <v>0.0</v>
      </c>
      <c r="AJ911" t="n">
        <v>0.0</v>
      </c>
      <c r="AK911" t="inlineStr">
        <is>
          <t/>
        </is>
      </c>
      <c r="AL911" t="inlineStr">
        <is>
          <t/>
        </is>
      </c>
    </row>
    <row r="912">
      <c r="A912" t="inlineStr">
        <is>
          <t>你永远可以相信一个减脂人的选择！！</t>
        </is>
      </c>
      <c r="B912" t="inlineStr">
        <is>
          <t>6a40e7a80000000007012023</t>
        </is>
      </c>
      <c r="C912" s="911" t="n">
        <f>HYPERLINK("https://www.xiaohongshu.com/explore/6a40e7a80000000007012023?xsec_token=TB2xvXhU7LkdyqBoKVG9S0jen7fnbkhtAZvCqGq4UcsJM=&amp;xsec_source=pc_trdark","https://www.xiaohongshu.com/explore/6a40e7a80000000007012023?xsec_token=TB2xvXhU7LkdyqBoKVG9S0jen7fnbkhtAZvCqGq4UcsJM=&amp;xsec_source=pc_trdark")</f>
        <v>0.0</v>
      </c>
      <c r="D912" t="inlineStr">
        <is>
          <t>菲菲上班吃什么</t>
        </is>
      </c>
      <c r="E912" t="inlineStr">
        <is>
          <t>49936530607</t>
        </is>
      </c>
      <c r="F912" t="inlineStr">
        <is>
          <t>2026-06-28 17:21:44</t>
        </is>
      </c>
      <c r="G912" t="inlineStr">
        <is>
          <t>图文</t>
        </is>
      </c>
      <c r="H912" t="inlineStr">
        <is>
          <t>手剥虾仁 无冰衣无添加 低脂餐一人食 上班带饭 顺丰包邮 5盒装</t>
        </is>
      </c>
      <c r="I912" t="inlineStr">
        <is>
          <t>694baba01d450d00013662f0</t>
        </is>
      </c>
      <c r="J912" t="inlineStr">
        <is>
          <t/>
        </is>
      </c>
      <c r="K912" t="n">
        <v>0.0</v>
      </c>
      <c r="L912" t="n">
        <v>0.0</v>
      </c>
      <c r="M912" t="n">
        <v>0.0</v>
      </c>
      <c r="N912" t="inlineStr">
        <is>
          <t/>
        </is>
      </c>
      <c r="O912" t="n">
        <v>0.0</v>
      </c>
      <c r="P912" t="n">
        <v>0.0</v>
      </c>
      <c r="Q912" t="inlineStr">
        <is>
          <t/>
        </is>
      </c>
      <c r="R912" t="inlineStr">
        <is>
          <t/>
        </is>
      </c>
      <c r="S912" t="n">
        <v>0.0</v>
      </c>
      <c r="T912" t="n">
        <v>0.0</v>
      </c>
      <c r="U912" t="n">
        <v>0.0</v>
      </c>
      <c r="V912" t="n">
        <v>0.0</v>
      </c>
      <c r="W912" t="inlineStr">
        <is>
          <t/>
        </is>
      </c>
      <c r="X912" t="n">
        <v>0.0</v>
      </c>
      <c r="Y912" t="n">
        <v>0.0</v>
      </c>
      <c r="Z912" t="n">
        <v>0.0</v>
      </c>
      <c r="AA912" t="n">
        <v>0.0</v>
      </c>
      <c r="AB912" t="n">
        <v>0.0</v>
      </c>
      <c r="AC912" t="n">
        <v>0.0</v>
      </c>
      <c r="AD912" t="n">
        <v>0.0</v>
      </c>
      <c r="AE912" t="n">
        <v>0.0</v>
      </c>
      <c r="AF912" t="n">
        <v>0.0</v>
      </c>
      <c r="AG912" t="n">
        <v>0.0</v>
      </c>
      <c r="AH912" t="n">
        <v>0.0</v>
      </c>
      <c r="AI912" t="n">
        <v>0.0</v>
      </c>
      <c r="AJ912" t="n">
        <v>0.0</v>
      </c>
      <c r="AK912" t="inlineStr">
        <is>
          <t/>
        </is>
      </c>
      <c r="AL912" t="inlineStr">
        <is>
          <t/>
        </is>
      </c>
    </row>
    <row r="913">
      <c r="A913" t="inlineStr">
        <is>
          <t>同事以为我天天点轻食🥹</t>
        </is>
      </c>
      <c r="B913" t="inlineStr">
        <is>
          <t>6a40cf3600000000110048e6</t>
        </is>
      </c>
      <c r="C913" s="912" t="n">
        <f>HYPERLINK("https://www.xiaohongshu.com/explore/6a40cf3600000000110048e6?xsec_token=TB2xvXhU7LkdyqBoKVG9S0jQGkHDvk0QuVMEA6fykNOyA=&amp;xsec_source=pc_trdark","https://www.xiaohongshu.com/explore/6a40cf3600000000110048e6?xsec_token=TB2xvXhU7LkdyqBoKVG9S0jQGkHDvk0QuVMEA6fykNOyA=&amp;xsec_source=pc_trdark")</f>
        <v>0.0</v>
      </c>
      <c r="D913" t="inlineStr">
        <is>
          <t>鲜水湾甄选</t>
        </is>
      </c>
      <c r="E913" t="inlineStr">
        <is>
          <t>27401929161</t>
        </is>
      </c>
      <c r="F913" t="inlineStr">
        <is>
          <t>2026-06-28 15:37:26</t>
        </is>
      </c>
      <c r="G913" t="inlineStr">
        <is>
          <t>图文</t>
        </is>
      </c>
      <c r="H913" t="inlineStr">
        <is>
          <t>手剥虾仁 无冰衣无添加 低脂餐一人食 上班带饭 顺丰包邮 5盒装</t>
        </is>
      </c>
      <c r="I913" t="inlineStr">
        <is>
          <t>694baba01d450d00013662f0</t>
        </is>
      </c>
      <c r="J913" t="inlineStr">
        <is>
          <t/>
        </is>
      </c>
      <c r="K913" t="n">
        <v>0.0</v>
      </c>
      <c r="L913" t="n">
        <v>0.0</v>
      </c>
      <c r="M913" t="n">
        <v>0.0</v>
      </c>
      <c r="N913" t="inlineStr">
        <is>
          <t/>
        </is>
      </c>
      <c r="O913" t="n">
        <v>0.0</v>
      </c>
      <c r="P913" t="n">
        <v>0.0</v>
      </c>
      <c r="Q913" t="inlineStr">
        <is>
          <t/>
        </is>
      </c>
      <c r="R913" t="inlineStr">
        <is>
          <t/>
        </is>
      </c>
      <c r="S913" t="n">
        <v>0.0</v>
      </c>
      <c r="T913" t="n">
        <v>0.0</v>
      </c>
      <c r="U913" t="n">
        <v>0.0</v>
      </c>
      <c r="V913" t="n">
        <v>0.0</v>
      </c>
      <c r="W913" t="inlineStr">
        <is>
          <t/>
        </is>
      </c>
      <c r="X913" t="n">
        <v>0.0</v>
      </c>
      <c r="Y913" t="n">
        <v>0.0</v>
      </c>
      <c r="Z913" t="n">
        <v>0.0</v>
      </c>
      <c r="AA913" t="n">
        <v>0.0</v>
      </c>
      <c r="AB913" t="n">
        <v>0.0</v>
      </c>
      <c r="AC913" t="n">
        <v>0.0</v>
      </c>
      <c r="AD913" t="n">
        <v>0.0</v>
      </c>
      <c r="AE913" t="n">
        <v>0.0</v>
      </c>
      <c r="AF913" t="n">
        <v>0.0</v>
      </c>
      <c r="AG913" t="n">
        <v>0.0</v>
      </c>
      <c r="AH913" t="n">
        <v>0.0</v>
      </c>
      <c r="AI913" t="n">
        <v>0.0</v>
      </c>
      <c r="AJ913" t="n">
        <v>0.0</v>
      </c>
      <c r="AK913" t="inlineStr">
        <is>
          <t/>
        </is>
      </c>
      <c r="AL913" t="inlineStr">
        <is>
          <t/>
        </is>
      </c>
    </row>
    <row r="914">
      <c r="A914" t="inlineStr">
        <is>
          <t>谁顶得住啊😭60元直接实现虾仁自由！</t>
        </is>
      </c>
      <c r="B914" t="inlineStr">
        <is>
          <t>6a408c93000000000f0077a1</t>
        </is>
      </c>
      <c r="C914" s="913" t="n">
        <f>HYPERLINK("https://www.xiaohongshu.com/explore/6a408c93000000000f0077a1?xsec_token=TB2xvXhU7LkdyqBoKVG9S0jZ9J-KZ4RDDBE0UZrOLhQeY=&amp;xsec_source=pc_trdark","https://www.xiaohongshu.com/explore/6a408c93000000000f0077a1?xsec_token=TB2xvXhU7LkdyqBoKVG9S0jZ9J-KZ4RDDBE0UZrOLhQeY=&amp;xsec_source=pc_trdark")</f>
        <v>0.0</v>
      </c>
      <c r="D914" t="inlineStr">
        <is>
          <t>鲜水湾甄选</t>
        </is>
      </c>
      <c r="E914" t="inlineStr">
        <is>
          <t>27401929161</t>
        </is>
      </c>
      <c r="F914" t="inlineStr">
        <is>
          <t>2026-06-28 10:53:07</t>
        </is>
      </c>
      <c r="G914" t="inlineStr">
        <is>
          <t>图文</t>
        </is>
      </c>
      <c r="H914" t="inlineStr">
        <is>
          <t>手剥虾仁 无冰衣无添加 低脂餐一人食 上班带饭 顺丰包邮 5盒装</t>
        </is>
      </c>
      <c r="I914" t="inlineStr">
        <is>
          <t>694baba01d450d00013662f0</t>
        </is>
      </c>
      <c r="J914" t="inlineStr">
        <is>
          <t/>
        </is>
      </c>
      <c r="K914" t="n">
        <v>0.0</v>
      </c>
      <c r="L914" t="n">
        <v>0.0</v>
      </c>
      <c r="M914" t="n">
        <v>0.0</v>
      </c>
      <c r="N914" t="inlineStr">
        <is>
          <t/>
        </is>
      </c>
      <c r="O914" t="n">
        <v>0.0</v>
      </c>
      <c r="P914" t="n">
        <v>0.0</v>
      </c>
      <c r="Q914" t="inlineStr">
        <is>
          <t/>
        </is>
      </c>
      <c r="R914" t="inlineStr">
        <is>
          <t/>
        </is>
      </c>
      <c r="S914" t="n">
        <v>0.0</v>
      </c>
      <c r="T914" t="n">
        <v>0.0</v>
      </c>
      <c r="U914" t="n">
        <v>0.0</v>
      </c>
      <c r="V914" t="n">
        <v>0.0</v>
      </c>
      <c r="W914" t="inlineStr">
        <is>
          <t/>
        </is>
      </c>
      <c r="X914" t="n">
        <v>0.0</v>
      </c>
      <c r="Y914" t="n">
        <v>0.0</v>
      </c>
      <c r="Z914" t="n">
        <v>0.0</v>
      </c>
      <c r="AA914" t="n">
        <v>0.0</v>
      </c>
      <c r="AB914" t="n">
        <v>0.0</v>
      </c>
      <c r="AC914" t="n">
        <v>0.0</v>
      </c>
      <c r="AD914" t="n">
        <v>0.0</v>
      </c>
      <c r="AE914" t="n">
        <v>0.0</v>
      </c>
      <c r="AF914" t="n">
        <v>0.0</v>
      </c>
      <c r="AG914" t="n">
        <v>0.0</v>
      </c>
      <c r="AH914" t="n">
        <v>0.0</v>
      </c>
      <c r="AI914" t="n">
        <v>0.0</v>
      </c>
      <c r="AJ914" t="n">
        <v>0.0</v>
      </c>
      <c r="AK914" t="inlineStr">
        <is>
          <t/>
        </is>
      </c>
      <c r="AL914" t="inlineStr">
        <is>
          <t/>
        </is>
      </c>
    </row>
    <row r="915">
      <c r="A915" t="inlineStr">
        <is>
          <t>我爸说：真的低估69块的购买力了！</t>
        </is>
      </c>
      <c r="B915" t="inlineStr">
        <is>
          <t>6a3fd2fd000000000702c64d</t>
        </is>
      </c>
      <c r="C915" s="914" t="n">
        <f>HYPERLINK("https://www.xiaohongshu.com/explore/6a3fd2fd000000000702c64d?xsec_token=TB-Xzc_eKrV4y7N7iH5lBvThX7v7Ri8XOPzARlO8i6HFg=&amp;xsec_source=pc_trdark","https://www.xiaohongshu.com/explore/6a3fd2fd000000000702c64d?xsec_token=TB-Xzc_eKrV4y7N7iH5lBvThX7v7Ri8XOPzARlO8i6HFg=&amp;xsec_source=pc_trdark")</f>
        <v>0.0</v>
      </c>
      <c r="D915" t="inlineStr">
        <is>
          <t>菲菲上班吃什么</t>
        </is>
      </c>
      <c r="E915" t="inlineStr">
        <is>
          <t>49936530607</t>
        </is>
      </c>
      <c r="F915" t="inlineStr">
        <is>
          <t>2026-06-27 21:41:17</t>
        </is>
      </c>
      <c r="G915" t="inlineStr">
        <is>
          <t>图文</t>
        </is>
      </c>
      <c r="H915" t="inlineStr">
        <is>
          <t>手剥虾仁 无冰衣无添加 低脂餐一人食 上班带饭 顺丰包邮 5盒装</t>
        </is>
      </c>
      <c r="I915" t="inlineStr">
        <is>
          <t>694baba01d450d00013662f0</t>
        </is>
      </c>
      <c r="J915" t="inlineStr">
        <is>
          <t/>
        </is>
      </c>
      <c r="K915" t="n">
        <v>0.0</v>
      </c>
      <c r="L915" t="n">
        <v>0.0</v>
      </c>
      <c r="M915" t="n">
        <v>0.0</v>
      </c>
      <c r="N915" t="inlineStr">
        <is>
          <t/>
        </is>
      </c>
      <c r="O915" t="n">
        <v>0.0</v>
      </c>
      <c r="P915" t="n">
        <v>0.0</v>
      </c>
      <c r="Q915" t="inlineStr">
        <is>
          <t/>
        </is>
      </c>
      <c r="R915" t="inlineStr">
        <is>
          <t/>
        </is>
      </c>
      <c r="S915" t="n">
        <v>0.0</v>
      </c>
      <c r="T915" t="n">
        <v>0.0</v>
      </c>
      <c r="U915" t="n">
        <v>0.0</v>
      </c>
      <c r="V915" t="n">
        <v>0.0</v>
      </c>
      <c r="W915" t="inlineStr">
        <is>
          <t/>
        </is>
      </c>
      <c r="X915" t="n">
        <v>0.0</v>
      </c>
      <c r="Y915" t="n">
        <v>0.0</v>
      </c>
      <c r="Z915" t="n">
        <v>0.0</v>
      </c>
      <c r="AA915" t="n">
        <v>0.0</v>
      </c>
      <c r="AB915" t="n">
        <v>0.0</v>
      </c>
      <c r="AC915" t="n">
        <v>0.0</v>
      </c>
      <c r="AD915" t="n">
        <v>0.0</v>
      </c>
      <c r="AE915" t="n">
        <v>0.0</v>
      </c>
      <c r="AF915" t="n">
        <v>0.0</v>
      </c>
      <c r="AG915" t="n">
        <v>0.0</v>
      </c>
      <c r="AH915" t="n">
        <v>0.0</v>
      </c>
      <c r="AI915" t="n">
        <v>0.0</v>
      </c>
      <c r="AJ915" t="n">
        <v>0.0</v>
      </c>
      <c r="AK915" t="inlineStr">
        <is>
          <t/>
        </is>
      </c>
      <c r="AL915" t="inlineStr">
        <is>
          <t/>
        </is>
      </c>
    </row>
    <row r="916">
      <c r="A916" t="inlineStr">
        <is>
          <t>69 元 5 袋虾仁，一餐一顿刚刚好</t>
        </is>
      </c>
      <c r="B916" t="inlineStr">
        <is>
          <t>6a3fa724000000000702f63c</t>
        </is>
      </c>
      <c r="C916" s="915" t="n">
        <f>HYPERLINK("https://www.xiaohongshu.com/explore/6a3fa724000000000702f63c?xsec_token=TB-Xzc_eKrV4y7N7iH5lBvThDZLA-G9U2rtsu7UqyEs4M=&amp;xsec_source=pc_trdark","https://www.xiaohongshu.com/explore/6a3fa724000000000702f63c?xsec_token=TB-Xzc_eKrV4y7N7iH5lBvThDZLA-G9U2rtsu7UqyEs4M=&amp;xsec_source=pc_trdark")</f>
        <v>0.0</v>
      </c>
      <c r="D916" t="inlineStr">
        <is>
          <t>鲜水湾</t>
        </is>
      </c>
      <c r="E916" t="inlineStr">
        <is>
          <t>49316638994</t>
        </is>
      </c>
      <c r="F916" t="inlineStr">
        <is>
          <t>2026-06-27 18:34:12</t>
        </is>
      </c>
      <c r="G916" t="inlineStr">
        <is>
          <t>图文</t>
        </is>
      </c>
      <c r="H916" t="inlineStr">
        <is>
          <t>手剥虾仁 无冰衣无添加 低脂餐一人食 上班带饭 顺丰包邮 5盒装</t>
        </is>
      </c>
      <c r="I916" t="inlineStr">
        <is>
          <t>694baba01d450d00013662f0</t>
        </is>
      </c>
      <c r="J916" t="inlineStr">
        <is>
          <t/>
        </is>
      </c>
      <c r="K916" t="n">
        <v>0.0</v>
      </c>
      <c r="L916" t="n">
        <v>0.0</v>
      </c>
      <c r="M916" t="n">
        <v>0.0</v>
      </c>
      <c r="N916" t="inlineStr">
        <is>
          <t/>
        </is>
      </c>
      <c r="O916" t="n">
        <v>0.0</v>
      </c>
      <c r="P916" t="n">
        <v>0.0</v>
      </c>
      <c r="Q916" t="inlineStr">
        <is>
          <t/>
        </is>
      </c>
      <c r="R916" t="inlineStr">
        <is>
          <t/>
        </is>
      </c>
      <c r="S916" t="n">
        <v>0.0</v>
      </c>
      <c r="T916" t="n">
        <v>0.0</v>
      </c>
      <c r="U916" t="n">
        <v>0.0</v>
      </c>
      <c r="V916" t="n">
        <v>0.0</v>
      </c>
      <c r="W916" t="inlineStr">
        <is>
          <t/>
        </is>
      </c>
      <c r="X916" t="n">
        <v>0.0</v>
      </c>
      <c r="Y916" t="n">
        <v>0.0</v>
      </c>
      <c r="Z916" t="n">
        <v>0.0</v>
      </c>
      <c r="AA916" t="n">
        <v>0.0</v>
      </c>
      <c r="AB916" t="n">
        <v>0.0</v>
      </c>
      <c r="AC916" t="n">
        <v>0.0</v>
      </c>
      <c r="AD916" t="n">
        <v>0.0</v>
      </c>
      <c r="AE916" t="n">
        <v>0.0</v>
      </c>
      <c r="AF916" t="n">
        <v>0.0</v>
      </c>
      <c r="AG916" t="n">
        <v>0.0</v>
      </c>
      <c r="AH916" t="n">
        <v>0.0</v>
      </c>
      <c r="AI916" t="n">
        <v>0.0</v>
      </c>
      <c r="AJ916" t="n">
        <v>0.0</v>
      </c>
      <c r="AK916" t="inlineStr">
        <is>
          <t/>
        </is>
      </c>
      <c r="AL916" t="inlineStr">
        <is>
          <t/>
        </is>
      </c>
    </row>
    <row r="917">
      <c r="A917" t="inlineStr">
        <is>
          <t>手剥虾仁69管一周？一人食减脂餐</t>
        </is>
      </c>
      <c r="B917" t="inlineStr">
        <is>
          <t>6a3f2d42000000001003c199</t>
        </is>
      </c>
      <c r="C917" s="916" t="n">
        <f>HYPERLINK("https://www.xiaohongshu.com/explore/6a3f2d42000000001003c199?xsec_token=TB-Xzc_eKrV4y7N7iH5lBvTn3M7jaEtu4IU7IYKhfK5lA=&amp;xsec_source=pc_trdark","https://www.xiaohongshu.com/explore/6a3f2d42000000001003c199?xsec_token=TB-Xzc_eKrV4y7N7iH5lBvTn3M7jaEtu4IU7IYKhfK5lA=&amp;xsec_source=pc_trdark")</f>
        <v>0.0</v>
      </c>
      <c r="D917" t="inlineStr">
        <is>
          <t>鲜水湾甄选</t>
        </is>
      </c>
      <c r="E917" t="inlineStr">
        <is>
          <t>27401929161</t>
        </is>
      </c>
      <c r="F917" t="inlineStr">
        <is>
          <t>2026-06-27 09:54:10</t>
        </is>
      </c>
      <c r="G917" t="inlineStr">
        <is>
          <t>图文</t>
        </is>
      </c>
      <c r="H917" t="inlineStr">
        <is>
          <t>手剥虾仁 无冰衣无添加 低脂餐一人食 上班带饭 顺丰包邮 5盒装</t>
        </is>
      </c>
      <c r="I917" t="inlineStr">
        <is>
          <t>694baba01d450d00013662f0</t>
        </is>
      </c>
      <c r="J917" t="inlineStr">
        <is>
          <t/>
        </is>
      </c>
      <c r="K917" t="n">
        <v>0.0</v>
      </c>
      <c r="L917" t="n">
        <v>0.0</v>
      </c>
      <c r="M917" t="n">
        <v>0.0</v>
      </c>
      <c r="N917" t="inlineStr">
        <is>
          <t/>
        </is>
      </c>
      <c r="O917" t="n">
        <v>0.0</v>
      </c>
      <c r="P917" t="n">
        <v>0.0</v>
      </c>
      <c r="Q917" t="inlineStr">
        <is>
          <t/>
        </is>
      </c>
      <c r="R917" t="inlineStr">
        <is>
          <t/>
        </is>
      </c>
      <c r="S917" t="n">
        <v>0.0</v>
      </c>
      <c r="T917" t="n">
        <v>0.0</v>
      </c>
      <c r="U917" t="n">
        <v>0.0</v>
      </c>
      <c r="V917" t="n">
        <v>0.0</v>
      </c>
      <c r="W917" t="inlineStr">
        <is>
          <t/>
        </is>
      </c>
      <c r="X917" t="n">
        <v>0.0</v>
      </c>
      <c r="Y917" t="n">
        <v>0.0</v>
      </c>
      <c r="Z917" t="n">
        <v>0.0</v>
      </c>
      <c r="AA917" t="n">
        <v>0.0</v>
      </c>
      <c r="AB917" t="n">
        <v>0.0</v>
      </c>
      <c r="AC917" t="n">
        <v>0.0</v>
      </c>
      <c r="AD917" t="n">
        <v>0.0</v>
      </c>
      <c r="AE917" t="n">
        <v>0.0</v>
      </c>
      <c r="AF917" t="n">
        <v>0.0</v>
      </c>
      <c r="AG917" t="n">
        <v>0.0</v>
      </c>
      <c r="AH917" t="n">
        <v>0.0</v>
      </c>
      <c r="AI917" t="n">
        <v>0.0</v>
      </c>
      <c r="AJ917" t="n">
        <v>0.0</v>
      </c>
      <c r="AK917" t="inlineStr">
        <is>
          <t/>
        </is>
      </c>
      <c r="AL917" t="inlineStr">
        <is>
          <t/>
        </is>
      </c>
    </row>
    <row r="918">
      <c r="A918" t="inlineStr">
        <is>
          <t>你信吗？接下来一个月减脂人会买😂😂</t>
        </is>
      </c>
      <c r="B918" t="inlineStr">
        <is>
          <t>6a3f2c7e000000000702294f</t>
        </is>
      </c>
      <c r="C918" s="917" t="n">
        <f>HYPERLINK("https://www.xiaohongshu.com/explore/6a3f2c7e000000000702294f?xsec_token=TB-Xzc_eKrV4y7N7iH5lBvTnM6j74uVRjNr0qCBKe4Kyk=&amp;xsec_source=pc_trdark","https://www.xiaohongshu.com/explore/6a3f2c7e000000000702294f?xsec_token=TB-Xzc_eKrV4y7N7iH5lBvTnM6j74uVRjNr0qCBKe4Kyk=&amp;xsec_source=pc_trdark")</f>
        <v>0.0</v>
      </c>
      <c r="D918" t="inlineStr">
        <is>
          <t>菲菲上班吃什么</t>
        </is>
      </c>
      <c r="E918" t="inlineStr">
        <is>
          <t>49936530607</t>
        </is>
      </c>
      <c r="F918" t="inlineStr">
        <is>
          <t>2026-06-27 09:50:55</t>
        </is>
      </c>
      <c r="G918" t="inlineStr">
        <is>
          <t>图文</t>
        </is>
      </c>
      <c r="H918" t="inlineStr">
        <is>
          <t>手剥虾仁 无冰衣无添加 低脂餐一人食 上班带饭 顺丰包邮 5盒装</t>
        </is>
      </c>
      <c r="I918" t="inlineStr">
        <is>
          <t>694baba01d450d00013662f0</t>
        </is>
      </c>
      <c r="J918" t="inlineStr">
        <is>
          <t/>
        </is>
      </c>
      <c r="K918" t="n">
        <v>0.0</v>
      </c>
      <c r="L918" t="n">
        <v>0.0</v>
      </c>
      <c r="M918" t="n">
        <v>0.0</v>
      </c>
      <c r="N918" t="inlineStr">
        <is>
          <t/>
        </is>
      </c>
      <c r="O918" t="n">
        <v>0.0</v>
      </c>
      <c r="P918" t="n">
        <v>0.0</v>
      </c>
      <c r="Q918" t="inlineStr">
        <is>
          <t/>
        </is>
      </c>
      <c r="R918" t="inlineStr">
        <is>
          <t/>
        </is>
      </c>
      <c r="S918" t="n">
        <v>0.0</v>
      </c>
      <c r="T918" t="n">
        <v>0.0</v>
      </c>
      <c r="U918" t="n">
        <v>0.0</v>
      </c>
      <c r="V918" t="n">
        <v>0.0</v>
      </c>
      <c r="W918" t="inlineStr">
        <is>
          <t/>
        </is>
      </c>
      <c r="X918" t="n">
        <v>0.0</v>
      </c>
      <c r="Y918" t="n">
        <v>0.0</v>
      </c>
      <c r="Z918" t="n">
        <v>0.0</v>
      </c>
      <c r="AA918" t="n">
        <v>0.0</v>
      </c>
      <c r="AB918" t="n">
        <v>0.0</v>
      </c>
      <c r="AC918" t="n">
        <v>0.0</v>
      </c>
      <c r="AD918" t="n">
        <v>0.0</v>
      </c>
      <c r="AE918" t="n">
        <v>0.0</v>
      </c>
      <c r="AF918" t="n">
        <v>0.0</v>
      </c>
      <c r="AG918" t="n">
        <v>0.0</v>
      </c>
      <c r="AH918" t="n">
        <v>0.0</v>
      </c>
      <c r="AI918" t="n">
        <v>0.0</v>
      </c>
      <c r="AJ918" t="n">
        <v>0.0</v>
      </c>
      <c r="AK918" t="inlineStr">
        <is>
          <t/>
        </is>
      </c>
      <c r="AL918" t="inlineStr">
        <is>
          <t/>
        </is>
      </c>
    </row>
    <row r="919">
      <c r="A919" t="inlineStr">
        <is>
          <t>以为 69 块买不了多少，结果足足够我吃一周</t>
        </is>
      </c>
      <c r="B919" t="inlineStr">
        <is>
          <t>6a3e79c6000000002101632c</t>
        </is>
      </c>
      <c r="C919" s="918" t="n">
        <f>HYPERLINK("https://www.xiaohongshu.com/explore/6a3e79c6000000002101632c?xsec_token=TBr0r0iKecestw8rIiwqZdvplQ-zRatEUO0aOn3JKFrho=&amp;xsec_source=pc_trdark","https://www.xiaohongshu.com/explore/6a3e79c6000000002101632c?xsec_token=TBr0r0iKecestw8rIiwqZdvplQ-zRatEUO0aOn3JKFrho=&amp;xsec_source=pc_trdark")</f>
        <v>0.0</v>
      </c>
      <c r="D919" t="inlineStr">
        <is>
          <t>菲菲上班吃什么</t>
        </is>
      </c>
      <c r="E919" t="inlineStr">
        <is>
          <t>49936530607</t>
        </is>
      </c>
      <c r="F919" t="inlineStr">
        <is>
          <t>2026-06-26 21:08:22</t>
        </is>
      </c>
      <c r="G919" t="inlineStr">
        <is>
          <t>图文</t>
        </is>
      </c>
      <c r="H919" t="inlineStr">
        <is>
          <t>手剥虾仁 无冰衣无添加 低脂餐一人食 上班带饭 顺丰包邮 5盒装</t>
        </is>
      </c>
      <c r="I919" t="inlineStr">
        <is>
          <t>694baba01d450d00013662f0</t>
        </is>
      </c>
      <c r="J919" t="inlineStr">
        <is>
          <t/>
        </is>
      </c>
      <c r="K919" t="n">
        <v>0.0</v>
      </c>
      <c r="L919" t="n">
        <v>0.0</v>
      </c>
      <c r="M919" t="n">
        <v>0.0</v>
      </c>
      <c r="N919" t="inlineStr">
        <is>
          <t/>
        </is>
      </c>
      <c r="O919" t="n">
        <v>0.0</v>
      </c>
      <c r="P919" t="n">
        <v>0.0</v>
      </c>
      <c r="Q919" t="inlineStr">
        <is>
          <t/>
        </is>
      </c>
      <c r="R919" t="inlineStr">
        <is>
          <t/>
        </is>
      </c>
      <c r="S919" t="n">
        <v>0.0</v>
      </c>
      <c r="T919" t="n">
        <v>0.0</v>
      </c>
      <c r="U919" t="n">
        <v>0.0</v>
      </c>
      <c r="V919" t="n">
        <v>0.0</v>
      </c>
      <c r="W919" t="inlineStr">
        <is>
          <t/>
        </is>
      </c>
      <c r="X919" t="n">
        <v>0.0</v>
      </c>
      <c r="Y919" t="n">
        <v>0.0</v>
      </c>
      <c r="Z919" t="n">
        <v>0.0</v>
      </c>
      <c r="AA919" t="n">
        <v>0.0</v>
      </c>
      <c r="AB919" t="n">
        <v>0.0</v>
      </c>
      <c r="AC919" t="n">
        <v>0.0</v>
      </c>
      <c r="AD919" t="n">
        <v>0.0</v>
      </c>
      <c r="AE919" t="n">
        <v>0.0</v>
      </c>
      <c r="AF919" t="n">
        <v>0.0</v>
      </c>
      <c r="AG919" t="n">
        <v>0.0</v>
      </c>
      <c r="AH919" t="n">
        <v>0.0</v>
      </c>
      <c r="AI919" t="n">
        <v>0.0</v>
      </c>
      <c r="AJ919" t="n">
        <v>0.0</v>
      </c>
      <c r="AK919" t="inlineStr">
        <is>
          <t/>
        </is>
      </c>
      <c r="AL919" t="inlineStr">
        <is>
          <t/>
        </is>
      </c>
    </row>
    <row r="920">
      <c r="A920" t="inlineStr">
        <is>
          <t>区区69💰居然够我自律期吃一周了！</t>
        </is>
      </c>
      <c r="B920" t="inlineStr">
        <is>
          <t>6a3e6ad8000000000f005015</t>
        </is>
      </c>
      <c r="C920" s="919" t="n">
        <f>HYPERLINK("https://www.xiaohongshu.com/explore/6a3e6ad8000000000f005015?xsec_token=TBr0r0iKecestw8rIiwqZdvg0CKlc_-OGuAa6zoO-Y4mg=&amp;xsec_source=pc_trdark","https://www.xiaohongshu.com/explore/6a3e6ad8000000000f005015?xsec_token=TBr0r0iKecestw8rIiwqZdvg0CKlc_-OGuAa6zoO-Y4mg=&amp;xsec_source=pc_trdark")</f>
        <v>0.0</v>
      </c>
      <c r="D920" t="inlineStr">
        <is>
          <t>鲜水湾甄选</t>
        </is>
      </c>
      <c r="E920" t="inlineStr">
        <is>
          <t>27401929161</t>
        </is>
      </c>
      <c r="F920" t="inlineStr">
        <is>
          <t>2026-06-26 20:04:40</t>
        </is>
      </c>
      <c r="G920" t="inlineStr">
        <is>
          <t>图文</t>
        </is>
      </c>
      <c r="H920" t="inlineStr">
        <is>
          <t>手剥虾仁 无冰衣无添加 低脂餐一人食 上班带饭 顺丰包邮 5盒装</t>
        </is>
      </c>
      <c r="I920" t="inlineStr">
        <is>
          <t>694baba01d450d00013662f0</t>
        </is>
      </c>
      <c r="J920" t="inlineStr">
        <is>
          <t/>
        </is>
      </c>
      <c r="K920" t="n">
        <v>0.0</v>
      </c>
      <c r="L920" t="n">
        <v>0.0</v>
      </c>
      <c r="M920" t="n">
        <v>0.0</v>
      </c>
      <c r="N920" t="inlineStr">
        <is>
          <t/>
        </is>
      </c>
      <c r="O920" t="n">
        <v>0.0</v>
      </c>
      <c r="P920" t="n">
        <v>0.0</v>
      </c>
      <c r="Q920" t="inlineStr">
        <is>
          <t/>
        </is>
      </c>
      <c r="R920" t="inlineStr">
        <is>
          <t/>
        </is>
      </c>
      <c r="S920" t="n">
        <v>0.0</v>
      </c>
      <c r="T920" t="n">
        <v>0.0</v>
      </c>
      <c r="U920" t="n">
        <v>0.0</v>
      </c>
      <c r="V920" t="n">
        <v>0.0</v>
      </c>
      <c r="W920" t="inlineStr">
        <is>
          <t/>
        </is>
      </c>
      <c r="X920" t="n">
        <v>0.0</v>
      </c>
      <c r="Y920" t="n">
        <v>0.0</v>
      </c>
      <c r="Z920" t="n">
        <v>0.0</v>
      </c>
      <c r="AA920" t="n">
        <v>0.0</v>
      </c>
      <c r="AB920" t="n">
        <v>0.0</v>
      </c>
      <c r="AC920" t="n">
        <v>0.0</v>
      </c>
      <c r="AD920" t="n">
        <v>0.0</v>
      </c>
      <c r="AE920" t="n">
        <v>0.0</v>
      </c>
      <c r="AF920" t="n">
        <v>0.0</v>
      </c>
      <c r="AG920" t="n">
        <v>0.0</v>
      </c>
      <c r="AH920" t="n">
        <v>0.0</v>
      </c>
      <c r="AI920" t="n">
        <v>0.0</v>
      </c>
      <c r="AJ920" t="n">
        <v>0.0</v>
      </c>
      <c r="AK920" t="inlineStr">
        <is>
          <t/>
        </is>
      </c>
      <c r="AL920" t="inlineStr">
        <is>
          <t/>
        </is>
      </c>
    </row>
    <row r="921">
      <c r="A921" t="inlineStr">
        <is>
          <t>和老爸商量后，推出夏日减脂小包装！</t>
        </is>
      </c>
      <c r="B921" t="inlineStr">
        <is>
          <t>6a3e6aa80000000007023cd9</t>
        </is>
      </c>
      <c r="C921" s="920" t="n">
        <f>HYPERLINK("https://www.xiaohongshu.com/explore/6a3e6aa80000000007023cd9?xsec_token=TBr0r0iKecestw8rIiwqZdvvTGLWNZ8DnT_K9tTMRbmV0=&amp;xsec_source=pc_trdark","https://www.xiaohongshu.com/explore/6a3e6aa80000000007023cd9?xsec_token=TBr0r0iKecestw8rIiwqZdvvTGLWNZ8DnT_K9tTMRbmV0=&amp;xsec_source=pc_trdark")</f>
        <v>0.0</v>
      </c>
      <c r="D921" t="inlineStr">
        <is>
          <t>菲菲上班吃什么</t>
        </is>
      </c>
      <c r="E921" t="inlineStr">
        <is>
          <t>49936530607</t>
        </is>
      </c>
      <c r="F921" t="inlineStr">
        <is>
          <t>2026-06-26 20:03:52</t>
        </is>
      </c>
      <c r="G921" t="inlineStr">
        <is>
          <t>图文</t>
        </is>
      </c>
      <c r="H921" t="inlineStr">
        <is>
          <t>手剥虾仁 无冰衣无添加 低脂餐一人食 上班带饭 顺丰包邮 5盒装</t>
        </is>
      </c>
      <c r="I921" t="inlineStr">
        <is>
          <t>694baba01d450d00013662f0</t>
        </is>
      </c>
      <c r="J921" t="inlineStr">
        <is>
          <t/>
        </is>
      </c>
      <c r="K921" t="n">
        <v>0.0</v>
      </c>
      <c r="L921" t="n">
        <v>0.0</v>
      </c>
      <c r="M921" t="n">
        <v>0.0</v>
      </c>
      <c r="N921" t="inlineStr">
        <is>
          <t/>
        </is>
      </c>
      <c r="O921" t="n">
        <v>0.0</v>
      </c>
      <c r="P921" t="n">
        <v>0.0</v>
      </c>
      <c r="Q921" t="inlineStr">
        <is>
          <t/>
        </is>
      </c>
      <c r="R921" t="inlineStr">
        <is>
          <t/>
        </is>
      </c>
      <c r="S921" t="n">
        <v>0.0</v>
      </c>
      <c r="T921" t="n">
        <v>0.0</v>
      </c>
      <c r="U921" t="n">
        <v>0.0</v>
      </c>
      <c r="V921" t="n">
        <v>0.0</v>
      </c>
      <c r="W921" t="inlineStr">
        <is>
          <t/>
        </is>
      </c>
      <c r="X921" t="n">
        <v>0.0</v>
      </c>
      <c r="Y921" t="n">
        <v>0.0</v>
      </c>
      <c r="Z921" t="n">
        <v>0.0</v>
      </c>
      <c r="AA921" t="n">
        <v>0.0</v>
      </c>
      <c r="AB921" t="n">
        <v>0.0</v>
      </c>
      <c r="AC921" t="n">
        <v>0.0</v>
      </c>
      <c r="AD921" t="n">
        <v>0.0</v>
      </c>
      <c r="AE921" t="n">
        <v>0.0</v>
      </c>
      <c r="AF921" t="n">
        <v>0.0</v>
      </c>
      <c r="AG921" t="n">
        <v>0.0</v>
      </c>
      <c r="AH921" t="n">
        <v>0.0</v>
      </c>
      <c r="AI921" t="n">
        <v>0.0</v>
      </c>
      <c r="AJ921" t="n">
        <v>0.0</v>
      </c>
      <c r="AK921" t="inlineStr">
        <is>
          <t/>
        </is>
      </c>
      <c r="AL921" t="inlineStr">
        <is>
          <t/>
        </is>
      </c>
    </row>
    <row r="922">
      <c r="A922" t="inlineStr">
        <is>
          <t>控体期你不吃虾仁，你糊涂啊！！</t>
        </is>
      </c>
      <c r="B922" t="inlineStr">
        <is>
          <t>6a3e5aab000000002103c18a</t>
        </is>
      </c>
      <c r="C922" s="921" t="n">
        <f>HYPERLINK("https://www.xiaohongshu.com/explore/6a3e5aab000000002103c18a?xsec_token=TBr0r0iKecestw8rIiwqZdvo-hwPoig0XGEQJ_TcaMkTE=&amp;xsec_source=pc_trdark","https://www.xiaohongshu.com/explore/6a3e5aab000000002103c18a?xsec_token=TBr0r0iKecestw8rIiwqZdvo-hwPoig0XGEQJ_TcaMkTE=&amp;xsec_source=pc_trdark")</f>
        <v>0.0</v>
      </c>
      <c r="D922" t="inlineStr">
        <is>
          <t>菲菲上班吃什么</t>
        </is>
      </c>
      <c r="E922" t="inlineStr">
        <is>
          <t>49936530607</t>
        </is>
      </c>
      <c r="F922" t="inlineStr">
        <is>
          <t>2026-06-26 18:55:39</t>
        </is>
      </c>
      <c r="G922" t="inlineStr">
        <is>
          <t>图文</t>
        </is>
      </c>
      <c r="H922" t="inlineStr">
        <is>
          <t>手剥虾仁 无冰衣无添加 低脂餐一人食 上班带饭 顺丰包邮 5盒装</t>
        </is>
      </c>
      <c r="I922" t="inlineStr">
        <is>
          <t>694baba01d450d00013662f0</t>
        </is>
      </c>
      <c r="J922" t="inlineStr">
        <is>
          <t/>
        </is>
      </c>
      <c r="K922" t="n">
        <v>0.0</v>
      </c>
      <c r="L922" t="n">
        <v>0.0</v>
      </c>
      <c r="M922" t="n">
        <v>0.0</v>
      </c>
      <c r="N922" t="inlineStr">
        <is>
          <t/>
        </is>
      </c>
      <c r="O922" t="n">
        <v>0.0</v>
      </c>
      <c r="P922" t="n">
        <v>0.0</v>
      </c>
      <c r="Q922" t="inlineStr">
        <is>
          <t/>
        </is>
      </c>
      <c r="R922" t="inlineStr">
        <is>
          <t/>
        </is>
      </c>
      <c r="S922" t="n">
        <v>0.0</v>
      </c>
      <c r="T922" t="n">
        <v>0.0</v>
      </c>
      <c r="U922" t="n">
        <v>0.0</v>
      </c>
      <c r="V922" t="n">
        <v>0.0</v>
      </c>
      <c r="W922" t="inlineStr">
        <is>
          <t/>
        </is>
      </c>
      <c r="X922" t="n">
        <v>0.0</v>
      </c>
      <c r="Y922" t="n">
        <v>0.0</v>
      </c>
      <c r="Z922" t="n">
        <v>0.0</v>
      </c>
      <c r="AA922" t="n">
        <v>0.0</v>
      </c>
      <c r="AB922" t="n">
        <v>0.0</v>
      </c>
      <c r="AC922" t="n">
        <v>0.0</v>
      </c>
      <c r="AD922" t="n">
        <v>0.0</v>
      </c>
      <c r="AE922" t="n">
        <v>0.0</v>
      </c>
      <c r="AF922" t="n">
        <v>0.0</v>
      </c>
      <c r="AG922" t="n">
        <v>0.0</v>
      </c>
      <c r="AH922" t="n">
        <v>0.0</v>
      </c>
      <c r="AI922" t="n">
        <v>0.0</v>
      </c>
      <c r="AJ922" t="n">
        <v>0.0</v>
      </c>
      <c r="AK922" t="inlineStr">
        <is>
          <t/>
        </is>
      </c>
      <c r="AL922" t="inlineStr">
        <is>
          <t/>
        </is>
      </c>
    </row>
    <row r="923">
      <c r="A923" t="inlineStr">
        <is>
          <t>减脂期连吃15天小包装虾仁后，我真香了</t>
        </is>
      </c>
      <c r="B923" t="inlineStr">
        <is>
          <t>6a3e27e80000000007026b1c</t>
        </is>
      </c>
      <c r="C923" s="922" t="n">
        <f>HYPERLINK("https://www.xiaohongshu.com/explore/6a3e27e80000000007026b1c?xsec_token=TBr0r0iKecestw8rIiwqZdvq24opxl4aQlfsMPNt-xhWg=&amp;xsec_source=pc_trdark","https://www.xiaohongshu.com/explore/6a3e27e80000000007026b1c?xsec_token=TBr0r0iKecestw8rIiwqZdvq24opxl4aQlfsMPNt-xhWg=&amp;xsec_source=pc_trdark")</f>
        <v>0.0</v>
      </c>
      <c r="D923" t="inlineStr">
        <is>
          <t>菲菲上班吃什么</t>
        </is>
      </c>
      <c r="E923" t="inlineStr">
        <is>
          <t>49936530607</t>
        </is>
      </c>
      <c r="F923" t="inlineStr">
        <is>
          <t>2026-06-26 15:19:04</t>
        </is>
      </c>
      <c r="G923" t="inlineStr">
        <is>
          <t>图文</t>
        </is>
      </c>
      <c r="H923" t="inlineStr">
        <is>
          <t>手剥虾仁 无冰衣无添加 低脂餐一人食 上班带饭 顺丰包邮 5盒装</t>
        </is>
      </c>
      <c r="I923" t="inlineStr">
        <is>
          <t>694baba01d450d00013662f0</t>
        </is>
      </c>
      <c r="J923" t="inlineStr">
        <is>
          <t/>
        </is>
      </c>
      <c r="K923" t="n">
        <v>0.0</v>
      </c>
      <c r="L923" t="n">
        <v>0.0</v>
      </c>
      <c r="M923" t="n">
        <v>0.0</v>
      </c>
      <c r="N923" t="inlineStr">
        <is>
          <t/>
        </is>
      </c>
      <c r="O923" t="n">
        <v>0.0</v>
      </c>
      <c r="P923" t="n">
        <v>0.0</v>
      </c>
      <c r="Q923" t="inlineStr">
        <is>
          <t/>
        </is>
      </c>
      <c r="R923" t="inlineStr">
        <is>
          <t/>
        </is>
      </c>
      <c r="S923" t="n">
        <v>0.0</v>
      </c>
      <c r="T923" t="n">
        <v>0.0</v>
      </c>
      <c r="U923" t="n">
        <v>0.0</v>
      </c>
      <c r="V923" t="n">
        <v>0.0</v>
      </c>
      <c r="W923" t="inlineStr">
        <is>
          <t/>
        </is>
      </c>
      <c r="X923" t="n">
        <v>0.0</v>
      </c>
      <c r="Y923" t="n">
        <v>0.0</v>
      </c>
      <c r="Z923" t="n">
        <v>0.0</v>
      </c>
      <c r="AA923" t="n">
        <v>0.0</v>
      </c>
      <c r="AB923" t="n">
        <v>0.0</v>
      </c>
      <c r="AC923" t="n">
        <v>0.0</v>
      </c>
      <c r="AD923" t="n">
        <v>0.0</v>
      </c>
      <c r="AE923" t="n">
        <v>0.0</v>
      </c>
      <c r="AF923" t="n">
        <v>0.0</v>
      </c>
      <c r="AG923" t="n">
        <v>0.0</v>
      </c>
      <c r="AH923" t="n">
        <v>0.0</v>
      </c>
      <c r="AI923" t="n">
        <v>0.0</v>
      </c>
      <c r="AJ923" t="n">
        <v>0.0</v>
      </c>
      <c r="AK923" t="inlineStr">
        <is>
          <t/>
        </is>
      </c>
      <c r="AL923" t="inlineStr">
        <is>
          <t/>
        </is>
      </c>
    </row>
    <row r="924">
      <c r="A924" t="inlineStr">
        <is>
          <t>吃了半个多月的虾仁，发现才花了100多！</t>
        </is>
      </c>
      <c r="B924" t="inlineStr">
        <is>
          <t>6a3df83a000000000f014e37</t>
        </is>
      </c>
      <c r="C924" s="923" t="n">
        <f>HYPERLINK("https://www.xiaohongshu.com/explore/6a3df83a000000000f014e37?xsec_token=TB86hQ-xkUBjAY90uToPmFjUMRjCvhCbke5S1DudAQ9XA=&amp;xsec_source=pc_trdark","https://www.xiaohongshu.com/explore/6a3df83a000000000f014e37?xsec_token=TB86hQ-xkUBjAY90uToPmFjUMRjCvhCbke5S1DudAQ9XA=&amp;xsec_source=pc_trdark")</f>
        <v>0.0</v>
      </c>
      <c r="D924" t="inlineStr">
        <is>
          <t>鲜水湾甄选</t>
        </is>
      </c>
      <c r="E924" t="inlineStr">
        <is>
          <t>27401929161</t>
        </is>
      </c>
      <c r="F924" t="inlineStr">
        <is>
          <t>2026-06-26 11:55:38</t>
        </is>
      </c>
      <c r="G924" t="inlineStr">
        <is>
          <t>图文</t>
        </is>
      </c>
      <c r="H924" t="inlineStr">
        <is>
          <t>手剥虾仁 无冰衣无添加 低脂餐一人食 上班带饭 顺丰包邮 5盒装</t>
        </is>
      </c>
      <c r="I924" t="inlineStr">
        <is>
          <t>694baba01d450d00013662f0</t>
        </is>
      </c>
      <c r="J924" t="inlineStr">
        <is>
          <t/>
        </is>
      </c>
      <c r="K924" t="n">
        <v>0.0</v>
      </c>
      <c r="L924" t="n">
        <v>0.0</v>
      </c>
      <c r="M924" t="n">
        <v>0.0</v>
      </c>
      <c r="N924" t="inlineStr">
        <is>
          <t/>
        </is>
      </c>
      <c r="O924" t="n">
        <v>0.0</v>
      </c>
      <c r="P924" t="n">
        <v>0.0</v>
      </c>
      <c r="Q924" t="inlineStr">
        <is>
          <t/>
        </is>
      </c>
      <c r="R924" t="inlineStr">
        <is>
          <t/>
        </is>
      </c>
      <c r="S924" t="n">
        <v>0.0</v>
      </c>
      <c r="T924" t="n">
        <v>0.0</v>
      </c>
      <c r="U924" t="n">
        <v>0.0</v>
      </c>
      <c r="V924" t="n">
        <v>0.0</v>
      </c>
      <c r="W924" t="inlineStr">
        <is>
          <t/>
        </is>
      </c>
      <c r="X924" t="n">
        <v>0.0</v>
      </c>
      <c r="Y924" t="n">
        <v>0.0</v>
      </c>
      <c r="Z924" t="n">
        <v>0.0</v>
      </c>
      <c r="AA924" t="n">
        <v>0.0</v>
      </c>
      <c r="AB924" t="n">
        <v>0.0</v>
      </c>
      <c r="AC924" t="n">
        <v>0.0</v>
      </c>
      <c r="AD924" t="n">
        <v>0.0</v>
      </c>
      <c r="AE924" t="n">
        <v>0.0</v>
      </c>
      <c r="AF924" t="n">
        <v>0.0</v>
      </c>
      <c r="AG924" t="n">
        <v>0.0</v>
      </c>
      <c r="AH924" t="n">
        <v>0.0</v>
      </c>
      <c r="AI924" t="n">
        <v>0.0</v>
      </c>
      <c r="AJ924" t="n">
        <v>0.0</v>
      </c>
      <c r="AK924" t="inlineStr">
        <is>
          <t/>
        </is>
      </c>
      <c r="AL924" t="inlineStr">
        <is>
          <t/>
        </is>
      </c>
    </row>
    <row r="925">
      <c r="A925" t="inlineStr">
        <is>
          <t>和大家商量后，推出独居一人食小包装</t>
        </is>
      </c>
      <c r="B925" t="inlineStr">
        <is>
          <t>6a3ddf4c0000000022008f00</t>
        </is>
      </c>
      <c r="C925" s="924" t="n">
        <f>HYPERLINK("https://www.xiaohongshu.com/explore/6a3ddf4c0000000022008f00?xsec_token=TB86hQ-xkUBjAY90uToPmFjbWjyl-ZKDszlFw-iFvtgT8=&amp;xsec_source=pc_trdark","https://www.xiaohongshu.com/explore/6a3ddf4c0000000022008f00?xsec_token=TB86hQ-xkUBjAY90uToPmFjbWjyl-ZKDszlFw-iFvtgT8=&amp;xsec_source=pc_trdark")</f>
        <v>0.0</v>
      </c>
      <c r="D925" t="inlineStr">
        <is>
          <t>鲜水湾</t>
        </is>
      </c>
      <c r="E925" t="inlineStr">
        <is>
          <t>49316638994</t>
        </is>
      </c>
      <c r="F925" t="inlineStr">
        <is>
          <t>2026-06-26 10:09:16</t>
        </is>
      </c>
      <c r="G925" t="inlineStr">
        <is>
          <t>图文</t>
        </is>
      </c>
      <c r="H925" t="inlineStr">
        <is>
          <t>手剥虾仁 无冰衣无添加 低脂餐一人食 上班带饭 顺丰包邮 5盒装</t>
        </is>
      </c>
      <c r="I925" t="inlineStr">
        <is>
          <t>694baba01d450d00013662f0</t>
        </is>
      </c>
      <c r="J925" t="inlineStr">
        <is>
          <t/>
        </is>
      </c>
      <c r="K925" t="n">
        <v>0.0</v>
      </c>
      <c r="L925" t="n">
        <v>0.0</v>
      </c>
      <c r="M925" t="n">
        <v>0.0</v>
      </c>
      <c r="N925" t="inlineStr">
        <is>
          <t/>
        </is>
      </c>
      <c r="O925" t="n">
        <v>0.0</v>
      </c>
      <c r="P925" t="n">
        <v>0.0</v>
      </c>
      <c r="Q925" t="inlineStr">
        <is>
          <t/>
        </is>
      </c>
      <c r="R925" t="inlineStr">
        <is>
          <t/>
        </is>
      </c>
      <c r="S925" t="n">
        <v>0.0</v>
      </c>
      <c r="T925" t="n">
        <v>0.0</v>
      </c>
      <c r="U925" t="n">
        <v>0.0</v>
      </c>
      <c r="V925" t="n">
        <v>0.0</v>
      </c>
      <c r="W925" t="inlineStr">
        <is>
          <t/>
        </is>
      </c>
      <c r="X925" t="n">
        <v>0.0</v>
      </c>
      <c r="Y925" t="n">
        <v>0.0</v>
      </c>
      <c r="Z925" t="n">
        <v>0.0</v>
      </c>
      <c r="AA925" t="n">
        <v>0.0</v>
      </c>
      <c r="AB925" t="n">
        <v>0.0</v>
      </c>
      <c r="AC925" t="n">
        <v>0.0</v>
      </c>
      <c r="AD925" t="n">
        <v>0.0</v>
      </c>
      <c r="AE925" t="n">
        <v>0.0</v>
      </c>
      <c r="AF925" t="n">
        <v>0.0</v>
      </c>
      <c r="AG925" t="n">
        <v>0.0</v>
      </c>
      <c r="AH925" t="n">
        <v>0.0</v>
      </c>
      <c r="AI925" t="n">
        <v>0.0</v>
      </c>
      <c r="AJ925" t="n">
        <v>0.0</v>
      </c>
      <c r="AK925" t="inlineStr">
        <is>
          <t/>
        </is>
      </c>
      <c r="AL925" t="inlineStr">
        <is>
          <t/>
        </is>
      </c>
    </row>
    <row r="926">
      <c r="A926" t="inlineStr">
        <is>
          <t>夏天减脂真不贵，区区69💰够我吃一周了！</t>
        </is>
      </c>
      <c r="B926" t="inlineStr">
        <is>
          <t>6a3d1c130000000006023a98</t>
        </is>
      </c>
      <c r="C926" s="925" t="n">
        <f>HYPERLINK("https://www.xiaohongshu.com/explore/6a3d1c130000000006023a98?xsec_token=TB86hQ-xkUBjAY90uToPmFjaJ7uORqzjctVN4DqhmJZEc=&amp;xsec_source=pc_trdark","https://www.xiaohongshu.com/explore/6a3d1c130000000006023a98?xsec_token=TB86hQ-xkUBjAY90uToPmFjaJ7uORqzjctVN4DqhmJZEc=&amp;xsec_source=pc_trdark")</f>
        <v>0.0</v>
      </c>
      <c r="D926" t="inlineStr">
        <is>
          <t>菲菲上班吃什么</t>
        </is>
      </c>
      <c r="E926" t="inlineStr">
        <is>
          <t>49936530607</t>
        </is>
      </c>
      <c r="F926" t="inlineStr">
        <is>
          <t>2026-06-25 20:16:19</t>
        </is>
      </c>
      <c r="G926" t="inlineStr">
        <is>
          <t>图文</t>
        </is>
      </c>
      <c r="H926" t="inlineStr">
        <is>
          <t>手剥虾仁 无冰衣无添加 低脂餐一人食 上班带饭 顺丰包邮 5盒装</t>
        </is>
      </c>
      <c r="I926" t="inlineStr">
        <is>
          <t>694baba01d450d00013662f0</t>
        </is>
      </c>
      <c r="J926" t="inlineStr">
        <is>
          <t/>
        </is>
      </c>
      <c r="K926" t="n">
        <v>0.0</v>
      </c>
      <c r="L926" t="n">
        <v>0.0</v>
      </c>
      <c r="M926" t="n">
        <v>0.0</v>
      </c>
      <c r="N926" t="inlineStr">
        <is>
          <t/>
        </is>
      </c>
      <c r="O926" t="n">
        <v>0.0</v>
      </c>
      <c r="P926" t="n">
        <v>0.0</v>
      </c>
      <c r="Q926" t="inlineStr">
        <is>
          <t/>
        </is>
      </c>
      <c r="R926" t="inlineStr">
        <is>
          <t/>
        </is>
      </c>
      <c r="S926" t="n">
        <v>0.0</v>
      </c>
      <c r="T926" t="n">
        <v>0.0</v>
      </c>
      <c r="U926" t="n">
        <v>0.0</v>
      </c>
      <c r="V926" t="n">
        <v>0.0</v>
      </c>
      <c r="W926" t="inlineStr">
        <is>
          <t/>
        </is>
      </c>
      <c r="X926" t="n">
        <v>0.0</v>
      </c>
      <c r="Y926" t="n">
        <v>0.0</v>
      </c>
      <c r="Z926" t="n">
        <v>0.0</v>
      </c>
      <c r="AA926" t="n">
        <v>0.0</v>
      </c>
      <c r="AB926" t="n">
        <v>0.0</v>
      </c>
      <c r="AC926" t="n">
        <v>0.0</v>
      </c>
      <c r="AD926" t="n">
        <v>0.0</v>
      </c>
      <c r="AE926" t="n">
        <v>0.0</v>
      </c>
      <c r="AF926" t="n">
        <v>0.0</v>
      </c>
      <c r="AG926" t="n">
        <v>0.0</v>
      </c>
      <c r="AH926" t="n">
        <v>0.0</v>
      </c>
      <c r="AI926" t="n">
        <v>0.0</v>
      </c>
      <c r="AJ926" t="n">
        <v>0.0</v>
      </c>
      <c r="AK926" t="inlineStr">
        <is>
          <t/>
        </is>
      </c>
      <c r="AL926" t="inlineStr">
        <is>
          <t/>
        </is>
      </c>
    </row>
    <row r="927">
      <c r="A927" t="inlineStr">
        <is>
          <t>和老爸深思熟虑后，为早八人推出小包装试试</t>
        </is>
      </c>
      <c r="B927" t="inlineStr">
        <is>
          <t>6a3cd9db000000002101610d</t>
        </is>
      </c>
      <c r="C927" s="926" t="n">
        <f>HYPERLINK("https://www.xiaohongshu.com/explore/6a3cd9db000000002101610d?xsec_token=TBQt52IBW7vEIUvgGBbMhHryhrvtr9eog6XFmUg4eksGY=&amp;xsec_source=pc_trdark","https://www.xiaohongshu.com/explore/6a3cd9db000000002101610d?xsec_token=TBQt52IBW7vEIUvgGBbMhHryhrvtr9eog6XFmUg4eksGY=&amp;xsec_source=pc_trdark")</f>
        <v>0.0</v>
      </c>
      <c r="D927" t="inlineStr">
        <is>
          <t>菲菲上班吃什么</t>
        </is>
      </c>
      <c r="E927" t="inlineStr">
        <is>
          <t>49936530607</t>
        </is>
      </c>
      <c r="F927" t="inlineStr">
        <is>
          <t>2026-06-25 15:33:47</t>
        </is>
      </c>
      <c r="G927" t="inlineStr">
        <is>
          <t>图文</t>
        </is>
      </c>
      <c r="H927" t="inlineStr">
        <is>
          <t>手剥虾仁 无冰衣无添加 低脂餐一人食 上班带饭 顺丰包邮 5盒装</t>
        </is>
      </c>
      <c r="I927" t="inlineStr">
        <is>
          <t>694baba01d450d00013662f0</t>
        </is>
      </c>
      <c r="J927" t="inlineStr">
        <is>
          <t/>
        </is>
      </c>
      <c r="K927" t="n">
        <v>0.0</v>
      </c>
      <c r="L927" t="n">
        <v>0.0</v>
      </c>
      <c r="M927" t="n">
        <v>0.0</v>
      </c>
      <c r="N927" t="inlineStr">
        <is>
          <t/>
        </is>
      </c>
      <c r="O927" t="n">
        <v>0.0</v>
      </c>
      <c r="P927" t="n">
        <v>0.0</v>
      </c>
      <c r="Q927" t="inlineStr">
        <is>
          <t/>
        </is>
      </c>
      <c r="R927" t="inlineStr">
        <is>
          <t/>
        </is>
      </c>
      <c r="S927" t="n">
        <v>0.0</v>
      </c>
      <c r="T927" t="n">
        <v>0.0</v>
      </c>
      <c r="U927" t="n">
        <v>0.0</v>
      </c>
      <c r="V927" t="n">
        <v>0.0</v>
      </c>
      <c r="W927" t="inlineStr">
        <is>
          <t/>
        </is>
      </c>
      <c r="X927" t="n">
        <v>0.0</v>
      </c>
      <c r="Y927" t="n">
        <v>0.0</v>
      </c>
      <c r="Z927" t="n">
        <v>0.0</v>
      </c>
      <c r="AA927" t="n">
        <v>0.0</v>
      </c>
      <c r="AB927" t="n">
        <v>0.0</v>
      </c>
      <c r="AC927" t="n">
        <v>0.0</v>
      </c>
      <c r="AD927" t="n">
        <v>0.0</v>
      </c>
      <c r="AE927" t="n">
        <v>0.0</v>
      </c>
      <c r="AF927" t="n">
        <v>0.0</v>
      </c>
      <c r="AG927" t="n">
        <v>0.0</v>
      </c>
      <c r="AH927" t="n">
        <v>0.0</v>
      </c>
      <c r="AI927" t="n">
        <v>0.0</v>
      </c>
      <c r="AJ927" t="n">
        <v>0.0</v>
      </c>
      <c r="AK927" t="inlineStr">
        <is>
          <t/>
        </is>
      </c>
      <c r="AL927" t="inlineStr">
        <is>
          <t/>
        </is>
      </c>
    </row>
    <row r="928">
      <c r="A928" t="inlineStr">
        <is>
          <t>听粉丝的话，推出了一人食独立小包装！！！</t>
        </is>
      </c>
      <c r="B928" t="inlineStr">
        <is>
          <t>6a3cd10f000000002201bc0a</t>
        </is>
      </c>
      <c r="C928" s="927" t="n">
        <f>HYPERLINK("https://www.xiaohongshu.com/explore/6a3cd10f000000002201bc0a?xsec_token=TBQt52IBW7vEIUvgGBbMhHr4pD8zx8LxzE0_EfQDRZBQM=&amp;xsec_source=pc_trdark","https://www.xiaohongshu.com/explore/6a3cd10f000000002201bc0a?xsec_token=TBQt52IBW7vEIUvgGBbMhHr4pD8zx8LxzE0_EfQDRZBQM=&amp;xsec_source=pc_trdark")</f>
        <v>0.0</v>
      </c>
      <c r="D928" t="inlineStr">
        <is>
          <t>鲜水湾甄选</t>
        </is>
      </c>
      <c r="E928" t="inlineStr">
        <is>
          <t>27401929161</t>
        </is>
      </c>
      <c r="F928" t="inlineStr">
        <is>
          <t>2026-06-25 14:56:15</t>
        </is>
      </c>
      <c r="G928" t="inlineStr">
        <is>
          <t>图文</t>
        </is>
      </c>
      <c r="H928" t="inlineStr">
        <is>
          <t>手剥虾仁 无冰衣无添加 低脂餐一人食 上班带饭 顺丰包邮 5盒装</t>
        </is>
      </c>
      <c r="I928" t="inlineStr">
        <is>
          <t>694baba01d450d00013662f0</t>
        </is>
      </c>
      <c r="J928" t="inlineStr">
        <is>
          <t/>
        </is>
      </c>
      <c r="K928" t="n">
        <v>0.0</v>
      </c>
      <c r="L928" t="n">
        <v>0.0</v>
      </c>
      <c r="M928" t="n">
        <v>0.0</v>
      </c>
      <c r="N928" t="inlineStr">
        <is>
          <t/>
        </is>
      </c>
      <c r="O928" t="n">
        <v>0.0</v>
      </c>
      <c r="P928" t="n">
        <v>0.0</v>
      </c>
      <c r="Q928" t="inlineStr">
        <is>
          <t/>
        </is>
      </c>
      <c r="R928" t="inlineStr">
        <is>
          <t/>
        </is>
      </c>
      <c r="S928" t="n">
        <v>0.0</v>
      </c>
      <c r="T928" t="n">
        <v>0.0</v>
      </c>
      <c r="U928" t="n">
        <v>0.0</v>
      </c>
      <c r="V928" t="n">
        <v>0.0</v>
      </c>
      <c r="W928" t="inlineStr">
        <is>
          <t/>
        </is>
      </c>
      <c r="X928" t="n">
        <v>0.0</v>
      </c>
      <c r="Y928" t="n">
        <v>0.0</v>
      </c>
      <c r="Z928" t="n">
        <v>0.0</v>
      </c>
      <c r="AA928" t="n">
        <v>0.0</v>
      </c>
      <c r="AB928" t="n">
        <v>0.0</v>
      </c>
      <c r="AC928" t="n">
        <v>0.0</v>
      </c>
      <c r="AD928" t="n">
        <v>0.0</v>
      </c>
      <c r="AE928" t="n">
        <v>0.0</v>
      </c>
      <c r="AF928" t="n">
        <v>0.0</v>
      </c>
      <c r="AG928" t="n">
        <v>0.0</v>
      </c>
      <c r="AH928" t="n">
        <v>0.0</v>
      </c>
      <c r="AI928" t="n">
        <v>0.0</v>
      </c>
      <c r="AJ928" t="n">
        <v>0.0</v>
      </c>
      <c r="AK928" t="inlineStr">
        <is>
          <t/>
        </is>
      </c>
      <c r="AL928" t="inlineStr">
        <is>
          <t/>
        </is>
      </c>
    </row>
    <row r="929">
      <c r="A929" t="inlineStr">
        <is>
          <t>90后同事说我每天吃虾真的很奢侈</t>
        </is>
      </c>
      <c r="B929" t="inlineStr">
        <is>
          <t>6a3cb8f20000000007020b0b</t>
        </is>
      </c>
      <c r="C929" s="928" t="n">
        <f>HYPERLINK("https://www.xiaohongshu.com/explore/6a3cb8f20000000007020b0b?xsec_token=TBQt52IBW7vEIUvgGBbMhHr-ST5evZ2Tjg0rFnym5OiGA=&amp;xsec_source=pc_trdark","https://www.xiaohongshu.com/explore/6a3cb8f20000000007020b0b?xsec_token=TBQt52IBW7vEIUvgGBbMhHr-ST5evZ2Tjg0rFnym5OiGA=&amp;xsec_source=pc_trdark")</f>
        <v>0.0</v>
      </c>
      <c r="D929" t="inlineStr">
        <is>
          <t>菲菲上班吃什么</t>
        </is>
      </c>
      <c r="E929" t="inlineStr">
        <is>
          <t>49936530607</t>
        </is>
      </c>
      <c r="F929" t="inlineStr">
        <is>
          <t>2026-06-25 13:13:22</t>
        </is>
      </c>
      <c r="G929" t="inlineStr">
        <is>
          <t>图文</t>
        </is>
      </c>
      <c r="H929" t="inlineStr">
        <is>
          <t>手剥虾仁 无冰衣无添加 低脂餐一人食 上班带饭 顺丰包邮 5盒装</t>
        </is>
      </c>
      <c r="I929" t="inlineStr">
        <is>
          <t>694baba01d450d00013662f0</t>
        </is>
      </c>
      <c r="J929" t="inlineStr">
        <is>
          <t/>
        </is>
      </c>
      <c r="K929" t="n">
        <v>0.0</v>
      </c>
      <c r="L929" t="n">
        <v>0.0</v>
      </c>
      <c r="M929" t="n">
        <v>0.0</v>
      </c>
      <c r="N929" t="inlineStr">
        <is>
          <t/>
        </is>
      </c>
      <c r="O929" t="n">
        <v>0.0</v>
      </c>
      <c r="P929" t="n">
        <v>0.0</v>
      </c>
      <c r="Q929" t="inlineStr">
        <is>
          <t/>
        </is>
      </c>
      <c r="R929" t="inlineStr">
        <is>
          <t/>
        </is>
      </c>
      <c r="S929" t="n">
        <v>0.0</v>
      </c>
      <c r="T929" t="n">
        <v>0.0</v>
      </c>
      <c r="U929" t="n">
        <v>0.0</v>
      </c>
      <c r="V929" t="n">
        <v>0.0</v>
      </c>
      <c r="W929" t="inlineStr">
        <is>
          <t/>
        </is>
      </c>
      <c r="X929" t="n">
        <v>0.0</v>
      </c>
      <c r="Y929" t="n">
        <v>0.0</v>
      </c>
      <c r="Z929" t="n">
        <v>0.0</v>
      </c>
      <c r="AA929" t="n">
        <v>0.0</v>
      </c>
      <c r="AB929" t="n">
        <v>0.0</v>
      </c>
      <c r="AC929" t="n">
        <v>0.0</v>
      </c>
      <c r="AD929" t="n">
        <v>0.0</v>
      </c>
      <c r="AE929" t="n">
        <v>0.0</v>
      </c>
      <c r="AF929" t="n">
        <v>0.0</v>
      </c>
      <c r="AG929" t="n">
        <v>0.0</v>
      </c>
      <c r="AH929" t="n">
        <v>0.0</v>
      </c>
      <c r="AI929" t="n">
        <v>0.0</v>
      </c>
      <c r="AJ929" t="n">
        <v>0.0</v>
      </c>
      <c r="AK929" t="inlineStr">
        <is>
          <t/>
        </is>
      </c>
      <c r="AL929" t="inlineStr">
        <is>
          <t/>
        </is>
      </c>
    </row>
    <row r="930">
      <c r="A930" t="inlineStr">
        <is>
          <t>同事把虾仁拿出来的那一刻我小脑w缩了…</t>
        </is>
      </c>
      <c r="B930" t="inlineStr">
        <is>
          <t>6a3bccfa000000001101c203</t>
        </is>
      </c>
      <c r="C930" s="929" t="n">
        <f>HYPERLINK("https://www.xiaohongshu.com/explore/6a3bccfa000000001101c203?xsec_token=TB5Q_AKgvJfz9cep0BZIf0XaurcSoJAGSnyKGsoRGMnJE=&amp;xsec_source=pc_trdark","https://www.xiaohongshu.com/explore/6a3bccfa000000001101c203?xsec_token=TB5Q_AKgvJfz9cep0BZIf0XaurcSoJAGSnyKGsoRGMnJE=&amp;xsec_source=pc_trdark")</f>
        <v>0.0</v>
      </c>
      <c r="D930" t="inlineStr">
        <is>
          <t>鲜水湾甄选</t>
        </is>
      </c>
      <c r="E930" t="inlineStr">
        <is>
          <t>27401929161</t>
        </is>
      </c>
      <c r="F930" t="inlineStr">
        <is>
          <t>2026-06-24 20:26:34</t>
        </is>
      </c>
      <c r="G930" t="inlineStr">
        <is>
          <t>图文</t>
        </is>
      </c>
      <c r="H930" t="inlineStr">
        <is>
          <t>手剥虾仁 无冰衣无添加 低脂餐一人食 上班带饭 顺丰包邮 5盒装</t>
        </is>
      </c>
      <c r="I930" t="inlineStr">
        <is>
          <t>694baba01d450d00013662f0</t>
        </is>
      </c>
      <c r="J930" t="inlineStr">
        <is>
          <t/>
        </is>
      </c>
      <c r="K930" t="n">
        <v>0.0</v>
      </c>
      <c r="L930" t="n">
        <v>0.0</v>
      </c>
      <c r="M930" t="n">
        <v>0.0</v>
      </c>
      <c r="N930" t="inlineStr">
        <is>
          <t/>
        </is>
      </c>
      <c r="O930" t="n">
        <v>0.0</v>
      </c>
      <c r="P930" t="n">
        <v>0.0</v>
      </c>
      <c r="Q930" t="inlineStr">
        <is>
          <t/>
        </is>
      </c>
      <c r="R930" t="inlineStr">
        <is>
          <t/>
        </is>
      </c>
      <c r="S930" t="n">
        <v>0.0</v>
      </c>
      <c r="T930" t="n">
        <v>0.0</v>
      </c>
      <c r="U930" t="n">
        <v>0.0</v>
      </c>
      <c r="V930" t="n">
        <v>0.0</v>
      </c>
      <c r="W930" t="inlineStr">
        <is>
          <t/>
        </is>
      </c>
      <c r="X930" t="n">
        <v>0.0</v>
      </c>
      <c r="Y930" t="n">
        <v>0.0</v>
      </c>
      <c r="Z930" t="n">
        <v>0.0</v>
      </c>
      <c r="AA930" t="n">
        <v>0.0</v>
      </c>
      <c r="AB930" t="n">
        <v>0.0</v>
      </c>
      <c r="AC930" t="n">
        <v>0.0</v>
      </c>
      <c r="AD930" t="n">
        <v>0.0</v>
      </c>
      <c r="AE930" t="n">
        <v>0.0</v>
      </c>
      <c r="AF930" t="n">
        <v>0.0</v>
      </c>
      <c r="AG930" t="n">
        <v>0.0</v>
      </c>
      <c r="AH930" t="n">
        <v>0.0</v>
      </c>
      <c r="AI930" t="n">
        <v>0.0</v>
      </c>
      <c r="AJ930" t="n">
        <v>0.0</v>
      </c>
      <c r="AK930" t="inlineStr">
        <is>
          <t/>
        </is>
      </c>
      <c r="AL930" t="inlineStr">
        <is>
          <t/>
        </is>
      </c>
    </row>
    <row r="931">
      <c r="A931" t="inlineStr">
        <is>
          <t>说真的，年轻人对300多没啥概念了。。。</t>
        </is>
      </c>
      <c r="B931" t="inlineStr">
        <is>
          <t>6a3bccdf0000000021015994</t>
        </is>
      </c>
      <c r="C931" s="930" t="n">
        <f>HYPERLINK("https://www.xiaohongshu.com/explore/6a3bccdf0000000021015994?xsec_token=TB5Q_AKgvJfz9cep0BZIf0XT2qy_VEQdVcxlfMzuL2p1M=&amp;xsec_source=pc_trdark","https://www.xiaohongshu.com/explore/6a3bccdf0000000021015994?xsec_token=TB5Q_AKgvJfz9cep0BZIf0XT2qy_VEQdVcxlfMzuL2p1M=&amp;xsec_source=pc_trdark")</f>
        <v>0.0</v>
      </c>
      <c r="D931" t="inlineStr">
        <is>
          <t>鲜水湾</t>
        </is>
      </c>
      <c r="E931" t="inlineStr">
        <is>
          <t>49316638994</t>
        </is>
      </c>
      <c r="F931" t="inlineStr">
        <is>
          <t>2026-06-24 20:26:07</t>
        </is>
      </c>
      <c r="G931" t="inlineStr">
        <is>
          <t>图文</t>
        </is>
      </c>
      <c r="H931" t="inlineStr">
        <is>
          <t>智利尾端中段整条三文鱼 8斤深海鱼低脂餐囤货一周备菜顺丰包邮</t>
        </is>
      </c>
      <c r="I931" t="inlineStr">
        <is>
          <t>69fab80d64eb410001ece0c0</t>
        </is>
      </c>
      <c r="J931" t="inlineStr">
        <is>
          <t/>
        </is>
      </c>
      <c r="K931" t="n">
        <v>0.0</v>
      </c>
      <c r="L931" t="n">
        <v>0.0</v>
      </c>
      <c r="M931" t="n">
        <v>0.0</v>
      </c>
      <c r="N931" t="inlineStr">
        <is>
          <t/>
        </is>
      </c>
      <c r="O931" t="n">
        <v>0.0</v>
      </c>
      <c r="P931" t="n">
        <v>0.0</v>
      </c>
      <c r="Q931" t="inlineStr">
        <is>
          <t/>
        </is>
      </c>
      <c r="R931" t="inlineStr">
        <is>
          <t/>
        </is>
      </c>
      <c r="S931" t="n">
        <v>0.0</v>
      </c>
      <c r="T931" t="n">
        <v>0.0</v>
      </c>
      <c r="U931" t="n">
        <v>0.0</v>
      </c>
      <c r="V931" t="n">
        <v>0.0</v>
      </c>
      <c r="W931" t="inlineStr">
        <is>
          <t/>
        </is>
      </c>
      <c r="X931" t="n">
        <v>0.0</v>
      </c>
      <c r="Y931" t="n">
        <v>0.0</v>
      </c>
      <c r="Z931" t="n">
        <v>0.0</v>
      </c>
      <c r="AA931" t="n">
        <v>0.0</v>
      </c>
      <c r="AB931" t="n">
        <v>0.0</v>
      </c>
      <c r="AC931" t="n">
        <v>0.0</v>
      </c>
      <c r="AD931" t="n">
        <v>0.0</v>
      </c>
      <c r="AE931" t="n">
        <v>0.0</v>
      </c>
      <c r="AF931" t="n">
        <v>0.0</v>
      </c>
      <c r="AG931" t="n">
        <v>0.0</v>
      </c>
      <c r="AH931" t="n">
        <v>0.0</v>
      </c>
      <c r="AI931" t="n">
        <v>0.0</v>
      </c>
      <c r="AJ931" t="n">
        <v>0.0</v>
      </c>
      <c r="AK931" t="inlineStr">
        <is>
          <t/>
        </is>
      </c>
      <c r="AL931" t="inlineStr">
        <is>
          <t/>
        </is>
      </c>
    </row>
    <row r="932">
      <c r="A932" t="inlineStr">
        <is>
          <t>老爸觉得我每天吃一包虾仁很奢侈……</t>
        </is>
      </c>
      <c r="B932" t="inlineStr">
        <is>
          <t>6a3bc05f000000002101bafb</t>
        </is>
      </c>
      <c r="C932" s="931" t="n">
        <f>HYPERLINK("https://www.xiaohongshu.com/explore/6a3bc05f000000002101bafb?xsec_token=TB5Q_AKgvJfz9cep0BZIf0XRNQhIp5rypyApmCZXrUlMM=&amp;xsec_source=pc_trdark","https://www.xiaohongshu.com/explore/6a3bc05f000000002101bafb?xsec_token=TB5Q_AKgvJfz9cep0BZIf0XRNQhIp5rypyApmCZXrUlMM=&amp;xsec_source=pc_trdark")</f>
        <v>0.0</v>
      </c>
      <c r="D932" t="inlineStr">
        <is>
          <t>菲菲上班吃什么</t>
        </is>
      </c>
      <c r="E932" t="inlineStr">
        <is>
          <t>49936530607</t>
        </is>
      </c>
      <c r="F932" t="inlineStr">
        <is>
          <t>2026-06-24 20:32:00</t>
        </is>
      </c>
      <c r="G932" t="inlineStr">
        <is>
          <t>图文</t>
        </is>
      </c>
      <c r="H932" t="inlineStr">
        <is>
          <t>手剥虾仁 无冰衣无添加 低脂餐一人食 上班带饭 顺丰包邮 5盒装</t>
        </is>
      </c>
      <c r="I932" t="inlineStr">
        <is>
          <t>694baba01d450d00013662f0</t>
        </is>
      </c>
      <c r="J932" t="inlineStr">
        <is>
          <t/>
        </is>
      </c>
      <c r="K932" t="n">
        <v>0.0</v>
      </c>
      <c r="L932" t="n">
        <v>0.0</v>
      </c>
      <c r="M932" t="n">
        <v>0.0</v>
      </c>
      <c r="N932" t="inlineStr">
        <is>
          <t/>
        </is>
      </c>
      <c r="O932" t="n">
        <v>0.0</v>
      </c>
      <c r="P932" t="n">
        <v>0.0</v>
      </c>
      <c r="Q932" t="inlineStr">
        <is>
          <t/>
        </is>
      </c>
      <c r="R932" t="inlineStr">
        <is>
          <t/>
        </is>
      </c>
      <c r="S932" t="n">
        <v>0.0</v>
      </c>
      <c r="T932" t="n">
        <v>0.0</v>
      </c>
      <c r="U932" t="n">
        <v>0.0</v>
      </c>
      <c r="V932" t="n">
        <v>0.0</v>
      </c>
      <c r="W932" t="inlineStr">
        <is>
          <t/>
        </is>
      </c>
      <c r="X932" t="n">
        <v>0.0</v>
      </c>
      <c r="Y932" t="n">
        <v>0.0</v>
      </c>
      <c r="Z932" t="n">
        <v>0.0</v>
      </c>
      <c r="AA932" t="n">
        <v>0.0</v>
      </c>
      <c r="AB932" t="n">
        <v>0.0</v>
      </c>
      <c r="AC932" t="n">
        <v>0.0</v>
      </c>
      <c r="AD932" t="n">
        <v>0.0</v>
      </c>
      <c r="AE932" t="n">
        <v>0.0</v>
      </c>
      <c r="AF932" t="n">
        <v>0.0</v>
      </c>
      <c r="AG932" t="n">
        <v>0.0</v>
      </c>
      <c r="AH932" t="n">
        <v>0.0</v>
      </c>
      <c r="AI932" t="n">
        <v>0.0</v>
      </c>
      <c r="AJ932" t="n">
        <v>0.0</v>
      </c>
      <c r="AK932" t="inlineStr">
        <is>
          <t/>
        </is>
      </c>
      <c r="AL932" t="inlineStr">
        <is>
          <t/>
        </is>
      </c>
    </row>
    <row r="933">
      <c r="A933" t="inlineStr">
        <is>
          <t>69块的虾仁，承包了我一周的工作餐</t>
        </is>
      </c>
      <c r="B933" t="inlineStr">
        <is>
          <t>6a3bc04c0000000006037b0c</t>
        </is>
      </c>
      <c r="C933" s="932" t="n">
        <f>HYPERLINK("https://www.xiaohongshu.com/explore/6a3bc04c0000000006037b0c?xsec_token=TB5Q_AKgvJfz9cep0BZIf0XeluKwA22eT5YWEEuw-xNKQ=&amp;xsec_source=pc_trdark","https://www.xiaohongshu.com/explore/6a3bc04c0000000006037b0c?xsec_token=TB5Q_AKgvJfz9cep0BZIf0XeluKwA22eT5YWEEuw-xNKQ=&amp;xsec_source=pc_trdark")</f>
        <v>0.0</v>
      </c>
      <c r="D933" t="inlineStr">
        <is>
          <t>菲菲上班吃什么</t>
        </is>
      </c>
      <c r="E933" t="inlineStr">
        <is>
          <t>49936530607</t>
        </is>
      </c>
      <c r="F933" t="inlineStr">
        <is>
          <t>2026-06-24 19:32:28</t>
        </is>
      </c>
      <c r="G933" t="inlineStr">
        <is>
          <t>图文</t>
        </is>
      </c>
      <c r="H933" t="inlineStr">
        <is>
          <t>手剥虾仁 无冰衣无添加 低脂餐一人食 上班带饭 顺丰包邮 5盒装</t>
        </is>
      </c>
      <c r="I933" t="inlineStr">
        <is>
          <t>694baba01d450d00013662f0</t>
        </is>
      </c>
      <c r="J933" t="inlineStr">
        <is>
          <t/>
        </is>
      </c>
      <c r="K933" t="n">
        <v>0.0</v>
      </c>
      <c r="L933" t="n">
        <v>0.0</v>
      </c>
      <c r="M933" t="n">
        <v>0.0</v>
      </c>
      <c r="N933" t="inlineStr">
        <is>
          <t/>
        </is>
      </c>
      <c r="O933" t="n">
        <v>0.0</v>
      </c>
      <c r="P933" t="n">
        <v>0.0</v>
      </c>
      <c r="Q933" t="inlineStr">
        <is>
          <t/>
        </is>
      </c>
      <c r="R933" t="inlineStr">
        <is>
          <t/>
        </is>
      </c>
      <c r="S933" t="n">
        <v>0.0</v>
      </c>
      <c r="T933" t="n">
        <v>0.0</v>
      </c>
      <c r="U933" t="n">
        <v>0.0</v>
      </c>
      <c r="V933" t="n">
        <v>0.0</v>
      </c>
      <c r="W933" t="inlineStr">
        <is>
          <t/>
        </is>
      </c>
      <c r="X933" t="n">
        <v>0.0</v>
      </c>
      <c r="Y933" t="n">
        <v>0.0</v>
      </c>
      <c r="Z933" t="n">
        <v>0.0</v>
      </c>
      <c r="AA933" t="n">
        <v>0.0</v>
      </c>
      <c r="AB933" t="n">
        <v>0.0</v>
      </c>
      <c r="AC933" t="n">
        <v>0.0</v>
      </c>
      <c r="AD933" t="n">
        <v>0.0</v>
      </c>
      <c r="AE933" t="n">
        <v>0.0</v>
      </c>
      <c r="AF933" t="n">
        <v>0.0</v>
      </c>
      <c r="AG933" t="n">
        <v>0.0</v>
      </c>
      <c r="AH933" t="n">
        <v>0.0</v>
      </c>
      <c r="AI933" t="n">
        <v>0.0</v>
      </c>
      <c r="AJ933" t="n">
        <v>0.0</v>
      </c>
      <c r="AK933" t="inlineStr">
        <is>
          <t/>
        </is>
      </c>
      <c r="AL933" t="inlineStr">
        <is>
          <t/>
        </is>
      </c>
    </row>
    <row r="934">
      <c r="A934" t="inlineStr">
        <is>
          <t>减脂期的快乐只花69块就能拥有～</t>
        </is>
      </c>
      <c r="B934" t="inlineStr">
        <is>
          <t>6a3bc035000000000f0169c0</t>
        </is>
      </c>
      <c r="C934" s="933" t="n">
        <f>HYPERLINK("https://www.xiaohongshu.com/explore/6a3bc035000000000f0169c0?xsec_token=TB5Q_AKgvJfz9cep0BZIf0XSww_0hPiABwoo-nxUlWTXs=&amp;xsec_source=pc_trdark","https://www.xiaohongshu.com/explore/6a3bc035000000000f0169c0?xsec_token=TB5Q_AKgvJfz9cep0BZIf0XSww_0hPiABwoo-nxUlWTXs=&amp;xsec_source=pc_trdark")</f>
        <v>0.0</v>
      </c>
      <c r="D934" t="inlineStr">
        <is>
          <t>鲜水湾甄选</t>
        </is>
      </c>
      <c r="E934" t="inlineStr">
        <is>
          <t>27401929161</t>
        </is>
      </c>
      <c r="F934" t="inlineStr">
        <is>
          <t>2026-06-24 19:32:05</t>
        </is>
      </c>
      <c r="G934" t="inlineStr">
        <is>
          <t>图文</t>
        </is>
      </c>
      <c r="H934" t="inlineStr">
        <is>
          <t>手剥虾仁 无冰衣无添加 低脂餐一人食 上班带饭 顺丰包邮 5盒装</t>
        </is>
      </c>
      <c r="I934" t="inlineStr">
        <is>
          <t>694baba01d450d00013662f0</t>
        </is>
      </c>
      <c r="J934" t="inlineStr">
        <is>
          <t/>
        </is>
      </c>
      <c r="K934" t="n">
        <v>0.0</v>
      </c>
      <c r="L934" t="n">
        <v>0.0</v>
      </c>
      <c r="M934" t="n">
        <v>0.0</v>
      </c>
      <c r="N934" t="inlineStr">
        <is>
          <t/>
        </is>
      </c>
      <c r="O934" t="n">
        <v>0.0</v>
      </c>
      <c r="P934" t="n">
        <v>0.0</v>
      </c>
      <c r="Q934" t="inlineStr">
        <is>
          <t/>
        </is>
      </c>
      <c r="R934" t="inlineStr">
        <is>
          <t/>
        </is>
      </c>
      <c r="S934" t="n">
        <v>0.0</v>
      </c>
      <c r="T934" t="n">
        <v>0.0</v>
      </c>
      <c r="U934" t="n">
        <v>0.0</v>
      </c>
      <c r="V934" t="n">
        <v>0.0</v>
      </c>
      <c r="W934" t="inlineStr">
        <is>
          <t/>
        </is>
      </c>
      <c r="X934" t="n">
        <v>0.0</v>
      </c>
      <c r="Y934" t="n">
        <v>0.0</v>
      </c>
      <c r="Z934" t="n">
        <v>0.0</v>
      </c>
      <c r="AA934" t="n">
        <v>0.0</v>
      </c>
      <c r="AB934" t="n">
        <v>0.0</v>
      </c>
      <c r="AC934" t="n">
        <v>0.0</v>
      </c>
      <c r="AD934" t="n">
        <v>0.0</v>
      </c>
      <c r="AE934" t="n">
        <v>0.0</v>
      </c>
      <c r="AF934" t="n">
        <v>0.0</v>
      </c>
      <c r="AG934" t="n">
        <v>0.0</v>
      </c>
      <c r="AH934" t="n">
        <v>0.0</v>
      </c>
      <c r="AI934" t="n">
        <v>0.0</v>
      </c>
      <c r="AJ934" t="n">
        <v>0.0</v>
      </c>
      <c r="AK934" t="inlineStr">
        <is>
          <t/>
        </is>
      </c>
      <c r="AL934" t="inlineStr">
        <is>
          <t/>
        </is>
      </c>
    </row>
    <row r="935">
      <c r="A935" t="inlineStr">
        <is>
          <t>早八赶时间，我的带饭公式被同事抄走了</t>
        </is>
      </c>
      <c r="B935" t="inlineStr">
        <is>
          <t>6a3b6b5e0000000006033fda</t>
        </is>
      </c>
      <c r="C935" s="934" t="n">
        <f>HYPERLINK("https://www.xiaohongshu.com/explore/6a3b6b5e0000000006033fda?xsec_token=TB5Q_AKgvJfz9cep0BZIf0XXEjiW77-NqGKrvj4in_fOk=&amp;xsec_source=pc_trdark","https://www.xiaohongshu.com/explore/6a3b6b5e0000000006033fda?xsec_token=TB5Q_AKgvJfz9cep0BZIf0XXEjiW77-NqGKrvj4in_fOk=&amp;xsec_source=pc_trdark")</f>
        <v>0.0</v>
      </c>
      <c r="D935" t="inlineStr">
        <is>
          <t>菲菲上班吃什么</t>
        </is>
      </c>
      <c r="E935" t="inlineStr">
        <is>
          <t>49936530607</t>
        </is>
      </c>
      <c r="F935" t="inlineStr">
        <is>
          <t>2026-06-24 13:30:06</t>
        </is>
      </c>
      <c r="G935" t="inlineStr">
        <is>
          <t>图文</t>
        </is>
      </c>
      <c r="H935" t="inlineStr">
        <is>
          <t>手剥虾仁 无冰衣无添加 低脂餐一人食 上班带饭 顺丰包邮 5盒装</t>
        </is>
      </c>
      <c r="I935" t="inlineStr">
        <is>
          <t>694baba01d450d00013662f0</t>
        </is>
      </c>
      <c r="J935" t="inlineStr">
        <is>
          <t/>
        </is>
      </c>
      <c r="K935" t="n">
        <v>0.0</v>
      </c>
      <c r="L935" t="n">
        <v>0.0</v>
      </c>
      <c r="M935" t="n">
        <v>0.0</v>
      </c>
      <c r="N935" t="inlineStr">
        <is>
          <t/>
        </is>
      </c>
      <c r="O935" t="n">
        <v>0.0</v>
      </c>
      <c r="P935" t="n">
        <v>0.0</v>
      </c>
      <c r="Q935" t="inlineStr">
        <is>
          <t/>
        </is>
      </c>
      <c r="R935" t="inlineStr">
        <is>
          <t/>
        </is>
      </c>
      <c r="S935" t="n">
        <v>0.0</v>
      </c>
      <c r="T935" t="n">
        <v>0.0</v>
      </c>
      <c r="U935" t="n">
        <v>0.0</v>
      </c>
      <c r="V935" t="n">
        <v>0.0</v>
      </c>
      <c r="W935" t="inlineStr">
        <is>
          <t/>
        </is>
      </c>
      <c r="X935" t="n">
        <v>0.0</v>
      </c>
      <c r="Y935" t="n">
        <v>0.0</v>
      </c>
      <c r="Z935" t="n">
        <v>0.0</v>
      </c>
      <c r="AA935" t="n">
        <v>0.0</v>
      </c>
      <c r="AB935" t="n">
        <v>0.0</v>
      </c>
      <c r="AC935" t="n">
        <v>0.0</v>
      </c>
      <c r="AD935" t="n">
        <v>0.0</v>
      </c>
      <c r="AE935" t="n">
        <v>0.0</v>
      </c>
      <c r="AF935" t="n">
        <v>0.0</v>
      </c>
      <c r="AG935" t="n">
        <v>0.0</v>
      </c>
      <c r="AH935" t="n">
        <v>0.0</v>
      </c>
      <c r="AI935" t="n">
        <v>0.0</v>
      </c>
      <c r="AJ935" t="n">
        <v>0.0</v>
      </c>
      <c r="AK935" t="inlineStr">
        <is>
          <t/>
        </is>
      </c>
      <c r="AL935" t="inlineStr">
        <is>
          <t/>
        </is>
      </c>
    </row>
    <row r="936">
      <c r="A936" t="inlineStr">
        <is>
          <t>直观展示一下100元的购买力！</t>
        </is>
      </c>
      <c r="B936" t="inlineStr">
        <is>
          <t>6a3a79900000000007025135</t>
        </is>
      </c>
      <c r="C936" s="935" t="n">
        <f>HYPERLINK("https://www.xiaohongshu.com/explore/6a3a79900000000007025135?xsec_token=TB6JLlH-I5wyeOIL4LxmWU3vh0FKuOax0m9TkYyixpcsU=&amp;xsec_source=pc_trdark","https://www.xiaohongshu.com/explore/6a3a79900000000007025135?xsec_token=TB6JLlH-I5wyeOIL4LxmWU3vh0FKuOax0m9TkYyixpcsU=&amp;xsec_source=pc_trdark")</f>
        <v>0.0</v>
      </c>
      <c r="D936" t="inlineStr">
        <is>
          <t>菲菲上班吃什么</t>
        </is>
      </c>
      <c r="E936" t="inlineStr">
        <is>
          <t>49936530607</t>
        </is>
      </c>
      <c r="F936" t="inlineStr">
        <is>
          <t>2026-06-23 21:41:00</t>
        </is>
      </c>
      <c r="G936" t="inlineStr">
        <is>
          <t>图文</t>
        </is>
      </c>
      <c r="H936" t="inlineStr">
        <is>
          <t>手剥虾仁 无冰衣无添加 低脂餐一人食 上班带饭 顺丰包邮 5盒装</t>
        </is>
      </c>
      <c r="I936" t="inlineStr">
        <is>
          <t>694baba01d450d00013662f0</t>
        </is>
      </c>
      <c r="J936" t="inlineStr">
        <is>
          <t/>
        </is>
      </c>
      <c r="K936" t="n">
        <v>0.0</v>
      </c>
      <c r="L936" t="n">
        <v>0.0</v>
      </c>
      <c r="M936" t="n">
        <v>0.0</v>
      </c>
      <c r="N936" t="inlineStr">
        <is>
          <t/>
        </is>
      </c>
      <c r="O936" t="n">
        <v>0.0</v>
      </c>
      <c r="P936" t="n">
        <v>0.0</v>
      </c>
      <c r="Q936" t="inlineStr">
        <is>
          <t/>
        </is>
      </c>
      <c r="R936" t="inlineStr">
        <is>
          <t/>
        </is>
      </c>
      <c r="S936" t="n">
        <v>0.0</v>
      </c>
      <c r="T936" t="n">
        <v>0.0</v>
      </c>
      <c r="U936" t="n">
        <v>0.0</v>
      </c>
      <c r="V936" t="n">
        <v>0.0</v>
      </c>
      <c r="W936" t="inlineStr">
        <is>
          <t/>
        </is>
      </c>
      <c r="X936" t="n">
        <v>0.0</v>
      </c>
      <c r="Y936" t="n">
        <v>0.0</v>
      </c>
      <c r="Z936" t="n">
        <v>0.0</v>
      </c>
      <c r="AA936" t="n">
        <v>0.0</v>
      </c>
      <c r="AB936" t="n">
        <v>0.0</v>
      </c>
      <c r="AC936" t="n">
        <v>0.0</v>
      </c>
      <c r="AD936" t="n">
        <v>0.0</v>
      </c>
      <c r="AE936" t="n">
        <v>0.0</v>
      </c>
      <c r="AF936" t="n">
        <v>0.0</v>
      </c>
      <c r="AG936" t="n">
        <v>0.0</v>
      </c>
      <c r="AH936" t="n">
        <v>0.0</v>
      </c>
      <c r="AI936" t="n">
        <v>0.0</v>
      </c>
      <c r="AJ936" t="n">
        <v>0.0</v>
      </c>
      <c r="AK936" t="inlineStr">
        <is>
          <t/>
        </is>
      </c>
      <c r="AL936" t="inlineStr">
        <is>
          <t/>
        </is>
      </c>
    </row>
    <row r="937">
      <c r="A937" t="inlineStr">
        <is>
          <t>奉劝大家不要低估69块的购买力！</t>
        </is>
      </c>
      <c r="B937" t="inlineStr">
        <is>
          <t>6a3a79830000000022009284</t>
        </is>
      </c>
      <c r="C937" s="936" t="n">
        <f>HYPERLINK("https://www.xiaohongshu.com/explore/6a3a79830000000022009284?xsec_token=TB6JLlH-I5wyeOIL4LxmWU3ka8oSMclpdWxHegdiOROwg=&amp;xsec_source=pc_trdark","https://www.xiaohongshu.com/explore/6a3a79830000000022009284?xsec_token=TB6JLlH-I5wyeOIL4LxmWU3ka8oSMclpdWxHegdiOROwg=&amp;xsec_source=pc_trdark")</f>
        <v>0.0</v>
      </c>
      <c r="D937" t="inlineStr">
        <is>
          <t>菲菲上班吃什么</t>
        </is>
      </c>
      <c r="E937" t="inlineStr">
        <is>
          <t>49936530607</t>
        </is>
      </c>
      <c r="F937" t="inlineStr">
        <is>
          <t>2026-06-23 20:18:11</t>
        </is>
      </c>
      <c r="G937" t="inlineStr">
        <is>
          <t>图文</t>
        </is>
      </c>
      <c r="H937" t="inlineStr">
        <is>
          <t>手剥虾仁 无冰衣无添加 低脂餐一人食 上班带饭 顺丰包邮 5盒装</t>
        </is>
      </c>
      <c r="I937" t="inlineStr">
        <is>
          <t>694baba01d450d00013662f0</t>
        </is>
      </c>
      <c r="J937" t="inlineStr">
        <is>
          <t/>
        </is>
      </c>
      <c r="K937" t="n">
        <v>0.0</v>
      </c>
      <c r="L937" t="n">
        <v>0.0</v>
      </c>
      <c r="M937" t="n">
        <v>0.0</v>
      </c>
      <c r="N937" t="inlineStr">
        <is>
          <t/>
        </is>
      </c>
      <c r="O937" t="n">
        <v>0.0</v>
      </c>
      <c r="P937" t="n">
        <v>0.0</v>
      </c>
      <c r="Q937" t="inlineStr">
        <is>
          <t/>
        </is>
      </c>
      <c r="R937" t="inlineStr">
        <is>
          <t/>
        </is>
      </c>
      <c r="S937" t="n">
        <v>0.0</v>
      </c>
      <c r="T937" t="n">
        <v>0.0</v>
      </c>
      <c r="U937" t="n">
        <v>0.0</v>
      </c>
      <c r="V937" t="n">
        <v>0.0</v>
      </c>
      <c r="W937" t="inlineStr">
        <is>
          <t/>
        </is>
      </c>
      <c r="X937" t="n">
        <v>0.0</v>
      </c>
      <c r="Y937" t="n">
        <v>0.0</v>
      </c>
      <c r="Z937" t="n">
        <v>0.0</v>
      </c>
      <c r="AA937" t="n">
        <v>0.0</v>
      </c>
      <c r="AB937" t="n">
        <v>0.0</v>
      </c>
      <c r="AC937" t="n">
        <v>0.0</v>
      </c>
      <c r="AD937" t="n">
        <v>0.0</v>
      </c>
      <c r="AE937" t="n">
        <v>0.0</v>
      </c>
      <c r="AF937" t="n">
        <v>0.0</v>
      </c>
      <c r="AG937" t="n">
        <v>0.0</v>
      </c>
      <c r="AH937" t="n">
        <v>0.0</v>
      </c>
      <c r="AI937" t="n">
        <v>0.0</v>
      </c>
      <c r="AJ937" t="n">
        <v>0.0</v>
      </c>
      <c r="AK937" t="inlineStr">
        <is>
          <t/>
        </is>
      </c>
      <c r="AL937" t="inlineStr">
        <is>
          <t/>
        </is>
      </c>
    </row>
    <row r="938">
      <c r="A938" t="inlineStr">
        <is>
          <t>控体期，办公室午餐被问爆了😭</t>
        </is>
      </c>
      <c r="B938" t="inlineStr">
        <is>
          <t>6a3a795a0000000011010ac2</t>
        </is>
      </c>
      <c r="C938" s="937" t="n">
        <f>HYPERLINK("https://www.xiaohongshu.com/explore/6a3a795a0000000011010ac2?xsec_token=TB6JLlH-I5wyeOIL4LxmWU3nv30VvxStDJnVUMtrnwW4k=&amp;xsec_source=pc_trdark","https://www.xiaohongshu.com/explore/6a3a795a0000000011010ac2?xsec_token=TB6JLlH-I5wyeOIL4LxmWU3nv30VvxStDJnVUMtrnwW4k=&amp;xsec_source=pc_trdark")</f>
        <v>0.0</v>
      </c>
      <c r="D938" t="inlineStr">
        <is>
          <t>鲜水湾甄选</t>
        </is>
      </c>
      <c r="E938" t="inlineStr">
        <is>
          <t>27401929161</t>
        </is>
      </c>
      <c r="F938" t="inlineStr">
        <is>
          <t>2026-06-23 20:17:30</t>
        </is>
      </c>
      <c r="G938" t="inlineStr">
        <is>
          <t>图文</t>
        </is>
      </c>
      <c r="H938" t="inlineStr">
        <is>
          <t>手剥虾仁 无冰衣无添加 低脂餐一人食 上班带饭 顺丰包邮 5盒装</t>
        </is>
      </c>
      <c r="I938" t="inlineStr">
        <is>
          <t>694baba01d450d00013662f0</t>
        </is>
      </c>
      <c r="J938" t="inlineStr">
        <is>
          <t/>
        </is>
      </c>
      <c r="K938" t="n">
        <v>0.0</v>
      </c>
      <c r="L938" t="n">
        <v>0.0</v>
      </c>
      <c r="M938" t="n">
        <v>0.0</v>
      </c>
      <c r="N938" t="inlineStr">
        <is>
          <t/>
        </is>
      </c>
      <c r="O938" t="n">
        <v>0.0</v>
      </c>
      <c r="P938" t="n">
        <v>0.0</v>
      </c>
      <c r="Q938" t="inlineStr">
        <is>
          <t/>
        </is>
      </c>
      <c r="R938" t="inlineStr">
        <is>
          <t/>
        </is>
      </c>
      <c r="S938" t="n">
        <v>0.0</v>
      </c>
      <c r="T938" t="n">
        <v>0.0</v>
      </c>
      <c r="U938" t="n">
        <v>0.0</v>
      </c>
      <c r="V938" t="n">
        <v>0.0</v>
      </c>
      <c r="W938" t="inlineStr">
        <is>
          <t/>
        </is>
      </c>
      <c r="X938" t="n">
        <v>0.0</v>
      </c>
      <c r="Y938" t="n">
        <v>0.0</v>
      </c>
      <c r="Z938" t="n">
        <v>0.0</v>
      </c>
      <c r="AA938" t="n">
        <v>0.0</v>
      </c>
      <c r="AB938" t="n">
        <v>0.0</v>
      </c>
      <c r="AC938" t="n">
        <v>0.0</v>
      </c>
      <c r="AD938" t="n">
        <v>0.0</v>
      </c>
      <c r="AE938" t="n">
        <v>0.0</v>
      </c>
      <c r="AF938" t="n">
        <v>0.0</v>
      </c>
      <c r="AG938" t="n">
        <v>0.0</v>
      </c>
      <c r="AH938" t="n">
        <v>0.0</v>
      </c>
      <c r="AI938" t="n">
        <v>0.0</v>
      </c>
      <c r="AJ938" t="n">
        <v>0.0</v>
      </c>
      <c r="AK938" t="inlineStr">
        <is>
          <t/>
        </is>
      </c>
      <c r="AL938" t="inlineStr">
        <is>
          <t/>
        </is>
      </c>
    </row>
    <row r="939">
      <c r="A939" t="inlineStr">
        <is>
          <t>和老爸商量后，推出专为独居人做独立小包装</t>
        </is>
      </c>
      <c r="B939" t="inlineStr">
        <is>
          <t>6a3a58ed000000000f0062d6</t>
        </is>
      </c>
      <c r="C939" s="938" t="n">
        <f>HYPERLINK("https://www.xiaohongshu.com/explore/6a3a58ed000000000f0062d6?xsec_token=TB6JLlH-I5wyeOIL4LxmWU3j2exzw_S2YL6X9gZB0l33k=&amp;xsec_source=pc_trdark","https://www.xiaohongshu.com/explore/6a3a58ed000000000f0062d6?xsec_token=TB6JLlH-I5wyeOIL4LxmWU3j2exzw_S2YL6X9gZB0l33k=&amp;xsec_source=pc_trdark")</f>
        <v>0.0</v>
      </c>
      <c r="D939" t="inlineStr">
        <is>
          <t>鲜水湾甄选</t>
        </is>
      </c>
      <c r="E939" t="inlineStr">
        <is>
          <t>27401929161</t>
        </is>
      </c>
      <c r="F939" t="inlineStr">
        <is>
          <t>2026-06-23 17:59:09</t>
        </is>
      </c>
      <c r="G939" t="inlineStr">
        <is>
          <t>图文</t>
        </is>
      </c>
      <c r="H939" t="inlineStr">
        <is>
          <t>手剥虾仁 无冰衣无添加 低脂餐一人食 上班带饭 顺丰包邮 5盒装</t>
        </is>
      </c>
      <c r="I939" t="inlineStr">
        <is>
          <t>694baba01d450d00013662f0</t>
        </is>
      </c>
      <c r="J939" t="inlineStr">
        <is>
          <t/>
        </is>
      </c>
      <c r="K939" t="n">
        <v>0.0</v>
      </c>
      <c r="L939" t="n">
        <v>0.0</v>
      </c>
      <c r="M939" t="n">
        <v>0.0</v>
      </c>
      <c r="N939" t="inlineStr">
        <is>
          <t/>
        </is>
      </c>
      <c r="O939" t="n">
        <v>0.0</v>
      </c>
      <c r="P939" t="n">
        <v>0.0</v>
      </c>
      <c r="Q939" t="inlineStr">
        <is>
          <t/>
        </is>
      </c>
      <c r="R939" t="inlineStr">
        <is>
          <t/>
        </is>
      </c>
      <c r="S939" t="n">
        <v>0.0</v>
      </c>
      <c r="T939" t="n">
        <v>0.0</v>
      </c>
      <c r="U939" t="n">
        <v>0.0</v>
      </c>
      <c r="V939" t="n">
        <v>0.0</v>
      </c>
      <c r="W939" t="inlineStr">
        <is>
          <t/>
        </is>
      </c>
      <c r="X939" t="n">
        <v>0.0</v>
      </c>
      <c r="Y939" t="n">
        <v>0.0</v>
      </c>
      <c r="Z939" t="n">
        <v>0.0</v>
      </c>
      <c r="AA939" t="n">
        <v>0.0</v>
      </c>
      <c r="AB939" t="n">
        <v>0.0</v>
      </c>
      <c r="AC939" t="n">
        <v>0.0</v>
      </c>
      <c r="AD939" t="n">
        <v>0.0</v>
      </c>
      <c r="AE939" t="n">
        <v>0.0</v>
      </c>
      <c r="AF939" t="n">
        <v>0.0</v>
      </c>
      <c r="AG939" t="n">
        <v>0.0</v>
      </c>
      <c r="AH939" t="n">
        <v>0.0</v>
      </c>
      <c r="AI939" t="n">
        <v>0.0</v>
      </c>
      <c r="AJ939" t="n">
        <v>0.0</v>
      </c>
      <c r="AK939" t="inlineStr">
        <is>
          <t/>
        </is>
      </c>
      <c r="AL939" t="inlineStr">
        <is>
          <t/>
        </is>
      </c>
    </row>
    <row r="940">
      <c r="A940" t="inlineStr">
        <is>
          <t>独居后才懂，虾仁独立小包装真的很爽！！！</t>
        </is>
      </c>
      <c r="B940" t="inlineStr">
        <is>
          <t>6a3a3add0000000011005917</t>
        </is>
      </c>
      <c r="C940" s="939" t="n">
        <f>HYPERLINK("https://www.xiaohongshu.com/explore/6a3a3add0000000011005917?xsec_token=TB6JLlH-I5wyeOIL4LxmWU3hjy_1FqyUs5E8_hGcfCkfo=&amp;xsec_source=pc_trdark","https://www.xiaohongshu.com/explore/6a3a3add0000000011005917?xsec_token=TB6JLlH-I5wyeOIL4LxmWU3hjy_1FqyUs5E8_hGcfCkfo=&amp;xsec_source=pc_trdark")</f>
        <v>0.0</v>
      </c>
      <c r="D940" t="inlineStr">
        <is>
          <t>鲜水湾甄选</t>
        </is>
      </c>
      <c r="E940" t="inlineStr">
        <is>
          <t>27401929161</t>
        </is>
      </c>
      <c r="F940" t="inlineStr">
        <is>
          <t>2026-06-23 15:50:53</t>
        </is>
      </c>
      <c r="G940" t="inlineStr">
        <is>
          <t>图文</t>
        </is>
      </c>
      <c r="H940" t="inlineStr">
        <is>
          <t>手剥虾仁 无冰衣无添加 低脂餐一人食 上班带饭 顺丰包邮 5盒装</t>
        </is>
      </c>
      <c r="I940" t="inlineStr">
        <is>
          <t>694baba01d450d00013662f0</t>
        </is>
      </c>
      <c r="J940" t="inlineStr">
        <is>
          <t/>
        </is>
      </c>
      <c r="K940" t="n">
        <v>0.0</v>
      </c>
      <c r="L940" t="n">
        <v>0.0</v>
      </c>
      <c r="M940" t="n">
        <v>0.0</v>
      </c>
      <c r="N940" t="inlineStr">
        <is>
          <t/>
        </is>
      </c>
      <c r="O940" t="n">
        <v>0.0</v>
      </c>
      <c r="P940" t="n">
        <v>0.0</v>
      </c>
      <c r="Q940" t="inlineStr">
        <is>
          <t/>
        </is>
      </c>
      <c r="R940" t="inlineStr">
        <is>
          <t/>
        </is>
      </c>
      <c r="S940" t="n">
        <v>0.0</v>
      </c>
      <c r="T940" t="n">
        <v>0.0</v>
      </c>
      <c r="U940" t="n">
        <v>0.0</v>
      </c>
      <c r="V940" t="n">
        <v>0.0</v>
      </c>
      <c r="W940" t="inlineStr">
        <is>
          <t/>
        </is>
      </c>
      <c r="X940" t="n">
        <v>0.0</v>
      </c>
      <c r="Y940" t="n">
        <v>0.0</v>
      </c>
      <c r="Z940" t="n">
        <v>0.0</v>
      </c>
      <c r="AA940" t="n">
        <v>0.0</v>
      </c>
      <c r="AB940" t="n">
        <v>0.0</v>
      </c>
      <c r="AC940" t="n">
        <v>0.0</v>
      </c>
      <c r="AD940" t="n">
        <v>0.0</v>
      </c>
      <c r="AE940" t="n">
        <v>0.0</v>
      </c>
      <c r="AF940" t="n">
        <v>0.0</v>
      </c>
      <c r="AG940" t="n">
        <v>0.0</v>
      </c>
      <c r="AH940" t="n">
        <v>0.0</v>
      </c>
      <c r="AI940" t="n">
        <v>0.0</v>
      </c>
      <c r="AJ940" t="n">
        <v>0.0</v>
      </c>
      <c r="AK940" t="inlineStr">
        <is>
          <t/>
        </is>
      </c>
      <c r="AL940" t="inlineStr">
        <is>
          <t/>
        </is>
      </c>
    </row>
    <row r="941">
      <c r="A941" t="inlineStr">
        <is>
          <t>我妈都夸我会带饭了😭</t>
        </is>
      </c>
      <c r="B941" t="inlineStr">
        <is>
          <t>6a39f96f000000000701231b</t>
        </is>
      </c>
      <c r="C941" s="940" t="n">
        <f>HYPERLINK("https://www.xiaohongshu.com/explore/6a39f96f000000000701231b?xsec_token=TBkripse3NS7kS6gQvPzXTTTfQqM0l9CwhmdYzwyy4eKA=&amp;xsec_source=pc_trdark","https://www.xiaohongshu.com/explore/6a39f96f000000000701231b?xsec_token=TBkripse3NS7kS6gQvPzXTTTfQqM0l9CwhmdYzwyy4eKA=&amp;xsec_source=pc_trdark")</f>
        <v>0.0</v>
      </c>
      <c r="D941" t="inlineStr">
        <is>
          <t>菲菲上班吃什么</t>
        </is>
      </c>
      <c r="E941" t="inlineStr">
        <is>
          <t>49936530607</t>
        </is>
      </c>
      <c r="F941" t="inlineStr">
        <is>
          <t>2026-06-23 11:11:44</t>
        </is>
      </c>
      <c r="G941" t="inlineStr">
        <is>
          <t>图文</t>
        </is>
      </c>
      <c r="H941" t="inlineStr">
        <is>
          <t>手剥虾仁 无冰衣无添加 低脂餐一人食 上班带饭 顺丰包邮 5盒装</t>
        </is>
      </c>
      <c r="I941" t="inlineStr">
        <is>
          <t>694baba01d450d00013662f0</t>
        </is>
      </c>
      <c r="J941" t="inlineStr">
        <is>
          <t/>
        </is>
      </c>
      <c r="K941" t="n">
        <v>0.0</v>
      </c>
      <c r="L941" t="n">
        <v>0.0</v>
      </c>
      <c r="M941" t="n">
        <v>0.0</v>
      </c>
      <c r="N941" t="inlineStr">
        <is>
          <t/>
        </is>
      </c>
      <c r="O941" t="n">
        <v>0.0</v>
      </c>
      <c r="P941" t="n">
        <v>0.0</v>
      </c>
      <c r="Q941" t="inlineStr">
        <is>
          <t/>
        </is>
      </c>
      <c r="R941" t="inlineStr">
        <is>
          <t/>
        </is>
      </c>
      <c r="S941" t="n">
        <v>0.0</v>
      </c>
      <c r="T941" t="n">
        <v>0.0</v>
      </c>
      <c r="U941" t="n">
        <v>0.0</v>
      </c>
      <c r="V941" t="n">
        <v>0.0</v>
      </c>
      <c r="W941" t="inlineStr">
        <is>
          <t/>
        </is>
      </c>
      <c r="X941" t="n">
        <v>0.0</v>
      </c>
      <c r="Y941" t="n">
        <v>0.0</v>
      </c>
      <c r="Z941" t="n">
        <v>0.0</v>
      </c>
      <c r="AA941" t="n">
        <v>0.0</v>
      </c>
      <c r="AB941" t="n">
        <v>0.0</v>
      </c>
      <c r="AC941" t="n">
        <v>0.0</v>
      </c>
      <c r="AD941" t="n">
        <v>0.0</v>
      </c>
      <c r="AE941" t="n">
        <v>0.0</v>
      </c>
      <c r="AF941" t="n">
        <v>0.0</v>
      </c>
      <c r="AG941" t="n">
        <v>0.0</v>
      </c>
      <c r="AH941" t="n">
        <v>0.0</v>
      </c>
      <c r="AI941" t="n">
        <v>0.0</v>
      </c>
      <c r="AJ941" t="n">
        <v>0.0</v>
      </c>
      <c r="AK941" t="inlineStr">
        <is>
          <t/>
        </is>
      </c>
      <c r="AL941" t="inlineStr">
        <is>
          <t/>
        </is>
      </c>
    </row>
    <row r="942">
      <c r="A942" t="inlineStr">
        <is>
          <t>奉劝大家不要低估 69 块的购买力！</t>
        </is>
      </c>
      <c r="B942" t="inlineStr">
        <is>
          <t>6a39292700000000220176ef</t>
        </is>
      </c>
      <c r="C942" s="941" t="n">
        <f>HYPERLINK("https://www.xiaohongshu.com/explore/6a39292700000000220176ef?xsec_token=TBkripse3NS7kS6gQvPzXTTVz2-JRofFr8RYOuMyQOH34=&amp;xsec_source=pc_trdark","https://www.xiaohongshu.com/explore/6a39292700000000220176ef?xsec_token=TBkripse3NS7kS6gQvPzXTTVz2-JRofFr8RYOuMyQOH34=&amp;xsec_source=pc_trdark")</f>
        <v>0.0</v>
      </c>
      <c r="D942" t="inlineStr">
        <is>
          <t>菲菲上班吃什么</t>
        </is>
      </c>
      <c r="E942" t="inlineStr">
        <is>
          <t>49936530607</t>
        </is>
      </c>
      <c r="F942" t="inlineStr">
        <is>
          <t>2026-06-22 20:23:03</t>
        </is>
      </c>
      <c r="G942" t="inlineStr">
        <is>
          <t>图文</t>
        </is>
      </c>
      <c r="H942" t="inlineStr">
        <is>
          <t>手剥虾仁 无冰衣无添加 低脂餐一人食 上班带饭 顺丰包邮 5盒装</t>
        </is>
      </c>
      <c r="I942" t="inlineStr">
        <is>
          <t>694baba01d450d00013662f0</t>
        </is>
      </c>
      <c r="J942" t="inlineStr">
        <is>
          <t/>
        </is>
      </c>
      <c r="K942" t="n">
        <v>0.0</v>
      </c>
      <c r="L942" t="n">
        <v>0.0</v>
      </c>
      <c r="M942" t="n">
        <v>0.0</v>
      </c>
      <c r="N942" t="inlineStr">
        <is>
          <t/>
        </is>
      </c>
      <c r="O942" t="n">
        <v>0.0</v>
      </c>
      <c r="P942" t="n">
        <v>0.0</v>
      </c>
      <c r="Q942" t="inlineStr">
        <is>
          <t/>
        </is>
      </c>
      <c r="R942" t="inlineStr">
        <is>
          <t/>
        </is>
      </c>
      <c r="S942" t="n">
        <v>0.0</v>
      </c>
      <c r="T942" t="n">
        <v>0.0</v>
      </c>
      <c r="U942" t="n">
        <v>0.0</v>
      </c>
      <c r="V942" t="n">
        <v>0.0</v>
      </c>
      <c r="W942" t="inlineStr">
        <is>
          <t/>
        </is>
      </c>
      <c r="X942" t="n">
        <v>0.0</v>
      </c>
      <c r="Y942" t="n">
        <v>0.0</v>
      </c>
      <c r="Z942" t="n">
        <v>0.0</v>
      </c>
      <c r="AA942" t="n">
        <v>0.0</v>
      </c>
      <c r="AB942" t="n">
        <v>0.0</v>
      </c>
      <c r="AC942" t="n">
        <v>0.0</v>
      </c>
      <c r="AD942" t="n">
        <v>0.0</v>
      </c>
      <c r="AE942" t="n">
        <v>0.0</v>
      </c>
      <c r="AF942" t="n">
        <v>0.0</v>
      </c>
      <c r="AG942" t="n">
        <v>0.0</v>
      </c>
      <c r="AH942" t="n">
        <v>0.0</v>
      </c>
      <c r="AI942" t="n">
        <v>0.0</v>
      </c>
      <c r="AJ942" t="n">
        <v>0.0</v>
      </c>
      <c r="AK942" t="inlineStr">
        <is>
          <t/>
        </is>
      </c>
      <c r="AL942" t="inlineStr">
        <is>
          <t/>
        </is>
      </c>
    </row>
    <row r="943">
      <c r="A943" t="inlineStr">
        <is>
          <t>按照客户要求，推出不到100卡一人食小包装</t>
        </is>
      </c>
      <c r="B943" t="inlineStr">
        <is>
          <t>6a392908000000000f033da6</t>
        </is>
      </c>
      <c r="C943" s="942" t="n">
        <f>HYPERLINK("https://www.xiaohongshu.com/explore/6a392908000000000f033da6?xsec_token=TBkripse3NS7kS6gQvPzXTTUN00fayCd5QLPbIfNNW78Q=&amp;xsec_source=pc_trdark","https://www.xiaohongshu.com/explore/6a392908000000000f033da6?xsec_token=TBkripse3NS7kS6gQvPzXTTUN00fayCd5QLPbIfNNW78Q=&amp;xsec_source=pc_trdark")</f>
        <v>0.0</v>
      </c>
      <c r="D943" t="inlineStr">
        <is>
          <t>鲜水湾甄选</t>
        </is>
      </c>
      <c r="E943" t="inlineStr">
        <is>
          <t>27401929161</t>
        </is>
      </c>
      <c r="F943" t="inlineStr">
        <is>
          <t>2026-06-22 20:22:32</t>
        </is>
      </c>
      <c r="G943" t="inlineStr">
        <is>
          <t>图文</t>
        </is>
      </c>
      <c r="H943" t="inlineStr">
        <is>
          <t>手剥虾仁 无冰衣无添加 低脂餐一人食 上班带饭 顺丰包邮 5盒装</t>
        </is>
      </c>
      <c r="I943" t="inlineStr">
        <is>
          <t>694baba01d450d00013662f0</t>
        </is>
      </c>
      <c r="J943" t="inlineStr">
        <is>
          <t/>
        </is>
      </c>
      <c r="K943" t="n">
        <v>0.0</v>
      </c>
      <c r="L943" t="n">
        <v>0.0</v>
      </c>
      <c r="M943" t="n">
        <v>0.0</v>
      </c>
      <c r="N943" t="inlineStr">
        <is>
          <t/>
        </is>
      </c>
      <c r="O943" t="n">
        <v>0.0</v>
      </c>
      <c r="P943" t="n">
        <v>0.0</v>
      </c>
      <c r="Q943" t="inlineStr">
        <is>
          <t/>
        </is>
      </c>
      <c r="R943" t="inlineStr">
        <is>
          <t/>
        </is>
      </c>
      <c r="S943" t="n">
        <v>0.0</v>
      </c>
      <c r="T943" t="n">
        <v>0.0</v>
      </c>
      <c r="U943" t="n">
        <v>0.0</v>
      </c>
      <c r="V943" t="n">
        <v>0.0</v>
      </c>
      <c r="W943" t="inlineStr">
        <is>
          <t/>
        </is>
      </c>
      <c r="X943" t="n">
        <v>0.0</v>
      </c>
      <c r="Y943" t="n">
        <v>0.0</v>
      </c>
      <c r="Z943" t="n">
        <v>0.0</v>
      </c>
      <c r="AA943" t="n">
        <v>0.0</v>
      </c>
      <c r="AB943" t="n">
        <v>0.0</v>
      </c>
      <c r="AC943" t="n">
        <v>0.0</v>
      </c>
      <c r="AD943" t="n">
        <v>0.0</v>
      </c>
      <c r="AE943" t="n">
        <v>0.0</v>
      </c>
      <c r="AF943" t="n">
        <v>0.0</v>
      </c>
      <c r="AG943" t="n">
        <v>0.0</v>
      </c>
      <c r="AH943" t="n">
        <v>0.0</v>
      </c>
      <c r="AI943" t="n">
        <v>0.0</v>
      </c>
      <c r="AJ943" t="n">
        <v>0.0</v>
      </c>
      <c r="AK943" t="inlineStr">
        <is>
          <t/>
        </is>
      </c>
      <c r="AL943" t="inlineStr">
        <is>
          <t/>
        </is>
      </c>
    </row>
    <row r="944">
      <c r="A944" t="inlineStr">
        <is>
          <t>减脂期！！由于我不停的吃！！ 由于我不停的吃！</t>
        </is>
      </c>
      <c r="B944" t="inlineStr">
        <is>
          <t>6a39081800000000210162f9</t>
        </is>
      </c>
      <c r="C944" s="943" t="n">
        <f>HYPERLINK("https://www.xiaohongshu.com/explore/6a39081800000000210162f9?xsec_token=TBkripse3NS7kS6gQvPzXTTdEdugUEPLCqStB7cgYnBXQ=&amp;xsec_source=pc_trdark","https://www.xiaohongshu.com/explore/6a39081800000000210162f9?xsec_token=TBkripse3NS7kS6gQvPzXTTdEdugUEPLCqStB7cgYnBXQ=&amp;xsec_source=pc_trdark")</f>
        <v>0.0</v>
      </c>
      <c r="D944" t="inlineStr">
        <is>
          <t>菲菲上班吃什么</t>
        </is>
      </c>
      <c r="E944" t="inlineStr">
        <is>
          <t>49936530607</t>
        </is>
      </c>
      <c r="F944" t="inlineStr">
        <is>
          <t>2026-06-22 18:02:01</t>
        </is>
      </c>
      <c r="G944" t="inlineStr">
        <is>
          <t>图文</t>
        </is>
      </c>
      <c r="H944" t="inlineStr">
        <is>
          <t>手剥虾仁 无冰衣无添加 低脂餐一人食 上班带饭 顺丰包邮 5盒装</t>
        </is>
      </c>
      <c r="I944" t="inlineStr">
        <is>
          <t>694baba01d450d00013662f0</t>
        </is>
      </c>
      <c r="J944" t="inlineStr">
        <is>
          <t/>
        </is>
      </c>
      <c r="K944" t="n">
        <v>0.0</v>
      </c>
      <c r="L944" t="n">
        <v>0.0</v>
      </c>
      <c r="M944" t="n">
        <v>0.0</v>
      </c>
      <c r="N944" t="inlineStr">
        <is>
          <t/>
        </is>
      </c>
      <c r="O944" t="n">
        <v>0.0</v>
      </c>
      <c r="P944" t="n">
        <v>0.0</v>
      </c>
      <c r="Q944" t="inlineStr">
        <is>
          <t/>
        </is>
      </c>
      <c r="R944" t="inlineStr">
        <is>
          <t/>
        </is>
      </c>
      <c r="S944" t="n">
        <v>0.0</v>
      </c>
      <c r="T944" t="n">
        <v>0.0</v>
      </c>
      <c r="U944" t="n">
        <v>0.0</v>
      </c>
      <c r="V944" t="n">
        <v>0.0</v>
      </c>
      <c r="W944" t="inlineStr">
        <is>
          <t/>
        </is>
      </c>
      <c r="X944" t="n">
        <v>0.0</v>
      </c>
      <c r="Y944" t="n">
        <v>0.0</v>
      </c>
      <c r="Z944" t="n">
        <v>0.0</v>
      </c>
      <c r="AA944" t="n">
        <v>0.0</v>
      </c>
      <c r="AB944" t="n">
        <v>0.0</v>
      </c>
      <c r="AC944" t="n">
        <v>0.0</v>
      </c>
      <c r="AD944" t="n">
        <v>0.0</v>
      </c>
      <c r="AE944" t="n">
        <v>0.0</v>
      </c>
      <c r="AF944" t="n">
        <v>0.0</v>
      </c>
      <c r="AG944" t="n">
        <v>0.0</v>
      </c>
      <c r="AH944" t="n">
        <v>0.0</v>
      </c>
      <c r="AI944" t="n">
        <v>0.0</v>
      </c>
      <c r="AJ944" t="n">
        <v>0.0</v>
      </c>
      <c r="AK944" t="inlineStr">
        <is>
          <t/>
        </is>
      </c>
      <c r="AL944" t="inlineStr">
        <is>
          <t/>
        </is>
      </c>
    </row>
    <row r="945">
      <c r="A945" t="inlineStr">
        <is>
          <t>听劝，咱家虾仁收到就白水煮！</t>
        </is>
      </c>
      <c r="B945" t="inlineStr">
        <is>
          <t>6a39033e000000002201abe0</t>
        </is>
      </c>
      <c r="C945" s="944" t="n">
        <f>HYPERLINK("https://www.xiaohongshu.com/explore/6a39033e000000002201abe0?xsec_token=TBkripse3NS7kS6gQvPzXTTQrjGnNpzf80BoA3l0794ps=&amp;xsec_source=pc_trdark","https://www.xiaohongshu.com/explore/6a39033e000000002201abe0?xsec_token=TBkripse3NS7kS6gQvPzXTTQrjGnNpzf80BoA3l0794ps=&amp;xsec_source=pc_trdark")</f>
        <v>0.0</v>
      </c>
      <c r="D945" t="inlineStr">
        <is>
          <t>鲜水湾甄选</t>
        </is>
      </c>
      <c r="E945" t="inlineStr">
        <is>
          <t>27401929161</t>
        </is>
      </c>
      <c r="F945" t="inlineStr">
        <is>
          <t>2026-06-22 17:41:18</t>
        </is>
      </c>
      <c r="G945" t="inlineStr">
        <is>
          <t>图文</t>
        </is>
      </c>
      <c r="H945" t="inlineStr">
        <is>
          <t>手剥虾仁 无冰衣无添加 低脂餐一人食 上班带饭 顺丰包邮 5盒装</t>
        </is>
      </c>
      <c r="I945" t="inlineStr">
        <is>
          <t>694baba01d450d00013662f0</t>
        </is>
      </c>
      <c r="J945" t="inlineStr">
        <is>
          <t/>
        </is>
      </c>
      <c r="K945" t="n">
        <v>0.0</v>
      </c>
      <c r="L945" t="n">
        <v>0.0</v>
      </c>
      <c r="M945" t="n">
        <v>0.0</v>
      </c>
      <c r="N945" t="inlineStr">
        <is>
          <t/>
        </is>
      </c>
      <c r="O945" t="n">
        <v>0.0</v>
      </c>
      <c r="P945" t="n">
        <v>0.0</v>
      </c>
      <c r="Q945" t="inlineStr">
        <is>
          <t/>
        </is>
      </c>
      <c r="R945" t="inlineStr">
        <is>
          <t/>
        </is>
      </c>
      <c r="S945" t="n">
        <v>0.0</v>
      </c>
      <c r="T945" t="n">
        <v>0.0</v>
      </c>
      <c r="U945" t="n">
        <v>0.0</v>
      </c>
      <c r="V945" t="n">
        <v>0.0</v>
      </c>
      <c r="W945" t="inlineStr">
        <is>
          <t/>
        </is>
      </c>
      <c r="X945" t="n">
        <v>0.0</v>
      </c>
      <c r="Y945" t="n">
        <v>0.0</v>
      </c>
      <c r="Z945" t="n">
        <v>0.0</v>
      </c>
      <c r="AA945" t="n">
        <v>0.0</v>
      </c>
      <c r="AB945" t="n">
        <v>0.0</v>
      </c>
      <c r="AC945" t="n">
        <v>0.0</v>
      </c>
      <c r="AD945" t="n">
        <v>0.0</v>
      </c>
      <c r="AE945" t="n">
        <v>0.0</v>
      </c>
      <c r="AF945" t="n">
        <v>0.0</v>
      </c>
      <c r="AG945" t="n">
        <v>0.0</v>
      </c>
      <c r="AH945" t="n">
        <v>0.0</v>
      </c>
      <c r="AI945" t="n">
        <v>0.0</v>
      </c>
      <c r="AJ945" t="n">
        <v>0.0</v>
      </c>
      <c r="AK945" t="inlineStr">
        <is>
          <t/>
        </is>
      </c>
      <c r="AL945" t="inlineStr">
        <is>
          <t/>
        </is>
      </c>
    </row>
    <row r="946">
      <c r="A946" t="inlineStr">
        <is>
          <t>同事看我天天吃虾，还以为我伙食开销很高😭</t>
        </is>
      </c>
      <c r="B946" t="inlineStr">
        <is>
          <t>6a38dd51000000002100a600</t>
        </is>
      </c>
      <c r="C946" s="945" t="n">
        <f>HYPERLINK("https://www.xiaohongshu.com/explore/6a38dd51000000002100a600?xsec_token=TBRyosr1HGPYxVy2p2HWj-e9mjMjsf2SP7WNC_cbxinYU=&amp;xsec_source=pc_trdark","https://www.xiaohongshu.com/explore/6a38dd51000000002100a600?xsec_token=TBRyosr1HGPYxVy2p2HWj-e9mjMjsf2SP7WNC_cbxinYU=&amp;xsec_source=pc_trdark")</f>
        <v>0.0</v>
      </c>
      <c r="D946" t="inlineStr">
        <is>
          <t>菲菲上班吃什么</t>
        </is>
      </c>
      <c r="E946" t="inlineStr">
        <is>
          <t>49936530607</t>
        </is>
      </c>
      <c r="F946" t="inlineStr">
        <is>
          <t>2026-06-22 14:59:29</t>
        </is>
      </c>
      <c r="G946" t="inlineStr">
        <is>
          <t>图文</t>
        </is>
      </c>
      <c r="H946" t="inlineStr">
        <is>
          <t>手剥虾仁 无冰衣无添加 低脂餐一人食 上班带饭 顺丰包邮 5盒装</t>
        </is>
      </c>
      <c r="I946" t="inlineStr">
        <is>
          <t>694baba01d450d00013662f0</t>
        </is>
      </c>
      <c r="J946" t="inlineStr">
        <is>
          <t/>
        </is>
      </c>
      <c r="K946" t="n">
        <v>0.0</v>
      </c>
      <c r="L946" t="n">
        <v>0.0</v>
      </c>
      <c r="M946" t="n">
        <v>0.0</v>
      </c>
      <c r="N946" t="inlineStr">
        <is>
          <t/>
        </is>
      </c>
      <c r="O946" t="n">
        <v>0.0</v>
      </c>
      <c r="P946" t="n">
        <v>0.0</v>
      </c>
      <c r="Q946" t="inlineStr">
        <is>
          <t/>
        </is>
      </c>
      <c r="R946" t="inlineStr">
        <is>
          <t/>
        </is>
      </c>
      <c r="S946" t="n">
        <v>0.0</v>
      </c>
      <c r="T946" t="n">
        <v>0.0</v>
      </c>
      <c r="U946" t="n">
        <v>0.0</v>
      </c>
      <c r="V946" t="n">
        <v>0.0</v>
      </c>
      <c r="W946" t="inlineStr">
        <is>
          <t/>
        </is>
      </c>
      <c r="X946" t="n">
        <v>0.0</v>
      </c>
      <c r="Y946" t="n">
        <v>0.0</v>
      </c>
      <c r="Z946" t="n">
        <v>0.0</v>
      </c>
      <c r="AA946" t="n">
        <v>0.0</v>
      </c>
      <c r="AB946" t="n">
        <v>0.0</v>
      </c>
      <c r="AC946" t="n">
        <v>0.0</v>
      </c>
      <c r="AD946" t="n">
        <v>0.0</v>
      </c>
      <c r="AE946" t="n">
        <v>0.0</v>
      </c>
      <c r="AF946" t="n">
        <v>0.0</v>
      </c>
      <c r="AG946" t="n">
        <v>0.0</v>
      </c>
      <c r="AH946" t="n">
        <v>0.0</v>
      </c>
      <c r="AI946" t="n">
        <v>0.0</v>
      </c>
      <c r="AJ946" t="n">
        <v>0.0</v>
      </c>
      <c r="AK946" t="inlineStr">
        <is>
          <t/>
        </is>
      </c>
      <c r="AL946" t="inlineStr">
        <is>
          <t/>
        </is>
      </c>
    </row>
    <row r="947">
      <c r="A947" t="inlineStr">
        <is>
          <t>再也不用反复解冻了！专为一人食设计小包装</t>
        </is>
      </c>
      <c r="B947" t="inlineStr">
        <is>
          <t>6a38acf7000000000702d27f</t>
        </is>
      </c>
      <c r="C947" s="946" t="n">
        <f>HYPERLINK("https://www.xiaohongshu.com/explore/6a38acf7000000000702d27f?xsec_token=TBRyosr1HGPYxVy2p2HWj-e1f5BhOV3wXKoyzOTtcvcss=&amp;xsec_source=pc_trdark","https://www.xiaohongshu.com/explore/6a38acf7000000000702d27f?xsec_token=TBRyosr1HGPYxVy2p2HWj-e1f5BhOV3wXKoyzOTtcvcss=&amp;xsec_source=pc_trdark")</f>
        <v>0.0</v>
      </c>
      <c r="D947" t="inlineStr">
        <is>
          <t>菲菲上班吃什么</t>
        </is>
      </c>
      <c r="E947" t="inlineStr">
        <is>
          <t>49936530607</t>
        </is>
      </c>
      <c r="F947" t="inlineStr">
        <is>
          <t>2026-06-22 11:33:11</t>
        </is>
      </c>
      <c r="G947" t="inlineStr">
        <is>
          <t>图文</t>
        </is>
      </c>
      <c r="H947" t="inlineStr">
        <is>
          <t>手剥虾仁 无冰衣无添加 低脂餐一人食 上班带饭 顺丰包邮 5盒装</t>
        </is>
      </c>
      <c r="I947" t="inlineStr">
        <is>
          <t>694baba01d450d00013662f0</t>
        </is>
      </c>
      <c r="J947" t="inlineStr">
        <is>
          <t/>
        </is>
      </c>
      <c r="K947" t="n">
        <v>0.0</v>
      </c>
      <c r="L947" t="n">
        <v>0.0</v>
      </c>
      <c r="M947" t="n">
        <v>0.0</v>
      </c>
      <c r="N947" t="inlineStr">
        <is>
          <t/>
        </is>
      </c>
      <c r="O947" t="n">
        <v>0.0</v>
      </c>
      <c r="P947" t="n">
        <v>0.0</v>
      </c>
      <c r="Q947" t="inlineStr">
        <is>
          <t/>
        </is>
      </c>
      <c r="R947" t="inlineStr">
        <is>
          <t/>
        </is>
      </c>
      <c r="S947" t="n">
        <v>0.0</v>
      </c>
      <c r="T947" t="n">
        <v>0.0</v>
      </c>
      <c r="U947" t="n">
        <v>0.0</v>
      </c>
      <c r="V947" t="n">
        <v>0.0</v>
      </c>
      <c r="W947" t="inlineStr">
        <is>
          <t/>
        </is>
      </c>
      <c r="X947" t="n">
        <v>0.0</v>
      </c>
      <c r="Y947" t="n">
        <v>0.0</v>
      </c>
      <c r="Z947" t="n">
        <v>0.0</v>
      </c>
      <c r="AA947" t="n">
        <v>0.0</v>
      </c>
      <c r="AB947" t="n">
        <v>0.0</v>
      </c>
      <c r="AC947" t="n">
        <v>0.0</v>
      </c>
      <c r="AD947" t="n">
        <v>0.0</v>
      </c>
      <c r="AE947" t="n">
        <v>0.0</v>
      </c>
      <c r="AF947" t="n">
        <v>0.0</v>
      </c>
      <c r="AG947" t="n">
        <v>0.0</v>
      </c>
      <c r="AH947" t="n">
        <v>0.0</v>
      </c>
      <c r="AI947" t="n">
        <v>0.0</v>
      </c>
      <c r="AJ947" t="n">
        <v>0.0</v>
      </c>
      <c r="AK947" t="inlineStr">
        <is>
          <t/>
        </is>
      </c>
      <c r="AL947" t="inlineStr">
        <is>
          <t/>
        </is>
      </c>
    </row>
    <row r="948">
      <c r="A948" t="inlineStr">
        <is>
          <t>以为300多没多少，结果够吃2个月了</t>
        </is>
      </c>
      <c r="B948" t="inlineStr">
        <is>
          <t>6a38aa16000000000702c91e</t>
        </is>
      </c>
      <c r="C948" s="947" t="n">
        <f>HYPERLINK("https://www.xiaohongshu.com/explore/6a38aa16000000000702c91e?xsec_token=TBRyosr1HGPYxVy2p2HWj-e8SFn-8mJ_dcm9igBt43Yn4=&amp;xsec_source=pc_trdark","https://www.xiaohongshu.com/explore/6a38aa16000000000702c91e?xsec_token=TBRyosr1HGPYxVy2p2HWj-e8SFn-8mJ_dcm9igBt43Yn4=&amp;xsec_source=pc_trdark")</f>
        <v>0.0</v>
      </c>
      <c r="D948" t="inlineStr">
        <is>
          <t>鲜水湾</t>
        </is>
      </c>
      <c r="E948" t="inlineStr">
        <is>
          <t>49316638994</t>
        </is>
      </c>
      <c r="F948" t="inlineStr">
        <is>
          <t>2026-06-22 11:20:54</t>
        </is>
      </c>
      <c r="G948" t="inlineStr">
        <is>
          <t>图文</t>
        </is>
      </c>
      <c r="H948" t="inlineStr">
        <is>
          <t>智利尾端中段整条三文鱼 8斤深海鱼低脂餐囤货一周备菜顺丰包邮</t>
        </is>
      </c>
      <c r="I948" t="inlineStr">
        <is>
          <t>69fab80d64eb410001ece0c0</t>
        </is>
      </c>
      <c r="J948" t="inlineStr">
        <is>
          <t/>
        </is>
      </c>
      <c r="K948" t="n">
        <v>0.0</v>
      </c>
      <c r="L948" t="n">
        <v>0.0</v>
      </c>
      <c r="M948" t="n">
        <v>0.0</v>
      </c>
      <c r="N948" t="inlineStr">
        <is>
          <t/>
        </is>
      </c>
      <c r="O948" t="n">
        <v>0.0</v>
      </c>
      <c r="P948" t="n">
        <v>0.0</v>
      </c>
      <c r="Q948" t="inlineStr">
        <is>
          <t/>
        </is>
      </c>
      <c r="R948" t="inlineStr">
        <is>
          <t/>
        </is>
      </c>
      <c r="S948" t="n">
        <v>0.0</v>
      </c>
      <c r="T948" t="n">
        <v>0.0</v>
      </c>
      <c r="U948" t="n">
        <v>0.0</v>
      </c>
      <c r="V948" t="n">
        <v>0.0</v>
      </c>
      <c r="W948" t="inlineStr">
        <is>
          <t/>
        </is>
      </c>
      <c r="X948" t="n">
        <v>0.0</v>
      </c>
      <c r="Y948" t="n">
        <v>0.0</v>
      </c>
      <c r="Z948" t="n">
        <v>0.0</v>
      </c>
      <c r="AA948" t="n">
        <v>0.0</v>
      </c>
      <c r="AB948" t="n">
        <v>0.0</v>
      </c>
      <c r="AC948" t="n">
        <v>0.0</v>
      </c>
      <c r="AD948" t="n">
        <v>0.0</v>
      </c>
      <c r="AE948" t="n">
        <v>0.0</v>
      </c>
      <c r="AF948" t="n">
        <v>0.0</v>
      </c>
      <c r="AG948" t="n">
        <v>0.0</v>
      </c>
      <c r="AH948" t="n">
        <v>0.0</v>
      </c>
      <c r="AI948" t="n">
        <v>0.0</v>
      </c>
      <c r="AJ948" t="n">
        <v>0.0</v>
      </c>
      <c r="AK948" t="inlineStr">
        <is>
          <t/>
        </is>
      </c>
      <c r="AL948" t="inlineStr">
        <is>
          <t/>
        </is>
      </c>
    </row>
    <row r="949">
      <c r="A949" t="inlineStr">
        <is>
          <t>手剥虾仁69管一周？一人食减脂餐！！！</t>
        </is>
      </c>
      <c r="B949" t="inlineStr">
        <is>
          <t>6a38a62d000000000f00460b</t>
        </is>
      </c>
      <c r="C949" s="948" t="n">
        <f>HYPERLINK("https://www.xiaohongshu.com/explore/6a38a62d000000000f00460b?xsec_token=TBRyosr1HGPYxVy2p2HWj-eyiT7yKMJQ9lj4JdCNtQquc=&amp;xsec_source=pc_trdark","https://www.xiaohongshu.com/explore/6a38a62d000000000f00460b?xsec_token=TBRyosr1HGPYxVy2p2HWj-eyiT7yKMJQ9lj4JdCNtQquc=&amp;xsec_source=pc_trdark")</f>
        <v>0.0</v>
      </c>
      <c r="D949" t="inlineStr">
        <is>
          <t>鲜水湾甄选</t>
        </is>
      </c>
      <c r="E949" t="inlineStr">
        <is>
          <t>27401929161</t>
        </is>
      </c>
      <c r="F949" t="inlineStr">
        <is>
          <t>2026-06-22 11:04:13</t>
        </is>
      </c>
      <c r="G949" t="inlineStr">
        <is>
          <t>图文</t>
        </is>
      </c>
      <c r="H949" t="inlineStr">
        <is>
          <t>手剥虾仁 无冰衣无添加 低脂餐一人食 上班带饭 顺丰包邮 5盒装</t>
        </is>
      </c>
      <c r="I949" t="inlineStr">
        <is>
          <t>694baba01d450d00013662f0</t>
        </is>
      </c>
      <c r="J949" t="inlineStr">
        <is>
          <t/>
        </is>
      </c>
      <c r="K949" t="n">
        <v>0.0</v>
      </c>
      <c r="L949" t="n">
        <v>0.0</v>
      </c>
      <c r="M949" t="n">
        <v>0.0</v>
      </c>
      <c r="N949" t="inlineStr">
        <is>
          <t/>
        </is>
      </c>
      <c r="O949" t="n">
        <v>0.0</v>
      </c>
      <c r="P949" t="n">
        <v>0.0</v>
      </c>
      <c r="Q949" t="inlineStr">
        <is>
          <t/>
        </is>
      </c>
      <c r="R949" t="inlineStr">
        <is>
          <t/>
        </is>
      </c>
      <c r="S949" t="n">
        <v>0.0</v>
      </c>
      <c r="T949" t="n">
        <v>0.0</v>
      </c>
      <c r="U949" t="n">
        <v>0.0</v>
      </c>
      <c r="V949" t="n">
        <v>0.0</v>
      </c>
      <c r="W949" t="inlineStr">
        <is>
          <t/>
        </is>
      </c>
      <c r="X949" t="n">
        <v>0.0</v>
      </c>
      <c r="Y949" t="n">
        <v>0.0</v>
      </c>
      <c r="Z949" t="n">
        <v>0.0</v>
      </c>
      <c r="AA949" t="n">
        <v>0.0</v>
      </c>
      <c r="AB949" t="n">
        <v>0.0</v>
      </c>
      <c r="AC949" t="n">
        <v>0.0</v>
      </c>
      <c r="AD949" t="n">
        <v>0.0</v>
      </c>
      <c r="AE949" t="n">
        <v>0.0</v>
      </c>
      <c r="AF949" t="n">
        <v>0.0</v>
      </c>
      <c r="AG949" t="n">
        <v>0.0</v>
      </c>
      <c r="AH949" t="n">
        <v>0.0</v>
      </c>
      <c r="AI949" t="n">
        <v>0.0</v>
      </c>
      <c r="AJ949" t="n">
        <v>0.0</v>
      </c>
      <c r="AK949" t="inlineStr">
        <is>
          <t/>
        </is>
      </c>
      <c r="AL949" t="inlineStr">
        <is>
          <t/>
        </is>
      </c>
    </row>
    <row r="950">
      <c r="A950" t="inlineStr">
        <is>
          <t>和父母商量后，决定再放200单，顺丰包邮</t>
        </is>
      </c>
      <c r="B950" t="inlineStr">
        <is>
          <t>6a3897f80000000021022f40</t>
        </is>
      </c>
      <c r="C950" s="949" t="n">
        <f>HYPERLINK("https://www.xiaohongshu.com/explore/6a3897f80000000021022f40?xsec_token=TBRyosr1HGPYxVy2p2HWj-e-5ZWGNRTSjFHPPrnQDcR-0=&amp;xsec_source=pc_trdark","https://www.xiaohongshu.com/explore/6a3897f80000000021022f40?xsec_token=TBRyosr1HGPYxVy2p2HWj-e-5ZWGNRTSjFHPPrnQDcR-0=&amp;xsec_source=pc_trdark")</f>
        <v>0.0</v>
      </c>
      <c r="D950" t="inlineStr">
        <is>
          <t>鲜水湾</t>
        </is>
      </c>
      <c r="E950" t="inlineStr">
        <is>
          <t>49316638994</t>
        </is>
      </c>
      <c r="F950" t="inlineStr">
        <is>
          <t>2026-06-22 10:03:36</t>
        </is>
      </c>
      <c r="G950" t="inlineStr">
        <is>
          <t>图文</t>
        </is>
      </c>
      <c r="H950" t="inlineStr">
        <is>
          <t>智利尾端中段整条三文鱼 8斤深海鱼低脂餐囤货一周备菜顺丰包邮</t>
        </is>
      </c>
      <c r="I950" t="inlineStr">
        <is>
          <t>69fab80d64eb410001ece0c0</t>
        </is>
      </c>
      <c r="J950" t="inlineStr">
        <is>
          <t/>
        </is>
      </c>
      <c r="K950" t="n">
        <v>0.0</v>
      </c>
      <c r="L950" t="n">
        <v>0.0</v>
      </c>
      <c r="M950" t="n">
        <v>0.0</v>
      </c>
      <c r="N950" t="inlineStr">
        <is>
          <t/>
        </is>
      </c>
      <c r="O950" t="n">
        <v>0.0</v>
      </c>
      <c r="P950" t="n">
        <v>0.0</v>
      </c>
      <c r="Q950" t="inlineStr">
        <is>
          <t/>
        </is>
      </c>
      <c r="R950" t="inlineStr">
        <is>
          <t/>
        </is>
      </c>
      <c r="S950" t="n">
        <v>0.0</v>
      </c>
      <c r="T950" t="n">
        <v>0.0</v>
      </c>
      <c r="U950" t="n">
        <v>0.0</v>
      </c>
      <c r="V950" t="n">
        <v>0.0</v>
      </c>
      <c r="W950" t="inlineStr">
        <is>
          <t/>
        </is>
      </c>
      <c r="X950" t="n">
        <v>0.0</v>
      </c>
      <c r="Y950" t="n">
        <v>0.0</v>
      </c>
      <c r="Z950" t="n">
        <v>0.0</v>
      </c>
      <c r="AA950" t="n">
        <v>0.0</v>
      </c>
      <c r="AB950" t="n">
        <v>0.0</v>
      </c>
      <c r="AC950" t="n">
        <v>0.0</v>
      </c>
      <c r="AD950" t="n">
        <v>0.0</v>
      </c>
      <c r="AE950" t="n">
        <v>0.0</v>
      </c>
      <c r="AF950" t="n">
        <v>0.0</v>
      </c>
      <c r="AG950" t="n">
        <v>0.0</v>
      </c>
      <c r="AH950" t="n">
        <v>0.0</v>
      </c>
      <c r="AI950" t="n">
        <v>0.0</v>
      </c>
      <c r="AJ950" t="n">
        <v>0.0</v>
      </c>
      <c r="AK950" t="inlineStr">
        <is>
          <t/>
        </is>
      </c>
      <c r="AL950" t="inlineStr">
        <is>
          <t/>
        </is>
      </c>
    </row>
    <row r="951">
      <c r="A951" t="inlineStr">
        <is>
          <t>再也不用反复解冻了！专为一人食设计的小包</t>
        </is>
      </c>
      <c r="B951" t="inlineStr">
        <is>
          <t>6a37f3de000000000803faf4</t>
        </is>
      </c>
      <c r="C951" s="950" t="n">
        <f>HYPERLINK("https://www.xiaohongshu.com/explore/6a37f3de000000000803faf4?xsec_token=TBlJFBwGekCcU74xocKG_L-DE6bX2azQwi9ftcbVW6GUE=&amp;xsec_source=pc_trdark","https://www.xiaohongshu.com/explore/6a37f3de000000000803faf4?xsec_token=TBlJFBwGekCcU74xocKG_L-DE6bX2azQwi9ftcbVW6GUE=&amp;xsec_source=pc_trdark")</f>
        <v>0.0</v>
      </c>
      <c r="D951" t="inlineStr">
        <is>
          <t>菲菲上班吃什么</t>
        </is>
      </c>
      <c r="E951" t="inlineStr">
        <is>
          <t>49936530607</t>
        </is>
      </c>
      <c r="F951" t="inlineStr">
        <is>
          <t>2026-06-21 22:46:00</t>
        </is>
      </c>
      <c r="G951" t="inlineStr">
        <is>
          <t>图文</t>
        </is>
      </c>
      <c r="H951" t="inlineStr">
        <is>
          <t>手剥虾仁 无冰衣无添加 低脂餐一人食 上班带饭 顺丰包邮 5盒装</t>
        </is>
      </c>
      <c r="I951" t="inlineStr">
        <is>
          <t>694baba01d450d00013662f0</t>
        </is>
      </c>
      <c r="J951" t="inlineStr">
        <is>
          <t/>
        </is>
      </c>
      <c r="K951" t="n">
        <v>0.0</v>
      </c>
      <c r="L951" t="n">
        <v>0.0</v>
      </c>
      <c r="M951" t="n">
        <v>0.0</v>
      </c>
      <c r="N951" t="inlineStr">
        <is>
          <t/>
        </is>
      </c>
      <c r="O951" t="n">
        <v>0.0</v>
      </c>
      <c r="P951" t="n">
        <v>0.0</v>
      </c>
      <c r="Q951" t="inlineStr">
        <is>
          <t/>
        </is>
      </c>
      <c r="R951" t="inlineStr">
        <is>
          <t/>
        </is>
      </c>
      <c r="S951" t="n">
        <v>0.0</v>
      </c>
      <c r="T951" t="n">
        <v>0.0</v>
      </c>
      <c r="U951" t="n">
        <v>0.0</v>
      </c>
      <c r="V951" t="n">
        <v>0.0</v>
      </c>
      <c r="W951" t="inlineStr">
        <is>
          <t/>
        </is>
      </c>
      <c r="X951" t="n">
        <v>0.0</v>
      </c>
      <c r="Y951" t="n">
        <v>0.0</v>
      </c>
      <c r="Z951" t="n">
        <v>0.0</v>
      </c>
      <c r="AA951" t="n">
        <v>0.0</v>
      </c>
      <c r="AB951" t="n">
        <v>0.0</v>
      </c>
      <c r="AC951" t="n">
        <v>0.0</v>
      </c>
      <c r="AD951" t="n">
        <v>0.0</v>
      </c>
      <c r="AE951" t="n">
        <v>0.0</v>
      </c>
      <c r="AF951" t="n">
        <v>0.0</v>
      </c>
      <c r="AG951" t="n">
        <v>0.0</v>
      </c>
      <c r="AH951" t="n">
        <v>0.0</v>
      </c>
      <c r="AI951" t="n">
        <v>0.0</v>
      </c>
      <c r="AJ951" t="n">
        <v>0.0</v>
      </c>
      <c r="AK951" t="inlineStr">
        <is>
          <t/>
        </is>
      </c>
      <c r="AL951" t="inlineStr">
        <is>
          <t/>
        </is>
      </c>
    </row>
    <row r="952">
      <c r="A952" t="inlineStr">
        <is>
          <t>减脂期打工人的崩溃，从水煮菜开始</t>
        </is>
      </c>
      <c r="B952" t="inlineStr">
        <is>
          <t>6a37b3500000000011004929</t>
        </is>
      </c>
      <c r="C952" s="951" t="n">
        <f>HYPERLINK("https://www.xiaohongshu.com/explore/6a37b3500000000011004929?xsec_token=TBlJFBwGekCcU74xocKG_L-BsjFv2K5-DKBnEXCOwEXQM=&amp;xsec_source=pc_trdark","https://www.xiaohongshu.com/explore/6a37b3500000000011004929?xsec_token=TBlJFBwGekCcU74xocKG_L-BsjFv2K5-DKBnEXCOwEXQM=&amp;xsec_source=pc_trdark")</f>
        <v>0.0</v>
      </c>
      <c r="D952" t="inlineStr">
        <is>
          <t>鲜水湾甄选</t>
        </is>
      </c>
      <c r="E952" t="inlineStr">
        <is>
          <t>27401929161</t>
        </is>
      </c>
      <c r="F952" t="inlineStr">
        <is>
          <t>2026-06-21 17:48:00</t>
        </is>
      </c>
      <c r="G952" t="inlineStr">
        <is>
          <t>图文</t>
        </is>
      </c>
      <c r="H952" t="inlineStr">
        <is>
          <t>手剥虾仁 无冰衣无添加 低脂餐一人食 上班带饭 顺丰包邮 5盒装</t>
        </is>
      </c>
      <c r="I952" t="inlineStr">
        <is>
          <t>694baba01d450d00013662f0</t>
        </is>
      </c>
      <c r="J952" t="inlineStr">
        <is>
          <t/>
        </is>
      </c>
      <c r="K952" t="n">
        <v>0.0</v>
      </c>
      <c r="L952" t="n">
        <v>0.0</v>
      </c>
      <c r="M952" t="n">
        <v>0.0</v>
      </c>
      <c r="N952" t="inlineStr">
        <is>
          <t/>
        </is>
      </c>
      <c r="O952" t="n">
        <v>0.0</v>
      </c>
      <c r="P952" t="n">
        <v>0.0</v>
      </c>
      <c r="Q952" t="inlineStr">
        <is>
          <t/>
        </is>
      </c>
      <c r="R952" t="inlineStr">
        <is>
          <t/>
        </is>
      </c>
      <c r="S952" t="n">
        <v>0.0</v>
      </c>
      <c r="T952" t="n">
        <v>0.0</v>
      </c>
      <c r="U952" t="n">
        <v>0.0</v>
      </c>
      <c r="V952" t="n">
        <v>0.0</v>
      </c>
      <c r="W952" t="inlineStr">
        <is>
          <t/>
        </is>
      </c>
      <c r="X952" t="n">
        <v>0.0</v>
      </c>
      <c r="Y952" t="n">
        <v>0.0</v>
      </c>
      <c r="Z952" t="n">
        <v>0.0</v>
      </c>
      <c r="AA952" t="n">
        <v>0.0</v>
      </c>
      <c r="AB952" t="n">
        <v>0.0</v>
      </c>
      <c r="AC952" t="n">
        <v>0.0</v>
      </c>
      <c r="AD952" t="n">
        <v>0.0</v>
      </c>
      <c r="AE952" t="n">
        <v>0.0</v>
      </c>
      <c r="AF952" t="n">
        <v>0.0</v>
      </c>
      <c r="AG952" t="n">
        <v>0.0</v>
      </c>
      <c r="AH952" t="n">
        <v>0.0</v>
      </c>
      <c r="AI952" t="n">
        <v>0.0</v>
      </c>
      <c r="AJ952" t="n">
        <v>0.0</v>
      </c>
      <c r="AK952" t="inlineStr">
        <is>
          <t/>
        </is>
      </c>
      <c r="AL952" t="inlineStr">
        <is>
          <t/>
        </is>
      </c>
    </row>
    <row r="953">
      <c r="A953" t="inlineStr">
        <is>
          <t>无添加虾仁救了打工人的晚饭！独立小包装！</t>
        </is>
      </c>
      <c r="B953" t="inlineStr">
        <is>
          <t>6a377def0000000021015b49</t>
        </is>
      </c>
      <c r="C953" s="952" t="n">
        <f>HYPERLINK("https://www.xiaohongshu.com/explore/6a377def0000000021015b49?xsec_token=TBlJFBwGekCcU74xocKG_L-HirdsB6nARNbfP508h5-IY=&amp;xsec_source=pc_trdark","https://www.xiaohongshu.com/explore/6a377def0000000021015b49?xsec_token=TBlJFBwGekCcU74xocKG_L-HirdsB6nARNbfP508h5-IY=&amp;xsec_source=pc_trdark")</f>
        <v>0.0</v>
      </c>
      <c r="D953" t="inlineStr">
        <is>
          <t>菲菲上班吃什么</t>
        </is>
      </c>
      <c r="E953" t="inlineStr">
        <is>
          <t>49936530607</t>
        </is>
      </c>
      <c r="F953" t="inlineStr">
        <is>
          <t>2026-06-21 14:00:15</t>
        </is>
      </c>
      <c r="G953" t="inlineStr">
        <is>
          <t>图文</t>
        </is>
      </c>
      <c r="H953" t="inlineStr">
        <is>
          <t>手剥虾仁 无冰衣无添加 低脂餐一人食 上班带饭 顺丰包邮 5盒装</t>
        </is>
      </c>
      <c r="I953" t="inlineStr">
        <is>
          <t>694baba01d450d00013662f0</t>
        </is>
      </c>
      <c r="J953" t="inlineStr">
        <is>
          <t/>
        </is>
      </c>
      <c r="K953" t="n">
        <v>0.0</v>
      </c>
      <c r="L953" t="n">
        <v>0.0</v>
      </c>
      <c r="M953" t="n">
        <v>0.0</v>
      </c>
      <c r="N953" t="inlineStr">
        <is>
          <t/>
        </is>
      </c>
      <c r="O953" t="n">
        <v>0.0</v>
      </c>
      <c r="P953" t="n">
        <v>0.0</v>
      </c>
      <c r="Q953" t="inlineStr">
        <is>
          <t/>
        </is>
      </c>
      <c r="R953" t="inlineStr">
        <is>
          <t/>
        </is>
      </c>
      <c r="S953" t="n">
        <v>0.0</v>
      </c>
      <c r="T953" t="n">
        <v>0.0</v>
      </c>
      <c r="U953" t="n">
        <v>0.0</v>
      </c>
      <c r="V953" t="n">
        <v>0.0</v>
      </c>
      <c r="W953" t="inlineStr">
        <is>
          <t/>
        </is>
      </c>
      <c r="X953" t="n">
        <v>0.0</v>
      </c>
      <c r="Y953" t="n">
        <v>0.0</v>
      </c>
      <c r="Z953" t="n">
        <v>0.0</v>
      </c>
      <c r="AA953" t="n">
        <v>0.0</v>
      </c>
      <c r="AB953" t="n">
        <v>0.0</v>
      </c>
      <c r="AC953" t="n">
        <v>0.0</v>
      </c>
      <c r="AD953" t="n">
        <v>0.0</v>
      </c>
      <c r="AE953" t="n">
        <v>0.0</v>
      </c>
      <c r="AF953" t="n">
        <v>0.0</v>
      </c>
      <c r="AG953" t="n">
        <v>0.0</v>
      </c>
      <c r="AH953" t="n">
        <v>0.0</v>
      </c>
      <c r="AI953" t="n">
        <v>0.0</v>
      </c>
      <c r="AJ953" t="n">
        <v>0.0</v>
      </c>
      <c r="AK953" t="inlineStr">
        <is>
          <t/>
        </is>
      </c>
      <c r="AL953" t="inlineStr">
        <is>
          <t/>
        </is>
      </c>
    </row>
    <row r="954">
      <c r="A954" t="inlineStr">
        <is>
          <t>控体期69虾仁吃一周，外卖两顿没了</t>
        </is>
      </c>
      <c r="B954" t="inlineStr">
        <is>
          <t>6a3743f00000000007024d43</t>
        </is>
      </c>
      <c r="C954" s="953" t="n">
        <f>HYPERLINK("https://www.xiaohongshu.com/explore/6a3743f00000000007024d43?xsec_token=TBlJFBwGekCcU74xocKG_L-F_QUJDSoKsZdtXODqTfT8o=&amp;xsec_source=pc_trdark","https://www.xiaohongshu.com/explore/6a3743f00000000007024d43?xsec_token=TBlJFBwGekCcU74xocKG_L-F_QUJDSoKsZdtXODqTfT8o=&amp;xsec_source=pc_trdark")</f>
        <v>0.0</v>
      </c>
      <c r="D954" t="inlineStr">
        <is>
          <t>菲菲上班吃什么</t>
        </is>
      </c>
      <c r="E954" t="inlineStr">
        <is>
          <t>49936530607</t>
        </is>
      </c>
      <c r="F954" t="inlineStr">
        <is>
          <t>2026-06-21 09:52:48</t>
        </is>
      </c>
      <c r="G954" t="inlineStr">
        <is>
          <t>图文</t>
        </is>
      </c>
      <c r="H954" t="inlineStr">
        <is>
          <t>手剥虾仁 无冰衣无添加 低脂餐一人食 上班带饭 顺丰包邮 5盒装</t>
        </is>
      </c>
      <c r="I954" t="inlineStr">
        <is>
          <t>694baba01d450d00013662f0</t>
        </is>
      </c>
      <c r="J954" t="inlineStr">
        <is>
          <t/>
        </is>
      </c>
      <c r="K954" t="n">
        <v>0.0</v>
      </c>
      <c r="L954" t="n">
        <v>0.0</v>
      </c>
      <c r="M954" t="n">
        <v>0.0</v>
      </c>
      <c r="N954" t="inlineStr">
        <is>
          <t/>
        </is>
      </c>
      <c r="O954" t="n">
        <v>0.0</v>
      </c>
      <c r="P954" t="n">
        <v>0.0</v>
      </c>
      <c r="Q954" t="inlineStr">
        <is>
          <t/>
        </is>
      </c>
      <c r="R954" t="inlineStr">
        <is>
          <t/>
        </is>
      </c>
      <c r="S954" t="n">
        <v>0.0</v>
      </c>
      <c r="T954" t="n">
        <v>0.0</v>
      </c>
      <c r="U954" t="n">
        <v>0.0</v>
      </c>
      <c r="V954" t="n">
        <v>0.0</v>
      </c>
      <c r="W954" t="inlineStr">
        <is>
          <t/>
        </is>
      </c>
      <c r="X954" t="n">
        <v>0.0</v>
      </c>
      <c r="Y954" t="n">
        <v>0.0</v>
      </c>
      <c r="Z954" t="n">
        <v>0.0</v>
      </c>
      <c r="AA954" t="n">
        <v>0.0</v>
      </c>
      <c r="AB954" t="n">
        <v>0.0</v>
      </c>
      <c r="AC954" t="n">
        <v>0.0</v>
      </c>
      <c r="AD954" t="n">
        <v>0.0</v>
      </c>
      <c r="AE954" t="n">
        <v>0.0</v>
      </c>
      <c r="AF954" t="n">
        <v>0.0</v>
      </c>
      <c r="AG954" t="n">
        <v>0.0</v>
      </c>
      <c r="AH954" t="n">
        <v>0.0</v>
      </c>
      <c r="AI954" t="n">
        <v>0.0</v>
      </c>
      <c r="AJ954" t="n">
        <v>0.0</v>
      </c>
      <c r="AK954" t="inlineStr">
        <is>
          <t/>
        </is>
      </c>
      <c r="AL954" t="inlineStr">
        <is>
          <t/>
        </is>
      </c>
    </row>
    <row r="955">
      <c r="A955" t="inlineStr">
        <is>
          <t>69r就解决一周晚上吃减脂餐的快乐！！</t>
        </is>
      </c>
      <c r="B955" t="inlineStr">
        <is>
          <t>6a3668660000000008026548</t>
        </is>
      </c>
      <c r="C955" s="954" t="n">
        <f>HYPERLINK("https://www.xiaohongshu.com/explore/6a3668660000000008026548?xsec_token=TBE86BM1eseE26ZPjz1xH88cwP2Gz6j3KaZA1bfoqNfeY=&amp;xsec_source=pc_trdark","https://www.xiaohongshu.com/explore/6a3668660000000008026548?xsec_token=TBE86BM1eseE26ZPjz1xH88cwP2Gz6j3KaZA1bfoqNfeY=&amp;xsec_source=pc_trdark")</f>
        <v>0.0</v>
      </c>
      <c r="D955" t="inlineStr">
        <is>
          <t>菲菲上班吃什么</t>
        </is>
      </c>
      <c r="E955" t="inlineStr">
        <is>
          <t>49936530607</t>
        </is>
      </c>
      <c r="F955" t="inlineStr">
        <is>
          <t>2026-06-20 21:46:00</t>
        </is>
      </c>
      <c r="G955" t="inlineStr">
        <is>
          <t>图文</t>
        </is>
      </c>
      <c r="H955" t="inlineStr">
        <is>
          <t>手剥虾仁 无冰衣无添加 低脂餐一人食 上班带饭 顺丰包邮 5盒装</t>
        </is>
      </c>
      <c r="I955" t="inlineStr">
        <is>
          <t>694baba01d450d00013662f0</t>
        </is>
      </c>
      <c r="J955" t="inlineStr">
        <is>
          <t/>
        </is>
      </c>
      <c r="K955" t="n">
        <v>0.0</v>
      </c>
      <c r="L955" t="n">
        <v>0.0</v>
      </c>
      <c r="M955" t="n">
        <v>0.0</v>
      </c>
      <c r="N955" t="inlineStr">
        <is>
          <t/>
        </is>
      </c>
      <c r="O955" t="n">
        <v>0.0</v>
      </c>
      <c r="P955" t="n">
        <v>0.0</v>
      </c>
      <c r="Q955" t="inlineStr">
        <is>
          <t/>
        </is>
      </c>
      <c r="R955" t="inlineStr">
        <is>
          <t/>
        </is>
      </c>
      <c r="S955" t="n">
        <v>0.0</v>
      </c>
      <c r="T955" t="n">
        <v>0.0</v>
      </c>
      <c r="U955" t="n">
        <v>0.0</v>
      </c>
      <c r="V955" t="n">
        <v>0.0</v>
      </c>
      <c r="W955" t="inlineStr">
        <is>
          <t/>
        </is>
      </c>
      <c r="X955" t="n">
        <v>0.0</v>
      </c>
      <c r="Y955" t="n">
        <v>0.0</v>
      </c>
      <c r="Z955" t="n">
        <v>0.0</v>
      </c>
      <c r="AA955" t="n">
        <v>0.0</v>
      </c>
      <c r="AB955" t="n">
        <v>0.0</v>
      </c>
      <c r="AC955" t="n">
        <v>0.0</v>
      </c>
      <c r="AD955" t="n">
        <v>0.0</v>
      </c>
      <c r="AE955" t="n">
        <v>0.0</v>
      </c>
      <c r="AF955" t="n">
        <v>0.0</v>
      </c>
      <c r="AG955" t="n">
        <v>0.0</v>
      </c>
      <c r="AH955" t="n">
        <v>0.0</v>
      </c>
      <c r="AI955" t="n">
        <v>0.0</v>
      </c>
      <c r="AJ955" t="n">
        <v>0.0</v>
      </c>
      <c r="AK955" t="inlineStr">
        <is>
          <t/>
        </is>
      </c>
      <c r="AL955" t="inlineStr">
        <is>
          <t/>
        </is>
      </c>
    </row>
    <row r="956">
      <c r="A956" t="inlineStr">
        <is>
          <t>315之后，每天100斤虾仁都不够卖的😭</t>
        </is>
      </c>
      <c r="B956" t="inlineStr">
        <is>
          <t>6a36685b000000000800205f</t>
        </is>
      </c>
      <c r="C956" s="955" t="n">
        <f>HYPERLINK("https://www.xiaohongshu.com/explore/6a36685b000000000800205f?xsec_token=TBE86BM1eseE26ZPjz1xH88a93rxAAXRKbMgv3KGWLFmU=&amp;xsec_source=pc_trdark","https://www.xiaohongshu.com/explore/6a36685b000000000800205f?xsec_token=TBE86BM1eseE26ZPjz1xH88a93rxAAXRKbMgv3KGWLFmU=&amp;xsec_source=pc_trdark")</f>
        <v>0.0</v>
      </c>
      <c r="D956" t="inlineStr">
        <is>
          <t>菲菲上班吃什么</t>
        </is>
      </c>
      <c r="E956" t="inlineStr">
        <is>
          <t>49936530607</t>
        </is>
      </c>
      <c r="F956" t="inlineStr">
        <is>
          <t>2026-06-20 19:48:00</t>
        </is>
      </c>
      <c r="G956" t="inlineStr">
        <is>
          <t>图文</t>
        </is>
      </c>
      <c r="H956" t="inlineStr">
        <is>
          <t>手剥虾仁 无冰衣无添加 低脂餐一人食 上班带饭 顺丰包邮 5盒装</t>
        </is>
      </c>
      <c r="I956" t="inlineStr">
        <is>
          <t>694baba01d450d00013662f0</t>
        </is>
      </c>
      <c r="J956" t="inlineStr">
        <is>
          <t/>
        </is>
      </c>
      <c r="K956" t="n">
        <v>0.0</v>
      </c>
      <c r="L956" t="n">
        <v>0.0</v>
      </c>
      <c r="M956" t="n">
        <v>0.0</v>
      </c>
      <c r="N956" t="inlineStr">
        <is>
          <t/>
        </is>
      </c>
      <c r="O956" t="n">
        <v>0.0</v>
      </c>
      <c r="P956" t="n">
        <v>0.0</v>
      </c>
      <c r="Q956" t="inlineStr">
        <is>
          <t/>
        </is>
      </c>
      <c r="R956" t="inlineStr">
        <is>
          <t/>
        </is>
      </c>
      <c r="S956" t="n">
        <v>0.0</v>
      </c>
      <c r="T956" t="n">
        <v>0.0</v>
      </c>
      <c r="U956" t="n">
        <v>0.0</v>
      </c>
      <c r="V956" t="n">
        <v>0.0</v>
      </c>
      <c r="W956" t="inlineStr">
        <is>
          <t/>
        </is>
      </c>
      <c r="X956" t="n">
        <v>0.0</v>
      </c>
      <c r="Y956" t="n">
        <v>0.0</v>
      </c>
      <c r="Z956" t="n">
        <v>0.0</v>
      </c>
      <c r="AA956" t="n">
        <v>0.0</v>
      </c>
      <c r="AB956" t="n">
        <v>0.0</v>
      </c>
      <c r="AC956" t="n">
        <v>0.0</v>
      </c>
      <c r="AD956" t="n">
        <v>0.0</v>
      </c>
      <c r="AE956" t="n">
        <v>0.0</v>
      </c>
      <c r="AF956" t="n">
        <v>0.0</v>
      </c>
      <c r="AG956" t="n">
        <v>0.0</v>
      </c>
      <c r="AH956" t="n">
        <v>0.0</v>
      </c>
      <c r="AI956" t="n">
        <v>0.0</v>
      </c>
      <c r="AJ956" t="n">
        <v>0.0</v>
      </c>
      <c r="AK956" t="inlineStr">
        <is>
          <t/>
        </is>
      </c>
      <c r="AL956" t="inlineStr">
        <is>
          <t/>
        </is>
      </c>
    </row>
    <row r="957">
      <c r="A957" t="inlineStr">
        <is>
          <t>现在年轻人，严重低估了69的购买力！</t>
        </is>
      </c>
      <c r="B957" t="inlineStr">
        <is>
          <t>6a3657060000000021018862</t>
        </is>
      </c>
      <c r="C957" s="956" t="n">
        <f>HYPERLINK("https://www.xiaohongshu.com/explore/6a3657060000000021018862?xsec_token=TBE86BM1eseE26ZPjz1xH88eH5IVodMK_rq0ZLZqoclgc=&amp;xsec_source=pc_trdark","https://www.xiaohongshu.com/explore/6a3657060000000021018862?xsec_token=TBE86BM1eseE26ZPjz1xH88eH5IVodMK_rq0ZLZqoclgc=&amp;xsec_source=pc_trdark")</f>
        <v>0.0</v>
      </c>
      <c r="D957" t="inlineStr">
        <is>
          <t>菲菲上班吃什么</t>
        </is>
      </c>
      <c r="E957" t="inlineStr">
        <is>
          <t>49936530607</t>
        </is>
      </c>
      <c r="F957" t="inlineStr">
        <is>
          <t>2026-06-20 17:01:58</t>
        </is>
      </c>
      <c r="G957" t="inlineStr">
        <is>
          <t>图文</t>
        </is>
      </c>
      <c r="H957" t="inlineStr">
        <is>
          <t>手剥虾仁 无冰衣无添加 低脂餐一人食 上班带饭 顺丰包邮 5盒装</t>
        </is>
      </c>
      <c r="I957" t="inlineStr">
        <is>
          <t>694baba01d450d00013662f0</t>
        </is>
      </c>
      <c r="J957" t="inlineStr">
        <is>
          <t/>
        </is>
      </c>
      <c r="K957" t="n">
        <v>0.0</v>
      </c>
      <c r="L957" t="n">
        <v>0.0</v>
      </c>
      <c r="M957" t="n">
        <v>0.0</v>
      </c>
      <c r="N957" t="inlineStr">
        <is>
          <t/>
        </is>
      </c>
      <c r="O957" t="n">
        <v>0.0</v>
      </c>
      <c r="P957" t="n">
        <v>0.0</v>
      </c>
      <c r="Q957" t="inlineStr">
        <is>
          <t/>
        </is>
      </c>
      <c r="R957" t="inlineStr">
        <is>
          <t/>
        </is>
      </c>
      <c r="S957" t="n">
        <v>0.0</v>
      </c>
      <c r="T957" t="n">
        <v>0.0</v>
      </c>
      <c r="U957" t="n">
        <v>0.0</v>
      </c>
      <c r="V957" t="n">
        <v>0.0</v>
      </c>
      <c r="W957" t="inlineStr">
        <is>
          <t/>
        </is>
      </c>
      <c r="X957" t="n">
        <v>0.0</v>
      </c>
      <c r="Y957" t="n">
        <v>0.0</v>
      </c>
      <c r="Z957" t="n">
        <v>0.0</v>
      </c>
      <c r="AA957" t="n">
        <v>0.0</v>
      </c>
      <c r="AB957" t="n">
        <v>0.0</v>
      </c>
      <c r="AC957" t="n">
        <v>0.0</v>
      </c>
      <c r="AD957" t="n">
        <v>0.0</v>
      </c>
      <c r="AE957" t="n">
        <v>0.0</v>
      </c>
      <c r="AF957" t="n">
        <v>0.0</v>
      </c>
      <c r="AG957" t="n">
        <v>0.0</v>
      </c>
      <c r="AH957" t="n">
        <v>0.0</v>
      </c>
      <c r="AI957" t="n">
        <v>0.0</v>
      </c>
      <c r="AJ957" t="n">
        <v>0.0</v>
      </c>
      <c r="AK957" t="inlineStr">
        <is>
          <t/>
        </is>
      </c>
      <c r="AL957" t="inlineStr">
        <is>
          <t/>
        </is>
      </c>
    </row>
    <row r="958">
      <c r="A958" t="inlineStr">
        <is>
          <t>算了，和你们点外卖的说不清楚🥲</t>
        </is>
      </c>
      <c r="B958" t="inlineStr">
        <is>
          <t>6a35f8f5000000000f01c5d7</t>
        </is>
      </c>
      <c r="C958" s="957" t="n">
        <f>HYPERLINK("https://www.xiaohongshu.com/explore/6a35f8f5000000000f01c5d7?xsec_token=TB1bf8Ny1FwqE1zeGfH_TuGKbg3HY_beQfipOO9AKUPKY=&amp;xsec_source=pc_trdark","https://www.xiaohongshu.com/explore/6a35f8f5000000000f01c5d7?xsec_token=TB1bf8Ny1FwqE1zeGfH_TuGKbg3HY_beQfipOO9AKUPKY=&amp;xsec_source=pc_trdark")</f>
        <v>0.0</v>
      </c>
      <c r="D958" t="inlineStr">
        <is>
          <t>鲜水湾甄选</t>
        </is>
      </c>
      <c r="E958" t="inlineStr">
        <is>
          <t>27401929161</t>
        </is>
      </c>
      <c r="F958" t="inlineStr">
        <is>
          <t>2026-06-20 10:20:37</t>
        </is>
      </c>
      <c r="G958" t="inlineStr">
        <is>
          <t>图文</t>
        </is>
      </c>
      <c r="H958" t="inlineStr">
        <is>
          <t>手剥虾仁 无冰衣无添加 低脂餐一人食 上班带饭 顺丰包邮 5盒装</t>
        </is>
      </c>
      <c r="I958" t="inlineStr">
        <is>
          <t>694baba01d450d00013662f0</t>
        </is>
      </c>
      <c r="J958" t="inlineStr">
        <is>
          <t/>
        </is>
      </c>
      <c r="K958" t="n">
        <v>0.0</v>
      </c>
      <c r="L958" t="n">
        <v>0.0</v>
      </c>
      <c r="M958" t="n">
        <v>0.0</v>
      </c>
      <c r="N958" t="inlineStr">
        <is>
          <t/>
        </is>
      </c>
      <c r="O958" t="n">
        <v>0.0</v>
      </c>
      <c r="P958" t="n">
        <v>0.0</v>
      </c>
      <c r="Q958" t="inlineStr">
        <is>
          <t/>
        </is>
      </c>
      <c r="R958" t="inlineStr">
        <is>
          <t/>
        </is>
      </c>
      <c r="S958" t="n">
        <v>0.0</v>
      </c>
      <c r="T958" t="n">
        <v>0.0</v>
      </c>
      <c r="U958" t="n">
        <v>0.0</v>
      </c>
      <c r="V958" t="n">
        <v>0.0</v>
      </c>
      <c r="W958" t="inlineStr">
        <is>
          <t/>
        </is>
      </c>
      <c r="X958" t="n">
        <v>0.0</v>
      </c>
      <c r="Y958" t="n">
        <v>0.0</v>
      </c>
      <c r="Z958" t="n">
        <v>0.0</v>
      </c>
      <c r="AA958" t="n">
        <v>0.0</v>
      </c>
      <c r="AB958" t="n">
        <v>0.0</v>
      </c>
      <c r="AC958" t="n">
        <v>0.0</v>
      </c>
      <c r="AD958" t="n">
        <v>0.0</v>
      </c>
      <c r="AE958" t="n">
        <v>0.0</v>
      </c>
      <c r="AF958" t="n">
        <v>0.0</v>
      </c>
      <c r="AG958" t="n">
        <v>0.0</v>
      </c>
      <c r="AH958" t="n">
        <v>0.0</v>
      </c>
      <c r="AI958" t="n">
        <v>0.0</v>
      </c>
      <c r="AJ958" t="n">
        <v>0.0</v>
      </c>
      <c r="AK958" t="inlineStr">
        <is>
          <t/>
        </is>
      </c>
      <c r="AL958" t="inlineStr">
        <is>
          <t/>
        </is>
      </c>
    </row>
    <row r="959">
      <c r="A959" t="inlineStr">
        <is>
          <t>减脂期被同事说，天天吃虾仁太奢侈</t>
        </is>
      </c>
      <c r="B959" t="inlineStr">
        <is>
          <t>6a35e3800000000022015c0d</t>
        </is>
      </c>
      <c r="C959" s="958" t="n">
        <f>HYPERLINK("https://www.xiaohongshu.com/explore/6a35e3800000000022015c0d?xsec_token=TB1bf8Ny1FwqE1zeGfH_TuGLfOkI5gS5h5ERUkUWiH24Y=&amp;xsec_source=pc_trdark","https://www.xiaohongshu.com/explore/6a35e3800000000022015c0d?xsec_token=TB1bf8Ny1FwqE1zeGfH_TuGLfOkI5gS5h5ERUkUWiH24Y=&amp;xsec_source=pc_trdark")</f>
        <v>0.0</v>
      </c>
      <c r="D959" t="inlineStr">
        <is>
          <t>菲菲上班吃什么</t>
        </is>
      </c>
      <c r="E959" t="inlineStr">
        <is>
          <t>49936530607</t>
        </is>
      </c>
      <c r="F959" t="inlineStr">
        <is>
          <t>2026-06-20 08:49:04</t>
        </is>
      </c>
      <c r="G959" t="inlineStr">
        <is>
          <t>图文</t>
        </is>
      </c>
      <c r="H959" t="inlineStr">
        <is>
          <t>手剥虾仁 无冰衣无添加 低脂餐一人食 上班带饭 顺丰包邮 5盒装</t>
        </is>
      </c>
      <c r="I959" t="inlineStr">
        <is>
          <t>694baba01d450d00013662f0</t>
        </is>
      </c>
      <c r="J959" t="inlineStr">
        <is>
          <t/>
        </is>
      </c>
      <c r="K959" t="n">
        <v>0.0</v>
      </c>
      <c r="L959" t="n">
        <v>0.0</v>
      </c>
      <c r="M959" t="n">
        <v>0.0</v>
      </c>
      <c r="N959" t="inlineStr">
        <is>
          <t/>
        </is>
      </c>
      <c r="O959" t="n">
        <v>0.0</v>
      </c>
      <c r="P959" t="n">
        <v>0.0</v>
      </c>
      <c r="Q959" t="inlineStr">
        <is>
          <t/>
        </is>
      </c>
      <c r="R959" t="inlineStr">
        <is>
          <t/>
        </is>
      </c>
      <c r="S959" t="n">
        <v>0.0</v>
      </c>
      <c r="T959" t="n">
        <v>0.0</v>
      </c>
      <c r="U959" t="n">
        <v>0.0</v>
      </c>
      <c r="V959" t="n">
        <v>0.0</v>
      </c>
      <c r="W959" t="inlineStr">
        <is>
          <t/>
        </is>
      </c>
      <c r="X959" t="n">
        <v>0.0</v>
      </c>
      <c r="Y959" t="n">
        <v>0.0</v>
      </c>
      <c r="Z959" t="n">
        <v>0.0</v>
      </c>
      <c r="AA959" t="n">
        <v>0.0</v>
      </c>
      <c r="AB959" t="n">
        <v>0.0</v>
      </c>
      <c r="AC959" t="n">
        <v>0.0</v>
      </c>
      <c r="AD959" t="n">
        <v>0.0</v>
      </c>
      <c r="AE959" t="n">
        <v>0.0</v>
      </c>
      <c r="AF959" t="n">
        <v>0.0</v>
      </c>
      <c r="AG959" t="n">
        <v>0.0</v>
      </c>
      <c r="AH959" t="n">
        <v>0.0</v>
      </c>
      <c r="AI959" t="n">
        <v>0.0</v>
      </c>
      <c r="AJ959" t="n">
        <v>0.0</v>
      </c>
      <c r="AK959" t="inlineStr">
        <is>
          <t/>
        </is>
      </c>
      <c r="AL959" t="inlineStr">
        <is>
          <t/>
        </is>
      </c>
    </row>
    <row r="960">
      <c r="A960" t="inlineStr">
        <is>
          <t>我妈让我赶紧宣传，控体大虾不能断！</t>
        </is>
      </c>
      <c r="B960" t="inlineStr">
        <is>
          <t>6a351d010000000008026850</t>
        </is>
      </c>
      <c r="C960" s="959" t="n">
        <f>HYPERLINK("https://www.xiaohongshu.com/explore/6a351d010000000008026850?xsec_token=TB1bf8Ny1FwqE1zeGfH_TuGLZYmbtuPZ2Uu9IbA1IC2fQ=&amp;xsec_source=pc_trdark","https://www.xiaohongshu.com/explore/6a351d010000000008026850?xsec_token=TB1bf8Ny1FwqE1zeGfH_TuGLZYmbtuPZ2Uu9IbA1IC2fQ=&amp;xsec_source=pc_trdark")</f>
        <v>0.0</v>
      </c>
      <c r="D960" t="inlineStr">
        <is>
          <t>菲菲上班吃什么</t>
        </is>
      </c>
      <c r="E960" t="inlineStr">
        <is>
          <t>49936530607</t>
        </is>
      </c>
      <c r="F960" t="inlineStr">
        <is>
          <t>2026-06-19 18:42:09</t>
        </is>
      </c>
      <c r="G960" t="inlineStr">
        <is>
          <t>图文</t>
        </is>
      </c>
      <c r="H960" t="inlineStr">
        <is>
          <t>手剥虾仁 无冰衣无添加 低脂餐一人食 上班带饭 顺丰包邮 5盒装</t>
        </is>
      </c>
      <c r="I960" t="inlineStr">
        <is>
          <t>694baba01d450d00013662f0</t>
        </is>
      </c>
      <c r="J960" t="inlineStr">
        <is>
          <t/>
        </is>
      </c>
      <c r="K960" t="n">
        <v>0.0</v>
      </c>
      <c r="L960" t="n">
        <v>0.0</v>
      </c>
      <c r="M960" t="n">
        <v>0.0</v>
      </c>
      <c r="N960" t="inlineStr">
        <is>
          <t/>
        </is>
      </c>
      <c r="O960" t="n">
        <v>0.0</v>
      </c>
      <c r="P960" t="n">
        <v>0.0</v>
      </c>
      <c r="Q960" t="inlineStr">
        <is>
          <t/>
        </is>
      </c>
      <c r="R960" t="inlineStr">
        <is>
          <t/>
        </is>
      </c>
      <c r="S960" t="n">
        <v>0.0</v>
      </c>
      <c r="T960" t="n">
        <v>0.0</v>
      </c>
      <c r="U960" t="n">
        <v>0.0</v>
      </c>
      <c r="V960" t="n">
        <v>0.0</v>
      </c>
      <c r="W960" t="inlineStr">
        <is>
          <t/>
        </is>
      </c>
      <c r="X960" t="n">
        <v>0.0</v>
      </c>
      <c r="Y960" t="n">
        <v>0.0</v>
      </c>
      <c r="Z960" t="n">
        <v>0.0</v>
      </c>
      <c r="AA960" t="n">
        <v>0.0</v>
      </c>
      <c r="AB960" t="n">
        <v>0.0</v>
      </c>
      <c r="AC960" t="n">
        <v>0.0</v>
      </c>
      <c r="AD960" t="n">
        <v>0.0</v>
      </c>
      <c r="AE960" t="n">
        <v>0.0</v>
      </c>
      <c r="AF960" t="n">
        <v>0.0</v>
      </c>
      <c r="AG960" t="n">
        <v>0.0</v>
      </c>
      <c r="AH960" t="n">
        <v>0.0</v>
      </c>
      <c r="AI960" t="n">
        <v>0.0</v>
      </c>
      <c r="AJ960" t="n">
        <v>0.0</v>
      </c>
      <c r="AK960" t="inlineStr">
        <is>
          <t/>
        </is>
      </c>
      <c r="AL960" t="inlineStr">
        <is>
          <t/>
        </is>
      </c>
    </row>
    <row r="961">
      <c r="A961" t="inlineStr">
        <is>
          <t>以为100块没多少，结果够我吃半个月了！</t>
        </is>
      </c>
      <c r="B961" t="inlineStr">
        <is>
          <t>6a35052c000000001101a8a4</t>
        </is>
      </c>
      <c r="C961" s="960" t="n">
        <f>HYPERLINK("https://www.xiaohongshu.com/explore/6a35052c000000001101a8a4?xsec_token=TB1bf8Ny1FwqE1zeGfH_TuGIug_Wmiz02ftPbmmvEkskU=&amp;xsec_source=pc_trdark","https://www.xiaohongshu.com/explore/6a35052c000000001101a8a4?xsec_token=TB1bf8Ny1FwqE1zeGfH_TuGIug_Wmiz02ftPbmmvEkskU=&amp;xsec_source=pc_trdark")</f>
        <v>0.0</v>
      </c>
      <c r="D961" t="inlineStr">
        <is>
          <t>鲜水湾甄选</t>
        </is>
      </c>
      <c r="E961" t="inlineStr">
        <is>
          <t>27401929161</t>
        </is>
      </c>
      <c r="F961" t="inlineStr">
        <is>
          <t>2026-06-19 17:00:28</t>
        </is>
      </c>
      <c r="G961" t="inlineStr">
        <is>
          <t>图文</t>
        </is>
      </c>
      <c r="H961" t="inlineStr">
        <is>
          <t>手剥虾仁 无冰衣无添加 低脂餐一人食 上班带饭 顺丰包邮 5盒装</t>
        </is>
      </c>
      <c r="I961" t="inlineStr">
        <is>
          <t>694baba01d450d00013662f0</t>
        </is>
      </c>
      <c r="J961" t="inlineStr">
        <is>
          <t/>
        </is>
      </c>
      <c r="K961" t="n">
        <v>0.0</v>
      </c>
      <c r="L961" t="n">
        <v>0.0</v>
      </c>
      <c r="M961" t="n">
        <v>0.0</v>
      </c>
      <c r="N961" t="inlineStr">
        <is>
          <t/>
        </is>
      </c>
      <c r="O961" t="n">
        <v>0.0</v>
      </c>
      <c r="P961" t="n">
        <v>0.0</v>
      </c>
      <c r="Q961" t="inlineStr">
        <is>
          <t/>
        </is>
      </c>
      <c r="R961" t="inlineStr">
        <is>
          <t/>
        </is>
      </c>
      <c r="S961" t="n">
        <v>0.0</v>
      </c>
      <c r="T961" t="n">
        <v>0.0</v>
      </c>
      <c r="U961" t="n">
        <v>0.0</v>
      </c>
      <c r="V961" t="n">
        <v>0.0</v>
      </c>
      <c r="W961" t="inlineStr">
        <is>
          <t/>
        </is>
      </c>
      <c r="X961" t="n">
        <v>0.0</v>
      </c>
      <c r="Y961" t="n">
        <v>0.0</v>
      </c>
      <c r="Z961" t="n">
        <v>0.0</v>
      </c>
      <c r="AA961" t="n">
        <v>0.0</v>
      </c>
      <c r="AB961" t="n">
        <v>0.0</v>
      </c>
      <c r="AC961" t="n">
        <v>0.0</v>
      </c>
      <c r="AD961" t="n">
        <v>0.0</v>
      </c>
      <c r="AE961" t="n">
        <v>0.0</v>
      </c>
      <c r="AF961" t="n">
        <v>0.0</v>
      </c>
      <c r="AG961" t="n">
        <v>0.0</v>
      </c>
      <c r="AH961" t="n">
        <v>0.0</v>
      </c>
      <c r="AI961" t="n">
        <v>0.0</v>
      </c>
      <c r="AJ961" t="n">
        <v>0.0</v>
      </c>
      <c r="AK961" t="inlineStr">
        <is>
          <t/>
        </is>
      </c>
      <c r="AL961" t="inlineStr">
        <is>
          <t/>
        </is>
      </c>
    </row>
    <row r="962">
      <c r="A962" t="inlineStr">
        <is>
          <t>和爸妈商量后，推出夏日减脂一人食小包装…</t>
        </is>
      </c>
      <c r="B962" t="inlineStr">
        <is>
          <t>6a34d98600000000070236de</t>
        </is>
      </c>
      <c r="C962" s="961" t="n">
        <f>HYPERLINK("https://www.xiaohongshu.com/explore/6a34d98600000000070236de?xsec_token=TB5mSJeDGSNmpJlKYac-frw0sFNangX3biyNcLzZdlJSE=&amp;xsec_source=pc_trdark","https://www.xiaohongshu.com/explore/6a34d98600000000070236de?xsec_token=TB5mSJeDGSNmpJlKYac-frw0sFNangX3biyNcLzZdlJSE=&amp;xsec_source=pc_trdark")</f>
        <v>0.0</v>
      </c>
      <c r="D962" t="inlineStr">
        <is>
          <t>菲菲上班吃什么</t>
        </is>
      </c>
      <c r="E962" t="inlineStr">
        <is>
          <t>49936530607</t>
        </is>
      </c>
      <c r="F962" t="inlineStr">
        <is>
          <t>2026-06-19 13:54:15</t>
        </is>
      </c>
      <c r="G962" t="inlineStr">
        <is>
          <t>图文</t>
        </is>
      </c>
      <c r="H962" t="inlineStr">
        <is>
          <t>手剥虾仁 无冰衣无添加 低脂餐一人食 上班带饭 顺丰包邮 5盒装</t>
        </is>
      </c>
      <c r="I962" t="inlineStr">
        <is>
          <t>694baba01d450d00013662f0</t>
        </is>
      </c>
      <c r="J962" t="inlineStr">
        <is>
          <t/>
        </is>
      </c>
      <c r="K962" t="n">
        <v>0.0</v>
      </c>
      <c r="L962" t="n">
        <v>0.0</v>
      </c>
      <c r="M962" t="n">
        <v>0.0</v>
      </c>
      <c r="N962" t="inlineStr">
        <is>
          <t/>
        </is>
      </c>
      <c r="O962" t="n">
        <v>0.0</v>
      </c>
      <c r="P962" t="n">
        <v>0.0</v>
      </c>
      <c r="Q962" t="inlineStr">
        <is>
          <t/>
        </is>
      </c>
      <c r="R962" t="inlineStr">
        <is>
          <t/>
        </is>
      </c>
      <c r="S962" t="n">
        <v>0.0</v>
      </c>
      <c r="T962" t="n">
        <v>0.0</v>
      </c>
      <c r="U962" t="n">
        <v>0.0</v>
      </c>
      <c r="V962" t="n">
        <v>0.0</v>
      </c>
      <c r="W962" t="inlineStr">
        <is>
          <t/>
        </is>
      </c>
      <c r="X962" t="n">
        <v>0.0</v>
      </c>
      <c r="Y962" t="n">
        <v>0.0</v>
      </c>
      <c r="Z962" t="n">
        <v>0.0</v>
      </c>
      <c r="AA962" t="n">
        <v>0.0</v>
      </c>
      <c r="AB962" t="n">
        <v>0.0</v>
      </c>
      <c r="AC962" t="n">
        <v>0.0</v>
      </c>
      <c r="AD962" t="n">
        <v>0.0</v>
      </c>
      <c r="AE962" t="n">
        <v>0.0</v>
      </c>
      <c r="AF962" t="n">
        <v>0.0</v>
      </c>
      <c r="AG962" t="n">
        <v>0.0</v>
      </c>
      <c r="AH962" t="n">
        <v>0.0</v>
      </c>
      <c r="AI962" t="n">
        <v>0.0</v>
      </c>
      <c r="AJ962" t="n">
        <v>0.0</v>
      </c>
      <c r="AK962" t="inlineStr">
        <is>
          <t/>
        </is>
      </c>
      <c r="AL962" t="inlineStr">
        <is>
          <t/>
        </is>
      </c>
    </row>
    <row r="963">
      <c r="A963" t="inlineStr">
        <is>
          <t>奉劝大家别小看 69 块的购买力！</t>
        </is>
      </c>
      <c r="B963" t="inlineStr">
        <is>
          <t>6a34d957000000000f014d37</t>
        </is>
      </c>
      <c r="C963" s="962" t="n">
        <f>HYPERLINK("https://www.xiaohongshu.com/explore/6a34d957000000000f014d37?xsec_token=TB5mSJeDGSNmpJlKYac-frw4XEbcRKS_SFE5_jmBSfVco=&amp;xsec_source=pc_trdark","https://www.xiaohongshu.com/explore/6a34d957000000000f014d37?xsec_token=TB5mSJeDGSNmpJlKYac-frw4XEbcRKS_SFE5_jmBSfVco=&amp;xsec_source=pc_trdark")</f>
        <v>0.0</v>
      </c>
      <c r="D963" t="inlineStr">
        <is>
          <t>鲜水湾甄选</t>
        </is>
      </c>
      <c r="E963" t="inlineStr">
        <is>
          <t>27401929161</t>
        </is>
      </c>
      <c r="F963" t="inlineStr">
        <is>
          <t>2026-06-19 13:53:27</t>
        </is>
      </c>
      <c r="G963" t="inlineStr">
        <is>
          <t>图文</t>
        </is>
      </c>
      <c r="H963" t="inlineStr">
        <is>
          <t>手剥虾仁 无冰衣无添加 低脂餐一人食 上班带饭 顺丰包邮 5盒装</t>
        </is>
      </c>
      <c r="I963" t="inlineStr">
        <is>
          <t>694baba01d450d00013662f0</t>
        </is>
      </c>
      <c r="J963" t="inlineStr">
        <is>
          <t/>
        </is>
      </c>
      <c r="K963" t="n">
        <v>0.0</v>
      </c>
      <c r="L963" t="n">
        <v>0.0</v>
      </c>
      <c r="M963" t="n">
        <v>0.0</v>
      </c>
      <c r="N963" t="inlineStr">
        <is>
          <t/>
        </is>
      </c>
      <c r="O963" t="n">
        <v>0.0</v>
      </c>
      <c r="P963" t="n">
        <v>0.0</v>
      </c>
      <c r="Q963" t="inlineStr">
        <is>
          <t/>
        </is>
      </c>
      <c r="R963" t="inlineStr">
        <is>
          <t/>
        </is>
      </c>
      <c r="S963" t="n">
        <v>0.0</v>
      </c>
      <c r="T963" t="n">
        <v>0.0</v>
      </c>
      <c r="U963" t="n">
        <v>0.0</v>
      </c>
      <c r="V963" t="n">
        <v>0.0</v>
      </c>
      <c r="W963" t="inlineStr">
        <is>
          <t/>
        </is>
      </c>
      <c r="X963" t="n">
        <v>0.0</v>
      </c>
      <c r="Y963" t="n">
        <v>0.0</v>
      </c>
      <c r="Z963" t="n">
        <v>0.0</v>
      </c>
      <c r="AA963" t="n">
        <v>0.0</v>
      </c>
      <c r="AB963" t="n">
        <v>0.0</v>
      </c>
      <c r="AC963" t="n">
        <v>0.0</v>
      </c>
      <c r="AD963" t="n">
        <v>0.0</v>
      </c>
      <c r="AE963" t="n">
        <v>0.0</v>
      </c>
      <c r="AF963" t="n">
        <v>0.0</v>
      </c>
      <c r="AG963" t="n">
        <v>0.0</v>
      </c>
      <c r="AH963" t="n">
        <v>0.0</v>
      </c>
      <c r="AI963" t="n">
        <v>0.0</v>
      </c>
      <c r="AJ963" t="n">
        <v>0.0</v>
      </c>
      <c r="AK963" t="inlineStr">
        <is>
          <t/>
        </is>
      </c>
      <c r="AL963" t="inlineStr">
        <is>
          <t/>
        </is>
      </c>
    </row>
    <row r="964">
      <c r="A964" t="inlineStr">
        <is>
          <t>独居后才懂，独立小包装虾仁才不是奢侈…</t>
        </is>
      </c>
      <c r="B964" t="inlineStr">
        <is>
          <t>6a34a615000000002201972d</t>
        </is>
      </c>
      <c r="C964" s="963" t="n">
        <f>HYPERLINK("https://www.xiaohongshu.com/explore/6a34a615000000002201972d?xsec_token=TB5mSJeDGSNmpJlKYac-frw2VrUMJRblzQhObH1LM-IzQ=&amp;xsec_source=pc_trdark","https://www.xiaohongshu.com/explore/6a34a615000000002201972d?xsec_token=TB5mSJeDGSNmpJlKYac-frw2VrUMJRblzQhObH1LM-IzQ=&amp;xsec_source=pc_trdark")</f>
        <v>0.0</v>
      </c>
      <c r="D964" t="inlineStr">
        <is>
          <t>鲜水湾甄选</t>
        </is>
      </c>
      <c r="E964" t="inlineStr">
        <is>
          <t>27401929161</t>
        </is>
      </c>
      <c r="F964" t="inlineStr">
        <is>
          <t>2026-06-19 10:14:45</t>
        </is>
      </c>
      <c r="G964" t="inlineStr">
        <is>
          <t>图文</t>
        </is>
      </c>
      <c r="H964" t="inlineStr">
        <is>
          <t>手剥虾仁 无冰衣无添加 低脂餐一人食 上班带饭 顺丰包邮 5盒装</t>
        </is>
      </c>
      <c r="I964" t="inlineStr">
        <is>
          <t>694baba01d450d00013662f0</t>
        </is>
      </c>
      <c r="J964" t="inlineStr">
        <is>
          <t/>
        </is>
      </c>
      <c r="K964" t="n">
        <v>0.0</v>
      </c>
      <c r="L964" t="n">
        <v>0.0</v>
      </c>
      <c r="M964" t="n">
        <v>0.0</v>
      </c>
      <c r="N964" t="inlineStr">
        <is>
          <t/>
        </is>
      </c>
      <c r="O964" t="n">
        <v>0.0</v>
      </c>
      <c r="P964" t="n">
        <v>0.0</v>
      </c>
      <c r="Q964" t="inlineStr">
        <is>
          <t/>
        </is>
      </c>
      <c r="R964" t="inlineStr">
        <is>
          <t/>
        </is>
      </c>
      <c r="S964" t="n">
        <v>0.0</v>
      </c>
      <c r="T964" t="n">
        <v>0.0</v>
      </c>
      <c r="U964" t="n">
        <v>0.0</v>
      </c>
      <c r="V964" t="n">
        <v>0.0</v>
      </c>
      <c r="W964" t="inlineStr">
        <is>
          <t/>
        </is>
      </c>
      <c r="X964" t="n">
        <v>0.0</v>
      </c>
      <c r="Y964" t="n">
        <v>0.0</v>
      </c>
      <c r="Z964" t="n">
        <v>0.0</v>
      </c>
      <c r="AA964" t="n">
        <v>0.0</v>
      </c>
      <c r="AB964" t="n">
        <v>0.0</v>
      </c>
      <c r="AC964" t="n">
        <v>0.0</v>
      </c>
      <c r="AD964" t="n">
        <v>0.0</v>
      </c>
      <c r="AE964" t="n">
        <v>0.0</v>
      </c>
      <c r="AF964" t="n">
        <v>0.0</v>
      </c>
      <c r="AG964" t="n">
        <v>0.0</v>
      </c>
      <c r="AH964" t="n">
        <v>0.0</v>
      </c>
      <c r="AI964" t="n">
        <v>0.0</v>
      </c>
      <c r="AJ964" t="n">
        <v>0.0</v>
      </c>
      <c r="AK964" t="inlineStr">
        <is>
          <t/>
        </is>
      </c>
      <c r="AL964" t="inlineStr">
        <is>
          <t/>
        </is>
      </c>
    </row>
    <row r="965">
      <c r="A965" t="inlineStr">
        <is>
          <t>69块独立小包装虾仁吃一周，你还说我奢侈…</t>
        </is>
      </c>
      <c r="B965" t="inlineStr">
        <is>
          <t>6a34a5f300000000080243ed</t>
        </is>
      </c>
      <c r="C965" s="964" t="n">
        <f>HYPERLINK("https://www.xiaohongshu.com/explore/6a34a5f300000000080243ed?xsec_token=TB5mSJeDGSNmpJlKYac-frw8kDSJVODXwvKzn9h5l853E=&amp;xsec_source=pc_trdark","https://www.xiaohongshu.com/explore/6a34a5f300000000080243ed?xsec_token=TB5mSJeDGSNmpJlKYac-frw8kDSJVODXwvKzn9h5l853E=&amp;xsec_source=pc_trdark")</f>
        <v>0.0</v>
      </c>
      <c r="D965" t="inlineStr">
        <is>
          <t>菲菲上班吃什么</t>
        </is>
      </c>
      <c r="E965" t="inlineStr">
        <is>
          <t>49936530607</t>
        </is>
      </c>
      <c r="F965" t="inlineStr">
        <is>
          <t>2026-06-19 10:14:11</t>
        </is>
      </c>
      <c r="G965" t="inlineStr">
        <is>
          <t>图文</t>
        </is>
      </c>
      <c r="H965" t="inlineStr">
        <is>
          <t>手剥虾仁 无冰衣无添加 低脂餐一人食 上班带饭 顺丰包邮 5盒装</t>
        </is>
      </c>
      <c r="I965" t="inlineStr">
        <is>
          <t>694baba01d450d00013662f0</t>
        </is>
      </c>
      <c r="J965" t="inlineStr">
        <is>
          <t/>
        </is>
      </c>
      <c r="K965" t="n">
        <v>0.0</v>
      </c>
      <c r="L965" t="n">
        <v>0.0</v>
      </c>
      <c r="M965" t="n">
        <v>0.0</v>
      </c>
      <c r="N965" t="inlineStr">
        <is>
          <t/>
        </is>
      </c>
      <c r="O965" t="n">
        <v>0.0</v>
      </c>
      <c r="P965" t="n">
        <v>0.0</v>
      </c>
      <c r="Q965" t="inlineStr">
        <is>
          <t/>
        </is>
      </c>
      <c r="R965" t="inlineStr">
        <is>
          <t/>
        </is>
      </c>
      <c r="S965" t="n">
        <v>0.0</v>
      </c>
      <c r="T965" t="n">
        <v>0.0</v>
      </c>
      <c r="U965" t="n">
        <v>0.0</v>
      </c>
      <c r="V965" t="n">
        <v>0.0</v>
      </c>
      <c r="W965" t="inlineStr">
        <is>
          <t/>
        </is>
      </c>
      <c r="X965" t="n">
        <v>0.0</v>
      </c>
      <c r="Y965" t="n">
        <v>0.0</v>
      </c>
      <c r="Z965" t="n">
        <v>0.0</v>
      </c>
      <c r="AA965" t="n">
        <v>0.0</v>
      </c>
      <c r="AB965" t="n">
        <v>0.0</v>
      </c>
      <c r="AC965" t="n">
        <v>0.0</v>
      </c>
      <c r="AD965" t="n">
        <v>0.0</v>
      </c>
      <c r="AE965" t="n">
        <v>0.0</v>
      </c>
      <c r="AF965" t="n">
        <v>0.0</v>
      </c>
      <c r="AG965" t="n">
        <v>0.0</v>
      </c>
      <c r="AH965" t="n">
        <v>0.0</v>
      </c>
      <c r="AI965" t="n">
        <v>0.0</v>
      </c>
      <c r="AJ965" t="n">
        <v>0.0</v>
      </c>
      <c r="AK965" t="inlineStr">
        <is>
          <t/>
        </is>
      </c>
      <c r="AL965" t="inlineStr">
        <is>
          <t/>
        </is>
      </c>
    </row>
    <row r="966">
      <c r="A966" t="inlineStr">
        <is>
          <t>沉浸式懒人减脂备菜，69块吃一周……</t>
        </is>
      </c>
      <c r="B966" t="inlineStr">
        <is>
          <t>6a33e308000000002101bd86</t>
        </is>
      </c>
      <c r="C966" s="965" t="n">
        <f>HYPERLINK("https://www.xiaohongshu.com/explore/6a33e308000000002101bd86?xsec_token=TBLOmNlJwiJ1B1XpWxIXpNmZMD_MXjCt6Z9V1rwtTxAlc=&amp;xsec_source=pc_trdark","https://www.xiaohongshu.com/explore/6a33e308000000002101bd86?xsec_token=TBLOmNlJwiJ1B1XpWxIXpNmZMD_MXjCt6Z9V1rwtTxAlc=&amp;xsec_source=pc_trdark")</f>
        <v>0.0</v>
      </c>
      <c r="D966" t="inlineStr">
        <is>
          <t>菲菲上班吃什么</t>
        </is>
      </c>
      <c r="E966" t="inlineStr">
        <is>
          <t>49936530607</t>
        </is>
      </c>
      <c r="F966" t="inlineStr">
        <is>
          <t>2026-06-18 21:21:00</t>
        </is>
      </c>
      <c r="G966" t="inlineStr">
        <is>
          <t>图文</t>
        </is>
      </c>
      <c r="H966" t="inlineStr">
        <is>
          <t>手剥虾仁 无冰衣无添加 低脂餐一人食 上班带饭 顺丰包邮 5盒装</t>
        </is>
      </c>
      <c r="I966" t="inlineStr">
        <is>
          <t>694baba01d450d00013662f0</t>
        </is>
      </c>
      <c r="J966" t="inlineStr">
        <is>
          <t/>
        </is>
      </c>
      <c r="K966" t="n">
        <v>0.0</v>
      </c>
      <c r="L966" t="n">
        <v>0.0</v>
      </c>
      <c r="M966" t="n">
        <v>0.0</v>
      </c>
      <c r="N966" t="inlineStr">
        <is>
          <t/>
        </is>
      </c>
      <c r="O966" t="n">
        <v>0.0</v>
      </c>
      <c r="P966" t="n">
        <v>0.0</v>
      </c>
      <c r="Q966" t="inlineStr">
        <is>
          <t/>
        </is>
      </c>
      <c r="R966" t="inlineStr">
        <is>
          <t/>
        </is>
      </c>
      <c r="S966" t="n">
        <v>0.0</v>
      </c>
      <c r="T966" t="n">
        <v>0.0</v>
      </c>
      <c r="U966" t="n">
        <v>0.0</v>
      </c>
      <c r="V966" t="n">
        <v>0.0</v>
      </c>
      <c r="W966" t="inlineStr">
        <is>
          <t/>
        </is>
      </c>
      <c r="X966" t="n">
        <v>0.0</v>
      </c>
      <c r="Y966" t="n">
        <v>0.0</v>
      </c>
      <c r="Z966" t="n">
        <v>0.0</v>
      </c>
      <c r="AA966" t="n">
        <v>0.0</v>
      </c>
      <c r="AB966" t="n">
        <v>0.0</v>
      </c>
      <c r="AC966" t="n">
        <v>0.0</v>
      </c>
      <c r="AD966" t="n">
        <v>0.0</v>
      </c>
      <c r="AE966" t="n">
        <v>0.0</v>
      </c>
      <c r="AF966" t="n">
        <v>0.0</v>
      </c>
      <c r="AG966" t="n">
        <v>0.0</v>
      </c>
      <c r="AH966" t="n">
        <v>0.0</v>
      </c>
      <c r="AI966" t="n">
        <v>0.0</v>
      </c>
      <c r="AJ966" t="n">
        <v>0.0</v>
      </c>
      <c r="AK966" t="inlineStr">
        <is>
          <t/>
        </is>
      </c>
      <c r="AL966" t="inlineStr">
        <is>
          <t/>
        </is>
      </c>
    </row>
    <row r="967">
      <c r="A967" t="inlineStr">
        <is>
          <t>打工人真破防了，外卖比吃虾仁贵😭</t>
        </is>
      </c>
      <c r="B967" t="inlineStr">
        <is>
          <t>6a33df0a000000002201bc10</t>
        </is>
      </c>
      <c r="C967" s="966" t="n">
        <f>HYPERLINK("https://www.xiaohongshu.com/explore/6a33df0a000000002201bc10?xsec_token=TBLOmNlJwiJ1B1XpWxIXpNmUizpvm5wQUTUiZqm2ZKhOA=&amp;xsec_source=pc_trdark","https://www.xiaohongshu.com/explore/6a33df0a000000002201bc10?xsec_token=TBLOmNlJwiJ1B1XpWxIXpNmUizpvm5wQUTUiZqm2ZKhOA=&amp;xsec_source=pc_trdark")</f>
        <v>0.0</v>
      </c>
      <c r="D967" t="inlineStr">
        <is>
          <t>鲜水湾甄选</t>
        </is>
      </c>
      <c r="E967" t="inlineStr">
        <is>
          <t>27401929161</t>
        </is>
      </c>
      <c r="F967" t="inlineStr">
        <is>
          <t>2026-06-18 20:51:00</t>
        </is>
      </c>
      <c r="G967" t="inlineStr">
        <is>
          <t>图文</t>
        </is>
      </c>
      <c r="H967" t="inlineStr">
        <is>
          <t>手剥虾仁 无冰衣无添加 低脂餐一人食 上班带饭 顺丰包邮 5盒装</t>
        </is>
      </c>
      <c r="I967" t="inlineStr">
        <is>
          <t>694baba01d450d00013662f0</t>
        </is>
      </c>
      <c r="J967" t="inlineStr">
        <is>
          <t/>
        </is>
      </c>
      <c r="K967" t="n">
        <v>0.0</v>
      </c>
      <c r="L967" t="n">
        <v>0.0</v>
      </c>
      <c r="M967" t="n">
        <v>0.0</v>
      </c>
      <c r="N967" t="inlineStr">
        <is>
          <t/>
        </is>
      </c>
      <c r="O967" t="n">
        <v>0.0</v>
      </c>
      <c r="P967" t="n">
        <v>0.0</v>
      </c>
      <c r="Q967" t="inlineStr">
        <is>
          <t/>
        </is>
      </c>
      <c r="R967" t="inlineStr">
        <is>
          <t/>
        </is>
      </c>
      <c r="S967" t="n">
        <v>0.0</v>
      </c>
      <c r="T967" t="n">
        <v>0.0</v>
      </c>
      <c r="U967" t="n">
        <v>0.0</v>
      </c>
      <c r="V967" t="n">
        <v>0.0</v>
      </c>
      <c r="W967" t="inlineStr">
        <is>
          <t/>
        </is>
      </c>
      <c r="X967" t="n">
        <v>0.0</v>
      </c>
      <c r="Y967" t="n">
        <v>0.0</v>
      </c>
      <c r="Z967" t="n">
        <v>0.0</v>
      </c>
      <c r="AA967" t="n">
        <v>0.0</v>
      </c>
      <c r="AB967" t="n">
        <v>0.0</v>
      </c>
      <c r="AC967" t="n">
        <v>0.0</v>
      </c>
      <c r="AD967" t="n">
        <v>0.0</v>
      </c>
      <c r="AE967" t="n">
        <v>0.0</v>
      </c>
      <c r="AF967" t="n">
        <v>0.0</v>
      </c>
      <c r="AG967" t="n">
        <v>0.0</v>
      </c>
      <c r="AH967" t="n">
        <v>0.0</v>
      </c>
      <c r="AI967" t="n">
        <v>0.0</v>
      </c>
      <c r="AJ967" t="n">
        <v>0.0</v>
      </c>
      <c r="AK967" t="inlineStr">
        <is>
          <t/>
        </is>
      </c>
      <c r="AL967" t="inlineStr">
        <is>
          <t/>
        </is>
      </c>
    </row>
    <row r="968">
      <c r="A968" t="inlineStr">
        <is>
          <t>夏日减脂真不贵，69承包我一周减脂餐！</t>
        </is>
      </c>
      <c r="B968" t="inlineStr">
        <is>
          <t>6a33bb59000000002201b064</t>
        </is>
      </c>
      <c r="C968" s="967" t="n">
        <f>HYPERLINK("https://www.xiaohongshu.com/explore/6a33bb59000000002201b064?xsec_token=TBLOmNlJwiJ1B1XpWxIXpNmeoi38PU42NlUq9voyAm6PE=&amp;xsec_source=pc_trdark","https://www.xiaohongshu.com/explore/6a33bb59000000002201b064?xsec_token=TBLOmNlJwiJ1B1XpWxIXpNmeoi38PU42NlUq9voyAm6PE=&amp;xsec_source=pc_trdark")</f>
        <v>0.0</v>
      </c>
      <c r="D968" t="inlineStr">
        <is>
          <t>鲜水湾甄选</t>
        </is>
      </c>
      <c r="E968" t="inlineStr">
        <is>
          <t>27401929161</t>
        </is>
      </c>
      <c r="F968" t="inlineStr">
        <is>
          <t>2026-06-18 17:33:13</t>
        </is>
      </c>
      <c r="G968" t="inlineStr">
        <is>
          <t>图文</t>
        </is>
      </c>
      <c r="H968" t="inlineStr">
        <is>
          <t>手剥虾仁 无冰衣无添加 低脂餐一人食 上班带饭 顺丰包邮 5盒装</t>
        </is>
      </c>
      <c r="I968" t="inlineStr">
        <is>
          <t>694baba01d450d00013662f0</t>
        </is>
      </c>
      <c r="J968" t="inlineStr">
        <is>
          <t/>
        </is>
      </c>
      <c r="K968" t="n">
        <v>0.0</v>
      </c>
      <c r="L968" t="n">
        <v>0.0</v>
      </c>
      <c r="M968" t="n">
        <v>0.0</v>
      </c>
      <c r="N968" t="inlineStr">
        <is>
          <t/>
        </is>
      </c>
      <c r="O968" t="n">
        <v>0.0</v>
      </c>
      <c r="P968" t="n">
        <v>0.0</v>
      </c>
      <c r="Q968" t="inlineStr">
        <is>
          <t/>
        </is>
      </c>
      <c r="R968" t="inlineStr">
        <is>
          <t/>
        </is>
      </c>
      <c r="S968" t="n">
        <v>0.0</v>
      </c>
      <c r="T968" t="n">
        <v>0.0</v>
      </c>
      <c r="U968" t="n">
        <v>0.0</v>
      </c>
      <c r="V968" t="n">
        <v>0.0</v>
      </c>
      <c r="W968" t="inlineStr">
        <is>
          <t/>
        </is>
      </c>
      <c r="X968" t="n">
        <v>0.0</v>
      </c>
      <c r="Y968" t="n">
        <v>0.0</v>
      </c>
      <c r="Z968" t="n">
        <v>0.0</v>
      </c>
      <c r="AA968" t="n">
        <v>0.0</v>
      </c>
      <c r="AB968" t="n">
        <v>0.0</v>
      </c>
      <c r="AC968" t="n">
        <v>0.0</v>
      </c>
      <c r="AD968" t="n">
        <v>0.0</v>
      </c>
      <c r="AE968" t="n">
        <v>0.0</v>
      </c>
      <c r="AF968" t="n">
        <v>0.0</v>
      </c>
      <c r="AG968" t="n">
        <v>0.0</v>
      </c>
      <c r="AH968" t="n">
        <v>0.0</v>
      </c>
      <c r="AI968" t="n">
        <v>0.0</v>
      </c>
      <c r="AJ968" t="n">
        <v>0.0</v>
      </c>
      <c r="AK968" t="inlineStr">
        <is>
          <t/>
        </is>
      </c>
      <c r="AL968" t="inlineStr">
        <is>
          <t/>
        </is>
      </c>
    </row>
    <row r="969">
      <c r="A969" t="inlineStr">
        <is>
          <t>按照粉丝的要求，推出一周69块一人食小包装</t>
        </is>
      </c>
      <c r="B969" t="inlineStr">
        <is>
          <t>6a33af1e00000000060348e5</t>
        </is>
      </c>
      <c r="C969" s="968" t="n">
        <f>HYPERLINK("https://www.xiaohongshu.com/explore/6a33af1e00000000060348e5?xsec_token=TBLOmNlJwiJ1B1XpWxIXpNmfsHrJ_p5DSIpd6_YfC501E=&amp;xsec_source=pc_trdark","https://www.xiaohongshu.com/explore/6a33af1e00000000060348e5?xsec_token=TBLOmNlJwiJ1B1XpWxIXpNmfsHrJ_p5DSIpd6_YfC501E=&amp;xsec_source=pc_trdark")</f>
        <v>0.0</v>
      </c>
      <c r="D969" t="inlineStr">
        <is>
          <t>菲菲上班吃什么</t>
        </is>
      </c>
      <c r="E969" t="inlineStr">
        <is>
          <t>49936530607</t>
        </is>
      </c>
      <c r="F969" t="inlineStr">
        <is>
          <t>2026-06-18 16:41:02</t>
        </is>
      </c>
      <c r="G969" t="inlineStr">
        <is>
          <t>图文</t>
        </is>
      </c>
      <c r="H969" t="inlineStr">
        <is>
          <t>手剥虾仁 无冰衣无添加 低脂餐一人食 上班带饭 顺丰包邮 5盒装</t>
        </is>
      </c>
      <c r="I969" t="inlineStr">
        <is>
          <t>694baba01d450d00013662f0</t>
        </is>
      </c>
      <c r="J969" t="inlineStr">
        <is>
          <t/>
        </is>
      </c>
      <c r="K969" t="n">
        <v>0.0</v>
      </c>
      <c r="L969" t="n">
        <v>0.0</v>
      </c>
      <c r="M969" t="n">
        <v>0.0</v>
      </c>
      <c r="N969" t="inlineStr">
        <is>
          <t/>
        </is>
      </c>
      <c r="O969" t="n">
        <v>0.0</v>
      </c>
      <c r="P969" t="n">
        <v>0.0</v>
      </c>
      <c r="Q969" t="inlineStr">
        <is>
          <t/>
        </is>
      </c>
      <c r="R969" t="inlineStr">
        <is>
          <t/>
        </is>
      </c>
      <c r="S969" t="n">
        <v>0.0</v>
      </c>
      <c r="T969" t="n">
        <v>0.0</v>
      </c>
      <c r="U969" t="n">
        <v>0.0</v>
      </c>
      <c r="V969" t="n">
        <v>0.0</v>
      </c>
      <c r="W969" t="inlineStr">
        <is>
          <t/>
        </is>
      </c>
      <c r="X969" t="n">
        <v>0.0</v>
      </c>
      <c r="Y969" t="n">
        <v>0.0</v>
      </c>
      <c r="Z969" t="n">
        <v>0.0</v>
      </c>
      <c r="AA969" t="n">
        <v>0.0</v>
      </c>
      <c r="AB969" t="n">
        <v>0.0</v>
      </c>
      <c r="AC969" t="n">
        <v>0.0</v>
      </c>
      <c r="AD969" t="n">
        <v>0.0</v>
      </c>
      <c r="AE969" t="n">
        <v>0.0</v>
      </c>
      <c r="AF969" t="n">
        <v>0.0</v>
      </c>
      <c r="AG969" t="n">
        <v>0.0</v>
      </c>
      <c r="AH969" t="n">
        <v>0.0</v>
      </c>
      <c r="AI969" t="n">
        <v>0.0</v>
      </c>
      <c r="AJ969" t="n">
        <v>0.0</v>
      </c>
      <c r="AK969" t="inlineStr">
        <is>
          <t/>
        </is>
      </c>
      <c r="AL969" t="inlineStr">
        <is>
          <t/>
        </is>
      </c>
    </row>
    <row r="970">
      <c r="A970" t="inlineStr">
        <is>
          <t>一个人吃饭才懂，小包虾仁有多省事</t>
        </is>
      </c>
      <c r="B970" t="inlineStr">
        <is>
          <t>6a33af060000000022009fa3</t>
        </is>
      </c>
      <c r="C970" s="969" t="n">
        <f>HYPERLINK("https://www.xiaohongshu.com/explore/6a33af060000000022009fa3?xsec_token=TBLOmNlJwiJ1B1XpWxIXpNmajU0ZZPv-Q1hkX1PgnvZZE=&amp;xsec_source=pc_trdark","https://www.xiaohongshu.com/explore/6a33af060000000022009fa3?xsec_token=TBLOmNlJwiJ1B1XpWxIXpNmajU0ZZPv-Q1hkX1PgnvZZE=&amp;xsec_source=pc_trdark")</f>
        <v>0.0</v>
      </c>
      <c r="D970" t="inlineStr">
        <is>
          <t>婉婉上班吃什么</t>
        </is>
      </c>
      <c r="E970" t="inlineStr">
        <is>
          <t>11434449706</t>
        </is>
      </c>
      <c r="F970" t="inlineStr">
        <is>
          <t>2026-06-18 16:40:38</t>
        </is>
      </c>
      <c r="G970" t="inlineStr">
        <is>
          <t>图文</t>
        </is>
      </c>
      <c r="H970" t="inlineStr">
        <is>
          <t>手剥虾仁 无冰衣无添加 低脂餐一人食 上班带饭 顺丰包邮 5盒装</t>
        </is>
      </c>
      <c r="I970" t="inlineStr">
        <is>
          <t>694baba01d450d00013662f0</t>
        </is>
      </c>
      <c r="J970" t="inlineStr">
        <is>
          <t/>
        </is>
      </c>
      <c r="K970" t="n">
        <v>0.0</v>
      </c>
      <c r="L970" t="n">
        <v>0.0</v>
      </c>
      <c r="M970" t="n">
        <v>0.0</v>
      </c>
      <c r="N970" t="inlineStr">
        <is>
          <t/>
        </is>
      </c>
      <c r="O970" t="n">
        <v>0.0</v>
      </c>
      <c r="P970" t="n">
        <v>0.0</v>
      </c>
      <c r="Q970" t="inlineStr">
        <is>
          <t/>
        </is>
      </c>
      <c r="R970" t="inlineStr">
        <is>
          <t/>
        </is>
      </c>
      <c r="S970" t="n">
        <v>0.0</v>
      </c>
      <c r="T970" t="n">
        <v>0.0</v>
      </c>
      <c r="U970" t="n">
        <v>0.0</v>
      </c>
      <c r="V970" t="n">
        <v>0.0</v>
      </c>
      <c r="W970" t="inlineStr">
        <is>
          <t/>
        </is>
      </c>
      <c r="X970" t="n">
        <v>0.0</v>
      </c>
      <c r="Y970" t="n">
        <v>0.0</v>
      </c>
      <c r="Z970" t="n">
        <v>0.0</v>
      </c>
      <c r="AA970" t="n">
        <v>0.0</v>
      </c>
      <c r="AB970" t="n">
        <v>0.0</v>
      </c>
      <c r="AC970" t="n">
        <v>0.0</v>
      </c>
      <c r="AD970" t="n">
        <v>0.0</v>
      </c>
      <c r="AE970" t="n">
        <v>0.0</v>
      </c>
      <c r="AF970" t="n">
        <v>0.0</v>
      </c>
      <c r="AG970" t="n">
        <v>0.0</v>
      </c>
      <c r="AH970" t="n">
        <v>0.0</v>
      </c>
      <c r="AI970" t="n">
        <v>0.0</v>
      </c>
      <c r="AJ970" t="n">
        <v>0.0</v>
      </c>
      <c r="AK970" t="inlineStr">
        <is>
          <t/>
        </is>
      </c>
      <c r="AL970" t="inlineStr">
        <is>
          <t/>
        </is>
      </c>
    </row>
    <row r="971">
      <c r="A971" t="inlineStr">
        <is>
          <t>真别低估了100来块的购买力，够吃半个月了</t>
        </is>
      </c>
      <c r="B971" t="inlineStr">
        <is>
          <t>6a339253000000001101a0a9</t>
        </is>
      </c>
      <c r="C971" s="970" t="n">
        <f>HYPERLINK("https://www.xiaohongshu.com/explore/6a339253000000001101a0a9?xsec_token=TBLOmNlJwiJ1B1XpWxIXpNmeIqkLpWxAfabxQ7X2-YBdQ=&amp;xsec_source=pc_trdark","https://www.xiaohongshu.com/explore/6a339253000000001101a0a9?xsec_token=TBLOmNlJwiJ1B1XpWxIXpNmeIqkLpWxAfabxQ7X2-YBdQ=&amp;xsec_source=pc_trdark")</f>
        <v>0.0</v>
      </c>
      <c r="D971" t="inlineStr">
        <is>
          <t>鲜水湾甄选</t>
        </is>
      </c>
      <c r="E971" t="inlineStr">
        <is>
          <t>27401929161</t>
        </is>
      </c>
      <c r="F971" t="inlineStr">
        <is>
          <t>2026-06-18 14:38:11</t>
        </is>
      </c>
      <c r="G971" t="inlineStr">
        <is>
          <t>图文</t>
        </is>
      </c>
      <c r="H971" t="inlineStr">
        <is>
          <t>手剥虾仁 无冰衣无添加 低脂餐一人食 上班带饭 顺丰包邮 5盒装</t>
        </is>
      </c>
      <c r="I971" t="inlineStr">
        <is>
          <t>694baba01d450d00013662f0</t>
        </is>
      </c>
      <c r="J971" t="inlineStr">
        <is>
          <t/>
        </is>
      </c>
      <c r="K971" t="n">
        <v>0.0</v>
      </c>
      <c r="L971" t="n">
        <v>0.0</v>
      </c>
      <c r="M971" t="n">
        <v>0.0</v>
      </c>
      <c r="N971" t="inlineStr">
        <is>
          <t/>
        </is>
      </c>
      <c r="O971" t="n">
        <v>0.0</v>
      </c>
      <c r="P971" t="n">
        <v>0.0</v>
      </c>
      <c r="Q971" t="inlineStr">
        <is>
          <t/>
        </is>
      </c>
      <c r="R971" t="inlineStr">
        <is>
          <t/>
        </is>
      </c>
      <c r="S971" t="n">
        <v>0.0</v>
      </c>
      <c r="T971" t="n">
        <v>0.0</v>
      </c>
      <c r="U971" t="n">
        <v>0.0</v>
      </c>
      <c r="V971" t="n">
        <v>0.0</v>
      </c>
      <c r="W971" t="inlineStr">
        <is>
          <t/>
        </is>
      </c>
      <c r="X971" t="n">
        <v>0.0</v>
      </c>
      <c r="Y971" t="n">
        <v>0.0</v>
      </c>
      <c r="Z971" t="n">
        <v>0.0</v>
      </c>
      <c r="AA971" t="n">
        <v>0.0</v>
      </c>
      <c r="AB971" t="n">
        <v>0.0</v>
      </c>
      <c r="AC971" t="n">
        <v>0.0</v>
      </c>
      <c r="AD971" t="n">
        <v>0.0</v>
      </c>
      <c r="AE971" t="n">
        <v>0.0</v>
      </c>
      <c r="AF971" t="n">
        <v>0.0</v>
      </c>
      <c r="AG971" t="n">
        <v>0.0</v>
      </c>
      <c r="AH971" t="n">
        <v>0.0</v>
      </c>
      <c r="AI971" t="n">
        <v>0.0</v>
      </c>
      <c r="AJ971" t="n">
        <v>0.0</v>
      </c>
      <c r="AK971" t="inlineStr">
        <is>
          <t/>
        </is>
      </c>
      <c r="AL971" t="inlineStr">
        <is>
          <t/>
        </is>
      </c>
    </row>
    <row r="972">
      <c r="A972" t="inlineStr">
        <is>
          <t>吃了半个多月的虾仁，发现才花了100多！！</t>
        </is>
      </c>
      <c r="B972" t="inlineStr">
        <is>
          <t>6a338d9a0000000021022e9e</t>
        </is>
      </c>
      <c r="C972" s="971" t="n">
        <f>HYPERLINK("https://www.xiaohongshu.com/explore/6a338d9a0000000021022e9e?xsec_token=TBLOmNlJwiJ1B1XpWxIXpNmaiaIy0A2PK-01a1POHUUyM=&amp;xsec_source=pc_trdark","https://www.xiaohongshu.com/explore/6a338d9a0000000021022e9e?xsec_token=TBLOmNlJwiJ1B1XpWxIXpNmaiaIy0A2PK-01a1POHUUyM=&amp;xsec_source=pc_trdark")</f>
        <v>0.0</v>
      </c>
      <c r="D972" t="inlineStr">
        <is>
          <t>菲菲上班吃什么</t>
        </is>
      </c>
      <c r="E972" t="inlineStr">
        <is>
          <t>49936530607</t>
        </is>
      </c>
      <c r="F972" t="inlineStr">
        <is>
          <t>2026-06-18 14:18:02</t>
        </is>
      </c>
      <c r="G972" t="inlineStr">
        <is>
          <t>图文</t>
        </is>
      </c>
      <c r="H972" t="inlineStr">
        <is>
          <t>手剥虾仁 无冰衣无添加 低脂餐一人食 上班带饭 顺丰包邮 5盒装</t>
        </is>
      </c>
      <c r="I972" t="inlineStr">
        <is>
          <t>694baba01d450d00013662f0</t>
        </is>
      </c>
      <c r="J972" t="inlineStr">
        <is>
          <t/>
        </is>
      </c>
      <c r="K972" t="n">
        <v>0.0</v>
      </c>
      <c r="L972" t="n">
        <v>0.0</v>
      </c>
      <c r="M972" t="n">
        <v>0.0</v>
      </c>
      <c r="N972" t="inlineStr">
        <is>
          <t/>
        </is>
      </c>
      <c r="O972" t="n">
        <v>0.0</v>
      </c>
      <c r="P972" t="n">
        <v>0.0</v>
      </c>
      <c r="Q972" t="inlineStr">
        <is>
          <t/>
        </is>
      </c>
      <c r="R972" t="inlineStr">
        <is>
          <t/>
        </is>
      </c>
      <c r="S972" t="n">
        <v>0.0</v>
      </c>
      <c r="T972" t="n">
        <v>0.0</v>
      </c>
      <c r="U972" t="n">
        <v>0.0</v>
      </c>
      <c r="V972" t="n">
        <v>0.0</v>
      </c>
      <c r="W972" t="inlineStr">
        <is>
          <t/>
        </is>
      </c>
      <c r="X972" t="n">
        <v>0.0</v>
      </c>
      <c r="Y972" t="n">
        <v>0.0</v>
      </c>
      <c r="Z972" t="n">
        <v>0.0</v>
      </c>
      <c r="AA972" t="n">
        <v>0.0</v>
      </c>
      <c r="AB972" t="n">
        <v>0.0</v>
      </c>
      <c r="AC972" t="n">
        <v>0.0</v>
      </c>
      <c r="AD972" t="n">
        <v>0.0</v>
      </c>
      <c r="AE972" t="n">
        <v>0.0</v>
      </c>
      <c r="AF972" t="n">
        <v>0.0</v>
      </c>
      <c r="AG972" t="n">
        <v>0.0</v>
      </c>
      <c r="AH972" t="n">
        <v>0.0</v>
      </c>
      <c r="AI972" t="n">
        <v>0.0</v>
      </c>
      <c r="AJ972" t="n">
        <v>0.0</v>
      </c>
      <c r="AK972" t="inlineStr">
        <is>
          <t/>
        </is>
      </c>
      <c r="AL972" t="inlineStr">
        <is>
          <t/>
        </is>
      </c>
    </row>
    <row r="973">
      <c r="A973" t="inlineStr">
        <is>
          <t>减脂期连吃15天虾仁后，我真香了…</t>
        </is>
      </c>
      <c r="B973" t="inlineStr">
        <is>
          <t>6a336475000000002101a21c</t>
        </is>
      </c>
      <c r="C973" s="972" t="n">
        <f>HYPERLINK("https://www.xiaohongshu.com/explore/6a336475000000002101a21c?xsec_token=TBLOmNlJwiJ1B1XpWxIXpNmSo6c02J3xAUgRTtV84eSqo=&amp;xsec_source=pc_trdark","https://www.xiaohongshu.com/explore/6a336475000000002101a21c?xsec_token=TBLOmNlJwiJ1B1XpWxIXpNmSo6c02J3xAUgRTtV84eSqo=&amp;xsec_source=pc_trdark")</f>
        <v>0.0</v>
      </c>
      <c r="D973" t="inlineStr">
        <is>
          <t>菲菲上班吃什么</t>
        </is>
      </c>
      <c r="E973" t="inlineStr">
        <is>
          <t>49936530607</t>
        </is>
      </c>
      <c r="F973" t="inlineStr">
        <is>
          <t>2026-06-18 11:22:29</t>
        </is>
      </c>
      <c r="G973" t="inlineStr">
        <is>
          <t>图文</t>
        </is>
      </c>
      <c r="H973" t="inlineStr">
        <is>
          <t>手剥虾仁 无冰衣无添加 低脂餐一人食 上班带饭 顺丰包邮 5盒装</t>
        </is>
      </c>
      <c r="I973" t="inlineStr">
        <is>
          <t>694baba01d450d00013662f0</t>
        </is>
      </c>
      <c r="J973" t="inlineStr">
        <is>
          <t/>
        </is>
      </c>
      <c r="K973" t="n">
        <v>0.0</v>
      </c>
      <c r="L973" t="n">
        <v>0.0</v>
      </c>
      <c r="M973" t="n">
        <v>0.0</v>
      </c>
      <c r="N973" t="inlineStr">
        <is>
          <t/>
        </is>
      </c>
      <c r="O973" t="n">
        <v>0.0</v>
      </c>
      <c r="P973" t="n">
        <v>0.0</v>
      </c>
      <c r="Q973" t="inlineStr">
        <is>
          <t/>
        </is>
      </c>
      <c r="R973" t="inlineStr">
        <is>
          <t/>
        </is>
      </c>
      <c r="S973" t="n">
        <v>0.0</v>
      </c>
      <c r="T973" t="n">
        <v>0.0</v>
      </c>
      <c r="U973" t="n">
        <v>0.0</v>
      </c>
      <c r="V973" t="n">
        <v>0.0</v>
      </c>
      <c r="W973" t="inlineStr">
        <is>
          <t/>
        </is>
      </c>
      <c r="X973" t="n">
        <v>0.0</v>
      </c>
      <c r="Y973" t="n">
        <v>0.0</v>
      </c>
      <c r="Z973" t="n">
        <v>0.0</v>
      </c>
      <c r="AA973" t="n">
        <v>0.0</v>
      </c>
      <c r="AB973" t="n">
        <v>0.0</v>
      </c>
      <c r="AC973" t="n">
        <v>0.0</v>
      </c>
      <c r="AD973" t="n">
        <v>0.0</v>
      </c>
      <c r="AE973" t="n">
        <v>0.0</v>
      </c>
      <c r="AF973" t="n">
        <v>0.0</v>
      </c>
      <c r="AG973" t="n">
        <v>0.0</v>
      </c>
      <c r="AH973" t="n">
        <v>0.0</v>
      </c>
      <c r="AI973" t="n">
        <v>0.0</v>
      </c>
      <c r="AJ973" t="n">
        <v>0.0</v>
      </c>
      <c r="AK973" t="inlineStr">
        <is>
          <t/>
        </is>
      </c>
      <c r="AL973" t="inlineStr">
        <is>
          <t/>
        </is>
      </c>
    </row>
    <row r="974">
      <c r="A974" t="inlineStr">
        <is>
          <t>和老爸商量后，推出专为独居姐妹做的小包装</t>
        </is>
      </c>
      <c r="B974" t="inlineStr">
        <is>
          <t>6a336159000000000f0046e4</t>
        </is>
      </c>
      <c r="C974" s="973" t="n">
        <f>HYPERLINK("https://www.xiaohongshu.com/explore/6a336159000000000f0046e4?xsec_token=TBLOmNlJwiJ1B1XpWxIXpNmYUZz5d9VJ8ItZk4gth5ux8=&amp;xsec_source=pc_trdark","https://www.xiaohongshu.com/explore/6a336159000000000f0046e4?xsec_token=TBLOmNlJwiJ1B1XpWxIXpNmYUZz5d9VJ8ItZk4gth5ux8=&amp;xsec_source=pc_trdark")</f>
        <v>0.0</v>
      </c>
      <c r="D974" t="inlineStr">
        <is>
          <t>鲜水湾甄选</t>
        </is>
      </c>
      <c r="E974" t="inlineStr">
        <is>
          <t>27401929161</t>
        </is>
      </c>
      <c r="F974" t="inlineStr">
        <is>
          <t>2026-06-18 11:09:13</t>
        </is>
      </c>
      <c r="G974" t="inlineStr">
        <is>
          <t>图文</t>
        </is>
      </c>
      <c r="H974" t="inlineStr">
        <is>
          <t>手剥虾仁 无冰衣无添加 低脂餐一人食 上班带饭 顺丰包邮 5盒装</t>
        </is>
      </c>
      <c r="I974" t="inlineStr">
        <is>
          <t>694baba01d450d00013662f0</t>
        </is>
      </c>
      <c r="J974" t="inlineStr">
        <is>
          <t/>
        </is>
      </c>
      <c r="K974" t="n">
        <v>0.0</v>
      </c>
      <c r="L974" t="n">
        <v>0.0</v>
      </c>
      <c r="M974" t="n">
        <v>0.0</v>
      </c>
      <c r="N974" t="inlineStr">
        <is>
          <t/>
        </is>
      </c>
      <c r="O974" t="n">
        <v>0.0</v>
      </c>
      <c r="P974" t="n">
        <v>0.0</v>
      </c>
      <c r="Q974" t="inlineStr">
        <is>
          <t/>
        </is>
      </c>
      <c r="R974" t="inlineStr">
        <is>
          <t/>
        </is>
      </c>
      <c r="S974" t="n">
        <v>0.0</v>
      </c>
      <c r="T974" t="n">
        <v>0.0</v>
      </c>
      <c r="U974" t="n">
        <v>0.0</v>
      </c>
      <c r="V974" t="n">
        <v>0.0</v>
      </c>
      <c r="W974" t="inlineStr">
        <is>
          <t/>
        </is>
      </c>
      <c r="X974" t="n">
        <v>0.0</v>
      </c>
      <c r="Y974" t="n">
        <v>0.0</v>
      </c>
      <c r="Z974" t="n">
        <v>0.0</v>
      </c>
      <c r="AA974" t="n">
        <v>0.0</v>
      </c>
      <c r="AB974" t="n">
        <v>0.0</v>
      </c>
      <c r="AC974" t="n">
        <v>0.0</v>
      </c>
      <c r="AD974" t="n">
        <v>0.0</v>
      </c>
      <c r="AE974" t="n">
        <v>0.0</v>
      </c>
      <c r="AF974" t="n">
        <v>0.0</v>
      </c>
      <c r="AG974" t="n">
        <v>0.0</v>
      </c>
      <c r="AH974" t="n">
        <v>0.0</v>
      </c>
      <c r="AI974" t="n">
        <v>0.0</v>
      </c>
      <c r="AJ974" t="n">
        <v>0.0</v>
      </c>
      <c r="AK974" t="inlineStr">
        <is>
          <t/>
        </is>
      </c>
      <c r="AL974" t="inlineStr">
        <is>
          <t/>
        </is>
      </c>
    </row>
    <row r="975">
      <c r="A975" t="inlineStr">
        <is>
          <t>🫢原来虾线不用挑，人生都顺了…</t>
        </is>
      </c>
      <c r="B975" t="inlineStr">
        <is>
          <t>6a3290d90000000007025fa1</t>
        </is>
      </c>
      <c r="C975" s="974" t="n">
        <f>HYPERLINK("https://www.xiaohongshu.com/explore/6a3290d90000000007025fa1?xsec_token=TBgwqICxjpF4PaPju8orzP4z6UXb5kLO7wT5xOeoPFRNA=&amp;xsec_source=pc_trdark","https://www.xiaohongshu.com/explore/6a3290d90000000007025fa1?xsec_token=TBgwqICxjpF4PaPju8orzP4z6UXb5kLO7wT5xOeoPFRNA=&amp;xsec_source=pc_trdark")</f>
        <v>0.0</v>
      </c>
      <c r="D975" t="inlineStr">
        <is>
          <t>菲菲上班吃什么</t>
        </is>
      </c>
      <c r="E975" t="inlineStr">
        <is>
          <t>49936530607</t>
        </is>
      </c>
      <c r="F975" t="inlineStr">
        <is>
          <t>2026-06-17 21:03:00</t>
        </is>
      </c>
      <c r="G975" t="inlineStr">
        <is>
          <t>图文</t>
        </is>
      </c>
      <c r="H975" t="inlineStr">
        <is>
          <t>手剥虾仁 无冰衣无添加 低脂餐一人食 上班带饭 顺丰包邮 5盒装</t>
        </is>
      </c>
      <c r="I975" t="inlineStr">
        <is>
          <t>694baba01d450d00013662f0</t>
        </is>
      </c>
      <c r="J975" t="inlineStr">
        <is>
          <t/>
        </is>
      </c>
      <c r="K975" t="n">
        <v>0.0</v>
      </c>
      <c r="L975" t="n">
        <v>0.0</v>
      </c>
      <c r="M975" t="n">
        <v>0.0</v>
      </c>
      <c r="N975" t="inlineStr">
        <is>
          <t/>
        </is>
      </c>
      <c r="O975" t="n">
        <v>0.0</v>
      </c>
      <c r="P975" t="n">
        <v>0.0</v>
      </c>
      <c r="Q975" t="inlineStr">
        <is>
          <t/>
        </is>
      </c>
      <c r="R975" t="inlineStr">
        <is>
          <t/>
        </is>
      </c>
      <c r="S975" t="n">
        <v>0.0</v>
      </c>
      <c r="T975" t="n">
        <v>0.0</v>
      </c>
      <c r="U975" t="n">
        <v>0.0</v>
      </c>
      <c r="V975" t="n">
        <v>0.0</v>
      </c>
      <c r="W975" t="inlineStr">
        <is>
          <t/>
        </is>
      </c>
      <c r="X975" t="n">
        <v>0.0</v>
      </c>
      <c r="Y975" t="n">
        <v>0.0</v>
      </c>
      <c r="Z975" t="n">
        <v>0.0</v>
      </c>
      <c r="AA975" t="n">
        <v>0.0</v>
      </c>
      <c r="AB975" t="n">
        <v>0.0</v>
      </c>
      <c r="AC975" t="n">
        <v>0.0</v>
      </c>
      <c r="AD975" t="n">
        <v>0.0</v>
      </c>
      <c r="AE975" t="n">
        <v>0.0</v>
      </c>
      <c r="AF975" t="n">
        <v>0.0</v>
      </c>
      <c r="AG975" t="n">
        <v>0.0</v>
      </c>
      <c r="AH975" t="n">
        <v>0.0</v>
      </c>
      <c r="AI975" t="n">
        <v>0.0</v>
      </c>
      <c r="AJ975" t="n">
        <v>0.0</v>
      </c>
      <c r="AK975" t="inlineStr">
        <is>
          <t/>
        </is>
      </c>
      <c r="AL975" t="inlineStr">
        <is>
          <t/>
        </is>
      </c>
    </row>
    <row r="976">
      <c r="A976" t="inlineStr">
        <is>
          <t>夏日减脂餐真不贵，69r够吃一周了😂</t>
        </is>
      </c>
      <c r="B976" t="inlineStr">
        <is>
          <t>6a3282cb000000000f01f7d2</t>
        </is>
      </c>
      <c r="C976" s="975" t="n">
        <f>HYPERLINK("https://www.xiaohongshu.com/explore/6a3282cb000000000f01f7d2?xsec_token=TBgwqICxjpF4PaPju8orzP474axIsvXiOuKA2QuVXj8TI=&amp;xsec_source=pc_trdark","https://www.xiaohongshu.com/explore/6a3282cb000000000f01f7d2?xsec_token=TBgwqICxjpF4PaPju8orzP474axIsvXiOuKA2QuVXj8TI=&amp;xsec_source=pc_trdark")</f>
        <v>0.0</v>
      </c>
      <c r="D976" t="inlineStr">
        <is>
          <t>鲜水湾甄选</t>
        </is>
      </c>
      <c r="E976" t="inlineStr">
        <is>
          <t>27401929161</t>
        </is>
      </c>
      <c r="F976" t="inlineStr">
        <is>
          <t>2026-06-17 21:36:00</t>
        </is>
      </c>
      <c r="G976" t="inlineStr">
        <is>
          <t>图文</t>
        </is>
      </c>
      <c r="H976" t="inlineStr">
        <is>
          <t>手剥虾仁 无冰衣无添加 低脂餐一人食 上班带饭 顺丰包邮 5盒装</t>
        </is>
      </c>
      <c r="I976" t="inlineStr">
        <is>
          <t>694baba01d450d00013662f0</t>
        </is>
      </c>
      <c r="J976" t="inlineStr">
        <is>
          <t/>
        </is>
      </c>
      <c r="K976" t="n">
        <v>0.0</v>
      </c>
      <c r="L976" t="n">
        <v>0.0</v>
      </c>
      <c r="M976" t="n">
        <v>0.0</v>
      </c>
      <c r="N976" t="inlineStr">
        <is>
          <t/>
        </is>
      </c>
      <c r="O976" t="n">
        <v>0.0</v>
      </c>
      <c r="P976" t="n">
        <v>0.0</v>
      </c>
      <c r="Q976" t="inlineStr">
        <is>
          <t/>
        </is>
      </c>
      <c r="R976" t="inlineStr">
        <is>
          <t/>
        </is>
      </c>
      <c r="S976" t="n">
        <v>0.0</v>
      </c>
      <c r="T976" t="n">
        <v>0.0</v>
      </c>
      <c r="U976" t="n">
        <v>0.0</v>
      </c>
      <c r="V976" t="n">
        <v>0.0</v>
      </c>
      <c r="W976" t="inlineStr">
        <is>
          <t/>
        </is>
      </c>
      <c r="X976" t="n">
        <v>0.0</v>
      </c>
      <c r="Y976" t="n">
        <v>0.0</v>
      </c>
      <c r="Z976" t="n">
        <v>0.0</v>
      </c>
      <c r="AA976" t="n">
        <v>0.0</v>
      </c>
      <c r="AB976" t="n">
        <v>0.0</v>
      </c>
      <c r="AC976" t="n">
        <v>0.0</v>
      </c>
      <c r="AD976" t="n">
        <v>0.0</v>
      </c>
      <c r="AE976" t="n">
        <v>0.0</v>
      </c>
      <c r="AF976" t="n">
        <v>0.0</v>
      </c>
      <c r="AG976" t="n">
        <v>0.0</v>
      </c>
      <c r="AH976" t="n">
        <v>0.0</v>
      </c>
      <c r="AI976" t="n">
        <v>0.0</v>
      </c>
      <c r="AJ976" t="n">
        <v>0.0</v>
      </c>
      <c r="AK976" t="inlineStr">
        <is>
          <t/>
        </is>
      </c>
      <c r="AL976" t="inlineStr">
        <is>
          <t/>
        </is>
      </c>
    </row>
    <row r="977">
      <c r="A977" t="inlineStr">
        <is>
          <t>独居懒人减脂，晚饭先戒复杂食谱…</t>
        </is>
      </c>
      <c r="B977" t="inlineStr">
        <is>
          <t>6a3282b8000000000f01f786</t>
        </is>
      </c>
      <c r="C977" s="976" t="n">
        <f>HYPERLINK("https://www.xiaohongshu.com/explore/6a3282b8000000000f01f786?xsec_token=TBgwqICxjpF4PaPju8orzP4ydSx90ODg0AoiLCSPFHi2M=&amp;xsec_source=pc_trdark","https://www.xiaohongshu.com/explore/6a3282b8000000000f01f786?xsec_token=TBgwqICxjpF4PaPju8orzP4ydSx90ODg0AoiLCSPFHi2M=&amp;xsec_source=pc_trdark")</f>
        <v>0.0</v>
      </c>
      <c r="D977" t="inlineStr">
        <is>
          <t>鲜水湾甄选</t>
        </is>
      </c>
      <c r="E977" t="inlineStr">
        <is>
          <t>27401929161</t>
        </is>
      </c>
      <c r="F977" t="inlineStr">
        <is>
          <t>2026-06-17 20:59:00</t>
        </is>
      </c>
      <c r="G977" t="inlineStr">
        <is>
          <t>图文</t>
        </is>
      </c>
      <c r="H977" t="inlineStr">
        <is>
          <t>手剥虾仁 无冰衣无添加 低脂餐一人食 上班带饭 顺丰包邮 5盒装</t>
        </is>
      </c>
      <c r="I977" t="inlineStr">
        <is>
          <t>694baba01d450d00013662f0</t>
        </is>
      </c>
      <c r="J977" t="inlineStr">
        <is>
          <t/>
        </is>
      </c>
      <c r="K977" t="n">
        <v>0.0</v>
      </c>
      <c r="L977" t="n">
        <v>0.0</v>
      </c>
      <c r="M977" t="n">
        <v>0.0</v>
      </c>
      <c r="N977" t="inlineStr">
        <is>
          <t/>
        </is>
      </c>
      <c r="O977" t="n">
        <v>0.0</v>
      </c>
      <c r="P977" t="n">
        <v>0.0</v>
      </c>
      <c r="Q977" t="inlineStr">
        <is>
          <t/>
        </is>
      </c>
      <c r="R977" t="inlineStr">
        <is>
          <t/>
        </is>
      </c>
      <c r="S977" t="n">
        <v>0.0</v>
      </c>
      <c r="T977" t="n">
        <v>0.0</v>
      </c>
      <c r="U977" t="n">
        <v>0.0</v>
      </c>
      <c r="V977" t="n">
        <v>0.0</v>
      </c>
      <c r="W977" t="inlineStr">
        <is>
          <t/>
        </is>
      </c>
      <c r="X977" t="n">
        <v>0.0</v>
      </c>
      <c r="Y977" t="n">
        <v>0.0</v>
      </c>
      <c r="Z977" t="n">
        <v>0.0</v>
      </c>
      <c r="AA977" t="n">
        <v>0.0</v>
      </c>
      <c r="AB977" t="n">
        <v>0.0</v>
      </c>
      <c r="AC977" t="n">
        <v>0.0</v>
      </c>
      <c r="AD977" t="n">
        <v>0.0</v>
      </c>
      <c r="AE977" t="n">
        <v>0.0</v>
      </c>
      <c r="AF977" t="n">
        <v>0.0</v>
      </c>
      <c r="AG977" t="n">
        <v>0.0</v>
      </c>
      <c r="AH977" t="n">
        <v>0.0</v>
      </c>
      <c r="AI977" t="n">
        <v>0.0</v>
      </c>
      <c r="AJ977" t="n">
        <v>0.0</v>
      </c>
      <c r="AK977" t="inlineStr">
        <is>
          <t/>
        </is>
      </c>
      <c r="AL977" t="inlineStr">
        <is>
          <t/>
        </is>
      </c>
    </row>
    <row r="978">
      <c r="A978" t="inlineStr">
        <is>
          <t>管理期，打工人被这个大虾狠狠拿捏了...</t>
        </is>
      </c>
      <c r="B978" t="inlineStr">
        <is>
          <t>6a32829f000000000f030732</t>
        </is>
      </c>
      <c r="C978" s="977" t="n">
        <f>HYPERLINK("https://www.xiaohongshu.com/explore/6a32829f000000000f030732?xsec_token=TBgwqICxjpF4PaPju8orzP46AcnogdcENKqLGlkjKNDyg=&amp;xsec_source=pc_trdark","https://www.xiaohongshu.com/explore/6a32829f000000000f030732?xsec_token=TBgwqICxjpF4PaPju8orzP46AcnogdcENKqLGlkjKNDyg=&amp;xsec_source=pc_trdark")</f>
        <v>0.0</v>
      </c>
      <c r="D978" t="inlineStr">
        <is>
          <t>鲜水湾甄选</t>
        </is>
      </c>
      <c r="E978" t="inlineStr">
        <is>
          <t>27401929161</t>
        </is>
      </c>
      <c r="F978" t="inlineStr">
        <is>
          <t>2026-06-17 20:18:00</t>
        </is>
      </c>
      <c r="G978" t="inlineStr">
        <is>
          <t>图文</t>
        </is>
      </c>
      <c r="H978" t="inlineStr">
        <is>
          <t>手剥虾仁 无冰衣无添加 低脂餐一人食 上班带饭 顺丰包邮 5盒装</t>
        </is>
      </c>
      <c r="I978" t="inlineStr">
        <is>
          <t>694baba01d450d00013662f0</t>
        </is>
      </c>
      <c r="J978" t="inlineStr">
        <is>
          <t/>
        </is>
      </c>
      <c r="K978" t="n">
        <v>0.0</v>
      </c>
      <c r="L978" t="n">
        <v>0.0</v>
      </c>
      <c r="M978" t="n">
        <v>0.0</v>
      </c>
      <c r="N978" t="inlineStr">
        <is>
          <t/>
        </is>
      </c>
      <c r="O978" t="n">
        <v>0.0</v>
      </c>
      <c r="P978" t="n">
        <v>0.0</v>
      </c>
      <c r="Q978" t="inlineStr">
        <is>
          <t/>
        </is>
      </c>
      <c r="R978" t="inlineStr">
        <is>
          <t/>
        </is>
      </c>
      <c r="S978" t="n">
        <v>0.0</v>
      </c>
      <c r="T978" t="n">
        <v>0.0</v>
      </c>
      <c r="U978" t="n">
        <v>0.0</v>
      </c>
      <c r="V978" t="n">
        <v>0.0</v>
      </c>
      <c r="W978" t="inlineStr">
        <is>
          <t/>
        </is>
      </c>
      <c r="X978" t="n">
        <v>0.0</v>
      </c>
      <c r="Y978" t="n">
        <v>0.0</v>
      </c>
      <c r="Z978" t="n">
        <v>0.0</v>
      </c>
      <c r="AA978" t="n">
        <v>0.0</v>
      </c>
      <c r="AB978" t="n">
        <v>0.0</v>
      </c>
      <c r="AC978" t="n">
        <v>0.0</v>
      </c>
      <c r="AD978" t="n">
        <v>0.0</v>
      </c>
      <c r="AE978" t="n">
        <v>0.0</v>
      </c>
      <c r="AF978" t="n">
        <v>0.0</v>
      </c>
      <c r="AG978" t="n">
        <v>0.0</v>
      </c>
      <c r="AH978" t="n">
        <v>0.0</v>
      </c>
      <c r="AI978" t="n">
        <v>0.0</v>
      </c>
      <c r="AJ978" t="n">
        <v>0.0</v>
      </c>
      <c r="AK978" t="inlineStr">
        <is>
          <t/>
        </is>
      </c>
      <c r="AL978" t="inlineStr">
        <is>
          <t/>
        </is>
      </c>
    </row>
    <row r="979">
      <c r="A979" t="inlineStr">
        <is>
          <t>跟老爸商量后，决定推出独居姐妹小包装虾仁</t>
        </is>
      </c>
      <c r="B979" t="inlineStr">
        <is>
          <t>6a3214b5000000000f004d09</t>
        </is>
      </c>
      <c r="C979" s="978" t="n">
        <f>HYPERLINK("https://www.xiaohongshu.com/explore/6a3214b5000000000f004d09?xsec_token=TBgwqICxjpF4PaPju8orzP49PmhBVetQK6CvGHZ0wIeKo=&amp;xsec_source=pc_trdark","https://www.xiaohongshu.com/explore/6a3214b5000000000f004d09?xsec_token=TBgwqICxjpF4PaPju8orzP49PmhBVetQK6CvGHZ0wIeKo=&amp;xsec_source=pc_trdark")</f>
        <v>0.0</v>
      </c>
      <c r="D979" t="inlineStr">
        <is>
          <t>鲜水湾甄选</t>
        </is>
      </c>
      <c r="E979" t="inlineStr">
        <is>
          <t>27401929161</t>
        </is>
      </c>
      <c r="F979" t="inlineStr">
        <is>
          <t>2026-06-17 11:29:57</t>
        </is>
      </c>
      <c r="G979" t="inlineStr">
        <is>
          <t>图文</t>
        </is>
      </c>
      <c r="H979" t="inlineStr">
        <is>
          <t>手剥虾仁 无冰衣无添加 低脂餐一人食 上班带饭 顺丰包邮 5盒装</t>
        </is>
      </c>
      <c r="I979" t="inlineStr">
        <is>
          <t>694baba01d450d00013662f0</t>
        </is>
      </c>
      <c r="J979" t="inlineStr">
        <is>
          <t/>
        </is>
      </c>
      <c r="K979" t="n">
        <v>0.0</v>
      </c>
      <c r="L979" t="n">
        <v>0.0</v>
      </c>
      <c r="M979" t="n">
        <v>0.0</v>
      </c>
      <c r="N979" t="inlineStr">
        <is>
          <t/>
        </is>
      </c>
      <c r="O979" t="n">
        <v>0.0</v>
      </c>
      <c r="P979" t="n">
        <v>0.0</v>
      </c>
      <c r="Q979" t="inlineStr">
        <is>
          <t/>
        </is>
      </c>
      <c r="R979" t="inlineStr">
        <is>
          <t/>
        </is>
      </c>
      <c r="S979" t="n">
        <v>0.0</v>
      </c>
      <c r="T979" t="n">
        <v>0.0</v>
      </c>
      <c r="U979" t="n">
        <v>0.0</v>
      </c>
      <c r="V979" t="n">
        <v>0.0</v>
      </c>
      <c r="W979" t="inlineStr">
        <is>
          <t/>
        </is>
      </c>
      <c r="X979" t="n">
        <v>0.0</v>
      </c>
      <c r="Y979" t="n">
        <v>0.0</v>
      </c>
      <c r="Z979" t="n">
        <v>0.0</v>
      </c>
      <c r="AA979" t="n">
        <v>0.0</v>
      </c>
      <c r="AB979" t="n">
        <v>0.0</v>
      </c>
      <c r="AC979" t="n">
        <v>0.0</v>
      </c>
      <c r="AD979" t="n">
        <v>0.0</v>
      </c>
      <c r="AE979" t="n">
        <v>0.0</v>
      </c>
      <c r="AF979" t="n">
        <v>0.0</v>
      </c>
      <c r="AG979" t="n">
        <v>0.0</v>
      </c>
      <c r="AH979" t="n">
        <v>0.0</v>
      </c>
      <c r="AI979" t="n">
        <v>0.0</v>
      </c>
      <c r="AJ979" t="n">
        <v>0.0</v>
      </c>
      <c r="AK979" t="inlineStr">
        <is>
          <t/>
        </is>
      </c>
      <c r="AL979" t="inlineStr">
        <is>
          <t/>
        </is>
      </c>
    </row>
    <row r="980">
      <c r="A980" t="inlineStr">
        <is>
          <t>算了不劝了，一个人带动全公司买的🤣</t>
        </is>
      </c>
      <c r="B980" t="inlineStr">
        <is>
          <t>6a315fb10000000006034f31</t>
        </is>
      </c>
      <c r="C980" s="979" t="n">
        <f>HYPERLINK("https://www.xiaohongshu.com/explore/6a315fb10000000006034f31?xsec_token=TBaa4H6FkKlwOz1o5Y9J_FFRUbcZ491z6Nc4vJ6Pz6QDU=&amp;xsec_source=pc_trdark","https://www.xiaohongshu.com/explore/6a315fb10000000006034f31?xsec_token=TBaa4H6FkKlwOz1o5Y9J_FFRUbcZ491z6Nc4vJ6Pz6QDU=&amp;xsec_source=pc_trdark")</f>
        <v>0.0</v>
      </c>
      <c r="D980" t="inlineStr">
        <is>
          <t>菲菲上班吃什么</t>
        </is>
      </c>
      <c r="E980" t="inlineStr">
        <is>
          <t>49936530607</t>
        </is>
      </c>
      <c r="F980" t="inlineStr">
        <is>
          <t>2026-06-16 22:37:37</t>
        </is>
      </c>
      <c r="G980" t="inlineStr">
        <is>
          <t>图文</t>
        </is>
      </c>
      <c r="H980" t="inlineStr">
        <is>
          <t>手剥虾仁 无冰衣无添加 低脂餐一人食 上班带饭 顺丰包邮 5盒装</t>
        </is>
      </c>
      <c r="I980" t="inlineStr">
        <is>
          <t>694baba01d450d00013662f0</t>
        </is>
      </c>
      <c r="J980" t="inlineStr">
        <is>
          <t/>
        </is>
      </c>
      <c r="K980" t="n">
        <v>0.0</v>
      </c>
      <c r="L980" t="n">
        <v>0.0</v>
      </c>
      <c r="M980" t="n">
        <v>0.0</v>
      </c>
      <c r="N980" t="inlineStr">
        <is>
          <t/>
        </is>
      </c>
      <c r="O980" t="n">
        <v>0.0</v>
      </c>
      <c r="P980" t="n">
        <v>0.0</v>
      </c>
      <c r="Q980" t="inlineStr">
        <is>
          <t/>
        </is>
      </c>
      <c r="R980" t="inlineStr">
        <is>
          <t/>
        </is>
      </c>
      <c r="S980" t="n">
        <v>0.0</v>
      </c>
      <c r="T980" t="n">
        <v>0.0</v>
      </c>
      <c r="U980" t="n">
        <v>0.0</v>
      </c>
      <c r="V980" t="n">
        <v>0.0</v>
      </c>
      <c r="W980" t="inlineStr">
        <is>
          <t/>
        </is>
      </c>
      <c r="X980" t="n">
        <v>0.0</v>
      </c>
      <c r="Y980" t="n">
        <v>0.0</v>
      </c>
      <c r="Z980" t="n">
        <v>0.0</v>
      </c>
      <c r="AA980" t="n">
        <v>0.0</v>
      </c>
      <c r="AB980" t="n">
        <v>0.0</v>
      </c>
      <c r="AC980" t="n">
        <v>0.0</v>
      </c>
      <c r="AD980" t="n">
        <v>0.0</v>
      </c>
      <c r="AE980" t="n">
        <v>0.0</v>
      </c>
      <c r="AF980" t="n">
        <v>0.0</v>
      </c>
      <c r="AG980" t="n">
        <v>0.0</v>
      </c>
      <c r="AH980" t="n">
        <v>0.0</v>
      </c>
      <c r="AI980" t="n">
        <v>0.0</v>
      </c>
      <c r="AJ980" t="n">
        <v>0.0</v>
      </c>
      <c r="AK980" t="inlineStr">
        <is>
          <t/>
        </is>
      </c>
      <c r="AL980" t="inlineStr">
        <is>
          <t/>
        </is>
      </c>
    </row>
    <row r="981">
      <c r="A981" t="inlineStr">
        <is>
          <t>⛰️拇对不起，还是小包装更有幸福感~</t>
        </is>
      </c>
      <c r="B981" t="inlineStr">
        <is>
          <t>6a315f9b00000000110147bd</t>
        </is>
      </c>
      <c r="C981" s="980" t="n">
        <f>HYPERLINK("https://www.xiaohongshu.com/explore/6a315f9b00000000110147bd?xsec_token=TBaa4H6FkKlwOz1o5Y9J_FFY6i0cf1qQMcPKjc01rM_Lg=&amp;xsec_source=pc_trdark","https://www.xiaohongshu.com/explore/6a315f9b00000000110147bd?xsec_token=TBaa4H6FkKlwOz1o5Y9J_FFY6i0cf1qQMcPKjc01rM_Lg=&amp;xsec_source=pc_trdark")</f>
        <v>0.0</v>
      </c>
      <c r="D981" t="inlineStr">
        <is>
          <t>鲜水湾甄选</t>
        </is>
      </c>
      <c r="E981" t="inlineStr">
        <is>
          <t>27401929161</t>
        </is>
      </c>
      <c r="F981" t="inlineStr">
        <is>
          <t>2026-06-16 22:37:15</t>
        </is>
      </c>
      <c r="G981" t="inlineStr">
        <is>
          <t>图文</t>
        </is>
      </c>
      <c r="H981" t="inlineStr">
        <is>
          <t>手剥虾仁 无冰衣无添加 低脂餐一人食 上班带饭 顺丰包邮 5盒装</t>
        </is>
      </c>
      <c r="I981" t="inlineStr">
        <is>
          <t>694baba01d450d00013662f0</t>
        </is>
      </c>
      <c r="J981" t="inlineStr">
        <is>
          <t/>
        </is>
      </c>
      <c r="K981" t="n">
        <v>0.0</v>
      </c>
      <c r="L981" t="n">
        <v>0.0</v>
      </c>
      <c r="M981" t="n">
        <v>0.0</v>
      </c>
      <c r="N981" t="inlineStr">
        <is>
          <t/>
        </is>
      </c>
      <c r="O981" t="n">
        <v>0.0</v>
      </c>
      <c r="P981" t="n">
        <v>0.0</v>
      </c>
      <c r="Q981" t="inlineStr">
        <is>
          <t/>
        </is>
      </c>
      <c r="R981" t="inlineStr">
        <is>
          <t/>
        </is>
      </c>
      <c r="S981" t="n">
        <v>0.0</v>
      </c>
      <c r="T981" t="n">
        <v>0.0</v>
      </c>
      <c r="U981" t="n">
        <v>0.0</v>
      </c>
      <c r="V981" t="n">
        <v>0.0</v>
      </c>
      <c r="W981" t="inlineStr">
        <is>
          <t/>
        </is>
      </c>
      <c r="X981" t="n">
        <v>0.0</v>
      </c>
      <c r="Y981" t="n">
        <v>0.0</v>
      </c>
      <c r="Z981" t="n">
        <v>0.0</v>
      </c>
      <c r="AA981" t="n">
        <v>0.0</v>
      </c>
      <c r="AB981" t="n">
        <v>0.0</v>
      </c>
      <c r="AC981" t="n">
        <v>0.0</v>
      </c>
      <c r="AD981" t="n">
        <v>0.0</v>
      </c>
      <c r="AE981" t="n">
        <v>0.0</v>
      </c>
      <c r="AF981" t="n">
        <v>0.0</v>
      </c>
      <c r="AG981" t="n">
        <v>0.0</v>
      </c>
      <c r="AH981" t="n">
        <v>0.0</v>
      </c>
      <c r="AI981" t="n">
        <v>0.0</v>
      </c>
      <c r="AJ981" t="n">
        <v>0.0</v>
      </c>
      <c r="AK981" t="inlineStr">
        <is>
          <t/>
        </is>
      </c>
      <c r="AL981" t="inlineStr">
        <is>
          <t/>
        </is>
      </c>
    </row>
    <row r="982">
      <c r="A982" t="inlineStr">
        <is>
          <t>😭控体期吃虾仁，比水煮菜还上头…</t>
        </is>
      </c>
      <c r="B982" t="inlineStr">
        <is>
          <t>6a3140770000000011006f33</t>
        </is>
      </c>
      <c r="C982" s="981" t="n">
        <f>HYPERLINK("https://www.xiaohongshu.com/explore/6a3140770000000011006f33?xsec_token=TBaa4H6FkKlwOz1o5Y9J_FFavyu-unMrFfwqaT_UoA5rI=&amp;xsec_source=pc_trdark","https://www.xiaohongshu.com/explore/6a3140770000000011006f33?xsec_token=TBaa4H6FkKlwOz1o5Y9J_FFavyu-unMrFfwqaT_UoA5rI=&amp;xsec_source=pc_trdark")</f>
        <v>0.0</v>
      </c>
      <c r="D982" t="inlineStr">
        <is>
          <t>鲜水湾甄选</t>
        </is>
      </c>
      <c r="E982" t="inlineStr">
        <is>
          <t>27401929161</t>
        </is>
      </c>
      <c r="F982" t="inlineStr">
        <is>
          <t>2026-06-16 20:24:23</t>
        </is>
      </c>
      <c r="G982" t="inlineStr">
        <is>
          <t>图文</t>
        </is>
      </c>
      <c r="H982" t="inlineStr">
        <is>
          <t>手剥虾仁 无冰衣无添加 低脂餐一人食 上班带饭 顺丰包邮 5盒装</t>
        </is>
      </c>
      <c r="I982" t="inlineStr">
        <is>
          <t>694baba01d450d00013662f0</t>
        </is>
      </c>
      <c r="J982" t="inlineStr">
        <is>
          <t/>
        </is>
      </c>
      <c r="K982" t="n">
        <v>0.0</v>
      </c>
      <c r="L982" t="n">
        <v>0.0</v>
      </c>
      <c r="M982" t="n">
        <v>0.0</v>
      </c>
      <c r="N982" t="inlineStr">
        <is>
          <t/>
        </is>
      </c>
      <c r="O982" t="n">
        <v>0.0</v>
      </c>
      <c r="P982" t="n">
        <v>0.0</v>
      </c>
      <c r="Q982" t="inlineStr">
        <is>
          <t/>
        </is>
      </c>
      <c r="R982" t="inlineStr">
        <is>
          <t/>
        </is>
      </c>
      <c r="S982" t="n">
        <v>0.0</v>
      </c>
      <c r="T982" t="n">
        <v>0.0</v>
      </c>
      <c r="U982" t="n">
        <v>0.0</v>
      </c>
      <c r="V982" t="n">
        <v>0.0</v>
      </c>
      <c r="W982" t="inlineStr">
        <is>
          <t/>
        </is>
      </c>
      <c r="X982" t="n">
        <v>0.0</v>
      </c>
      <c r="Y982" t="n">
        <v>0.0</v>
      </c>
      <c r="Z982" t="n">
        <v>0.0</v>
      </c>
      <c r="AA982" t="n">
        <v>0.0</v>
      </c>
      <c r="AB982" t="n">
        <v>0.0</v>
      </c>
      <c r="AC982" t="n">
        <v>0.0</v>
      </c>
      <c r="AD982" t="n">
        <v>0.0</v>
      </c>
      <c r="AE982" t="n">
        <v>0.0</v>
      </c>
      <c r="AF982" t="n">
        <v>0.0</v>
      </c>
      <c r="AG982" t="n">
        <v>0.0</v>
      </c>
      <c r="AH982" t="n">
        <v>0.0</v>
      </c>
      <c r="AI982" t="n">
        <v>0.0</v>
      </c>
      <c r="AJ982" t="n">
        <v>0.0</v>
      </c>
      <c r="AK982" t="inlineStr">
        <is>
          <t/>
        </is>
      </c>
      <c r="AL982" t="inlineStr">
        <is>
          <t/>
        </is>
      </c>
    </row>
    <row r="983">
      <c r="A983" t="inlineStr">
        <is>
          <t>独居懒人减脂餐，晚饭先戒复杂食谱…</t>
        </is>
      </c>
      <c r="B983" t="inlineStr">
        <is>
          <t>6a3140520000000022014844</t>
        </is>
      </c>
      <c r="C983" s="982" t="n">
        <f>HYPERLINK("https://www.xiaohongshu.com/explore/6a3140520000000022014844?xsec_token=TBaa4H6FkKlwOz1o5Y9J_FFULJ5_ad4z7aWcN91y3eHs8=&amp;xsec_source=pc_trdark","https://www.xiaohongshu.com/explore/6a3140520000000022014844?xsec_token=TBaa4H6FkKlwOz1o5Y9J_FFULJ5_ad4z7aWcN91y3eHs8=&amp;xsec_source=pc_trdark")</f>
        <v>0.0</v>
      </c>
      <c r="D983" t="inlineStr">
        <is>
          <t>菲菲上班吃什么</t>
        </is>
      </c>
      <c r="E983" t="inlineStr">
        <is>
          <t>49936530607</t>
        </is>
      </c>
      <c r="F983" t="inlineStr">
        <is>
          <t>2026-06-16 20:23:46</t>
        </is>
      </c>
      <c r="G983" t="inlineStr">
        <is>
          <t>图文</t>
        </is>
      </c>
      <c r="H983" t="inlineStr">
        <is>
          <t>手剥虾仁 无冰衣无添加 低脂餐一人食 上班带饭 顺丰包邮 5盒装</t>
        </is>
      </c>
      <c r="I983" t="inlineStr">
        <is>
          <t>694baba01d450d00013662f0</t>
        </is>
      </c>
      <c r="J983" t="inlineStr">
        <is>
          <t/>
        </is>
      </c>
      <c r="K983" t="n">
        <v>0.0</v>
      </c>
      <c r="L983" t="n">
        <v>0.0</v>
      </c>
      <c r="M983" t="n">
        <v>0.0</v>
      </c>
      <c r="N983" t="inlineStr">
        <is>
          <t/>
        </is>
      </c>
      <c r="O983" t="n">
        <v>0.0</v>
      </c>
      <c r="P983" t="n">
        <v>0.0</v>
      </c>
      <c r="Q983" t="inlineStr">
        <is>
          <t/>
        </is>
      </c>
      <c r="R983" t="inlineStr">
        <is>
          <t/>
        </is>
      </c>
      <c r="S983" t="n">
        <v>0.0</v>
      </c>
      <c r="T983" t="n">
        <v>0.0</v>
      </c>
      <c r="U983" t="n">
        <v>0.0</v>
      </c>
      <c r="V983" t="n">
        <v>0.0</v>
      </c>
      <c r="W983" t="inlineStr">
        <is>
          <t/>
        </is>
      </c>
      <c r="X983" t="n">
        <v>0.0</v>
      </c>
      <c r="Y983" t="n">
        <v>0.0</v>
      </c>
      <c r="Z983" t="n">
        <v>0.0</v>
      </c>
      <c r="AA983" t="n">
        <v>0.0</v>
      </c>
      <c r="AB983" t="n">
        <v>0.0</v>
      </c>
      <c r="AC983" t="n">
        <v>0.0</v>
      </c>
      <c r="AD983" t="n">
        <v>0.0</v>
      </c>
      <c r="AE983" t="n">
        <v>0.0</v>
      </c>
      <c r="AF983" t="n">
        <v>0.0</v>
      </c>
      <c r="AG983" t="n">
        <v>0.0</v>
      </c>
      <c r="AH983" t="n">
        <v>0.0</v>
      </c>
      <c r="AI983" t="n">
        <v>0.0</v>
      </c>
      <c r="AJ983" t="n">
        <v>0.0</v>
      </c>
      <c r="AK983" t="inlineStr">
        <is>
          <t/>
        </is>
      </c>
      <c r="AL983" t="inlineStr">
        <is>
          <t/>
        </is>
      </c>
    </row>
    <row r="984">
      <c r="A984" t="inlineStr">
        <is>
          <t>😭上班带虾仁，被说“炫富”！</t>
        </is>
      </c>
      <c r="B984" t="inlineStr">
        <is>
          <t>6a312d1800000000060369f9</t>
        </is>
      </c>
      <c r="C984" s="983" t="n">
        <f>HYPERLINK("https://www.xiaohongshu.com/explore/6a312d1800000000060369f9?xsec_token=TBaa4H6FkKlwOz1o5Y9J_FFXkLjtscLdud-Q3-YxU6cyg=&amp;xsec_source=pc_trdark","https://www.xiaohongshu.com/explore/6a312d1800000000060369f9?xsec_token=TBaa4H6FkKlwOz1o5Y9J_FFXkLjtscLdud-Q3-YxU6cyg=&amp;xsec_source=pc_trdark")</f>
        <v>0.0</v>
      </c>
      <c r="D984" t="inlineStr">
        <is>
          <t>菲菲上班吃什么</t>
        </is>
      </c>
      <c r="E984" t="inlineStr">
        <is>
          <t>49936530607</t>
        </is>
      </c>
      <c r="F984" t="inlineStr">
        <is>
          <t>2026-06-16 19:01:44</t>
        </is>
      </c>
      <c r="G984" t="inlineStr">
        <is>
          <t>图文</t>
        </is>
      </c>
      <c r="H984" t="inlineStr">
        <is>
          <t>手剥虾仁 无冰衣无添加 低脂餐一人食 上班带饭 顺丰包邮 5盒装</t>
        </is>
      </c>
      <c r="I984" t="inlineStr">
        <is>
          <t>694baba01d450d00013662f0</t>
        </is>
      </c>
      <c r="J984" t="inlineStr">
        <is>
          <t/>
        </is>
      </c>
      <c r="K984" t="n">
        <v>0.0</v>
      </c>
      <c r="L984" t="n">
        <v>0.0</v>
      </c>
      <c r="M984" t="n">
        <v>0.0</v>
      </c>
      <c r="N984" t="inlineStr">
        <is>
          <t/>
        </is>
      </c>
      <c r="O984" t="n">
        <v>0.0</v>
      </c>
      <c r="P984" t="n">
        <v>0.0</v>
      </c>
      <c r="Q984" t="inlineStr">
        <is>
          <t/>
        </is>
      </c>
      <c r="R984" t="inlineStr">
        <is>
          <t/>
        </is>
      </c>
      <c r="S984" t="n">
        <v>0.0</v>
      </c>
      <c r="T984" t="n">
        <v>0.0</v>
      </c>
      <c r="U984" t="n">
        <v>0.0</v>
      </c>
      <c r="V984" t="n">
        <v>0.0</v>
      </c>
      <c r="W984" t="inlineStr">
        <is>
          <t/>
        </is>
      </c>
      <c r="X984" t="n">
        <v>0.0</v>
      </c>
      <c r="Y984" t="n">
        <v>0.0</v>
      </c>
      <c r="Z984" t="n">
        <v>0.0</v>
      </c>
      <c r="AA984" t="n">
        <v>0.0</v>
      </c>
      <c r="AB984" t="n">
        <v>0.0</v>
      </c>
      <c r="AC984" t="n">
        <v>0.0</v>
      </c>
      <c r="AD984" t="n">
        <v>0.0</v>
      </c>
      <c r="AE984" t="n">
        <v>0.0</v>
      </c>
      <c r="AF984" t="n">
        <v>0.0</v>
      </c>
      <c r="AG984" t="n">
        <v>0.0</v>
      </c>
      <c r="AH984" t="n">
        <v>0.0</v>
      </c>
      <c r="AI984" t="n">
        <v>0.0</v>
      </c>
      <c r="AJ984" t="n">
        <v>0.0</v>
      </c>
      <c r="AK984" t="inlineStr">
        <is>
          <t/>
        </is>
      </c>
      <c r="AL984" t="inlineStr">
        <is>
          <t/>
        </is>
      </c>
    </row>
    <row r="985">
      <c r="A985" t="inlineStr">
        <is>
          <t>你永远可以相信一个减脂人的选择！！</t>
        </is>
      </c>
      <c r="B985" t="inlineStr">
        <is>
          <t>6a312cf40000000011013064</t>
        </is>
      </c>
      <c r="C985" s="984" t="n">
        <f>HYPERLINK("https://www.xiaohongshu.com/explore/6a312cf40000000011013064?xsec_token=TBaa4H6FkKlwOz1o5Y9J_FFRvCCgK8PmuJd0QlIA5csMI=&amp;xsec_source=pc_trdark","https://www.xiaohongshu.com/explore/6a312cf40000000011013064?xsec_token=TBaa4H6FkKlwOz1o5Y9J_FFRvCCgK8PmuJd0QlIA5csMI=&amp;xsec_source=pc_trdark")</f>
        <v>0.0</v>
      </c>
      <c r="D985" t="inlineStr">
        <is>
          <t>鲜水湾甄选</t>
        </is>
      </c>
      <c r="E985" t="inlineStr">
        <is>
          <t>27401929161</t>
        </is>
      </c>
      <c r="F985" t="inlineStr">
        <is>
          <t>2026-06-16 19:01:08</t>
        </is>
      </c>
      <c r="G985" t="inlineStr">
        <is>
          <t>图文</t>
        </is>
      </c>
      <c r="H985" t="inlineStr">
        <is>
          <t>手剥虾仁 无冰衣无添加 低脂餐一人食 上班带饭 顺丰包邮 5盒装</t>
        </is>
      </c>
      <c r="I985" t="inlineStr">
        <is>
          <t>694baba01d450d00013662f0</t>
        </is>
      </c>
      <c r="J985" t="inlineStr">
        <is>
          <t/>
        </is>
      </c>
      <c r="K985" t="n">
        <v>0.0</v>
      </c>
      <c r="L985" t="n">
        <v>0.0</v>
      </c>
      <c r="M985" t="n">
        <v>0.0</v>
      </c>
      <c r="N985" t="inlineStr">
        <is>
          <t/>
        </is>
      </c>
      <c r="O985" t="n">
        <v>0.0</v>
      </c>
      <c r="P985" t="n">
        <v>0.0</v>
      </c>
      <c r="Q985" t="inlineStr">
        <is>
          <t/>
        </is>
      </c>
      <c r="R985" t="inlineStr">
        <is>
          <t/>
        </is>
      </c>
      <c r="S985" t="n">
        <v>0.0</v>
      </c>
      <c r="T985" t="n">
        <v>0.0</v>
      </c>
      <c r="U985" t="n">
        <v>0.0</v>
      </c>
      <c r="V985" t="n">
        <v>0.0</v>
      </c>
      <c r="W985" t="inlineStr">
        <is>
          <t/>
        </is>
      </c>
      <c r="X985" t="n">
        <v>0.0</v>
      </c>
      <c r="Y985" t="n">
        <v>0.0</v>
      </c>
      <c r="Z985" t="n">
        <v>0.0</v>
      </c>
      <c r="AA985" t="n">
        <v>0.0</v>
      </c>
      <c r="AB985" t="n">
        <v>0.0</v>
      </c>
      <c r="AC985" t="n">
        <v>0.0</v>
      </c>
      <c r="AD985" t="n">
        <v>0.0</v>
      </c>
      <c r="AE985" t="n">
        <v>0.0</v>
      </c>
      <c r="AF985" t="n">
        <v>0.0</v>
      </c>
      <c r="AG985" t="n">
        <v>0.0</v>
      </c>
      <c r="AH985" t="n">
        <v>0.0</v>
      </c>
      <c r="AI985" t="n">
        <v>0.0</v>
      </c>
      <c r="AJ985" t="n">
        <v>0.0</v>
      </c>
      <c r="AK985" t="inlineStr">
        <is>
          <t/>
        </is>
      </c>
      <c r="AL985" t="inlineStr">
        <is>
          <t/>
        </is>
      </c>
    </row>
    <row r="986">
      <c r="A986" t="inlineStr">
        <is>
          <t>我爸说：真的低估69块的购买力了！</t>
        </is>
      </c>
      <c r="B986" t="inlineStr">
        <is>
          <t>6a3103880000000006020ae6</t>
        </is>
      </c>
      <c r="C986" s="985" t="n">
        <f>HYPERLINK("https://www.xiaohongshu.com/explore/6a3103880000000006020ae6?xsec_token=TBaa4H6FkKlwOz1o5Y9J_FFYankycYdCspP52RcMjn1i4=&amp;xsec_source=pc_trdark","https://www.xiaohongshu.com/explore/6a3103880000000006020ae6?xsec_token=TBaa4H6FkKlwOz1o5Y9J_FFYankycYdCspP52RcMjn1i4=&amp;xsec_source=pc_trdark")</f>
        <v>0.0</v>
      </c>
      <c r="D986" t="inlineStr">
        <is>
          <t>菲菲上班吃什么</t>
        </is>
      </c>
      <c r="E986" t="inlineStr">
        <is>
          <t>49936530607</t>
        </is>
      </c>
      <c r="F986" t="inlineStr">
        <is>
          <t>2026-06-16 16:04:24</t>
        </is>
      </c>
      <c r="G986" t="inlineStr">
        <is>
          <t>图文</t>
        </is>
      </c>
      <c r="H986" t="inlineStr">
        <is>
          <t>手剥虾仁 无冰衣无添加 低脂餐一人食 上班带饭 顺丰包邮 5盒装</t>
        </is>
      </c>
      <c r="I986" t="inlineStr">
        <is>
          <t>694baba01d450d00013662f0</t>
        </is>
      </c>
      <c r="J986" t="inlineStr">
        <is>
          <t/>
        </is>
      </c>
      <c r="K986" t="n">
        <v>0.0</v>
      </c>
      <c r="L986" t="n">
        <v>0.0</v>
      </c>
      <c r="M986" t="n">
        <v>0.0</v>
      </c>
      <c r="N986" t="inlineStr">
        <is>
          <t/>
        </is>
      </c>
      <c r="O986" t="n">
        <v>0.0</v>
      </c>
      <c r="P986" t="n">
        <v>0.0</v>
      </c>
      <c r="Q986" t="inlineStr">
        <is>
          <t/>
        </is>
      </c>
      <c r="R986" t="inlineStr">
        <is>
          <t/>
        </is>
      </c>
      <c r="S986" t="n">
        <v>0.0</v>
      </c>
      <c r="T986" t="n">
        <v>0.0</v>
      </c>
      <c r="U986" t="n">
        <v>0.0</v>
      </c>
      <c r="V986" t="n">
        <v>0.0</v>
      </c>
      <c r="W986" t="inlineStr">
        <is>
          <t/>
        </is>
      </c>
      <c r="X986" t="n">
        <v>0.0</v>
      </c>
      <c r="Y986" t="n">
        <v>0.0</v>
      </c>
      <c r="Z986" t="n">
        <v>0.0</v>
      </c>
      <c r="AA986" t="n">
        <v>0.0</v>
      </c>
      <c r="AB986" t="n">
        <v>0.0</v>
      </c>
      <c r="AC986" t="n">
        <v>0.0</v>
      </c>
      <c r="AD986" t="n">
        <v>0.0</v>
      </c>
      <c r="AE986" t="n">
        <v>0.0</v>
      </c>
      <c r="AF986" t="n">
        <v>0.0</v>
      </c>
      <c r="AG986" t="n">
        <v>0.0</v>
      </c>
      <c r="AH986" t="n">
        <v>0.0</v>
      </c>
      <c r="AI986" t="n">
        <v>0.0</v>
      </c>
      <c r="AJ986" t="n">
        <v>0.0</v>
      </c>
      <c r="AK986" t="inlineStr">
        <is>
          <t/>
        </is>
      </c>
      <c r="AL986" t="inlineStr">
        <is>
          <t/>
        </is>
      </c>
    </row>
    <row r="987">
      <c r="A987" t="inlineStr">
        <is>
          <t>区区 300 块解决整个月的健康饮食</t>
        </is>
      </c>
      <c r="B987" t="inlineStr">
        <is>
          <t>6a30ef3b0000000007028e4b</t>
        </is>
      </c>
      <c r="C987" s="986" t="n">
        <f>HYPERLINK("https://www.xiaohongshu.com/explore/6a30ef3b0000000007028e4b?xsec_token=TBePuKpEsy0kxhowC-GJCuPgwzDPAtnfq-MtLfpoYf_dE=&amp;xsec_source=pc_trdark","https://www.xiaohongshu.com/explore/6a30ef3b0000000007028e4b?xsec_token=TBePuKpEsy0kxhowC-GJCuPgwzDPAtnfq-MtLfpoYf_dE=&amp;xsec_source=pc_trdark")</f>
        <v>0.0</v>
      </c>
      <c r="D987" t="inlineStr">
        <is>
          <t>鲜水湾</t>
        </is>
      </c>
      <c r="E987" t="inlineStr">
        <is>
          <t>49316638994</t>
        </is>
      </c>
      <c r="F987" t="inlineStr">
        <is>
          <t>2026-06-16 14:37:47</t>
        </is>
      </c>
      <c r="G987" t="inlineStr">
        <is>
          <t>图文</t>
        </is>
      </c>
      <c r="H987" t="inlineStr">
        <is>
          <t>智利尾端中段整条三文鱼 8斤深海鱼低脂餐囤货一周备菜顺丰包邮</t>
        </is>
      </c>
      <c r="I987" t="inlineStr">
        <is>
          <t>69fab80d64eb410001ece0c0</t>
        </is>
      </c>
      <c r="J987" t="inlineStr">
        <is>
          <t/>
        </is>
      </c>
      <c r="K987" t="n">
        <v>0.0</v>
      </c>
      <c r="L987" t="n">
        <v>0.0</v>
      </c>
      <c r="M987" t="n">
        <v>0.0</v>
      </c>
      <c r="N987" t="inlineStr">
        <is>
          <t/>
        </is>
      </c>
      <c r="O987" t="n">
        <v>0.0</v>
      </c>
      <c r="P987" t="n">
        <v>0.0</v>
      </c>
      <c r="Q987" t="inlineStr">
        <is>
          <t/>
        </is>
      </c>
      <c r="R987" t="inlineStr">
        <is>
          <t/>
        </is>
      </c>
      <c r="S987" t="n">
        <v>0.0</v>
      </c>
      <c r="T987" t="n">
        <v>0.0</v>
      </c>
      <c r="U987" t="n">
        <v>0.0</v>
      </c>
      <c r="V987" t="n">
        <v>0.0</v>
      </c>
      <c r="W987" t="inlineStr">
        <is>
          <t/>
        </is>
      </c>
      <c r="X987" t="n">
        <v>0.0</v>
      </c>
      <c r="Y987" t="n">
        <v>0.0</v>
      </c>
      <c r="Z987" t="n">
        <v>0.0</v>
      </c>
      <c r="AA987" t="n">
        <v>0.0</v>
      </c>
      <c r="AB987" t="n">
        <v>0.0</v>
      </c>
      <c r="AC987" t="n">
        <v>0.0</v>
      </c>
      <c r="AD987" t="n">
        <v>0.0</v>
      </c>
      <c r="AE987" t="n">
        <v>0.0</v>
      </c>
      <c r="AF987" t="n">
        <v>0.0</v>
      </c>
      <c r="AG987" t="n">
        <v>0.0</v>
      </c>
      <c r="AH987" t="n">
        <v>0.0</v>
      </c>
      <c r="AI987" t="n">
        <v>0.0</v>
      </c>
      <c r="AJ987" t="n">
        <v>0.0</v>
      </c>
      <c r="AK987" t="inlineStr">
        <is>
          <t/>
        </is>
      </c>
      <c r="AL987" t="inlineStr">
        <is>
          <t/>
        </is>
      </c>
    </row>
    <row r="988">
      <c r="A988" t="inlineStr">
        <is>
          <t>早八打工人不是我会省，是外卖太敢卖…</t>
        </is>
      </c>
      <c r="B988" t="inlineStr">
        <is>
          <t>6a30dee20000000006031275</t>
        </is>
      </c>
      <c r="C988" s="987" t="n">
        <f>HYPERLINK("https://www.xiaohongshu.com/explore/6a30dee20000000006031275?xsec_token=TBePuKpEsy0kxhowC-GJCuPndsQPuzArUWth8oPn32PPM=&amp;xsec_source=pc_trdark","https://www.xiaohongshu.com/explore/6a30dee20000000006031275?xsec_token=TBePuKpEsy0kxhowC-GJCuPndsQPuzArUWth8oPn32PPM=&amp;xsec_source=pc_trdark")</f>
        <v>0.0</v>
      </c>
      <c r="D988" t="inlineStr">
        <is>
          <t>菲菲上班吃什么</t>
        </is>
      </c>
      <c r="E988" t="inlineStr">
        <is>
          <t>49936530607</t>
        </is>
      </c>
      <c r="F988" t="inlineStr">
        <is>
          <t>2026-06-16 13:28:02</t>
        </is>
      </c>
      <c r="G988" t="inlineStr">
        <is>
          <t>图文</t>
        </is>
      </c>
      <c r="H988" t="inlineStr">
        <is>
          <t>手剥虾仁 无冰衣无添加 低脂餐一人食 上班带饭 顺丰包邮 5盒装</t>
        </is>
      </c>
      <c r="I988" t="inlineStr">
        <is>
          <t>694baba01d450d00013662f0</t>
        </is>
      </c>
      <c r="J988" t="inlineStr">
        <is>
          <t/>
        </is>
      </c>
      <c r="K988" t="n">
        <v>0.0</v>
      </c>
      <c r="L988" t="n">
        <v>0.0</v>
      </c>
      <c r="M988" t="n">
        <v>0.0</v>
      </c>
      <c r="N988" t="inlineStr">
        <is>
          <t/>
        </is>
      </c>
      <c r="O988" t="n">
        <v>0.0</v>
      </c>
      <c r="P988" t="n">
        <v>0.0</v>
      </c>
      <c r="Q988" t="inlineStr">
        <is>
          <t/>
        </is>
      </c>
      <c r="R988" t="inlineStr">
        <is>
          <t/>
        </is>
      </c>
      <c r="S988" t="n">
        <v>0.0</v>
      </c>
      <c r="T988" t="n">
        <v>0.0</v>
      </c>
      <c r="U988" t="n">
        <v>0.0</v>
      </c>
      <c r="V988" t="n">
        <v>0.0</v>
      </c>
      <c r="W988" t="inlineStr">
        <is>
          <t/>
        </is>
      </c>
      <c r="X988" t="n">
        <v>0.0</v>
      </c>
      <c r="Y988" t="n">
        <v>0.0</v>
      </c>
      <c r="Z988" t="n">
        <v>0.0</v>
      </c>
      <c r="AA988" t="n">
        <v>0.0</v>
      </c>
      <c r="AB988" t="n">
        <v>0.0</v>
      </c>
      <c r="AC988" t="n">
        <v>0.0</v>
      </c>
      <c r="AD988" t="n">
        <v>0.0</v>
      </c>
      <c r="AE988" t="n">
        <v>0.0</v>
      </c>
      <c r="AF988" t="n">
        <v>0.0</v>
      </c>
      <c r="AG988" t="n">
        <v>0.0</v>
      </c>
      <c r="AH988" t="n">
        <v>0.0</v>
      </c>
      <c r="AI988" t="n">
        <v>0.0</v>
      </c>
      <c r="AJ988" t="n">
        <v>0.0</v>
      </c>
      <c r="AK988" t="inlineStr">
        <is>
          <t/>
        </is>
      </c>
      <c r="AL988" t="inlineStr">
        <is>
          <t/>
        </is>
      </c>
    </row>
    <row r="989">
      <c r="A989" t="inlineStr">
        <is>
          <t>减脂期，打工人带饭靠虾仁续命……</t>
        </is>
      </c>
      <c r="B989" t="inlineStr">
        <is>
          <t>6a30ca26000000000f0300c4</t>
        </is>
      </c>
      <c r="C989" s="988" t="n">
        <f>HYPERLINK("https://www.xiaohongshu.com/explore/6a30ca26000000000f0300c4?xsec_token=TBePuKpEsy0kxhowC-GJCuPqAcOcC2K357lMe8dAreBMM=&amp;xsec_source=pc_trdark","https://www.xiaohongshu.com/explore/6a30ca26000000000f0300c4?xsec_token=TBePuKpEsy0kxhowC-GJCuPqAcOcC2K357lMe8dAreBMM=&amp;xsec_source=pc_trdark")</f>
        <v>0.0</v>
      </c>
      <c r="D989" t="inlineStr">
        <is>
          <t>鲜水湾甄选</t>
        </is>
      </c>
      <c r="E989" t="inlineStr">
        <is>
          <t>27401929161</t>
        </is>
      </c>
      <c r="F989" t="inlineStr">
        <is>
          <t>2026-06-16 11:59:34</t>
        </is>
      </c>
      <c r="G989" t="inlineStr">
        <is>
          <t>图文</t>
        </is>
      </c>
      <c r="H989" t="inlineStr">
        <is>
          <t>手剥虾仁 无冰衣无添加 低脂餐一人食 上班带饭 顺丰包邮 5盒装</t>
        </is>
      </c>
      <c r="I989" t="inlineStr">
        <is>
          <t>694baba01d450d00013662f0</t>
        </is>
      </c>
      <c r="J989" t="inlineStr">
        <is>
          <t/>
        </is>
      </c>
      <c r="K989" t="n">
        <v>0.0</v>
      </c>
      <c r="L989" t="n">
        <v>0.0</v>
      </c>
      <c r="M989" t="n">
        <v>0.0</v>
      </c>
      <c r="N989" t="inlineStr">
        <is>
          <t/>
        </is>
      </c>
      <c r="O989" t="n">
        <v>0.0</v>
      </c>
      <c r="P989" t="n">
        <v>0.0</v>
      </c>
      <c r="Q989" t="inlineStr">
        <is>
          <t/>
        </is>
      </c>
      <c r="R989" t="inlineStr">
        <is>
          <t/>
        </is>
      </c>
      <c r="S989" t="n">
        <v>0.0</v>
      </c>
      <c r="T989" t="n">
        <v>0.0</v>
      </c>
      <c r="U989" t="n">
        <v>0.0</v>
      </c>
      <c r="V989" t="n">
        <v>0.0</v>
      </c>
      <c r="W989" t="inlineStr">
        <is>
          <t/>
        </is>
      </c>
      <c r="X989" t="n">
        <v>0.0</v>
      </c>
      <c r="Y989" t="n">
        <v>0.0</v>
      </c>
      <c r="Z989" t="n">
        <v>0.0</v>
      </c>
      <c r="AA989" t="n">
        <v>0.0</v>
      </c>
      <c r="AB989" t="n">
        <v>0.0</v>
      </c>
      <c r="AC989" t="n">
        <v>0.0</v>
      </c>
      <c r="AD989" t="n">
        <v>0.0</v>
      </c>
      <c r="AE989" t="n">
        <v>0.0</v>
      </c>
      <c r="AF989" t="n">
        <v>0.0</v>
      </c>
      <c r="AG989" t="n">
        <v>0.0</v>
      </c>
      <c r="AH989" t="n">
        <v>0.0</v>
      </c>
      <c r="AI989" t="n">
        <v>0.0</v>
      </c>
      <c r="AJ989" t="n">
        <v>0.0</v>
      </c>
      <c r="AK989" t="inlineStr">
        <is>
          <t/>
        </is>
      </c>
      <c r="AL989" t="inlineStr">
        <is>
          <t/>
        </is>
      </c>
    </row>
    <row r="990">
      <c r="A990" t="inlineStr">
        <is>
          <t>我妈：终于不天天吃外卖了🤣</t>
        </is>
      </c>
      <c r="B990" t="inlineStr">
        <is>
          <t>6a2ffda70000000011011e02</t>
        </is>
      </c>
      <c r="C990" s="989" t="n">
        <f>HYPERLINK("https://www.xiaohongshu.com/explore/6a2ffda70000000011011e02?xsec_token=TBOClpwOvyolzEXhDI3pDx7aSdlZh8k4M70ryL4CTsQUg=&amp;xsec_source=pc_trdark","https://www.xiaohongshu.com/explore/6a2ffda70000000011011e02?xsec_token=TBOClpwOvyolzEXhDI3pDx7aSdlZh8k4M70ryL4CTsQUg=&amp;xsec_source=pc_trdark")</f>
        <v>0.0</v>
      </c>
      <c r="D990" t="inlineStr">
        <is>
          <t>鲜水湾甄选</t>
        </is>
      </c>
      <c r="E990" t="inlineStr">
        <is>
          <t>27401929161</t>
        </is>
      </c>
      <c r="F990" t="inlineStr">
        <is>
          <t>2026-06-15 21:27:03</t>
        </is>
      </c>
      <c r="G990" t="inlineStr">
        <is>
          <t>图文</t>
        </is>
      </c>
      <c r="H990" t="inlineStr">
        <is>
          <t>手剥虾仁 无冰衣无添加 低脂餐一人食 上班带饭 顺丰包邮 5盒装</t>
        </is>
      </c>
      <c r="I990" t="inlineStr">
        <is>
          <t>694baba01d450d00013662f0</t>
        </is>
      </c>
      <c r="J990" t="inlineStr">
        <is>
          <t/>
        </is>
      </c>
      <c r="K990" t="n">
        <v>0.0</v>
      </c>
      <c r="L990" t="n">
        <v>0.0</v>
      </c>
      <c r="M990" t="n">
        <v>0.0</v>
      </c>
      <c r="N990" t="inlineStr">
        <is>
          <t/>
        </is>
      </c>
      <c r="O990" t="n">
        <v>0.0</v>
      </c>
      <c r="P990" t="n">
        <v>0.0</v>
      </c>
      <c r="Q990" t="inlineStr">
        <is>
          <t/>
        </is>
      </c>
      <c r="R990" t="inlineStr">
        <is>
          <t/>
        </is>
      </c>
      <c r="S990" t="n">
        <v>0.0</v>
      </c>
      <c r="T990" t="n">
        <v>0.0</v>
      </c>
      <c r="U990" t="n">
        <v>0.0</v>
      </c>
      <c r="V990" t="n">
        <v>0.0</v>
      </c>
      <c r="W990" t="inlineStr">
        <is>
          <t/>
        </is>
      </c>
      <c r="X990" t="n">
        <v>0.0</v>
      </c>
      <c r="Y990" t="n">
        <v>0.0</v>
      </c>
      <c r="Z990" t="n">
        <v>0.0</v>
      </c>
      <c r="AA990" t="n">
        <v>0.0</v>
      </c>
      <c r="AB990" t="n">
        <v>0.0</v>
      </c>
      <c r="AC990" t="n">
        <v>0.0</v>
      </c>
      <c r="AD990" t="n">
        <v>0.0</v>
      </c>
      <c r="AE990" t="n">
        <v>0.0</v>
      </c>
      <c r="AF990" t="n">
        <v>0.0</v>
      </c>
      <c r="AG990" t="n">
        <v>0.0</v>
      </c>
      <c r="AH990" t="n">
        <v>0.0</v>
      </c>
      <c r="AI990" t="n">
        <v>0.0</v>
      </c>
      <c r="AJ990" t="n">
        <v>0.0</v>
      </c>
      <c r="AK990" t="inlineStr">
        <is>
          <t/>
        </is>
      </c>
      <c r="AL990" t="inlineStr">
        <is>
          <t/>
        </is>
      </c>
    </row>
    <row r="991">
      <c r="A991" t="inlineStr">
        <is>
          <t>区区69💰居然够我自律期吃一周了！！</t>
        </is>
      </c>
      <c r="B991" t="inlineStr">
        <is>
          <t>6a2ffd930000000022014ebb</t>
        </is>
      </c>
      <c r="C991" s="990" t="n">
        <f>HYPERLINK("https://www.xiaohongshu.com/explore/6a2ffd930000000022014ebb?xsec_token=TBOClpwOvyolzEXhDI3pDx7d5dfd0Rd0XFbdaWyHrD6Gk=&amp;xsec_source=pc_trdark","https://www.xiaohongshu.com/explore/6a2ffd930000000022014ebb?xsec_token=TBOClpwOvyolzEXhDI3pDx7d5dfd0Rd0XFbdaWyHrD6Gk=&amp;xsec_source=pc_trdark")</f>
        <v>0.0</v>
      </c>
      <c r="D991" t="inlineStr">
        <is>
          <t>菲菲上班吃什么</t>
        </is>
      </c>
      <c r="E991" t="inlineStr">
        <is>
          <t>49936530607</t>
        </is>
      </c>
      <c r="F991" t="inlineStr">
        <is>
          <t>2026-06-15 21:26:43</t>
        </is>
      </c>
      <c r="G991" t="inlineStr">
        <is>
          <t>图文</t>
        </is>
      </c>
      <c r="H991" t="inlineStr">
        <is>
          <t>手剥虾仁 无冰衣无添加 低脂餐一人食 上班带饭 顺丰包邮 5盒装</t>
        </is>
      </c>
      <c r="I991" t="inlineStr">
        <is>
          <t>694baba01d450d00013662f0</t>
        </is>
      </c>
      <c r="J991" t="inlineStr">
        <is>
          <t/>
        </is>
      </c>
      <c r="K991" t="n">
        <v>0.0</v>
      </c>
      <c r="L991" t="n">
        <v>0.0</v>
      </c>
      <c r="M991" t="n">
        <v>0.0</v>
      </c>
      <c r="N991" t="inlineStr">
        <is>
          <t/>
        </is>
      </c>
      <c r="O991" t="n">
        <v>0.0</v>
      </c>
      <c r="P991" t="n">
        <v>0.0</v>
      </c>
      <c r="Q991" t="inlineStr">
        <is>
          <t/>
        </is>
      </c>
      <c r="R991" t="inlineStr">
        <is>
          <t/>
        </is>
      </c>
      <c r="S991" t="n">
        <v>0.0</v>
      </c>
      <c r="T991" t="n">
        <v>0.0</v>
      </c>
      <c r="U991" t="n">
        <v>0.0</v>
      </c>
      <c r="V991" t="n">
        <v>0.0</v>
      </c>
      <c r="W991" t="inlineStr">
        <is>
          <t/>
        </is>
      </c>
      <c r="X991" t="n">
        <v>0.0</v>
      </c>
      <c r="Y991" t="n">
        <v>0.0</v>
      </c>
      <c r="Z991" t="n">
        <v>0.0</v>
      </c>
      <c r="AA991" t="n">
        <v>0.0</v>
      </c>
      <c r="AB991" t="n">
        <v>0.0</v>
      </c>
      <c r="AC991" t="n">
        <v>0.0</v>
      </c>
      <c r="AD991" t="n">
        <v>0.0</v>
      </c>
      <c r="AE991" t="n">
        <v>0.0</v>
      </c>
      <c r="AF991" t="n">
        <v>0.0</v>
      </c>
      <c r="AG991" t="n">
        <v>0.0</v>
      </c>
      <c r="AH991" t="n">
        <v>0.0</v>
      </c>
      <c r="AI991" t="n">
        <v>0.0</v>
      </c>
      <c r="AJ991" t="n">
        <v>0.0</v>
      </c>
      <c r="AK991" t="inlineStr">
        <is>
          <t/>
        </is>
      </c>
      <c r="AL991" t="inlineStr">
        <is>
          <t/>
        </is>
      </c>
    </row>
    <row r="992">
      <c r="A992" t="inlineStr">
        <is>
          <t>独居党敞开吃吧，减脂期吃虾仁真的夯爆…</t>
        </is>
      </c>
      <c r="B992" t="inlineStr">
        <is>
          <t>6a2ff3d10000000011015893</t>
        </is>
      </c>
      <c r="C992" s="991" t="n">
        <f>HYPERLINK("https://www.xiaohongshu.com/explore/6a2ff3d10000000011015893?xsec_token=TBOClpwOvyolzEXhDI3pDx7ctWbVx25AmlnZQLiMA0GRo=&amp;xsec_source=pc_trdark","https://www.xiaohongshu.com/explore/6a2ff3d10000000011015893?xsec_token=TBOClpwOvyolzEXhDI3pDx7ctWbVx25AmlnZQLiMA0GRo=&amp;xsec_source=pc_trdark")</f>
        <v>0.0</v>
      </c>
      <c r="D992" t="inlineStr">
        <is>
          <t>鲜水湾甄选</t>
        </is>
      </c>
      <c r="E992" t="inlineStr">
        <is>
          <t>27401929161</t>
        </is>
      </c>
      <c r="F992" t="inlineStr">
        <is>
          <t>2026-06-15 20:45:05</t>
        </is>
      </c>
      <c r="G992" t="inlineStr">
        <is>
          <t>图文</t>
        </is>
      </c>
      <c r="H992" t="inlineStr">
        <is>
          <t>手剥虾仁 无冰衣无添加 低脂餐一人食 上班带饭 顺丰包邮 5盒装</t>
        </is>
      </c>
      <c r="I992" t="inlineStr">
        <is>
          <t>694baba01d450d00013662f0</t>
        </is>
      </c>
      <c r="J992" t="inlineStr">
        <is>
          <t/>
        </is>
      </c>
      <c r="K992" t="n">
        <v>0.0</v>
      </c>
      <c r="L992" t="n">
        <v>0.0</v>
      </c>
      <c r="M992" t="n">
        <v>0.0</v>
      </c>
      <c r="N992" t="inlineStr">
        <is>
          <t/>
        </is>
      </c>
      <c r="O992" t="n">
        <v>0.0</v>
      </c>
      <c r="P992" t="n">
        <v>0.0</v>
      </c>
      <c r="Q992" t="inlineStr">
        <is>
          <t/>
        </is>
      </c>
      <c r="R992" t="inlineStr">
        <is>
          <t/>
        </is>
      </c>
      <c r="S992" t="n">
        <v>0.0</v>
      </c>
      <c r="T992" t="n">
        <v>0.0</v>
      </c>
      <c r="U992" t="n">
        <v>0.0</v>
      </c>
      <c r="V992" t="n">
        <v>0.0</v>
      </c>
      <c r="W992" t="inlineStr">
        <is>
          <t/>
        </is>
      </c>
      <c r="X992" t="n">
        <v>0.0</v>
      </c>
      <c r="Y992" t="n">
        <v>0.0</v>
      </c>
      <c r="Z992" t="n">
        <v>0.0</v>
      </c>
      <c r="AA992" t="n">
        <v>0.0</v>
      </c>
      <c r="AB992" t="n">
        <v>0.0</v>
      </c>
      <c r="AC992" t="n">
        <v>0.0</v>
      </c>
      <c r="AD992" t="n">
        <v>0.0</v>
      </c>
      <c r="AE992" t="n">
        <v>0.0</v>
      </c>
      <c r="AF992" t="n">
        <v>0.0</v>
      </c>
      <c r="AG992" t="n">
        <v>0.0</v>
      </c>
      <c r="AH992" t="n">
        <v>0.0</v>
      </c>
      <c r="AI992" t="n">
        <v>0.0</v>
      </c>
      <c r="AJ992" t="n">
        <v>0.0</v>
      </c>
      <c r="AK992" t="inlineStr">
        <is>
          <t/>
        </is>
      </c>
      <c r="AL992" t="inlineStr">
        <is>
          <t/>
        </is>
      </c>
    </row>
    <row r="993">
      <c r="A993" t="inlineStr">
        <is>
          <t>以为 69 没多少，结果解决了我一周上班带饭</t>
        </is>
      </c>
      <c r="B993" t="inlineStr">
        <is>
          <t>6a2fda1d000000001102e720</t>
        </is>
      </c>
      <c r="C993" s="992" t="n">
        <f>HYPERLINK("https://www.xiaohongshu.com/explore/6a2fda1d000000001102e720?xsec_token=TBOClpwOvyolzEXhDI3pDx7dyYCQHp6Dhys8_gG4duUgA=&amp;xsec_source=pc_trdark","https://www.xiaohongshu.com/explore/6a2fda1d000000001102e720?xsec_token=TBOClpwOvyolzEXhDI3pDx7dyYCQHp6Dhys8_gG4duUgA=&amp;xsec_source=pc_trdark")</f>
        <v>0.0</v>
      </c>
      <c r="D993" t="inlineStr">
        <is>
          <t>鲜水湾甄选</t>
        </is>
      </c>
      <c r="E993" t="inlineStr">
        <is>
          <t>27401929161</t>
        </is>
      </c>
      <c r="F993" t="inlineStr">
        <is>
          <t>2026-06-15 18:55:25</t>
        </is>
      </c>
      <c r="G993" t="inlineStr">
        <is>
          <t>图文</t>
        </is>
      </c>
      <c r="H993" t="inlineStr">
        <is>
          <t>手剥虾仁 无冰衣无添加 低脂餐一人食 上班带饭 顺丰包邮 5盒装</t>
        </is>
      </c>
      <c r="I993" t="inlineStr">
        <is>
          <t>694baba01d450d00013662f0</t>
        </is>
      </c>
      <c r="J993" t="inlineStr">
        <is>
          <t/>
        </is>
      </c>
      <c r="K993" t="n">
        <v>0.0</v>
      </c>
      <c r="L993" t="n">
        <v>0.0</v>
      </c>
      <c r="M993" t="n">
        <v>0.0</v>
      </c>
      <c r="N993" t="inlineStr">
        <is>
          <t/>
        </is>
      </c>
      <c r="O993" t="n">
        <v>0.0</v>
      </c>
      <c r="P993" t="n">
        <v>0.0</v>
      </c>
      <c r="Q993" t="inlineStr">
        <is>
          <t/>
        </is>
      </c>
      <c r="R993" t="inlineStr">
        <is>
          <t/>
        </is>
      </c>
      <c r="S993" t="n">
        <v>0.0</v>
      </c>
      <c r="T993" t="n">
        <v>0.0</v>
      </c>
      <c r="U993" t="n">
        <v>0.0</v>
      </c>
      <c r="V993" t="n">
        <v>0.0</v>
      </c>
      <c r="W993" t="inlineStr">
        <is>
          <t/>
        </is>
      </c>
      <c r="X993" t="n">
        <v>0.0</v>
      </c>
      <c r="Y993" t="n">
        <v>0.0</v>
      </c>
      <c r="Z993" t="n">
        <v>0.0</v>
      </c>
      <c r="AA993" t="n">
        <v>0.0</v>
      </c>
      <c r="AB993" t="n">
        <v>0.0</v>
      </c>
      <c r="AC993" t="n">
        <v>0.0</v>
      </c>
      <c r="AD993" t="n">
        <v>0.0</v>
      </c>
      <c r="AE993" t="n">
        <v>0.0</v>
      </c>
      <c r="AF993" t="n">
        <v>0.0</v>
      </c>
      <c r="AG993" t="n">
        <v>0.0</v>
      </c>
      <c r="AH993" t="n">
        <v>0.0</v>
      </c>
      <c r="AI993" t="n">
        <v>0.0</v>
      </c>
      <c r="AJ993" t="n">
        <v>0.0</v>
      </c>
      <c r="AK993" t="inlineStr">
        <is>
          <t/>
        </is>
      </c>
      <c r="AL993" t="inlineStr">
        <is>
          <t/>
        </is>
      </c>
    </row>
    <row r="994">
      <c r="A994" t="inlineStr">
        <is>
          <t>靠虾仁悄悄准备一下今年夏天的露腰计划…</t>
        </is>
      </c>
      <c r="B994" t="inlineStr">
        <is>
          <t>6a2fbdbf0000000007028efc</t>
        </is>
      </c>
      <c r="C994" s="993" t="n">
        <f>HYPERLINK("https://www.xiaohongshu.com/explore/6a2fbdbf0000000007028efc?xsec_token=TBOClpwOvyolzEXhDI3pDx7cuC5SmYOzkQwgxorqQ7T98=&amp;xsec_source=pc_trdark","https://www.xiaohongshu.com/explore/6a2fbdbf0000000007028efc?xsec_token=TBOClpwOvyolzEXhDI3pDx7cuC5SmYOzkQwgxorqQ7T98=&amp;xsec_source=pc_trdark")</f>
        <v>0.0</v>
      </c>
      <c r="D994" t="inlineStr">
        <is>
          <t>菲菲上班吃什么</t>
        </is>
      </c>
      <c r="E994" t="inlineStr">
        <is>
          <t>49936530607</t>
        </is>
      </c>
      <c r="F994" t="inlineStr">
        <is>
          <t>2026-06-15 16:54:23</t>
        </is>
      </c>
      <c r="G994" t="inlineStr">
        <is>
          <t>图文</t>
        </is>
      </c>
      <c r="H994" t="inlineStr">
        <is>
          <t>手剥虾仁 无冰衣无添加 低脂餐一人食 上班带饭 顺丰包邮 5盒装</t>
        </is>
      </c>
      <c r="I994" t="inlineStr">
        <is>
          <t>694baba01d450d00013662f0</t>
        </is>
      </c>
      <c r="J994" t="inlineStr">
        <is>
          <t/>
        </is>
      </c>
      <c r="K994" t="n">
        <v>0.0</v>
      </c>
      <c r="L994" t="n">
        <v>0.0</v>
      </c>
      <c r="M994" t="n">
        <v>0.0</v>
      </c>
      <c r="N994" t="inlineStr">
        <is>
          <t/>
        </is>
      </c>
      <c r="O994" t="n">
        <v>0.0</v>
      </c>
      <c r="P994" t="n">
        <v>0.0</v>
      </c>
      <c r="Q994" t="inlineStr">
        <is>
          <t/>
        </is>
      </c>
      <c r="R994" t="inlineStr">
        <is>
          <t/>
        </is>
      </c>
      <c r="S994" t="n">
        <v>0.0</v>
      </c>
      <c r="T994" t="n">
        <v>0.0</v>
      </c>
      <c r="U994" t="n">
        <v>0.0</v>
      </c>
      <c r="V994" t="n">
        <v>0.0</v>
      </c>
      <c r="W994" t="inlineStr">
        <is>
          <t/>
        </is>
      </c>
      <c r="X994" t="n">
        <v>0.0</v>
      </c>
      <c r="Y994" t="n">
        <v>0.0</v>
      </c>
      <c r="Z994" t="n">
        <v>0.0</v>
      </c>
      <c r="AA994" t="n">
        <v>0.0</v>
      </c>
      <c r="AB994" t="n">
        <v>0.0</v>
      </c>
      <c r="AC994" t="n">
        <v>0.0</v>
      </c>
      <c r="AD994" t="n">
        <v>0.0</v>
      </c>
      <c r="AE994" t="n">
        <v>0.0</v>
      </c>
      <c r="AF994" t="n">
        <v>0.0</v>
      </c>
      <c r="AG994" t="n">
        <v>0.0</v>
      </c>
      <c r="AH994" t="n">
        <v>0.0</v>
      </c>
      <c r="AI994" t="n">
        <v>0.0</v>
      </c>
      <c r="AJ994" t="n">
        <v>0.0</v>
      </c>
      <c r="AK994" t="inlineStr">
        <is>
          <t/>
        </is>
      </c>
      <c r="AL994" t="inlineStr">
        <is>
          <t/>
        </is>
      </c>
    </row>
    <row r="995">
      <c r="A995" t="inlineStr">
        <is>
          <t>谁敢信这是100💰的购买力！！！</t>
        </is>
      </c>
      <c r="B995" t="inlineStr">
        <is>
          <t>6a2f9fa3000000000f02ae25</t>
        </is>
      </c>
      <c r="C995" s="994" t="n">
        <f>HYPERLINK("https://www.xiaohongshu.com/explore/6a2f9fa3000000000f02ae25?xsec_token=TBOClpwOvyolzEXhDI3pDx7R1n1aITta6IAkuBkof0LH0=&amp;xsec_source=pc_trdark","https://www.xiaohongshu.com/explore/6a2f9fa3000000000f02ae25?xsec_token=TBOClpwOvyolzEXhDI3pDx7R1n1aITta6IAkuBkof0LH0=&amp;xsec_source=pc_trdark")</f>
        <v>0.0</v>
      </c>
      <c r="D995" t="inlineStr">
        <is>
          <t>鲜水湾甄选</t>
        </is>
      </c>
      <c r="E995" t="inlineStr">
        <is>
          <t>27401929161</t>
        </is>
      </c>
      <c r="F995" t="inlineStr">
        <is>
          <t>2026-06-15 14:45:55</t>
        </is>
      </c>
      <c r="G995" t="inlineStr">
        <is>
          <t>图文</t>
        </is>
      </c>
      <c r="H995" t="inlineStr">
        <is>
          <t>手剥虾仁 无冰衣无添加 低脂餐一人食 上班带饭 顺丰包邮 5盒装</t>
        </is>
      </c>
      <c r="I995" t="inlineStr">
        <is>
          <t>694baba01d450d00013662f0</t>
        </is>
      </c>
      <c r="J995" t="inlineStr">
        <is>
          <t/>
        </is>
      </c>
      <c r="K995" t="n">
        <v>0.0</v>
      </c>
      <c r="L995" t="n">
        <v>0.0</v>
      </c>
      <c r="M995" t="n">
        <v>0.0</v>
      </c>
      <c r="N995" t="inlineStr">
        <is>
          <t/>
        </is>
      </c>
      <c r="O995" t="n">
        <v>0.0</v>
      </c>
      <c r="P995" t="n">
        <v>0.0</v>
      </c>
      <c r="Q995" t="inlineStr">
        <is>
          <t/>
        </is>
      </c>
      <c r="R995" t="inlineStr">
        <is>
          <t/>
        </is>
      </c>
      <c r="S995" t="n">
        <v>0.0</v>
      </c>
      <c r="T995" t="n">
        <v>0.0</v>
      </c>
      <c r="U995" t="n">
        <v>0.0</v>
      </c>
      <c r="V995" t="n">
        <v>0.0</v>
      </c>
      <c r="W995" t="inlineStr">
        <is>
          <t/>
        </is>
      </c>
      <c r="X995" t="n">
        <v>0.0</v>
      </c>
      <c r="Y995" t="n">
        <v>0.0</v>
      </c>
      <c r="Z995" t="n">
        <v>0.0</v>
      </c>
      <c r="AA995" t="n">
        <v>0.0</v>
      </c>
      <c r="AB995" t="n">
        <v>0.0</v>
      </c>
      <c r="AC995" t="n">
        <v>0.0</v>
      </c>
      <c r="AD995" t="n">
        <v>0.0</v>
      </c>
      <c r="AE995" t="n">
        <v>0.0</v>
      </c>
      <c r="AF995" t="n">
        <v>0.0</v>
      </c>
      <c r="AG995" t="n">
        <v>0.0</v>
      </c>
      <c r="AH995" t="n">
        <v>0.0</v>
      </c>
      <c r="AI995" t="n">
        <v>0.0</v>
      </c>
      <c r="AJ995" t="n">
        <v>0.0</v>
      </c>
      <c r="AK995" t="inlineStr">
        <is>
          <t/>
        </is>
      </c>
      <c r="AL995" t="inlineStr">
        <is>
          <t/>
        </is>
      </c>
    </row>
    <row r="996">
      <c r="A996" t="inlineStr">
        <is>
          <t>减脂期冰箱常驻，这虾我能吃到天荒地老…</t>
        </is>
      </c>
      <c r="B996" t="inlineStr">
        <is>
          <t>6a2f70be000000000f029477</t>
        </is>
      </c>
      <c r="C996" s="995" t="n">
        <f>HYPERLINK("https://www.xiaohongshu.com/explore/6a2f70be000000000f029477?xsec_token=TBOClpwOvyolzEXhDI3pDx7YvFeXPfMZg92xqss2-Z920=&amp;xsec_source=pc_trdark","https://www.xiaohongshu.com/explore/6a2f70be000000000f029477?xsec_token=TBOClpwOvyolzEXhDI3pDx7YvFeXPfMZg92xqss2-Z920=&amp;xsec_source=pc_trdark")</f>
        <v>0.0</v>
      </c>
      <c r="D996" t="inlineStr">
        <is>
          <t>鲜水湾甄选</t>
        </is>
      </c>
      <c r="E996" t="inlineStr">
        <is>
          <t>27401929161</t>
        </is>
      </c>
      <c r="F996" t="inlineStr">
        <is>
          <t>2026-06-15 11:25:50</t>
        </is>
      </c>
      <c r="G996" t="inlineStr">
        <is>
          <t>图文</t>
        </is>
      </c>
      <c r="H996" t="inlineStr">
        <is>
          <t>手剥虾仁 无冰衣无添加 低脂餐一人食 上班带饭 顺丰包邮 5盒装</t>
        </is>
      </c>
      <c r="I996" t="inlineStr">
        <is>
          <t>694baba01d450d00013662f0</t>
        </is>
      </c>
      <c r="J996" t="inlineStr">
        <is>
          <t/>
        </is>
      </c>
      <c r="K996" t="n">
        <v>0.0</v>
      </c>
      <c r="L996" t="n">
        <v>0.0</v>
      </c>
      <c r="M996" t="n">
        <v>0.0</v>
      </c>
      <c r="N996" t="inlineStr">
        <is>
          <t/>
        </is>
      </c>
      <c r="O996" t="n">
        <v>0.0</v>
      </c>
      <c r="P996" t="n">
        <v>0.0</v>
      </c>
      <c r="Q996" t="inlineStr">
        <is>
          <t/>
        </is>
      </c>
      <c r="R996" t="inlineStr">
        <is>
          <t/>
        </is>
      </c>
      <c r="S996" t="n">
        <v>0.0</v>
      </c>
      <c r="T996" t="n">
        <v>0.0</v>
      </c>
      <c r="U996" t="n">
        <v>0.0</v>
      </c>
      <c r="V996" t="n">
        <v>0.0</v>
      </c>
      <c r="W996" t="inlineStr">
        <is>
          <t/>
        </is>
      </c>
      <c r="X996" t="n">
        <v>0.0</v>
      </c>
      <c r="Y996" t="n">
        <v>0.0</v>
      </c>
      <c r="Z996" t="n">
        <v>0.0</v>
      </c>
      <c r="AA996" t="n">
        <v>0.0</v>
      </c>
      <c r="AB996" t="n">
        <v>0.0</v>
      </c>
      <c r="AC996" t="n">
        <v>0.0</v>
      </c>
      <c r="AD996" t="n">
        <v>0.0</v>
      </c>
      <c r="AE996" t="n">
        <v>0.0</v>
      </c>
      <c r="AF996" t="n">
        <v>0.0</v>
      </c>
      <c r="AG996" t="n">
        <v>0.0</v>
      </c>
      <c r="AH996" t="n">
        <v>0.0</v>
      </c>
      <c r="AI996" t="n">
        <v>0.0</v>
      </c>
      <c r="AJ996" t="n">
        <v>0.0</v>
      </c>
      <c r="AK996" t="inlineStr">
        <is>
          <t/>
        </is>
      </c>
      <c r="AL996" t="inlineStr">
        <is>
          <t/>
        </is>
      </c>
    </row>
    <row r="997">
      <c r="A997" t="inlineStr">
        <is>
          <t>见一个劝一个，一天三顿裤子小两码</t>
        </is>
      </c>
      <c r="B997" t="inlineStr">
        <is>
          <t>6a2e8fb90000000006030dbe</t>
        </is>
      </c>
      <c r="C997" s="996" t="n">
        <f>HYPERLINK("https://www.xiaohongshu.com/explore/6a2e8fb90000000006030dbe?xsec_token=TBhHjC2DWrdLZDWzxKRIYz51eWyZVbMHx5Lw8wa9LWwg4=&amp;xsec_source=pc_trdark","https://www.xiaohongshu.com/explore/6a2e8fb90000000006030dbe?xsec_token=TBhHjC2DWrdLZDWzxKRIYz51eWyZVbMHx5Lw8wa9LWwg4=&amp;xsec_source=pc_trdark")</f>
        <v>0.0</v>
      </c>
      <c r="D997" t="inlineStr">
        <is>
          <t>鲜水湾</t>
        </is>
      </c>
      <c r="E997" t="inlineStr">
        <is>
          <t>49316638994</t>
        </is>
      </c>
      <c r="F997" t="inlineStr">
        <is>
          <t>2026-06-14 19:25:45</t>
        </is>
      </c>
      <c r="G997" t="inlineStr">
        <is>
          <t>图文</t>
        </is>
      </c>
      <c r="H997" t="inlineStr">
        <is>
          <t>智利尾端中段整条三文鱼 8斤深海鱼低脂餐囤货一周备菜顺丰包邮</t>
        </is>
      </c>
      <c r="I997" t="inlineStr">
        <is>
          <t>69fab80d64eb410001ece0c0</t>
        </is>
      </c>
      <c r="J997" t="inlineStr">
        <is>
          <t/>
        </is>
      </c>
      <c r="K997" t="n">
        <v>0.0</v>
      </c>
      <c r="L997" t="n">
        <v>0.0</v>
      </c>
      <c r="M997" t="n">
        <v>0.0</v>
      </c>
      <c r="N997" t="inlineStr">
        <is>
          <t/>
        </is>
      </c>
      <c r="O997" t="n">
        <v>0.0</v>
      </c>
      <c r="P997" t="n">
        <v>0.0</v>
      </c>
      <c r="Q997" t="inlineStr">
        <is>
          <t/>
        </is>
      </c>
      <c r="R997" t="inlineStr">
        <is>
          <t/>
        </is>
      </c>
      <c r="S997" t="n">
        <v>0.0</v>
      </c>
      <c r="T997" t="n">
        <v>0.0</v>
      </c>
      <c r="U997" t="n">
        <v>0.0</v>
      </c>
      <c r="V997" t="n">
        <v>0.0</v>
      </c>
      <c r="W997" t="inlineStr">
        <is>
          <t/>
        </is>
      </c>
      <c r="X997" t="n">
        <v>0.0</v>
      </c>
      <c r="Y997" t="n">
        <v>0.0</v>
      </c>
      <c r="Z997" t="n">
        <v>0.0</v>
      </c>
      <c r="AA997" t="n">
        <v>0.0</v>
      </c>
      <c r="AB997" t="n">
        <v>0.0</v>
      </c>
      <c r="AC997" t="n">
        <v>0.0</v>
      </c>
      <c r="AD997" t="n">
        <v>0.0</v>
      </c>
      <c r="AE997" t="n">
        <v>0.0</v>
      </c>
      <c r="AF997" t="n">
        <v>0.0</v>
      </c>
      <c r="AG997" t="n">
        <v>0.0</v>
      </c>
      <c r="AH997" t="n">
        <v>0.0</v>
      </c>
      <c r="AI997" t="n">
        <v>0.0</v>
      </c>
      <c r="AJ997" t="n">
        <v>0.0</v>
      </c>
      <c r="AK997" t="inlineStr">
        <is>
          <t/>
        </is>
      </c>
      <c r="AL997" t="inlineStr">
        <is>
          <t/>
        </is>
      </c>
    </row>
    <row r="998">
      <c r="A998" t="inlineStr">
        <is>
          <t>标练腿后的我，对虾仁彻底改观了</t>
        </is>
      </c>
      <c r="B998" t="inlineStr">
        <is>
          <t>6a2e5a110000000022018ba2</t>
        </is>
      </c>
      <c r="C998" s="997" t="n">
        <f>HYPERLINK("https://www.xiaohongshu.com/explore/6a2e5a110000000022018ba2?xsec_token=TBhHjC2DWrdLZDWzxKRIYz57y6MrXhB9-yKfnNWP4d28c=&amp;xsec_source=pc_trdark","https://www.xiaohongshu.com/explore/6a2e5a110000000022018ba2?xsec_token=TBhHjC2DWrdLZDWzxKRIYz57y6MrXhB9-yKfnNWP4d28c=&amp;xsec_source=pc_trdark")</f>
        <v>0.0</v>
      </c>
      <c r="D998" t="inlineStr">
        <is>
          <t>鲜水湾甄选</t>
        </is>
      </c>
      <c r="E998" t="inlineStr">
        <is>
          <t>27401929161</t>
        </is>
      </c>
      <c r="F998" t="inlineStr">
        <is>
          <t>2026-06-14 20:36:00</t>
        </is>
      </c>
      <c r="G998" t="inlineStr">
        <is>
          <t>图文</t>
        </is>
      </c>
      <c r="H998" t="inlineStr">
        <is>
          <t>手剥虾仁 无冰衣无添加 低脂餐一人食 上班带饭 顺丰包邮 5盒装</t>
        </is>
      </c>
      <c r="I998" t="inlineStr">
        <is>
          <t>694baba01d450d00013662f0</t>
        </is>
      </c>
      <c r="J998" t="inlineStr">
        <is>
          <t/>
        </is>
      </c>
      <c r="K998" t="n">
        <v>0.0</v>
      </c>
      <c r="L998" t="n">
        <v>0.0</v>
      </c>
      <c r="M998" t="n">
        <v>0.0</v>
      </c>
      <c r="N998" t="inlineStr">
        <is>
          <t/>
        </is>
      </c>
      <c r="O998" t="n">
        <v>0.0</v>
      </c>
      <c r="P998" t="n">
        <v>0.0</v>
      </c>
      <c r="Q998" t="inlineStr">
        <is>
          <t/>
        </is>
      </c>
      <c r="R998" t="inlineStr">
        <is>
          <t/>
        </is>
      </c>
      <c r="S998" t="n">
        <v>0.0</v>
      </c>
      <c r="T998" t="n">
        <v>0.0</v>
      </c>
      <c r="U998" t="n">
        <v>0.0</v>
      </c>
      <c r="V998" t="n">
        <v>0.0</v>
      </c>
      <c r="W998" t="inlineStr">
        <is>
          <t/>
        </is>
      </c>
      <c r="X998" t="n">
        <v>0.0</v>
      </c>
      <c r="Y998" t="n">
        <v>0.0</v>
      </c>
      <c r="Z998" t="n">
        <v>0.0</v>
      </c>
      <c r="AA998" t="n">
        <v>0.0</v>
      </c>
      <c r="AB998" t="n">
        <v>0.0</v>
      </c>
      <c r="AC998" t="n">
        <v>0.0</v>
      </c>
      <c r="AD998" t="n">
        <v>0.0</v>
      </c>
      <c r="AE998" t="n">
        <v>0.0</v>
      </c>
      <c r="AF998" t="n">
        <v>0.0</v>
      </c>
      <c r="AG998" t="n">
        <v>0.0</v>
      </c>
      <c r="AH998" t="n">
        <v>0.0</v>
      </c>
      <c r="AI998" t="n">
        <v>0.0</v>
      </c>
      <c r="AJ998" t="n">
        <v>0.0</v>
      </c>
      <c r="AK998" t="inlineStr">
        <is>
          <t/>
        </is>
      </c>
      <c r="AL998" t="inlineStr">
        <is>
          <t/>
        </is>
      </c>
    </row>
    <row r="999">
      <c r="A999" t="inlineStr">
        <is>
          <t>69块的虾仁，被独居党安排明白了…</t>
        </is>
      </c>
      <c r="B999" t="inlineStr">
        <is>
          <t>6a2e5a010000000022018b78</t>
        </is>
      </c>
      <c r="C999" s="998" t="n">
        <f>HYPERLINK("https://www.xiaohongshu.com/explore/6a2e5a010000000022018b78?xsec_token=TBhHjC2DWrdLZDWzxKRIYz57F0GK30meLFuq-Z8qIBEDA=&amp;xsec_source=pc_trdark","https://www.xiaohongshu.com/explore/6a2e5a010000000022018b78?xsec_token=TBhHjC2DWrdLZDWzxKRIYz57F0GK30meLFuq-Z8qIBEDA=&amp;xsec_source=pc_trdark")</f>
        <v>0.0</v>
      </c>
      <c r="D999" t="inlineStr">
        <is>
          <t>鲜水湾甄选</t>
        </is>
      </c>
      <c r="E999" t="inlineStr">
        <is>
          <t>27401929161</t>
        </is>
      </c>
      <c r="F999" t="inlineStr">
        <is>
          <t>2026-06-14 19:52:00</t>
        </is>
      </c>
      <c r="G999" t="inlineStr">
        <is>
          <t>图文</t>
        </is>
      </c>
      <c r="H999" t="inlineStr">
        <is>
          <t>手剥虾仁 无冰衣无添加 低脂餐一人食 上班带饭 顺丰包邮 5盒装</t>
        </is>
      </c>
      <c r="I999" t="inlineStr">
        <is>
          <t>694baba01d450d00013662f0</t>
        </is>
      </c>
      <c r="J999" t="inlineStr">
        <is>
          <t/>
        </is>
      </c>
      <c r="K999" t="n">
        <v>0.0</v>
      </c>
      <c r="L999" t="n">
        <v>0.0</v>
      </c>
      <c r="M999" t="n">
        <v>0.0</v>
      </c>
      <c r="N999" t="inlineStr">
        <is>
          <t/>
        </is>
      </c>
      <c r="O999" t="n">
        <v>0.0</v>
      </c>
      <c r="P999" t="n">
        <v>0.0</v>
      </c>
      <c r="Q999" t="inlineStr">
        <is>
          <t/>
        </is>
      </c>
      <c r="R999" t="inlineStr">
        <is>
          <t/>
        </is>
      </c>
      <c r="S999" t="n">
        <v>0.0</v>
      </c>
      <c r="T999" t="n">
        <v>0.0</v>
      </c>
      <c r="U999" t="n">
        <v>0.0</v>
      </c>
      <c r="V999" t="n">
        <v>0.0</v>
      </c>
      <c r="W999" t="inlineStr">
        <is>
          <t/>
        </is>
      </c>
      <c r="X999" t="n">
        <v>0.0</v>
      </c>
      <c r="Y999" t="n">
        <v>0.0</v>
      </c>
      <c r="Z999" t="n">
        <v>0.0</v>
      </c>
      <c r="AA999" t="n">
        <v>0.0</v>
      </c>
      <c r="AB999" t="n">
        <v>0.0</v>
      </c>
      <c r="AC999" t="n">
        <v>0.0</v>
      </c>
      <c r="AD999" t="n">
        <v>0.0</v>
      </c>
      <c r="AE999" t="n">
        <v>0.0</v>
      </c>
      <c r="AF999" t="n">
        <v>0.0</v>
      </c>
      <c r="AG999" t="n">
        <v>0.0</v>
      </c>
      <c r="AH999" t="n">
        <v>0.0</v>
      </c>
      <c r="AI999" t="n">
        <v>0.0</v>
      </c>
      <c r="AJ999" t="n">
        <v>0.0</v>
      </c>
      <c r="AK999" t="inlineStr">
        <is>
          <t/>
        </is>
      </c>
      <c r="AL999" t="inlineStr">
        <is>
          <t/>
        </is>
      </c>
    </row>
    <row r="1000">
      <c r="A1000" t="inlineStr">
        <is>
          <t>破防了！！姐妹们快去试试这个虾仁！！！ 😭</t>
        </is>
      </c>
      <c r="B1000" t="inlineStr">
        <is>
          <t>6a2e59ea000000003502fb30</t>
        </is>
      </c>
      <c r="C1000" s="999" t="n">
        <f>HYPERLINK("https://www.xiaohongshu.com/explore/6a2e59ea000000003502fb30?xsec_token=TBhHjC2DWrdLZDWzxKRIYz55A1fHu6sQn6RaH1fHikxJc=&amp;xsec_source=pc_trdark","https://www.xiaohongshu.com/explore/6a2e59ea000000003502fb30?xsec_token=TBhHjC2DWrdLZDWzxKRIYz55A1fHu6sQn6RaH1fHikxJc=&amp;xsec_source=pc_trdark")</f>
        <v>0.0</v>
      </c>
      <c r="D1000" t="inlineStr">
        <is>
          <t>鲜水湾甄选</t>
        </is>
      </c>
      <c r="E1000" t="inlineStr">
        <is>
          <t>27401929161</t>
        </is>
      </c>
      <c r="F1000" t="inlineStr">
        <is>
          <t>2026-06-14 15:59:00</t>
        </is>
      </c>
      <c r="G1000" t="inlineStr">
        <is>
          <t>图文</t>
        </is>
      </c>
      <c r="H1000" t="inlineStr">
        <is>
          <t>手剥虾仁 无冰衣无添加 低脂餐一人食 上班带饭 顺丰包邮 5盒装</t>
        </is>
      </c>
      <c r="I1000" t="inlineStr">
        <is>
          <t>694baba01d450d00013662f0</t>
        </is>
      </c>
      <c r="J1000" t="inlineStr">
        <is>
          <t/>
        </is>
      </c>
      <c r="K1000" t="n">
        <v>0.0</v>
      </c>
      <c r="L1000" t="n">
        <v>0.0</v>
      </c>
      <c r="M1000" t="n">
        <v>0.0</v>
      </c>
      <c r="N1000" t="inlineStr">
        <is>
          <t/>
        </is>
      </c>
      <c r="O1000" t="n">
        <v>0.0</v>
      </c>
      <c r="P1000" t="n">
        <v>0.0</v>
      </c>
      <c r="Q1000" t="inlineStr">
        <is>
          <t/>
        </is>
      </c>
      <c r="R1000" t="inlineStr">
        <is>
          <t/>
        </is>
      </c>
      <c r="S1000" t="n">
        <v>0.0</v>
      </c>
      <c r="T1000" t="n">
        <v>0.0</v>
      </c>
      <c r="U1000" t="n">
        <v>0.0</v>
      </c>
      <c r="V1000" t="n">
        <v>0.0</v>
      </c>
      <c r="W1000" t="inlineStr">
        <is>
          <t/>
        </is>
      </c>
      <c r="X1000" t="n">
        <v>0.0</v>
      </c>
      <c r="Y1000" t="n">
        <v>0.0</v>
      </c>
      <c r="Z1000" t="n">
        <v>0.0</v>
      </c>
      <c r="AA1000" t="n">
        <v>0.0</v>
      </c>
      <c r="AB1000" t="n">
        <v>0.0</v>
      </c>
      <c r="AC1000" t="n">
        <v>0.0</v>
      </c>
      <c r="AD1000" t="n">
        <v>0.0</v>
      </c>
      <c r="AE1000" t="n">
        <v>0.0</v>
      </c>
      <c r="AF1000" t="n">
        <v>0.0</v>
      </c>
      <c r="AG1000" t="n">
        <v>0.0</v>
      </c>
      <c r="AH1000" t="n">
        <v>0.0</v>
      </c>
      <c r="AI1000" t="n">
        <v>0.0</v>
      </c>
      <c r="AJ1000" t="n">
        <v>0.0</v>
      </c>
      <c r="AK1000" t="inlineStr">
        <is>
          <t/>
        </is>
      </c>
      <c r="AL1000" t="inlineStr">
        <is>
          <t/>
        </is>
      </c>
    </row>
    <row r="1001">
      <c r="A1001" t="inlineStr">
        <is>
          <t>除非你对虾仁过敏，不然真没理由拒绝！</t>
        </is>
      </c>
      <c r="B1001" t="inlineStr">
        <is>
          <t>6a2e59d400000000210212ce</t>
        </is>
      </c>
      <c r="C1001" s="1000" t="n">
        <f>HYPERLINK("https://www.xiaohongshu.com/explore/6a2e59d400000000210212ce?xsec_token=TBhHjC2DWrdLZDWzxKRIYz5xGrWENs_P9X1LRC6RJ4tDk=&amp;xsec_source=pc_trdark","https://www.xiaohongshu.com/explore/6a2e59d400000000210212ce?xsec_token=TBhHjC2DWrdLZDWzxKRIYz5xGrWENs_P9X1LRC6RJ4tDk=&amp;xsec_source=pc_trdark")</f>
        <v>0.0</v>
      </c>
      <c r="D1001" t="inlineStr">
        <is>
          <t>菲菲上班吃什么</t>
        </is>
      </c>
      <c r="E1001" t="inlineStr">
        <is>
          <t>49936530607</t>
        </is>
      </c>
      <c r="F1001" t="inlineStr">
        <is>
          <t>2026-06-14 20:35:00</t>
        </is>
      </c>
      <c r="G1001" t="inlineStr">
        <is>
          <t>图文</t>
        </is>
      </c>
      <c r="H1001" t="inlineStr">
        <is>
          <t>手剥虾仁 无冰衣无添加 低脂餐一人食 上班带饭 顺丰包邮 5盒装</t>
        </is>
      </c>
      <c r="I1001" t="inlineStr">
        <is>
          <t>694baba01d450d00013662f0</t>
        </is>
      </c>
      <c r="J1001" t="inlineStr">
        <is>
          <t/>
        </is>
      </c>
      <c r="K1001" t="n">
        <v>0.0</v>
      </c>
      <c r="L1001" t="n">
        <v>0.0</v>
      </c>
      <c r="M1001" t="n">
        <v>0.0</v>
      </c>
      <c r="N1001" t="inlineStr">
        <is>
          <t/>
        </is>
      </c>
      <c r="O1001" t="n">
        <v>0.0</v>
      </c>
      <c r="P1001" t="n">
        <v>0.0</v>
      </c>
      <c r="Q1001" t="inlineStr">
        <is>
          <t/>
        </is>
      </c>
      <c r="R1001" t="inlineStr">
        <is>
          <t/>
        </is>
      </c>
      <c r="S1001" t="n">
        <v>0.0</v>
      </c>
      <c r="T1001" t="n">
        <v>0.0</v>
      </c>
      <c r="U1001" t="n">
        <v>0.0</v>
      </c>
      <c r="V1001" t="n">
        <v>0.0</v>
      </c>
      <c r="W1001" t="inlineStr">
        <is>
          <t/>
        </is>
      </c>
      <c r="X1001" t="n">
        <v>0.0</v>
      </c>
      <c r="Y1001" t="n">
        <v>0.0</v>
      </c>
      <c r="Z1001" t="n">
        <v>0.0</v>
      </c>
      <c r="AA1001" t="n">
        <v>0.0</v>
      </c>
      <c r="AB1001" t="n">
        <v>0.0</v>
      </c>
      <c r="AC1001" t="n">
        <v>0.0</v>
      </c>
      <c r="AD1001" t="n">
        <v>0.0</v>
      </c>
      <c r="AE1001" t="n">
        <v>0.0</v>
      </c>
      <c r="AF1001" t="n">
        <v>0.0</v>
      </c>
      <c r="AG1001" t="n">
        <v>0.0</v>
      </c>
      <c r="AH1001" t="n">
        <v>0.0</v>
      </c>
      <c r="AI1001" t="n">
        <v>0.0</v>
      </c>
      <c r="AJ1001" t="n">
        <v>0.0</v>
      </c>
      <c r="AK1001" t="inlineStr">
        <is>
          <t/>
        </is>
      </c>
      <c r="AL1001" t="inlineStr">
        <is>
          <t/>
        </is>
      </c>
    </row>
    <row r="1002">
      <c r="A1002" t="inlineStr">
        <is>
          <t>这虾仁让独居党少点了很多外卖……</t>
        </is>
      </c>
      <c r="B1002" t="inlineStr">
        <is>
          <t>6a2e59c80000000006031d48</t>
        </is>
      </c>
      <c r="C1002" s="1001" t="n">
        <f>HYPERLINK("https://www.xiaohongshu.com/explore/6a2e59c80000000006031d48?xsec_token=TBhHjC2DWrdLZDWzxKRIYz561n4reld1PpSNrlB8xAE90=&amp;xsec_source=pc_trdark","https://www.xiaohongshu.com/explore/6a2e59c80000000006031d48?xsec_token=TBhHjC2DWrdLZDWzxKRIYz561n4reld1PpSNrlB8xAE90=&amp;xsec_source=pc_trdark")</f>
        <v>0.0</v>
      </c>
      <c r="D1002" t="inlineStr">
        <is>
          <t>菲菲上班吃什么</t>
        </is>
      </c>
      <c r="E1002" t="inlineStr">
        <is>
          <t>49936530607</t>
        </is>
      </c>
      <c r="F1002" t="inlineStr">
        <is>
          <t>2026-06-14 18:35:00</t>
        </is>
      </c>
      <c r="G1002" t="inlineStr">
        <is>
          <t>图文</t>
        </is>
      </c>
      <c r="H1002" t="inlineStr">
        <is>
          <t>手剥虾仁 无冰衣无添加 低脂餐一人食 上班带饭 顺丰包邮 5盒装</t>
        </is>
      </c>
      <c r="I1002" t="inlineStr">
        <is>
          <t>694baba01d450d00013662f0</t>
        </is>
      </c>
      <c r="J1002" t="inlineStr">
        <is>
          <t/>
        </is>
      </c>
      <c r="K1002" t="n">
        <v>0.0</v>
      </c>
      <c r="L1002" t="n">
        <v>0.0</v>
      </c>
      <c r="M1002" t="n">
        <v>0.0</v>
      </c>
      <c r="N1002" t="inlineStr">
        <is>
          <t/>
        </is>
      </c>
      <c r="O1002" t="n">
        <v>0.0</v>
      </c>
      <c r="P1002" t="n">
        <v>0.0</v>
      </c>
      <c r="Q1002" t="inlineStr">
        <is>
          <t/>
        </is>
      </c>
      <c r="R1002" t="inlineStr">
        <is>
          <t/>
        </is>
      </c>
      <c r="S1002" t="n">
        <v>0.0</v>
      </c>
      <c r="T1002" t="n">
        <v>0.0</v>
      </c>
      <c r="U1002" t="n">
        <v>0.0</v>
      </c>
      <c r="V1002" t="n">
        <v>0.0</v>
      </c>
      <c r="W1002" t="inlineStr">
        <is>
          <t/>
        </is>
      </c>
      <c r="X1002" t="n">
        <v>0.0</v>
      </c>
      <c r="Y1002" t="n">
        <v>0.0</v>
      </c>
      <c r="Z1002" t="n">
        <v>0.0</v>
      </c>
      <c r="AA1002" t="n">
        <v>0.0</v>
      </c>
      <c r="AB1002" t="n">
        <v>0.0</v>
      </c>
      <c r="AC1002" t="n">
        <v>0.0</v>
      </c>
      <c r="AD1002" t="n">
        <v>0.0</v>
      </c>
      <c r="AE1002" t="n">
        <v>0.0</v>
      </c>
      <c r="AF1002" t="n">
        <v>0.0</v>
      </c>
      <c r="AG1002" t="n">
        <v>0.0</v>
      </c>
      <c r="AH1002" t="n">
        <v>0.0</v>
      </c>
      <c r="AI1002" t="n">
        <v>0.0</v>
      </c>
      <c r="AJ1002" t="n">
        <v>0.0</v>
      </c>
      <c r="AK1002" t="inlineStr">
        <is>
          <t/>
        </is>
      </c>
      <c r="AL1002" t="inlineStr">
        <is>
          <t/>
        </is>
      </c>
    </row>
    <row r="1003">
      <c r="A1003" t="inlineStr">
        <is>
          <t>每天带饭最怕别人问： “你怎么天天吃这么好</t>
        </is>
      </c>
      <c r="B1003" t="inlineStr">
        <is>
          <t>6a2e59b8000000002101818a</t>
        </is>
      </c>
      <c r="C1003" s="1002" t="n">
        <f>HYPERLINK("https://www.xiaohongshu.com/explore/6a2e59b8000000002101818a?xsec_token=TBhHjC2DWrdLZDWzxKRIYz52j2wkc_ftcehkHP6sBhBZ0=&amp;xsec_source=pc_trdark","https://www.xiaohongshu.com/explore/6a2e59b8000000002101818a?xsec_token=TBhHjC2DWrdLZDWzxKRIYz52j2wkc_ftcehkHP6sBhBZ0=&amp;xsec_source=pc_trdark")</f>
        <v>0.0</v>
      </c>
      <c r="D1003" t="inlineStr">
        <is>
          <t>菲菲上班吃什么</t>
        </is>
      </c>
      <c r="E1003" t="inlineStr">
        <is>
          <t>49936530607</t>
        </is>
      </c>
      <c r="F1003" t="inlineStr">
        <is>
          <t>2026-06-14 17:35:00</t>
        </is>
      </c>
      <c r="G1003" t="inlineStr">
        <is>
          <t>图文</t>
        </is>
      </c>
      <c r="H1003" t="inlineStr">
        <is>
          <t>手剥虾仁 无冰衣无添加 低脂餐一人食 上班带饭 顺丰包邮 5盒装</t>
        </is>
      </c>
      <c r="I1003" t="inlineStr">
        <is>
          <t>694baba01d450d00013662f0</t>
        </is>
      </c>
      <c r="J1003" t="inlineStr">
        <is>
          <t/>
        </is>
      </c>
      <c r="K1003" t="n">
        <v>0.0</v>
      </c>
      <c r="L1003" t="n">
        <v>0.0</v>
      </c>
      <c r="M1003" t="n">
        <v>0.0</v>
      </c>
      <c r="N1003" t="inlineStr">
        <is>
          <t/>
        </is>
      </c>
      <c r="O1003" t="n">
        <v>0.0</v>
      </c>
      <c r="P1003" t="n">
        <v>0.0</v>
      </c>
      <c r="Q1003" t="inlineStr">
        <is>
          <t/>
        </is>
      </c>
      <c r="R1003" t="inlineStr">
        <is>
          <t/>
        </is>
      </c>
      <c r="S1003" t="n">
        <v>0.0</v>
      </c>
      <c r="T1003" t="n">
        <v>0.0</v>
      </c>
      <c r="U1003" t="n">
        <v>0.0</v>
      </c>
      <c r="V1003" t="n">
        <v>0.0</v>
      </c>
      <c r="W1003" t="inlineStr">
        <is>
          <t/>
        </is>
      </c>
      <c r="X1003" t="n">
        <v>0.0</v>
      </c>
      <c r="Y1003" t="n">
        <v>0.0</v>
      </c>
      <c r="Z1003" t="n">
        <v>0.0</v>
      </c>
      <c r="AA1003" t="n">
        <v>0.0</v>
      </c>
      <c r="AB1003" t="n">
        <v>0.0</v>
      </c>
      <c r="AC1003" t="n">
        <v>0.0</v>
      </c>
      <c r="AD1003" t="n">
        <v>0.0</v>
      </c>
      <c r="AE1003" t="n">
        <v>0.0</v>
      </c>
      <c r="AF1003" t="n">
        <v>0.0</v>
      </c>
      <c r="AG1003" t="n">
        <v>0.0</v>
      </c>
      <c r="AH1003" t="n">
        <v>0.0</v>
      </c>
      <c r="AI1003" t="n">
        <v>0.0</v>
      </c>
      <c r="AJ1003" t="n">
        <v>0.0</v>
      </c>
      <c r="AK1003" t="inlineStr">
        <is>
          <t/>
        </is>
      </c>
      <c r="AL1003" t="inlineStr">
        <is>
          <t/>
        </is>
      </c>
    </row>
    <row r="1004">
      <c r="A1004" t="inlineStr">
        <is>
          <t>我也不想吃啊，可它69够我吃一周了😂</t>
        </is>
      </c>
      <c r="B1004" t="inlineStr">
        <is>
          <t>6a2e599b000000000702a953</t>
        </is>
      </c>
      <c r="C1004" s="1003" t="n">
        <f>HYPERLINK("https://www.xiaohongshu.com/explore/6a2e599b000000000702a953?xsec_token=TBhHjC2DWrdLZDWzxKRIYz54qB8siivS9I9HPq7npzwBU=&amp;xsec_source=pc_trdark","https://www.xiaohongshu.com/explore/6a2e599b000000000702a953?xsec_token=TBhHjC2DWrdLZDWzxKRIYz54qB8siivS9I9HPq7npzwBU=&amp;xsec_source=pc_trdark")</f>
        <v>0.0</v>
      </c>
      <c r="D1004" t="inlineStr">
        <is>
          <t>菲菲上班吃什么</t>
        </is>
      </c>
      <c r="E1004" t="inlineStr">
        <is>
          <t>49936530607</t>
        </is>
      </c>
      <c r="F1004" t="inlineStr">
        <is>
          <t>2026-06-14 15:34:51</t>
        </is>
      </c>
      <c r="G1004" t="inlineStr">
        <is>
          <t>图文</t>
        </is>
      </c>
      <c r="H1004" t="inlineStr">
        <is>
          <t>手剥虾仁 无冰衣无添加 低脂餐一人食 上班带饭 顺丰包邮 5盒装</t>
        </is>
      </c>
      <c r="I1004" t="inlineStr">
        <is>
          <t>694baba01d450d00013662f0</t>
        </is>
      </c>
      <c r="J1004" t="inlineStr">
        <is>
          <t/>
        </is>
      </c>
      <c r="K1004" t="n">
        <v>0.0</v>
      </c>
      <c r="L1004" t="n">
        <v>0.0</v>
      </c>
      <c r="M1004" t="n">
        <v>0.0</v>
      </c>
      <c r="N1004" t="inlineStr">
        <is>
          <t/>
        </is>
      </c>
      <c r="O1004" t="n">
        <v>0.0</v>
      </c>
      <c r="P1004" t="n">
        <v>0.0</v>
      </c>
      <c r="Q1004" t="inlineStr">
        <is>
          <t/>
        </is>
      </c>
      <c r="R1004" t="inlineStr">
        <is>
          <t/>
        </is>
      </c>
      <c r="S1004" t="n">
        <v>0.0</v>
      </c>
      <c r="T1004" t="n">
        <v>0.0</v>
      </c>
      <c r="U1004" t="n">
        <v>0.0</v>
      </c>
      <c r="V1004" t="n">
        <v>0.0</v>
      </c>
      <c r="W1004" t="inlineStr">
        <is>
          <t/>
        </is>
      </c>
      <c r="X1004" t="n">
        <v>0.0</v>
      </c>
      <c r="Y1004" t="n">
        <v>0.0</v>
      </c>
      <c r="Z1004" t="n">
        <v>0.0</v>
      </c>
      <c r="AA1004" t="n">
        <v>0.0</v>
      </c>
      <c r="AB1004" t="n">
        <v>0.0</v>
      </c>
      <c r="AC1004" t="n">
        <v>0.0</v>
      </c>
      <c r="AD1004" t="n">
        <v>0.0</v>
      </c>
      <c r="AE1004" t="n">
        <v>0.0</v>
      </c>
      <c r="AF1004" t="n">
        <v>0.0</v>
      </c>
      <c r="AG1004" t="n">
        <v>0.0</v>
      </c>
      <c r="AH1004" t="n">
        <v>0.0</v>
      </c>
      <c r="AI1004" t="n">
        <v>0.0</v>
      </c>
      <c r="AJ1004" t="n">
        <v>0.0</v>
      </c>
      <c r="AK1004" t="inlineStr">
        <is>
          <t/>
        </is>
      </c>
      <c r="AL1004" t="inlineStr">
        <is>
          <t/>
        </is>
      </c>
    </row>
    <row r="1005">
      <c r="A1005" t="inlineStr">
        <is>
          <t>区区100多，解决了我一周的减脂餐</t>
        </is>
      </c>
      <c r="B1005" t="inlineStr">
        <is>
          <t>6a2e27930000000007011c0f</t>
        </is>
      </c>
      <c r="C1005" s="1004" t="n">
        <f>HYPERLINK("https://www.xiaohongshu.com/explore/6a2e27930000000007011c0f?xsec_token=TBhHjC2DWrdLZDWzxKRIYz53_1ytHR0nfpBarD9UfdJAM=&amp;xsec_source=pc_trdark","https://www.xiaohongshu.com/explore/6a2e27930000000007011c0f?xsec_token=TBhHjC2DWrdLZDWzxKRIYz53_1ytHR0nfpBarD9UfdJAM=&amp;xsec_source=pc_trdark")</f>
        <v>0.0</v>
      </c>
      <c r="D1005" t="inlineStr">
        <is>
          <t>菲菲上班吃什么</t>
        </is>
      </c>
      <c r="E1005" t="inlineStr">
        <is>
          <t>49936530607</t>
        </is>
      </c>
      <c r="F1005" t="inlineStr">
        <is>
          <t>2026-06-14 12:01:23</t>
        </is>
      </c>
      <c r="G1005" t="inlineStr">
        <is>
          <t>图文</t>
        </is>
      </c>
      <c r="H1005" t="inlineStr">
        <is>
          <t>手剥虾仁 无冰衣无添加 低脂餐一人食 上班带饭 顺丰包邮 5盒装</t>
        </is>
      </c>
      <c r="I1005" t="inlineStr">
        <is>
          <t>694baba01d450d00013662f0</t>
        </is>
      </c>
      <c r="J1005" t="inlineStr">
        <is>
          <t/>
        </is>
      </c>
      <c r="K1005" t="n">
        <v>0.0</v>
      </c>
      <c r="L1005" t="n">
        <v>0.0</v>
      </c>
      <c r="M1005" t="n">
        <v>0.0</v>
      </c>
      <c r="N1005" t="inlineStr">
        <is>
          <t/>
        </is>
      </c>
      <c r="O1005" t="n">
        <v>0.0</v>
      </c>
      <c r="P1005" t="n">
        <v>0.0</v>
      </c>
      <c r="Q1005" t="inlineStr">
        <is>
          <t/>
        </is>
      </c>
      <c r="R1005" t="inlineStr">
        <is>
          <t/>
        </is>
      </c>
      <c r="S1005" t="n">
        <v>0.0</v>
      </c>
      <c r="T1005" t="n">
        <v>0.0</v>
      </c>
      <c r="U1005" t="n">
        <v>0.0</v>
      </c>
      <c r="V1005" t="n">
        <v>0.0</v>
      </c>
      <c r="W1005" t="inlineStr">
        <is>
          <t/>
        </is>
      </c>
      <c r="X1005" t="n">
        <v>0.0</v>
      </c>
      <c r="Y1005" t="n">
        <v>0.0</v>
      </c>
      <c r="Z1005" t="n">
        <v>0.0</v>
      </c>
      <c r="AA1005" t="n">
        <v>0.0</v>
      </c>
      <c r="AB1005" t="n">
        <v>0.0</v>
      </c>
      <c r="AC1005" t="n">
        <v>0.0</v>
      </c>
      <c r="AD1005" t="n">
        <v>0.0</v>
      </c>
      <c r="AE1005" t="n">
        <v>0.0</v>
      </c>
      <c r="AF1005" t="n">
        <v>0.0</v>
      </c>
      <c r="AG1005" t="n">
        <v>0.0</v>
      </c>
      <c r="AH1005" t="n">
        <v>0.0</v>
      </c>
      <c r="AI1005" t="n">
        <v>0.0</v>
      </c>
      <c r="AJ1005" t="n">
        <v>0.0</v>
      </c>
      <c r="AK1005" t="inlineStr">
        <is>
          <t/>
        </is>
      </c>
      <c r="AL1005" t="inlineStr">
        <is>
          <t/>
        </is>
      </c>
    </row>
    <row r="1006">
      <c r="A1006" t="inlineStr">
        <is>
          <t>69囤的虾仁，居然让我开始做饭了😂</t>
        </is>
      </c>
      <c r="B1006" t="inlineStr">
        <is>
          <t>6a2d3a5e000000003502778f</t>
        </is>
      </c>
      <c r="C1006" s="1005" t="n">
        <f>HYPERLINK("https://www.xiaohongshu.com/explore/6a2d3a5e000000003502778f?xsec_token=TBzgoa2COAFk8AkHvWhIePLaAROkTKnyW0bc3kVLWJ5TM=&amp;xsec_source=pc_trdark","https://www.xiaohongshu.com/explore/6a2d3a5e000000003502778f?xsec_token=TBzgoa2COAFk8AkHvWhIePLaAROkTKnyW0bc3kVLWJ5TM=&amp;xsec_source=pc_trdark")</f>
        <v>0.0</v>
      </c>
      <c r="D1006" t="inlineStr">
        <is>
          <t>鲜水湾甄选</t>
        </is>
      </c>
      <c r="E1006" t="inlineStr">
        <is>
          <t>27401929161</t>
        </is>
      </c>
      <c r="F1006" t="inlineStr">
        <is>
          <t>2026-06-13 19:47:00</t>
        </is>
      </c>
      <c r="G1006" t="inlineStr">
        <is>
          <t>图文</t>
        </is>
      </c>
      <c r="H1006" t="inlineStr">
        <is>
          <t>手剥虾仁 无冰衣无添加 低脂餐一人食 上班带饭 顺丰包邮 5盒装</t>
        </is>
      </c>
      <c r="I1006" t="inlineStr">
        <is>
          <t>694baba01d450d00013662f0</t>
        </is>
      </c>
      <c r="J1006" t="inlineStr">
        <is>
          <t/>
        </is>
      </c>
      <c r="K1006" t="n">
        <v>0.0</v>
      </c>
      <c r="L1006" t="n">
        <v>0.0</v>
      </c>
      <c r="M1006" t="n">
        <v>0.0</v>
      </c>
      <c r="N1006" t="inlineStr">
        <is>
          <t/>
        </is>
      </c>
      <c r="O1006" t="n">
        <v>0.0</v>
      </c>
      <c r="P1006" t="n">
        <v>0.0</v>
      </c>
      <c r="Q1006" t="inlineStr">
        <is>
          <t/>
        </is>
      </c>
      <c r="R1006" t="inlineStr">
        <is>
          <t/>
        </is>
      </c>
      <c r="S1006" t="n">
        <v>0.0</v>
      </c>
      <c r="T1006" t="n">
        <v>0.0</v>
      </c>
      <c r="U1006" t="n">
        <v>0.0</v>
      </c>
      <c r="V1006" t="n">
        <v>0.0</v>
      </c>
      <c r="W1006" t="inlineStr">
        <is>
          <t/>
        </is>
      </c>
      <c r="X1006" t="n">
        <v>0.0</v>
      </c>
      <c r="Y1006" t="n">
        <v>0.0</v>
      </c>
      <c r="Z1006" t="n">
        <v>0.0</v>
      </c>
      <c r="AA1006" t="n">
        <v>0.0</v>
      </c>
      <c r="AB1006" t="n">
        <v>0.0</v>
      </c>
      <c r="AC1006" t="n">
        <v>0.0</v>
      </c>
      <c r="AD1006" t="n">
        <v>0.0</v>
      </c>
      <c r="AE1006" t="n">
        <v>0.0</v>
      </c>
      <c r="AF1006" t="n">
        <v>0.0</v>
      </c>
      <c r="AG1006" t="n">
        <v>0.0</v>
      </c>
      <c r="AH1006" t="n">
        <v>0.0</v>
      </c>
      <c r="AI1006" t="n">
        <v>0.0</v>
      </c>
      <c r="AJ1006" t="n">
        <v>0.0</v>
      </c>
      <c r="AK1006" t="inlineStr">
        <is>
          <t/>
        </is>
      </c>
      <c r="AL1006" t="inlineStr">
        <is>
          <t/>
        </is>
      </c>
    </row>
    <row r="1007">
      <c r="A1007" t="inlineStr">
        <is>
          <t>好吃我已经说累了，69块💰一周减脂餐！！！</t>
        </is>
      </c>
      <c r="B1007" t="inlineStr">
        <is>
          <t>6a2d3a4f000000003502b365</t>
        </is>
      </c>
      <c r="C1007" s="1006" t="n">
        <f>HYPERLINK("https://www.xiaohongshu.com/explore/6a2d3a4f000000003502b365?xsec_token=TBzgoa2COAFk8AkHvWhIePLasJwqwxRHhumpmWJGzajCw=&amp;xsec_source=pc_trdark","https://www.xiaohongshu.com/explore/6a2d3a4f000000003502b365?xsec_token=TBzgoa2COAFk8AkHvWhIePLasJwqwxRHhumpmWJGzajCw=&amp;xsec_source=pc_trdark")</f>
        <v>0.0</v>
      </c>
      <c r="D1007" t="inlineStr">
        <is>
          <t>鲜水湾甄选</t>
        </is>
      </c>
      <c r="E1007" t="inlineStr">
        <is>
          <t>27401929161</t>
        </is>
      </c>
      <c r="F1007" t="inlineStr">
        <is>
          <t>2026-06-13 19:09:03</t>
        </is>
      </c>
      <c r="G1007" t="inlineStr">
        <is>
          <t>图文</t>
        </is>
      </c>
      <c r="H1007" t="inlineStr">
        <is>
          <t>手剥虾仁 无冰衣无添加 低脂餐一人食 上班带饭 顺丰包邮 5盒装</t>
        </is>
      </c>
      <c r="I1007" t="inlineStr">
        <is>
          <t>694baba01d450d00013662f0</t>
        </is>
      </c>
      <c r="J1007" t="inlineStr">
        <is>
          <t/>
        </is>
      </c>
      <c r="K1007" t="n">
        <v>0.0</v>
      </c>
      <c r="L1007" t="n">
        <v>0.0</v>
      </c>
      <c r="M1007" t="n">
        <v>0.0</v>
      </c>
      <c r="N1007" t="inlineStr">
        <is>
          <t/>
        </is>
      </c>
      <c r="O1007" t="n">
        <v>0.0</v>
      </c>
      <c r="P1007" t="n">
        <v>0.0</v>
      </c>
      <c r="Q1007" t="inlineStr">
        <is>
          <t/>
        </is>
      </c>
      <c r="R1007" t="inlineStr">
        <is>
          <t/>
        </is>
      </c>
      <c r="S1007" t="n">
        <v>0.0</v>
      </c>
      <c r="T1007" t="n">
        <v>0.0</v>
      </c>
      <c r="U1007" t="n">
        <v>0.0</v>
      </c>
      <c r="V1007" t="n">
        <v>0.0</v>
      </c>
      <c r="W1007" t="inlineStr">
        <is>
          <t/>
        </is>
      </c>
      <c r="X1007" t="n">
        <v>0.0</v>
      </c>
      <c r="Y1007" t="n">
        <v>0.0</v>
      </c>
      <c r="Z1007" t="n">
        <v>0.0</v>
      </c>
      <c r="AA1007" t="n">
        <v>0.0</v>
      </c>
      <c r="AB1007" t="n">
        <v>0.0</v>
      </c>
      <c r="AC1007" t="n">
        <v>0.0</v>
      </c>
      <c r="AD1007" t="n">
        <v>0.0</v>
      </c>
      <c r="AE1007" t="n">
        <v>0.0</v>
      </c>
      <c r="AF1007" t="n">
        <v>0.0</v>
      </c>
      <c r="AG1007" t="n">
        <v>0.0</v>
      </c>
      <c r="AH1007" t="n">
        <v>0.0</v>
      </c>
      <c r="AI1007" t="n">
        <v>0.0</v>
      </c>
      <c r="AJ1007" t="n">
        <v>0.0</v>
      </c>
      <c r="AK1007" t="inlineStr">
        <is>
          <t/>
        </is>
      </c>
      <c r="AL1007" t="inlineStr">
        <is>
          <t/>
        </is>
      </c>
    </row>
    <row r="1008">
      <c r="A1008" t="inlineStr">
        <is>
          <t>爸妈对于我每天吃虾仁表示很奢侈😭</t>
        </is>
      </c>
      <c r="B1008" t="inlineStr">
        <is>
          <t>6a2d3a09000000000603090a</t>
        </is>
      </c>
      <c r="C1008" s="1007" t="n">
        <f>HYPERLINK("https://www.xiaohongshu.com/explore/6a2d3a09000000000603090a?xsec_token=TBzgoa2COAFk8AkHvWhIePLREz7i651t7mS2Hes0corns=&amp;xsec_source=pc_trdark","https://www.xiaohongshu.com/explore/6a2d3a09000000000603090a?xsec_token=TBzgoa2COAFk8AkHvWhIePLREz7i651t7mS2Hes0corns=&amp;xsec_source=pc_trdark")</f>
        <v>0.0</v>
      </c>
      <c r="D1008" t="inlineStr">
        <is>
          <t>菲菲上班吃什么</t>
        </is>
      </c>
      <c r="E1008" t="inlineStr">
        <is>
          <t>49936530607</t>
        </is>
      </c>
      <c r="F1008" t="inlineStr">
        <is>
          <t>2026-06-13 19:59:00</t>
        </is>
      </c>
      <c r="G1008" t="inlineStr">
        <is>
          <t>图文</t>
        </is>
      </c>
      <c r="H1008" t="inlineStr">
        <is>
          <t>手剥虾仁 无冰衣无添加 低脂餐一人食 上班带饭 顺丰包邮 5盒装</t>
        </is>
      </c>
      <c r="I1008" t="inlineStr">
        <is>
          <t>694baba01d450d00013662f0</t>
        </is>
      </c>
      <c r="J1008" t="inlineStr">
        <is>
          <t/>
        </is>
      </c>
      <c r="K1008" t="n">
        <v>0.0</v>
      </c>
      <c r="L1008" t="n">
        <v>0.0</v>
      </c>
      <c r="M1008" t="n">
        <v>0.0</v>
      </c>
      <c r="N1008" t="inlineStr">
        <is>
          <t/>
        </is>
      </c>
      <c r="O1008" t="n">
        <v>0.0</v>
      </c>
      <c r="P1008" t="n">
        <v>0.0</v>
      </c>
      <c r="Q1008" t="inlineStr">
        <is>
          <t/>
        </is>
      </c>
      <c r="R1008" t="inlineStr">
        <is>
          <t/>
        </is>
      </c>
      <c r="S1008" t="n">
        <v>0.0</v>
      </c>
      <c r="T1008" t="n">
        <v>0.0</v>
      </c>
      <c r="U1008" t="n">
        <v>0.0</v>
      </c>
      <c r="V1008" t="n">
        <v>0.0</v>
      </c>
      <c r="W1008" t="inlineStr">
        <is>
          <t/>
        </is>
      </c>
      <c r="X1008" t="n">
        <v>0.0</v>
      </c>
      <c r="Y1008" t="n">
        <v>0.0</v>
      </c>
      <c r="Z1008" t="n">
        <v>0.0</v>
      </c>
      <c r="AA1008" t="n">
        <v>0.0</v>
      </c>
      <c r="AB1008" t="n">
        <v>0.0</v>
      </c>
      <c r="AC1008" t="n">
        <v>0.0</v>
      </c>
      <c r="AD1008" t="n">
        <v>0.0</v>
      </c>
      <c r="AE1008" t="n">
        <v>0.0</v>
      </c>
      <c r="AF1008" t="n">
        <v>0.0</v>
      </c>
      <c r="AG1008" t="n">
        <v>0.0</v>
      </c>
      <c r="AH1008" t="n">
        <v>0.0</v>
      </c>
      <c r="AI1008" t="n">
        <v>0.0</v>
      </c>
      <c r="AJ1008" t="n">
        <v>0.0</v>
      </c>
      <c r="AK1008" t="inlineStr">
        <is>
          <t/>
        </is>
      </c>
      <c r="AL1008" t="inlineStr">
        <is>
          <t/>
        </is>
      </c>
    </row>
    <row r="1009">
      <c r="A1009" t="inlineStr">
        <is>
          <t>我承认，是虾仁让我开始认真吃饭了！！！！</t>
        </is>
      </c>
      <c r="B1009" t="inlineStr">
        <is>
          <t>6a2d39f5000000002103e1d2</t>
        </is>
      </c>
      <c r="C1009" s="1008" t="n">
        <f>HYPERLINK("https://www.xiaohongshu.com/explore/6a2d39f5000000002103e1d2?xsec_token=TBzgoa2COAFk8AkHvWhIePLb0CJIGx2macPZk1ybLzbB4=&amp;xsec_source=pc_trdark","https://www.xiaohongshu.com/explore/6a2d39f5000000002103e1d2?xsec_token=TBzgoa2COAFk8AkHvWhIePLb0CJIGx2macPZk1ybLzbB4=&amp;xsec_source=pc_trdark")</f>
        <v>0.0</v>
      </c>
      <c r="D1009" t="inlineStr">
        <is>
          <t>菲菲上班吃什么</t>
        </is>
      </c>
      <c r="E1009" t="inlineStr">
        <is>
          <t>49936530607</t>
        </is>
      </c>
      <c r="F1009" t="inlineStr">
        <is>
          <t>2026-06-13 19:07:33</t>
        </is>
      </c>
      <c r="G1009" t="inlineStr">
        <is>
          <t>图文</t>
        </is>
      </c>
      <c r="H1009" t="inlineStr">
        <is>
          <t>手剥虾仁 无冰衣无添加 低脂餐一人食 上班带饭 顺丰包邮 5盒装</t>
        </is>
      </c>
      <c r="I1009" t="inlineStr">
        <is>
          <t>694baba01d450d00013662f0</t>
        </is>
      </c>
      <c r="J1009" t="inlineStr">
        <is>
          <t/>
        </is>
      </c>
      <c r="K1009" t="n">
        <v>0.0</v>
      </c>
      <c r="L1009" t="n">
        <v>0.0</v>
      </c>
      <c r="M1009" t="n">
        <v>0.0</v>
      </c>
      <c r="N1009" t="inlineStr">
        <is>
          <t/>
        </is>
      </c>
      <c r="O1009" t="n">
        <v>0.0</v>
      </c>
      <c r="P1009" t="n">
        <v>0.0</v>
      </c>
      <c r="Q1009" t="inlineStr">
        <is>
          <t/>
        </is>
      </c>
      <c r="R1009" t="inlineStr">
        <is>
          <t/>
        </is>
      </c>
      <c r="S1009" t="n">
        <v>0.0</v>
      </c>
      <c r="T1009" t="n">
        <v>0.0</v>
      </c>
      <c r="U1009" t="n">
        <v>0.0</v>
      </c>
      <c r="V1009" t="n">
        <v>0.0</v>
      </c>
      <c r="W1009" t="inlineStr">
        <is>
          <t/>
        </is>
      </c>
      <c r="X1009" t="n">
        <v>0.0</v>
      </c>
      <c r="Y1009" t="n">
        <v>0.0</v>
      </c>
      <c r="Z1009" t="n">
        <v>0.0</v>
      </c>
      <c r="AA1009" t="n">
        <v>0.0</v>
      </c>
      <c r="AB1009" t="n">
        <v>0.0</v>
      </c>
      <c r="AC1009" t="n">
        <v>0.0</v>
      </c>
      <c r="AD1009" t="n">
        <v>0.0</v>
      </c>
      <c r="AE1009" t="n">
        <v>0.0</v>
      </c>
      <c r="AF1009" t="n">
        <v>0.0</v>
      </c>
      <c r="AG1009" t="n">
        <v>0.0</v>
      </c>
      <c r="AH1009" t="n">
        <v>0.0</v>
      </c>
      <c r="AI1009" t="n">
        <v>0.0</v>
      </c>
      <c r="AJ1009" t="n">
        <v>0.0</v>
      </c>
      <c r="AK1009" t="inlineStr">
        <is>
          <t/>
        </is>
      </c>
      <c r="AL1009" t="inlineStr">
        <is>
          <t/>
        </is>
      </c>
    </row>
    <row r="1010">
      <c r="A1010" t="inlineStr">
        <is>
          <t>69块承包一周减脂餐，真真真香⚠️</t>
        </is>
      </c>
      <c r="B1010" t="inlineStr">
        <is>
          <t>6a2d04bd00000000220147c8</t>
        </is>
      </c>
      <c r="C1010" s="1009" t="n">
        <f>HYPERLINK("https://www.xiaohongshu.com/explore/6a2d04bd00000000220147c8?xsec_token=TBzgoa2COAFk8AkHvWhIePLbg6NhDImbs04E-NtpJH4t8=&amp;xsec_source=pc_trdark","https://www.xiaohongshu.com/explore/6a2d04bd00000000220147c8?xsec_token=TBzgoa2COAFk8AkHvWhIePLbg6NhDImbs04E-NtpJH4t8=&amp;xsec_source=pc_trdark")</f>
        <v>0.0</v>
      </c>
      <c r="D1010" t="inlineStr">
        <is>
          <t>菲菲上班吃什么</t>
        </is>
      </c>
      <c r="E1010" t="inlineStr">
        <is>
          <t>49936530607</t>
        </is>
      </c>
      <c r="F1010" t="inlineStr">
        <is>
          <t>2026-06-13 15:20:29</t>
        </is>
      </c>
      <c r="G1010" t="inlineStr">
        <is>
          <t>图文</t>
        </is>
      </c>
      <c r="H1010" t="inlineStr">
        <is>
          <t>手剥虾仁 无冰衣无添加 低脂餐一人食 上班带饭 顺丰包邮 5盒装</t>
        </is>
      </c>
      <c r="I1010" t="inlineStr">
        <is>
          <t>694baba01d450d00013662f0</t>
        </is>
      </c>
      <c r="J1010" t="inlineStr">
        <is>
          <t/>
        </is>
      </c>
      <c r="K1010" t="n">
        <v>0.0</v>
      </c>
      <c r="L1010" t="n">
        <v>0.0</v>
      </c>
      <c r="M1010" t="n">
        <v>0.0</v>
      </c>
      <c r="N1010" t="inlineStr">
        <is>
          <t/>
        </is>
      </c>
      <c r="O1010" t="n">
        <v>0.0</v>
      </c>
      <c r="P1010" t="n">
        <v>0.0</v>
      </c>
      <c r="Q1010" t="inlineStr">
        <is>
          <t/>
        </is>
      </c>
      <c r="R1010" t="inlineStr">
        <is>
          <t/>
        </is>
      </c>
      <c r="S1010" t="n">
        <v>0.0</v>
      </c>
      <c r="T1010" t="n">
        <v>0.0</v>
      </c>
      <c r="U1010" t="n">
        <v>0.0</v>
      </c>
      <c r="V1010" t="n">
        <v>0.0</v>
      </c>
      <c r="W1010" t="inlineStr">
        <is>
          <t/>
        </is>
      </c>
      <c r="X1010" t="n">
        <v>0.0</v>
      </c>
      <c r="Y1010" t="n">
        <v>0.0</v>
      </c>
      <c r="Z1010" t="n">
        <v>0.0</v>
      </c>
      <c r="AA1010" t="n">
        <v>0.0</v>
      </c>
      <c r="AB1010" t="n">
        <v>0.0</v>
      </c>
      <c r="AC1010" t="n">
        <v>0.0</v>
      </c>
      <c r="AD1010" t="n">
        <v>0.0</v>
      </c>
      <c r="AE1010" t="n">
        <v>0.0</v>
      </c>
      <c r="AF1010" t="n">
        <v>0.0</v>
      </c>
      <c r="AG1010" t="n">
        <v>0.0</v>
      </c>
      <c r="AH1010" t="n">
        <v>0.0</v>
      </c>
      <c r="AI1010" t="n">
        <v>0.0</v>
      </c>
      <c r="AJ1010" t="n">
        <v>0.0</v>
      </c>
      <c r="AK1010" t="inlineStr">
        <is>
          <t/>
        </is>
      </c>
      <c r="AL1010" t="inlineStr">
        <is>
          <t/>
        </is>
      </c>
    </row>
    <row r="1011">
      <c r="A1011" t="inlineStr">
        <is>
          <t>真别低估了100来块的购买力，够吃半个月了</t>
        </is>
      </c>
      <c r="B1011" t="inlineStr">
        <is>
          <t>6a2cd9d00000000021023f17</t>
        </is>
      </c>
      <c r="C1011" s="1010" t="n">
        <f>HYPERLINK("https://www.xiaohongshu.com/explore/6a2cd9d00000000021023f17?xsec_token=TBXfyg70k-fjSy8LCGl6_2c27Ijdq4x_xtbXwC06hXuZo=&amp;xsec_source=pc_trdark","https://www.xiaohongshu.com/explore/6a2cd9d00000000021023f17?xsec_token=TBXfyg70k-fjSy8LCGl6_2c27Ijdq4x_xtbXwC06hXuZo=&amp;xsec_source=pc_trdark")</f>
        <v>0.0</v>
      </c>
      <c r="D1011" t="inlineStr">
        <is>
          <t>菲菲上班吃什么</t>
        </is>
      </c>
      <c r="E1011" t="inlineStr">
        <is>
          <t>49936530607</t>
        </is>
      </c>
      <c r="F1011" t="inlineStr">
        <is>
          <t>2026-06-13 12:17:20</t>
        </is>
      </c>
      <c r="G1011" t="inlineStr">
        <is>
          <t>图文</t>
        </is>
      </c>
      <c r="H1011" t="inlineStr">
        <is>
          <t>手剥虾仁 无冰衣无添加 低脂餐一人食 上班带饭 顺丰包邮 5盒装</t>
        </is>
      </c>
      <c r="I1011" t="inlineStr">
        <is>
          <t>694baba01d450d00013662f0</t>
        </is>
      </c>
      <c r="J1011" t="inlineStr">
        <is>
          <t/>
        </is>
      </c>
      <c r="K1011" t="n">
        <v>0.0</v>
      </c>
      <c r="L1011" t="n">
        <v>0.0</v>
      </c>
      <c r="M1011" t="n">
        <v>0.0</v>
      </c>
      <c r="N1011" t="inlineStr">
        <is>
          <t/>
        </is>
      </c>
      <c r="O1011" t="n">
        <v>0.0</v>
      </c>
      <c r="P1011" t="n">
        <v>0.0</v>
      </c>
      <c r="Q1011" t="inlineStr">
        <is>
          <t/>
        </is>
      </c>
      <c r="R1011" t="inlineStr">
        <is>
          <t/>
        </is>
      </c>
      <c r="S1011" t="n">
        <v>0.0</v>
      </c>
      <c r="T1011" t="n">
        <v>0.0</v>
      </c>
      <c r="U1011" t="n">
        <v>0.0</v>
      </c>
      <c r="V1011" t="n">
        <v>0.0</v>
      </c>
      <c r="W1011" t="inlineStr">
        <is>
          <t/>
        </is>
      </c>
      <c r="X1011" t="n">
        <v>0.0</v>
      </c>
      <c r="Y1011" t="n">
        <v>0.0</v>
      </c>
      <c r="Z1011" t="n">
        <v>0.0</v>
      </c>
      <c r="AA1011" t="n">
        <v>0.0</v>
      </c>
      <c r="AB1011" t="n">
        <v>0.0</v>
      </c>
      <c r="AC1011" t="n">
        <v>0.0</v>
      </c>
      <c r="AD1011" t="n">
        <v>0.0</v>
      </c>
      <c r="AE1011" t="n">
        <v>0.0</v>
      </c>
      <c r="AF1011" t="n">
        <v>0.0</v>
      </c>
      <c r="AG1011" t="n">
        <v>0.0</v>
      </c>
      <c r="AH1011" t="n">
        <v>0.0</v>
      </c>
      <c r="AI1011" t="n">
        <v>0.0</v>
      </c>
      <c r="AJ1011" t="n">
        <v>0.0</v>
      </c>
      <c r="AK1011" t="inlineStr">
        <is>
          <t/>
        </is>
      </c>
      <c r="AL1011" t="inlineStr">
        <is>
          <t/>
        </is>
      </c>
    </row>
    <row r="1012">
      <c r="A1012" t="inlineStr">
        <is>
          <t>上班族带饭党的天塌了又好了！！</t>
        </is>
      </c>
      <c r="B1012" t="inlineStr">
        <is>
          <t>6a2cd2420000000022016a7f</t>
        </is>
      </c>
      <c r="C1012" s="1011" t="n">
        <f>HYPERLINK("https://www.xiaohongshu.com/explore/6a2cd2420000000022016a7f?xsec_token=TBXfyg70k-fjSy8LCGl6_2czIQu1Vry6XrwUIGE5Qqo-g=&amp;xsec_source=pc_trdark","https://www.xiaohongshu.com/explore/6a2cd2420000000022016a7f?xsec_token=TBXfyg70k-fjSy8LCGl6_2czIQu1Vry6XrwUIGE5Qqo-g=&amp;xsec_source=pc_trdark")</f>
        <v>0.0</v>
      </c>
      <c r="D1012" t="inlineStr">
        <is>
          <t>菲菲上班吃什么</t>
        </is>
      </c>
      <c r="E1012" t="inlineStr">
        <is>
          <t>49936530607</t>
        </is>
      </c>
      <c r="F1012" t="inlineStr">
        <is>
          <t>2026-06-13 11:45:06</t>
        </is>
      </c>
      <c r="G1012" t="inlineStr">
        <is>
          <t>图文</t>
        </is>
      </c>
      <c r="H1012" t="inlineStr">
        <is>
          <t>手剥虾仁 无冰衣无添加 低脂餐一人食 上班带饭 顺丰包邮 5盒装</t>
        </is>
      </c>
      <c r="I1012" t="inlineStr">
        <is>
          <t>694baba01d450d00013662f0</t>
        </is>
      </c>
      <c r="J1012" t="inlineStr">
        <is>
          <t/>
        </is>
      </c>
      <c r="K1012" t="n">
        <v>0.0</v>
      </c>
      <c r="L1012" t="n">
        <v>0.0</v>
      </c>
      <c r="M1012" t="n">
        <v>0.0</v>
      </c>
      <c r="N1012" t="inlineStr">
        <is>
          <t/>
        </is>
      </c>
      <c r="O1012" t="n">
        <v>0.0</v>
      </c>
      <c r="P1012" t="n">
        <v>0.0</v>
      </c>
      <c r="Q1012" t="inlineStr">
        <is>
          <t/>
        </is>
      </c>
      <c r="R1012" t="inlineStr">
        <is>
          <t/>
        </is>
      </c>
      <c r="S1012" t="n">
        <v>0.0</v>
      </c>
      <c r="T1012" t="n">
        <v>0.0</v>
      </c>
      <c r="U1012" t="n">
        <v>0.0</v>
      </c>
      <c r="V1012" t="n">
        <v>0.0</v>
      </c>
      <c r="W1012" t="inlineStr">
        <is>
          <t/>
        </is>
      </c>
      <c r="X1012" t="n">
        <v>0.0</v>
      </c>
      <c r="Y1012" t="n">
        <v>0.0</v>
      </c>
      <c r="Z1012" t="n">
        <v>0.0</v>
      </c>
      <c r="AA1012" t="n">
        <v>0.0</v>
      </c>
      <c r="AB1012" t="n">
        <v>0.0</v>
      </c>
      <c r="AC1012" t="n">
        <v>0.0</v>
      </c>
      <c r="AD1012" t="n">
        <v>0.0</v>
      </c>
      <c r="AE1012" t="n">
        <v>0.0</v>
      </c>
      <c r="AF1012" t="n">
        <v>0.0</v>
      </c>
      <c r="AG1012" t="n">
        <v>0.0</v>
      </c>
      <c r="AH1012" t="n">
        <v>0.0</v>
      </c>
      <c r="AI1012" t="n">
        <v>0.0</v>
      </c>
      <c r="AJ1012" t="n">
        <v>0.0</v>
      </c>
      <c r="AK1012" t="inlineStr">
        <is>
          <t/>
        </is>
      </c>
      <c r="AL1012" t="inlineStr">
        <is>
          <t/>
        </is>
      </c>
    </row>
    <row r="1013">
      <c r="A1013" t="inlineStr">
        <is>
          <t>控体期，同事以为我天天点轻食🥹</t>
        </is>
      </c>
      <c r="B1013" t="inlineStr">
        <is>
          <t>6a2bf45300000000200381d5</t>
        </is>
      </c>
      <c r="C1013" s="1012" t="n">
        <f>HYPERLINK("https://www.xiaohongshu.com/explore/6a2bf45300000000200381d5?xsec_token=TB6z4gaYVtaJENMGYq0Pmb5PsBc5bFqc69_Nguu_gAI-8=&amp;xsec_source=pc_trdark","https://www.xiaohongshu.com/explore/6a2bf45300000000200381d5?xsec_token=TB6z4gaYVtaJENMGYq0Pmb5PsBc5bFqc69_Nguu_gAI-8=&amp;xsec_source=pc_trdark")</f>
        <v>0.0</v>
      </c>
      <c r="D1013" t="inlineStr">
        <is>
          <t>菲菲上班吃什么</t>
        </is>
      </c>
      <c r="E1013" t="inlineStr">
        <is>
          <t>49936530607</t>
        </is>
      </c>
      <c r="F1013" t="inlineStr">
        <is>
          <t>2026-06-12 21:41:00</t>
        </is>
      </c>
      <c r="G1013" t="inlineStr">
        <is>
          <t>图文</t>
        </is>
      </c>
      <c r="H1013" t="inlineStr">
        <is>
          <t>手剥虾仁 无冰衣无添加 低脂餐一人食 上班带饭 顺丰包邮 5盒装</t>
        </is>
      </c>
      <c r="I1013" t="inlineStr">
        <is>
          <t>694baba01d450d00013662f0</t>
        </is>
      </c>
      <c r="J1013" t="inlineStr">
        <is>
          <t/>
        </is>
      </c>
      <c r="K1013" t="n">
        <v>0.0</v>
      </c>
      <c r="L1013" t="n">
        <v>0.0</v>
      </c>
      <c r="M1013" t="n">
        <v>0.0</v>
      </c>
      <c r="N1013" t="inlineStr">
        <is>
          <t/>
        </is>
      </c>
      <c r="O1013" t="n">
        <v>0.0</v>
      </c>
      <c r="P1013" t="n">
        <v>0.0</v>
      </c>
      <c r="Q1013" t="inlineStr">
        <is>
          <t/>
        </is>
      </c>
      <c r="R1013" t="inlineStr">
        <is>
          <t/>
        </is>
      </c>
      <c r="S1013" t="n">
        <v>0.0</v>
      </c>
      <c r="T1013" t="n">
        <v>0.0</v>
      </c>
      <c r="U1013" t="n">
        <v>0.0</v>
      </c>
      <c r="V1013" t="n">
        <v>0.0</v>
      </c>
      <c r="W1013" t="inlineStr">
        <is>
          <t/>
        </is>
      </c>
      <c r="X1013" t="n">
        <v>0.0</v>
      </c>
      <c r="Y1013" t="n">
        <v>0.0</v>
      </c>
      <c r="Z1013" t="n">
        <v>0.0</v>
      </c>
      <c r="AA1013" t="n">
        <v>0.0</v>
      </c>
      <c r="AB1013" t="n">
        <v>0.0</v>
      </c>
      <c r="AC1013" t="n">
        <v>0.0</v>
      </c>
      <c r="AD1013" t="n">
        <v>0.0</v>
      </c>
      <c r="AE1013" t="n">
        <v>0.0</v>
      </c>
      <c r="AF1013" t="n">
        <v>0.0</v>
      </c>
      <c r="AG1013" t="n">
        <v>0.0</v>
      </c>
      <c r="AH1013" t="n">
        <v>0.0</v>
      </c>
      <c r="AI1013" t="n">
        <v>0.0</v>
      </c>
      <c r="AJ1013" t="n">
        <v>0.0</v>
      </c>
      <c r="AK1013" t="inlineStr">
        <is>
          <t/>
        </is>
      </c>
      <c r="AL1013" t="inlineStr">
        <is>
          <t/>
        </is>
      </c>
    </row>
    <row r="1014">
      <c r="A1014" t="inlineStr">
        <is>
          <t>控体期这种吃法…真要瘦干螂了…</t>
        </is>
      </c>
      <c r="B1014" t="inlineStr">
        <is>
          <t>6a2bf43600000000080275e9</t>
        </is>
      </c>
      <c r="C1014" s="1013" t="n">
        <f>HYPERLINK("https://www.xiaohongshu.com/explore/6a2bf43600000000080275e9?xsec_token=TB6z4gaYVtaJENMGYq0Pmb5Ak9qA1ows3n4UpKrNOr_I8=&amp;xsec_source=pc_trdark","https://www.xiaohongshu.com/explore/6a2bf43600000000080275e9?xsec_token=TB6z4gaYVtaJENMGYq0Pmb5Ak9qA1ows3n4UpKrNOr_I8=&amp;xsec_source=pc_trdark")</f>
        <v>0.0</v>
      </c>
      <c r="D1014" t="inlineStr">
        <is>
          <t>菲菲上班吃什么</t>
        </is>
      </c>
      <c r="E1014" t="inlineStr">
        <is>
          <t>49936530607</t>
        </is>
      </c>
      <c r="F1014" t="inlineStr">
        <is>
          <t>2026-06-12 19:57:42</t>
        </is>
      </c>
      <c r="G1014" t="inlineStr">
        <is>
          <t>图文</t>
        </is>
      </c>
      <c r="H1014" t="inlineStr">
        <is>
          <t>手剥虾仁 无冰衣无添加 低脂餐一人食 上班带饭 顺丰包邮 5盒装</t>
        </is>
      </c>
      <c r="I1014" t="inlineStr">
        <is>
          <t>694baba01d450d00013662f0</t>
        </is>
      </c>
      <c r="J1014" t="inlineStr">
        <is>
          <t/>
        </is>
      </c>
      <c r="K1014" t="n">
        <v>0.0</v>
      </c>
      <c r="L1014" t="n">
        <v>0.0</v>
      </c>
      <c r="M1014" t="n">
        <v>0.0</v>
      </c>
      <c r="N1014" t="inlineStr">
        <is>
          <t/>
        </is>
      </c>
      <c r="O1014" t="n">
        <v>0.0</v>
      </c>
      <c r="P1014" t="n">
        <v>0.0</v>
      </c>
      <c r="Q1014" t="inlineStr">
        <is>
          <t/>
        </is>
      </c>
      <c r="R1014" t="inlineStr">
        <is>
          <t/>
        </is>
      </c>
      <c r="S1014" t="n">
        <v>0.0</v>
      </c>
      <c r="T1014" t="n">
        <v>0.0</v>
      </c>
      <c r="U1014" t="n">
        <v>0.0</v>
      </c>
      <c r="V1014" t="n">
        <v>0.0</v>
      </c>
      <c r="W1014" t="inlineStr">
        <is>
          <t/>
        </is>
      </c>
      <c r="X1014" t="n">
        <v>0.0</v>
      </c>
      <c r="Y1014" t="n">
        <v>0.0</v>
      </c>
      <c r="Z1014" t="n">
        <v>0.0</v>
      </c>
      <c r="AA1014" t="n">
        <v>0.0</v>
      </c>
      <c r="AB1014" t="n">
        <v>0.0</v>
      </c>
      <c r="AC1014" t="n">
        <v>0.0</v>
      </c>
      <c r="AD1014" t="n">
        <v>0.0</v>
      </c>
      <c r="AE1014" t="n">
        <v>0.0</v>
      </c>
      <c r="AF1014" t="n">
        <v>0.0</v>
      </c>
      <c r="AG1014" t="n">
        <v>0.0</v>
      </c>
      <c r="AH1014" t="n">
        <v>0.0</v>
      </c>
      <c r="AI1014" t="n">
        <v>0.0</v>
      </c>
      <c r="AJ1014" t="n">
        <v>0.0</v>
      </c>
      <c r="AK1014" t="inlineStr">
        <is>
          <t/>
        </is>
      </c>
      <c r="AL1014" t="inlineStr">
        <is>
          <t/>
        </is>
      </c>
    </row>
    <row r="1015">
      <c r="A1015" t="inlineStr">
        <is>
          <t>这也太省钱了吧😂69块吃了半个月轻食餐！</t>
        </is>
      </c>
      <c r="B1015" t="inlineStr">
        <is>
          <t>6a2be370000000002202683e</t>
        </is>
      </c>
      <c r="C1015" s="1014" t="n">
        <f>HYPERLINK("https://www.xiaohongshu.com/explore/6a2be370000000002202683e?xsec_token=TB6z4gaYVtaJENMGYq0Pmb5A-01zkWuUfOlvYeLWeAMpI=&amp;xsec_source=pc_trdark","https://www.xiaohongshu.com/explore/6a2be370000000002202683e?xsec_token=TB6z4gaYVtaJENMGYq0Pmb5A-01zkWuUfOlvYeLWeAMpI=&amp;xsec_source=pc_trdark")</f>
        <v>0.0</v>
      </c>
      <c r="D1015" t="inlineStr">
        <is>
          <t>鲜水湾甄选</t>
        </is>
      </c>
      <c r="E1015" t="inlineStr">
        <is>
          <t>27401929161</t>
        </is>
      </c>
      <c r="F1015" t="inlineStr">
        <is>
          <t>2026-06-12 18:46:08</t>
        </is>
      </c>
      <c r="G1015" t="inlineStr">
        <is>
          <t>图文</t>
        </is>
      </c>
      <c r="H1015" t="inlineStr">
        <is>
          <t>手剥虾仁 无冰衣无添加 低脂餐一人食 上班带饭 顺丰包邮 5盒装</t>
        </is>
      </c>
      <c r="I1015" t="inlineStr">
        <is>
          <t>694baba01d450d00013662f0</t>
        </is>
      </c>
      <c r="J1015" t="inlineStr">
        <is>
          <t/>
        </is>
      </c>
      <c r="K1015" t="n">
        <v>0.0</v>
      </c>
      <c r="L1015" t="n">
        <v>0.0</v>
      </c>
      <c r="M1015" t="n">
        <v>0.0</v>
      </c>
      <c r="N1015" t="inlineStr">
        <is>
          <t/>
        </is>
      </c>
      <c r="O1015" t="n">
        <v>0.0</v>
      </c>
      <c r="P1015" t="n">
        <v>0.0</v>
      </c>
      <c r="Q1015" t="inlineStr">
        <is>
          <t/>
        </is>
      </c>
      <c r="R1015" t="inlineStr">
        <is>
          <t/>
        </is>
      </c>
      <c r="S1015" t="n">
        <v>0.0</v>
      </c>
      <c r="T1015" t="n">
        <v>0.0</v>
      </c>
      <c r="U1015" t="n">
        <v>0.0</v>
      </c>
      <c r="V1015" t="n">
        <v>0.0</v>
      </c>
      <c r="W1015" t="inlineStr">
        <is>
          <t/>
        </is>
      </c>
      <c r="X1015" t="n">
        <v>0.0</v>
      </c>
      <c r="Y1015" t="n">
        <v>0.0</v>
      </c>
      <c r="Z1015" t="n">
        <v>0.0</v>
      </c>
      <c r="AA1015" t="n">
        <v>0.0</v>
      </c>
      <c r="AB1015" t="n">
        <v>0.0</v>
      </c>
      <c r="AC1015" t="n">
        <v>0.0</v>
      </c>
      <c r="AD1015" t="n">
        <v>0.0</v>
      </c>
      <c r="AE1015" t="n">
        <v>0.0</v>
      </c>
      <c r="AF1015" t="n">
        <v>0.0</v>
      </c>
      <c r="AG1015" t="n">
        <v>0.0</v>
      </c>
      <c r="AH1015" t="n">
        <v>0.0</v>
      </c>
      <c r="AI1015" t="n">
        <v>0.0</v>
      </c>
      <c r="AJ1015" t="n">
        <v>0.0</v>
      </c>
      <c r="AK1015" t="inlineStr">
        <is>
          <t/>
        </is>
      </c>
      <c r="AL1015" t="inlineStr">
        <is>
          <t/>
        </is>
      </c>
    </row>
    <row r="1016">
      <c r="A1016" t="inlineStr">
        <is>
          <t>看完鹅腿阿姨热搜，老爸说配料表必须写清楚</t>
        </is>
      </c>
      <c r="B1016" t="inlineStr">
        <is>
          <t>6a2bcd9600000000060239a3</t>
        </is>
      </c>
      <c r="C1016" s="1015" t="n">
        <f>HYPERLINK("https://www.xiaohongshu.com/explore/6a2bcd9600000000060239a3?xsec_token=TB6z4gaYVtaJENMGYq0Pmb5JiNPfmXqDuFOF_LaEWS0XQ=&amp;xsec_source=pc_trdark","https://www.xiaohongshu.com/explore/6a2bcd9600000000060239a3?xsec_token=TB6z4gaYVtaJENMGYq0Pmb5JiNPfmXqDuFOF_LaEWS0XQ=&amp;xsec_source=pc_trdark")</f>
        <v>0.0</v>
      </c>
      <c r="D1016" t="inlineStr">
        <is>
          <t>鲜水湾</t>
        </is>
      </c>
      <c r="E1016" t="inlineStr">
        <is>
          <t>49316638994</t>
        </is>
      </c>
      <c r="F1016" t="inlineStr">
        <is>
          <t>2026-06-12 17:12:54</t>
        </is>
      </c>
      <c r="G1016" t="inlineStr">
        <is>
          <t>图文</t>
        </is>
      </c>
      <c r="H1016" t="inlineStr">
        <is>
          <t>手剥虾仁 无冰衣无添加 低脂餐一人食 上班带饭 顺丰包邮 5盒装</t>
        </is>
      </c>
      <c r="I1016" t="inlineStr">
        <is>
          <t>694baba01d450d00013662f0</t>
        </is>
      </c>
      <c r="J1016" t="inlineStr">
        <is>
          <t/>
        </is>
      </c>
      <c r="K1016" t="n">
        <v>0.0</v>
      </c>
      <c r="L1016" t="n">
        <v>0.0</v>
      </c>
      <c r="M1016" t="n">
        <v>0.0</v>
      </c>
      <c r="N1016" t="inlineStr">
        <is>
          <t/>
        </is>
      </c>
      <c r="O1016" t="n">
        <v>0.0</v>
      </c>
      <c r="P1016" t="n">
        <v>0.0</v>
      </c>
      <c r="Q1016" t="inlineStr">
        <is>
          <t/>
        </is>
      </c>
      <c r="R1016" t="inlineStr">
        <is>
          <t/>
        </is>
      </c>
      <c r="S1016" t="n">
        <v>0.0</v>
      </c>
      <c r="T1016" t="n">
        <v>0.0</v>
      </c>
      <c r="U1016" t="n">
        <v>0.0</v>
      </c>
      <c r="V1016" t="n">
        <v>0.0</v>
      </c>
      <c r="W1016" t="inlineStr">
        <is>
          <t/>
        </is>
      </c>
      <c r="X1016" t="n">
        <v>0.0</v>
      </c>
      <c r="Y1016" t="n">
        <v>0.0</v>
      </c>
      <c r="Z1016" t="n">
        <v>0.0</v>
      </c>
      <c r="AA1016" t="n">
        <v>0.0</v>
      </c>
      <c r="AB1016" t="n">
        <v>0.0</v>
      </c>
      <c r="AC1016" t="n">
        <v>0.0</v>
      </c>
      <c r="AD1016" t="n">
        <v>0.0</v>
      </c>
      <c r="AE1016" t="n">
        <v>0.0</v>
      </c>
      <c r="AF1016" t="n">
        <v>0.0</v>
      </c>
      <c r="AG1016" t="n">
        <v>0.0</v>
      </c>
      <c r="AH1016" t="n">
        <v>0.0</v>
      </c>
      <c r="AI1016" t="n">
        <v>0.0</v>
      </c>
      <c r="AJ1016" t="n">
        <v>0.0</v>
      </c>
      <c r="AK1016" t="inlineStr">
        <is>
          <t/>
        </is>
      </c>
      <c r="AL1016" t="inlineStr">
        <is>
          <t/>
        </is>
      </c>
    </row>
    <row r="1017">
      <c r="A1017" t="inlineStr">
        <is>
          <t>谁敢信这是100💰的购买力！！！！</t>
        </is>
      </c>
      <c r="B1017" t="inlineStr">
        <is>
          <t>6a2bcae00000000022029fb3</t>
        </is>
      </c>
      <c r="C1017" s="1016" t="n">
        <f>HYPERLINK("https://www.xiaohongshu.com/explore/6a2bcae00000000022029fb3?xsec_token=TB6z4gaYVtaJENMGYq0Pmb5GaYEkHj4O2SnJM_SQH1KqE=&amp;xsec_source=pc_trdark","https://www.xiaohongshu.com/explore/6a2bcae00000000022029fb3?xsec_token=TB6z4gaYVtaJENMGYq0Pmb5GaYEkHj4O2SnJM_SQH1KqE=&amp;xsec_source=pc_trdark")</f>
        <v>0.0</v>
      </c>
      <c r="D1017" t="inlineStr">
        <is>
          <t>鲜水湾甄选</t>
        </is>
      </c>
      <c r="E1017" t="inlineStr">
        <is>
          <t>27401929161</t>
        </is>
      </c>
      <c r="F1017" t="inlineStr">
        <is>
          <t>2026-06-12 17:01:20</t>
        </is>
      </c>
      <c r="G1017" t="inlineStr">
        <is>
          <t>图文</t>
        </is>
      </c>
      <c r="H1017" t="inlineStr">
        <is>
          <t>手剥虾仁 无冰衣无添加 低脂餐一人食 上班带饭 顺丰包邮 5盒装</t>
        </is>
      </c>
      <c r="I1017" t="inlineStr">
        <is>
          <t>694baba01d450d00013662f0</t>
        </is>
      </c>
      <c r="J1017" t="inlineStr">
        <is>
          <t/>
        </is>
      </c>
      <c r="K1017" t="n">
        <v>0.0</v>
      </c>
      <c r="L1017" t="n">
        <v>0.0</v>
      </c>
      <c r="M1017" t="n">
        <v>0.0</v>
      </c>
      <c r="N1017" t="inlineStr">
        <is>
          <t/>
        </is>
      </c>
      <c r="O1017" t="n">
        <v>0.0</v>
      </c>
      <c r="P1017" t="n">
        <v>0.0</v>
      </c>
      <c r="Q1017" t="inlineStr">
        <is>
          <t/>
        </is>
      </c>
      <c r="R1017" t="inlineStr">
        <is>
          <t/>
        </is>
      </c>
      <c r="S1017" t="n">
        <v>0.0</v>
      </c>
      <c r="T1017" t="n">
        <v>0.0</v>
      </c>
      <c r="U1017" t="n">
        <v>0.0</v>
      </c>
      <c r="V1017" t="n">
        <v>0.0</v>
      </c>
      <c r="W1017" t="inlineStr">
        <is>
          <t/>
        </is>
      </c>
      <c r="X1017" t="n">
        <v>0.0</v>
      </c>
      <c r="Y1017" t="n">
        <v>0.0</v>
      </c>
      <c r="Z1017" t="n">
        <v>0.0</v>
      </c>
      <c r="AA1017" t="n">
        <v>0.0</v>
      </c>
      <c r="AB1017" t="n">
        <v>0.0</v>
      </c>
      <c r="AC1017" t="n">
        <v>0.0</v>
      </c>
      <c r="AD1017" t="n">
        <v>0.0</v>
      </c>
      <c r="AE1017" t="n">
        <v>0.0</v>
      </c>
      <c r="AF1017" t="n">
        <v>0.0</v>
      </c>
      <c r="AG1017" t="n">
        <v>0.0</v>
      </c>
      <c r="AH1017" t="n">
        <v>0.0</v>
      </c>
      <c r="AI1017" t="n">
        <v>0.0</v>
      </c>
      <c r="AJ1017" t="n">
        <v>0.0</v>
      </c>
      <c r="AK1017" t="inlineStr">
        <is>
          <t/>
        </is>
      </c>
      <c r="AL1017" t="inlineStr">
        <is>
          <t/>
        </is>
      </c>
    </row>
    <row r="1018">
      <c r="A1018" t="inlineStr">
        <is>
          <t>控体期，短短一周逼自己So了好多 ！！！</t>
        </is>
      </c>
      <c r="B1018" t="inlineStr">
        <is>
          <t>6a2bb0ee0000000022014317</t>
        </is>
      </c>
      <c r="C1018" s="1017" t="n">
        <f>HYPERLINK("https://www.xiaohongshu.com/explore/6a2bb0ee0000000022014317?xsec_token=TB6z4gaYVtaJENMGYq0Pmb5D-1KHMtGjasIjxCKSq4zYg=&amp;xsec_source=pc_trdark","https://www.xiaohongshu.com/explore/6a2bb0ee0000000022014317?xsec_token=TB6z4gaYVtaJENMGYq0Pmb5D-1KHMtGjasIjxCKSq4zYg=&amp;xsec_source=pc_trdark")</f>
        <v>0.0</v>
      </c>
      <c r="D1018" t="inlineStr">
        <is>
          <t>菲菲上班吃什么</t>
        </is>
      </c>
      <c r="E1018" t="inlineStr">
        <is>
          <t>49936530607</t>
        </is>
      </c>
      <c r="F1018" t="inlineStr">
        <is>
          <t>2026-06-12 15:10:38</t>
        </is>
      </c>
      <c r="G1018" t="inlineStr">
        <is>
          <t>图文</t>
        </is>
      </c>
      <c r="H1018" t="inlineStr">
        <is>
          <t>手剥虾仁 无冰衣无添加 低脂餐一人食 上班带饭 顺丰包邮 5盒装</t>
        </is>
      </c>
      <c r="I1018" t="inlineStr">
        <is>
          <t>694baba01d450d00013662f0</t>
        </is>
      </c>
      <c r="J1018" t="inlineStr">
        <is>
          <t/>
        </is>
      </c>
      <c r="K1018" t="n">
        <v>0.0</v>
      </c>
      <c r="L1018" t="n">
        <v>0.0</v>
      </c>
      <c r="M1018" t="n">
        <v>0.0</v>
      </c>
      <c r="N1018" t="inlineStr">
        <is>
          <t/>
        </is>
      </c>
      <c r="O1018" t="n">
        <v>0.0</v>
      </c>
      <c r="P1018" t="n">
        <v>0.0</v>
      </c>
      <c r="Q1018" t="inlineStr">
        <is>
          <t/>
        </is>
      </c>
      <c r="R1018" t="inlineStr">
        <is>
          <t/>
        </is>
      </c>
      <c r="S1018" t="n">
        <v>0.0</v>
      </c>
      <c r="T1018" t="n">
        <v>0.0</v>
      </c>
      <c r="U1018" t="n">
        <v>0.0</v>
      </c>
      <c r="V1018" t="n">
        <v>0.0</v>
      </c>
      <c r="W1018" t="inlineStr">
        <is>
          <t/>
        </is>
      </c>
      <c r="X1018" t="n">
        <v>0.0</v>
      </c>
      <c r="Y1018" t="n">
        <v>0.0</v>
      </c>
      <c r="Z1018" t="n">
        <v>0.0</v>
      </c>
      <c r="AA1018" t="n">
        <v>0.0</v>
      </c>
      <c r="AB1018" t="n">
        <v>0.0</v>
      </c>
      <c r="AC1018" t="n">
        <v>0.0</v>
      </c>
      <c r="AD1018" t="n">
        <v>0.0</v>
      </c>
      <c r="AE1018" t="n">
        <v>0.0</v>
      </c>
      <c r="AF1018" t="n">
        <v>0.0</v>
      </c>
      <c r="AG1018" t="n">
        <v>0.0</v>
      </c>
      <c r="AH1018" t="n">
        <v>0.0</v>
      </c>
      <c r="AI1018" t="n">
        <v>0.0</v>
      </c>
      <c r="AJ1018" t="n">
        <v>0.0</v>
      </c>
      <c r="AK1018" t="inlineStr">
        <is>
          <t/>
        </is>
      </c>
      <c r="AL1018" t="inlineStr">
        <is>
          <t/>
        </is>
      </c>
    </row>
    <row r="1019">
      <c r="A1019" t="inlineStr">
        <is>
          <t>听粉丝的话，推出一人食减脂小包装😽</t>
        </is>
      </c>
      <c r="B1019" t="inlineStr">
        <is>
          <t>6a2ba7bd000000002202e46e</t>
        </is>
      </c>
      <c r="C1019" s="1018" t="n">
        <f>HYPERLINK("https://www.xiaohongshu.com/explore/6a2ba7bd000000002202e46e?xsec_token=TB6z4gaYVtaJENMGYq0Pmb5DDgaPfMaJqFfroK_T8y_qY=&amp;xsec_source=pc_trdark","https://www.xiaohongshu.com/explore/6a2ba7bd000000002202e46e?xsec_token=TB6z4gaYVtaJENMGYq0Pmb5DDgaPfMaJqFfroK_T8y_qY=&amp;xsec_source=pc_trdark")</f>
        <v>0.0</v>
      </c>
      <c r="D1019" t="inlineStr">
        <is>
          <t>鲜水湾甄选</t>
        </is>
      </c>
      <c r="E1019" t="inlineStr">
        <is>
          <t>27401929161</t>
        </is>
      </c>
      <c r="F1019" t="inlineStr">
        <is>
          <t>2026-06-12 14:31:25</t>
        </is>
      </c>
      <c r="G1019" t="inlineStr">
        <is>
          <t>图文</t>
        </is>
      </c>
      <c r="H1019" t="inlineStr">
        <is>
          <t>手剥虾仁 无冰衣无添加 低脂餐一人食 上班带饭 顺丰包邮 5盒装</t>
        </is>
      </c>
      <c r="I1019" t="inlineStr">
        <is>
          <t>694baba01d450d00013662f0</t>
        </is>
      </c>
      <c r="J1019" t="inlineStr">
        <is>
          <t/>
        </is>
      </c>
      <c r="K1019" t="n">
        <v>0.0</v>
      </c>
      <c r="L1019" t="n">
        <v>0.0</v>
      </c>
      <c r="M1019" t="n">
        <v>0.0</v>
      </c>
      <c r="N1019" t="inlineStr">
        <is>
          <t/>
        </is>
      </c>
      <c r="O1019" t="n">
        <v>0.0</v>
      </c>
      <c r="P1019" t="n">
        <v>0.0</v>
      </c>
      <c r="Q1019" t="inlineStr">
        <is>
          <t/>
        </is>
      </c>
      <c r="R1019" t="inlineStr">
        <is>
          <t/>
        </is>
      </c>
      <c r="S1019" t="n">
        <v>0.0</v>
      </c>
      <c r="T1019" t="n">
        <v>0.0</v>
      </c>
      <c r="U1019" t="n">
        <v>0.0</v>
      </c>
      <c r="V1019" t="n">
        <v>0.0</v>
      </c>
      <c r="W1019" t="inlineStr">
        <is>
          <t/>
        </is>
      </c>
      <c r="X1019" t="n">
        <v>0.0</v>
      </c>
      <c r="Y1019" t="n">
        <v>0.0</v>
      </c>
      <c r="Z1019" t="n">
        <v>0.0</v>
      </c>
      <c r="AA1019" t="n">
        <v>0.0</v>
      </c>
      <c r="AB1019" t="n">
        <v>0.0</v>
      </c>
      <c r="AC1019" t="n">
        <v>0.0</v>
      </c>
      <c r="AD1019" t="n">
        <v>0.0</v>
      </c>
      <c r="AE1019" t="n">
        <v>0.0</v>
      </c>
      <c r="AF1019" t="n">
        <v>0.0</v>
      </c>
      <c r="AG1019" t="n">
        <v>0.0</v>
      </c>
      <c r="AH1019" t="n">
        <v>0.0</v>
      </c>
      <c r="AI1019" t="n">
        <v>0.0</v>
      </c>
      <c r="AJ1019" t="n">
        <v>0.0</v>
      </c>
      <c r="AK1019" t="inlineStr">
        <is>
          <t/>
        </is>
      </c>
      <c r="AL1019" t="inlineStr">
        <is>
          <t/>
        </is>
      </c>
    </row>
    <row r="1020">
      <c r="A1020" t="inlineStr">
        <is>
          <t>终于见识到了300多块钱的购买力了！</t>
        </is>
      </c>
      <c r="B1020" t="inlineStr">
        <is>
          <t>6a2b9704000000002100a74a</t>
        </is>
      </c>
      <c r="C1020" s="1019" t="n">
        <f>HYPERLINK("https://www.xiaohongshu.com/explore/6a2b9704000000002100a74a?xsec_token=TB6z4gaYVtaJENMGYq0Pmb5DwMFAVkB20uv1txgWV2OP4=&amp;xsec_source=pc_trdark","https://www.xiaohongshu.com/explore/6a2b9704000000002100a74a?xsec_token=TB6z4gaYVtaJENMGYq0Pmb5DwMFAVkB20uv1txgWV2OP4=&amp;xsec_source=pc_trdark")</f>
        <v>0.0</v>
      </c>
      <c r="D1020" t="inlineStr">
        <is>
          <t>鲜水湾</t>
        </is>
      </c>
      <c r="E1020" t="inlineStr">
        <is>
          <t>49316638994</t>
        </is>
      </c>
      <c r="F1020" t="inlineStr">
        <is>
          <t>2026-06-12 13:20:04</t>
        </is>
      </c>
      <c r="G1020" t="inlineStr">
        <is>
          <t>图文</t>
        </is>
      </c>
      <c r="H1020" t="inlineStr">
        <is>
          <t>智利三文鱼切块·整条三文鱼·深海鱼一人食健康饮食</t>
        </is>
      </c>
      <c r="I1020" t="inlineStr">
        <is>
          <t>691ac562a524ee0001b51d7b</t>
        </is>
      </c>
      <c r="J1020" t="inlineStr">
        <is>
          <t/>
        </is>
      </c>
      <c r="K1020" t="n">
        <v>0.0</v>
      </c>
      <c r="L1020" t="n">
        <v>0.0</v>
      </c>
      <c r="M1020" t="n">
        <v>0.0</v>
      </c>
      <c r="N1020" t="inlineStr">
        <is>
          <t/>
        </is>
      </c>
      <c r="O1020" t="n">
        <v>0.0</v>
      </c>
      <c r="P1020" t="n">
        <v>0.0</v>
      </c>
      <c r="Q1020" t="inlineStr">
        <is>
          <t/>
        </is>
      </c>
      <c r="R1020" t="inlineStr">
        <is>
          <t/>
        </is>
      </c>
      <c r="S1020" t="n">
        <v>0.0</v>
      </c>
      <c r="T1020" t="n">
        <v>0.0</v>
      </c>
      <c r="U1020" t="n">
        <v>0.0</v>
      </c>
      <c r="V1020" t="n">
        <v>0.0</v>
      </c>
      <c r="W1020" t="inlineStr">
        <is>
          <t/>
        </is>
      </c>
      <c r="X1020" t="n">
        <v>0.0</v>
      </c>
      <c r="Y1020" t="n">
        <v>0.0</v>
      </c>
      <c r="Z1020" t="n">
        <v>0.0</v>
      </c>
      <c r="AA1020" t="n">
        <v>0.0</v>
      </c>
      <c r="AB1020" t="n">
        <v>0.0</v>
      </c>
      <c r="AC1020" t="n">
        <v>0.0</v>
      </c>
      <c r="AD1020" t="n">
        <v>0.0</v>
      </c>
      <c r="AE1020" t="n">
        <v>0.0</v>
      </c>
      <c r="AF1020" t="n">
        <v>0.0</v>
      </c>
      <c r="AG1020" t="n">
        <v>0.0</v>
      </c>
      <c r="AH1020" t="n">
        <v>0.0</v>
      </c>
      <c r="AI1020" t="n">
        <v>0.0</v>
      </c>
      <c r="AJ1020" t="n">
        <v>0.0</v>
      </c>
      <c r="AK1020" t="inlineStr">
        <is>
          <t/>
        </is>
      </c>
      <c r="AL1020" t="inlineStr">
        <is>
          <t/>
        </is>
      </c>
    </row>
    <row r="1021">
      <c r="A1021" t="inlineStr">
        <is>
          <t>破防了...控体期以前点外卖，现在囤虾仁</t>
        </is>
      </c>
      <c r="B1021" t="inlineStr">
        <is>
          <t>6a2b784300000000350315e7</t>
        </is>
      </c>
      <c r="C1021" s="1020" t="n">
        <f>HYPERLINK("https://www.xiaohongshu.com/explore/6a2b784300000000350315e7?xsec_token=TB6z4gaYVtaJENMGYq0Pmb5HTKCUJ3d4Gjomxr3MMOkOc=&amp;xsec_source=pc_trdark","https://www.xiaohongshu.com/explore/6a2b784300000000350315e7?xsec_token=TB6z4gaYVtaJENMGYq0Pmb5HTKCUJ3d4Gjomxr3MMOkOc=&amp;xsec_source=pc_trdark")</f>
        <v>0.0</v>
      </c>
      <c r="D1021" t="inlineStr">
        <is>
          <t>鲜水湾甄选</t>
        </is>
      </c>
      <c r="E1021" t="inlineStr">
        <is>
          <t>27401929161</t>
        </is>
      </c>
      <c r="F1021" t="inlineStr">
        <is>
          <t>2026-06-12 11:08:51</t>
        </is>
      </c>
      <c r="G1021" t="inlineStr">
        <is>
          <t>图文</t>
        </is>
      </c>
      <c r="H1021" t="inlineStr">
        <is>
          <t>手剥虾仁 无冰衣无添加 低脂餐一人食 上班带饭 顺丰包邮 5盒装</t>
        </is>
      </c>
      <c r="I1021" t="inlineStr">
        <is>
          <t>694baba01d450d00013662f0</t>
        </is>
      </c>
      <c r="J1021" t="inlineStr">
        <is>
          <t/>
        </is>
      </c>
      <c r="K1021" t="n">
        <v>0.0</v>
      </c>
      <c r="L1021" t="n">
        <v>0.0</v>
      </c>
      <c r="M1021" t="n">
        <v>0.0</v>
      </c>
      <c r="N1021" t="inlineStr">
        <is>
          <t/>
        </is>
      </c>
      <c r="O1021" t="n">
        <v>0.0</v>
      </c>
      <c r="P1021" t="n">
        <v>0.0</v>
      </c>
      <c r="Q1021" t="inlineStr">
        <is>
          <t/>
        </is>
      </c>
      <c r="R1021" t="inlineStr">
        <is>
          <t/>
        </is>
      </c>
      <c r="S1021" t="n">
        <v>0.0</v>
      </c>
      <c r="T1021" t="n">
        <v>0.0</v>
      </c>
      <c r="U1021" t="n">
        <v>0.0</v>
      </c>
      <c r="V1021" t="n">
        <v>0.0</v>
      </c>
      <c r="W1021" t="inlineStr">
        <is>
          <t/>
        </is>
      </c>
      <c r="X1021" t="n">
        <v>0.0</v>
      </c>
      <c r="Y1021" t="n">
        <v>0.0</v>
      </c>
      <c r="Z1021" t="n">
        <v>0.0</v>
      </c>
      <c r="AA1021" t="n">
        <v>0.0</v>
      </c>
      <c r="AB1021" t="n">
        <v>0.0</v>
      </c>
      <c r="AC1021" t="n">
        <v>0.0</v>
      </c>
      <c r="AD1021" t="n">
        <v>0.0</v>
      </c>
      <c r="AE1021" t="n">
        <v>0.0</v>
      </c>
      <c r="AF1021" t="n">
        <v>0.0</v>
      </c>
      <c r="AG1021" t="n">
        <v>0.0</v>
      </c>
      <c r="AH1021" t="n">
        <v>0.0</v>
      </c>
      <c r="AI1021" t="n">
        <v>0.0</v>
      </c>
      <c r="AJ1021" t="n">
        <v>0.0</v>
      </c>
      <c r="AK1021" t="inlineStr">
        <is>
          <t/>
        </is>
      </c>
      <c r="AL1021" t="inlineStr">
        <is>
          <t/>
        </is>
      </c>
    </row>
    <row r="1022">
      <c r="A1022" t="inlineStr">
        <is>
          <t>我宣布虾仁才是减脂界的顶流……</t>
        </is>
      </c>
      <c r="B1022" t="inlineStr">
        <is>
          <t>6a2a953d0000000022026474</t>
        </is>
      </c>
      <c r="C1022" s="1021" t="n">
        <f>HYPERLINK("https://www.xiaohongshu.com/explore/6a2a953d0000000022026474?xsec_token=TBzEbZzDIbsNf83YP0tUSA_Ht9lRmkUBLk_QD8WeasKmM=&amp;xsec_source=pc_trdark","https://www.xiaohongshu.com/explore/6a2a953d0000000022026474?xsec_token=TBzEbZzDIbsNf83YP0tUSA_Ht9lRmkUBLk_QD8WeasKmM=&amp;xsec_source=pc_trdark")</f>
        <v>0.0</v>
      </c>
      <c r="D1022" t="inlineStr">
        <is>
          <t>鲜水湾甄选</t>
        </is>
      </c>
      <c r="E1022" t="inlineStr">
        <is>
          <t>27401929161</t>
        </is>
      </c>
      <c r="F1022" t="inlineStr">
        <is>
          <t>2026-06-11 20:00:00</t>
        </is>
      </c>
      <c r="G1022" t="inlineStr">
        <is>
          <t>图文</t>
        </is>
      </c>
      <c r="H1022" t="inlineStr">
        <is>
          <t>手剥虾仁 无冰衣无添加 低脂餐一人食 上班带饭 顺丰包邮 5盒装</t>
        </is>
      </c>
      <c r="I1022" t="inlineStr">
        <is>
          <t>694baba01d450d00013662f0</t>
        </is>
      </c>
      <c r="J1022" t="inlineStr">
        <is>
          <t/>
        </is>
      </c>
      <c r="K1022" t="n">
        <v>0.0</v>
      </c>
      <c r="L1022" t="n">
        <v>0.0</v>
      </c>
      <c r="M1022" t="n">
        <v>0.0</v>
      </c>
      <c r="N1022" t="inlineStr">
        <is>
          <t/>
        </is>
      </c>
      <c r="O1022" t="n">
        <v>0.0</v>
      </c>
      <c r="P1022" t="n">
        <v>0.0</v>
      </c>
      <c r="Q1022" t="inlineStr">
        <is>
          <t/>
        </is>
      </c>
      <c r="R1022" t="inlineStr">
        <is>
          <t/>
        </is>
      </c>
      <c r="S1022" t="n">
        <v>0.0</v>
      </c>
      <c r="T1022" t="n">
        <v>0.0</v>
      </c>
      <c r="U1022" t="n">
        <v>0.0</v>
      </c>
      <c r="V1022" t="n">
        <v>0.0</v>
      </c>
      <c r="W1022" t="inlineStr">
        <is>
          <t/>
        </is>
      </c>
      <c r="X1022" t="n">
        <v>0.0</v>
      </c>
      <c r="Y1022" t="n">
        <v>0.0</v>
      </c>
      <c r="Z1022" t="n">
        <v>0.0</v>
      </c>
      <c r="AA1022" t="n">
        <v>0.0</v>
      </c>
      <c r="AB1022" t="n">
        <v>0.0</v>
      </c>
      <c r="AC1022" t="n">
        <v>0.0</v>
      </c>
      <c r="AD1022" t="n">
        <v>0.0</v>
      </c>
      <c r="AE1022" t="n">
        <v>0.0</v>
      </c>
      <c r="AF1022" t="n">
        <v>0.0</v>
      </c>
      <c r="AG1022" t="n">
        <v>0.0</v>
      </c>
      <c r="AH1022" t="n">
        <v>0.0</v>
      </c>
      <c r="AI1022" t="n">
        <v>0.0</v>
      </c>
      <c r="AJ1022" t="n">
        <v>0.0</v>
      </c>
      <c r="AK1022" t="inlineStr">
        <is>
          <t/>
        </is>
      </c>
      <c r="AL1022" t="inlineStr">
        <is>
          <t/>
        </is>
      </c>
    </row>
    <row r="1023">
      <c r="A1023" t="inlineStr">
        <is>
          <t>我妈说：外卖患者居然开始自己做饭了！！！！</t>
        </is>
      </c>
      <c r="B1023" t="inlineStr">
        <is>
          <t>6a2a952c00000000210180f4</t>
        </is>
      </c>
      <c r="C1023" s="1022" t="n">
        <f>HYPERLINK("https://www.xiaohongshu.com/explore/6a2a952c00000000210180f4?xsec_token=TBzEbZzDIbsNf83YP0tUSA_OZVIvRZwiHd9wUAltMCjRQ=&amp;xsec_source=pc_trdark","https://www.xiaohongshu.com/explore/6a2a952c00000000210180f4?xsec_token=TBzEbZzDIbsNf83YP0tUSA_OZVIvRZwiHd9wUAltMCjRQ=&amp;xsec_source=pc_trdark")</f>
        <v>0.0</v>
      </c>
      <c r="D1023" t="inlineStr">
        <is>
          <t>菲菲上班吃什么</t>
        </is>
      </c>
      <c r="E1023" t="inlineStr">
        <is>
          <t>49936530607</t>
        </is>
      </c>
      <c r="F1023" t="inlineStr">
        <is>
          <t>2026-06-11 20:58:00</t>
        </is>
      </c>
      <c r="G1023" t="inlineStr">
        <is>
          <t>图文</t>
        </is>
      </c>
      <c r="H1023" t="inlineStr">
        <is>
          <t>手剥虾仁 无冰衣无添加 低脂餐一人食 上班带饭 顺丰包邮 5盒装</t>
        </is>
      </c>
      <c r="I1023" t="inlineStr">
        <is>
          <t>694baba01d450d00013662f0</t>
        </is>
      </c>
      <c r="J1023" t="inlineStr">
        <is>
          <t/>
        </is>
      </c>
      <c r="K1023" t="n">
        <v>0.0</v>
      </c>
      <c r="L1023" t="n">
        <v>0.0</v>
      </c>
      <c r="M1023" t="n">
        <v>0.0</v>
      </c>
      <c r="N1023" t="inlineStr">
        <is>
          <t/>
        </is>
      </c>
      <c r="O1023" t="n">
        <v>0.0</v>
      </c>
      <c r="P1023" t="n">
        <v>0.0</v>
      </c>
      <c r="Q1023" t="inlineStr">
        <is>
          <t/>
        </is>
      </c>
      <c r="R1023" t="inlineStr">
        <is>
          <t/>
        </is>
      </c>
      <c r="S1023" t="n">
        <v>0.0</v>
      </c>
      <c r="T1023" t="n">
        <v>0.0</v>
      </c>
      <c r="U1023" t="n">
        <v>0.0</v>
      </c>
      <c r="V1023" t="n">
        <v>0.0</v>
      </c>
      <c r="W1023" t="inlineStr">
        <is>
          <t/>
        </is>
      </c>
      <c r="X1023" t="n">
        <v>0.0</v>
      </c>
      <c r="Y1023" t="n">
        <v>0.0</v>
      </c>
      <c r="Z1023" t="n">
        <v>0.0</v>
      </c>
      <c r="AA1023" t="n">
        <v>0.0</v>
      </c>
      <c r="AB1023" t="n">
        <v>0.0</v>
      </c>
      <c r="AC1023" t="n">
        <v>0.0</v>
      </c>
      <c r="AD1023" t="n">
        <v>0.0</v>
      </c>
      <c r="AE1023" t="n">
        <v>0.0</v>
      </c>
      <c r="AF1023" t="n">
        <v>0.0</v>
      </c>
      <c r="AG1023" t="n">
        <v>0.0</v>
      </c>
      <c r="AH1023" t="n">
        <v>0.0</v>
      </c>
      <c r="AI1023" t="n">
        <v>0.0</v>
      </c>
      <c r="AJ1023" t="n">
        <v>0.0</v>
      </c>
      <c r="AK1023" t="inlineStr">
        <is>
          <t/>
        </is>
      </c>
      <c r="AL1023" t="inlineStr">
        <is>
          <t/>
        </is>
      </c>
    </row>
    <row r="1024">
      <c r="A1024" t="inlineStr">
        <is>
          <t>减脂期，打工人一周吃了7天虾仁后…</t>
        </is>
      </c>
      <c r="B1024" t="inlineStr">
        <is>
          <t>6a2a9518000000000702f96a</t>
        </is>
      </c>
      <c r="C1024" s="1023" t="n">
        <f>HYPERLINK("https://www.xiaohongshu.com/explore/6a2a9518000000000702f96a?xsec_token=TBzEbZzDIbsNf83YP0tUSA_F_cCaQ68Xg_V2cwAp_CCL4=&amp;xsec_source=pc_trdark","https://www.xiaohongshu.com/explore/6a2a9518000000000702f96a?xsec_token=TBzEbZzDIbsNf83YP0tUSA_F_cCaQ68Xg_V2cwAp_CCL4=&amp;xsec_source=pc_trdark")</f>
        <v>0.0</v>
      </c>
      <c r="D1024" t="inlineStr">
        <is>
          <t>菲菲上班吃什么</t>
        </is>
      </c>
      <c r="E1024" t="inlineStr">
        <is>
          <t>49936530607</t>
        </is>
      </c>
      <c r="F1024" t="inlineStr">
        <is>
          <t>2026-06-11 18:59:36</t>
        </is>
      </c>
      <c r="G1024" t="inlineStr">
        <is>
          <t>图文</t>
        </is>
      </c>
      <c r="H1024" t="inlineStr">
        <is>
          <t>手剥虾仁 无冰衣无添加 低脂餐一人食 上班带饭 顺丰包邮 5盒装</t>
        </is>
      </c>
      <c r="I1024" t="inlineStr">
        <is>
          <t>694baba01d450d00013662f0</t>
        </is>
      </c>
      <c r="J1024" t="inlineStr">
        <is>
          <t/>
        </is>
      </c>
      <c r="K1024" t="n">
        <v>0.0</v>
      </c>
      <c r="L1024" t="n">
        <v>0.0</v>
      </c>
      <c r="M1024" t="n">
        <v>0.0</v>
      </c>
      <c r="N1024" t="inlineStr">
        <is>
          <t/>
        </is>
      </c>
      <c r="O1024" t="n">
        <v>0.0</v>
      </c>
      <c r="P1024" t="n">
        <v>0.0</v>
      </c>
      <c r="Q1024" t="inlineStr">
        <is>
          <t/>
        </is>
      </c>
      <c r="R1024" t="inlineStr">
        <is>
          <t/>
        </is>
      </c>
      <c r="S1024" t="n">
        <v>0.0</v>
      </c>
      <c r="T1024" t="n">
        <v>0.0</v>
      </c>
      <c r="U1024" t="n">
        <v>0.0</v>
      </c>
      <c r="V1024" t="n">
        <v>0.0</v>
      </c>
      <c r="W1024" t="inlineStr">
        <is>
          <t/>
        </is>
      </c>
      <c r="X1024" t="n">
        <v>0.0</v>
      </c>
      <c r="Y1024" t="n">
        <v>0.0</v>
      </c>
      <c r="Z1024" t="n">
        <v>0.0</v>
      </c>
      <c r="AA1024" t="n">
        <v>0.0</v>
      </c>
      <c r="AB1024" t="n">
        <v>0.0</v>
      </c>
      <c r="AC1024" t="n">
        <v>0.0</v>
      </c>
      <c r="AD1024" t="n">
        <v>0.0</v>
      </c>
      <c r="AE1024" t="n">
        <v>0.0</v>
      </c>
      <c r="AF1024" t="n">
        <v>0.0</v>
      </c>
      <c r="AG1024" t="n">
        <v>0.0</v>
      </c>
      <c r="AH1024" t="n">
        <v>0.0</v>
      </c>
      <c r="AI1024" t="n">
        <v>0.0</v>
      </c>
      <c r="AJ1024" t="n">
        <v>0.0</v>
      </c>
      <c r="AK1024" t="inlineStr">
        <is>
          <t/>
        </is>
      </c>
      <c r="AL1024" t="inlineStr">
        <is>
          <t/>
        </is>
      </c>
    </row>
    <row r="1025">
      <c r="A1025" t="inlineStr">
        <is>
          <t>独居党的冰箱，真的经不起瞎囤……</t>
        </is>
      </c>
      <c r="B1025" t="inlineStr">
        <is>
          <t>6a2a9501000000002202c8b0</t>
        </is>
      </c>
      <c r="C1025" s="1024" t="n">
        <f>HYPERLINK("https://www.xiaohongshu.com/explore/6a2a9501000000002202c8b0?xsec_token=TBzEbZzDIbsNf83YP0tUSA_ARutoDGlRvZ8j9Acp4iDLc=&amp;xsec_source=pc_trdark","https://www.xiaohongshu.com/explore/6a2a9501000000002202c8b0?xsec_token=TBzEbZzDIbsNf83YP0tUSA_ARutoDGlRvZ8j9Acp4iDLc=&amp;xsec_source=pc_trdark")</f>
        <v>0.0</v>
      </c>
      <c r="D1025" t="inlineStr">
        <is>
          <t>鲜水湾甄选</t>
        </is>
      </c>
      <c r="E1025" t="inlineStr">
        <is>
          <t>27401929161</t>
        </is>
      </c>
      <c r="F1025" t="inlineStr">
        <is>
          <t>2026-06-11 18:59:13</t>
        </is>
      </c>
      <c r="G1025" t="inlineStr">
        <is>
          <t>图文</t>
        </is>
      </c>
      <c r="H1025" t="inlineStr">
        <is>
          <t>手剥虾仁 无冰衣无添加 低脂餐一人食 上班带饭 顺丰包邮 5盒装</t>
        </is>
      </c>
      <c r="I1025" t="inlineStr">
        <is>
          <t>694baba01d450d00013662f0</t>
        </is>
      </c>
      <c r="J1025" t="inlineStr">
        <is>
          <t/>
        </is>
      </c>
      <c r="K1025" t="n">
        <v>0.0</v>
      </c>
      <c r="L1025" t="n">
        <v>0.0</v>
      </c>
      <c r="M1025" t="n">
        <v>0.0</v>
      </c>
      <c r="N1025" t="inlineStr">
        <is>
          <t/>
        </is>
      </c>
      <c r="O1025" t="n">
        <v>0.0</v>
      </c>
      <c r="P1025" t="n">
        <v>0.0</v>
      </c>
      <c r="Q1025" t="inlineStr">
        <is>
          <t/>
        </is>
      </c>
      <c r="R1025" t="inlineStr">
        <is>
          <t/>
        </is>
      </c>
      <c r="S1025" t="n">
        <v>0.0</v>
      </c>
      <c r="T1025" t="n">
        <v>0.0</v>
      </c>
      <c r="U1025" t="n">
        <v>0.0</v>
      </c>
      <c r="V1025" t="n">
        <v>0.0</v>
      </c>
      <c r="W1025" t="inlineStr">
        <is>
          <t/>
        </is>
      </c>
      <c r="X1025" t="n">
        <v>0.0</v>
      </c>
      <c r="Y1025" t="n">
        <v>0.0</v>
      </c>
      <c r="Z1025" t="n">
        <v>0.0</v>
      </c>
      <c r="AA1025" t="n">
        <v>0.0</v>
      </c>
      <c r="AB1025" t="n">
        <v>0.0</v>
      </c>
      <c r="AC1025" t="n">
        <v>0.0</v>
      </c>
      <c r="AD1025" t="n">
        <v>0.0</v>
      </c>
      <c r="AE1025" t="n">
        <v>0.0</v>
      </c>
      <c r="AF1025" t="n">
        <v>0.0</v>
      </c>
      <c r="AG1025" t="n">
        <v>0.0</v>
      </c>
      <c r="AH1025" t="n">
        <v>0.0</v>
      </c>
      <c r="AI1025" t="n">
        <v>0.0</v>
      </c>
      <c r="AJ1025" t="n">
        <v>0.0</v>
      </c>
      <c r="AK1025" t="inlineStr">
        <is>
          <t/>
        </is>
      </c>
      <c r="AL1025" t="inlineStr">
        <is>
          <t/>
        </is>
      </c>
    </row>
    <row r="1026">
      <c r="A1026" t="inlineStr">
        <is>
          <t>我也不想吃啊，可它69够我吃一周了😂</t>
        </is>
      </c>
      <c r="B1026" t="inlineStr">
        <is>
          <t>6a2a81390000000035030e0d</t>
        </is>
      </c>
      <c r="C1026" s="1025" t="n">
        <f>HYPERLINK("https://www.xiaohongshu.com/explore/6a2a81390000000035030e0d?xsec_token=TBzEbZzDIbsNf83YP0tUSA_HBV3_6VAe8wvIN39syvRQw=&amp;xsec_source=pc_trdark","https://www.xiaohongshu.com/explore/6a2a81390000000035030e0d?xsec_token=TBzEbZzDIbsNf83YP0tUSA_HBV3_6VAe8wvIN39syvRQw=&amp;xsec_source=pc_trdark")</f>
        <v>0.0</v>
      </c>
      <c r="D1026" t="inlineStr">
        <is>
          <t>鲜水湾甄选</t>
        </is>
      </c>
      <c r="E1026" t="inlineStr">
        <is>
          <t>27401929161</t>
        </is>
      </c>
      <c r="F1026" t="inlineStr">
        <is>
          <t>2026-06-11 17:34:49</t>
        </is>
      </c>
      <c r="G1026" t="inlineStr">
        <is>
          <t>图文</t>
        </is>
      </c>
      <c r="H1026" t="inlineStr">
        <is>
          <t>手剥虾仁 无冰衣无添加 低脂餐一人食 上班带饭 顺丰包邮 5盒装</t>
        </is>
      </c>
      <c r="I1026" t="inlineStr">
        <is>
          <t>694baba01d450d00013662f0</t>
        </is>
      </c>
      <c r="J1026" t="inlineStr">
        <is>
          <t/>
        </is>
      </c>
      <c r="K1026" t="n">
        <v>0.0</v>
      </c>
      <c r="L1026" t="n">
        <v>0.0</v>
      </c>
      <c r="M1026" t="n">
        <v>0.0</v>
      </c>
      <c r="N1026" t="inlineStr">
        <is>
          <t/>
        </is>
      </c>
      <c r="O1026" t="n">
        <v>0.0</v>
      </c>
      <c r="P1026" t="n">
        <v>0.0</v>
      </c>
      <c r="Q1026" t="inlineStr">
        <is>
          <t/>
        </is>
      </c>
      <c r="R1026" t="inlineStr">
        <is>
          <t/>
        </is>
      </c>
      <c r="S1026" t="n">
        <v>0.0</v>
      </c>
      <c r="T1026" t="n">
        <v>0.0</v>
      </c>
      <c r="U1026" t="n">
        <v>0.0</v>
      </c>
      <c r="V1026" t="n">
        <v>0.0</v>
      </c>
      <c r="W1026" t="inlineStr">
        <is>
          <t/>
        </is>
      </c>
      <c r="X1026" t="n">
        <v>0.0</v>
      </c>
      <c r="Y1026" t="n">
        <v>0.0</v>
      </c>
      <c r="Z1026" t="n">
        <v>0.0</v>
      </c>
      <c r="AA1026" t="n">
        <v>0.0</v>
      </c>
      <c r="AB1026" t="n">
        <v>0.0</v>
      </c>
      <c r="AC1026" t="n">
        <v>0.0</v>
      </c>
      <c r="AD1026" t="n">
        <v>0.0</v>
      </c>
      <c r="AE1026" t="n">
        <v>0.0</v>
      </c>
      <c r="AF1026" t="n">
        <v>0.0</v>
      </c>
      <c r="AG1026" t="n">
        <v>0.0</v>
      </c>
      <c r="AH1026" t="n">
        <v>0.0</v>
      </c>
      <c r="AI1026" t="n">
        <v>0.0</v>
      </c>
      <c r="AJ1026" t="n">
        <v>0.0</v>
      </c>
      <c r="AK1026" t="inlineStr">
        <is>
          <t/>
        </is>
      </c>
      <c r="AL1026" t="inlineStr">
        <is>
          <t/>
        </is>
      </c>
    </row>
    <row r="1027">
      <c r="A1027" t="inlineStr">
        <is>
          <t>我承认，是虾仁让我开始认真吃饭了……</t>
        </is>
      </c>
      <c r="B1027" t="inlineStr">
        <is>
          <t>6a2a76e900000000080274ee</t>
        </is>
      </c>
      <c r="C1027" s="1026" t="n">
        <f>HYPERLINK("https://www.xiaohongshu.com/explore/6a2a76e900000000080274ee?xsec_token=TBzEbZzDIbsNf83YP0tUSA_K1zO1XnK_vnAiKzDUL78Hk=&amp;xsec_source=pc_trdark","https://www.xiaohongshu.com/explore/6a2a76e900000000080274ee?xsec_token=TBzEbZzDIbsNf83YP0tUSA_K1zO1XnK_vnAiKzDUL78Hk=&amp;xsec_source=pc_trdark")</f>
        <v>0.0</v>
      </c>
      <c r="D1027" t="inlineStr">
        <is>
          <t>菲菲上班吃什么</t>
        </is>
      </c>
      <c r="E1027" t="inlineStr">
        <is>
          <t>49936530607</t>
        </is>
      </c>
      <c r="F1027" t="inlineStr">
        <is>
          <t>2026-06-11 16:50:49</t>
        </is>
      </c>
      <c r="G1027" t="inlineStr">
        <is>
          <t>图文</t>
        </is>
      </c>
      <c r="H1027" t="inlineStr">
        <is>
          <t>手剥虾仁 无冰衣无添加 低脂餐一人食 上班带饭 顺丰包邮 5盒装</t>
        </is>
      </c>
      <c r="I1027" t="inlineStr">
        <is>
          <t>694baba01d450d00013662f0</t>
        </is>
      </c>
      <c r="J1027" t="inlineStr">
        <is>
          <t/>
        </is>
      </c>
      <c r="K1027" t="n">
        <v>0.0</v>
      </c>
      <c r="L1027" t="n">
        <v>0.0</v>
      </c>
      <c r="M1027" t="n">
        <v>0.0</v>
      </c>
      <c r="N1027" t="inlineStr">
        <is>
          <t/>
        </is>
      </c>
      <c r="O1027" t="n">
        <v>0.0</v>
      </c>
      <c r="P1027" t="n">
        <v>0.0</v>
      </c>
      <c r="Q1027" t="inlineStr">
        <is>
          <t/>
        </is>
      </c>
      <c r="R1027" t="inlineStr">
        <is>
          <t/>
        </is>
      </c>
      <c r="S1027" t="n">
        <v>0.0</v>
      </c>
      <c r="T1027" t="n">
        <v>0.0</v>
      </c>
      <c r="U1027" t="n">
        <v>0.0</v>
      </c>
      <c r="V1027" t="n">
        <v>0.0</v>
      </c>
      <c r="W1027" t="inlineStr">
        <is>
          <t/>
        </is>
      </c>
      <c r="X1027" t="n">
        <v>0.0</v>
      </c>
      <c r="Y1027" t="n">
        <v>0.0</v>
      </c>
      <c r="Z1027" t="n">
        <v>0.0</v>
      </c>
      <c r="AA1027" t="n">
        <v>0.0</v>
      </c>
      <c r="AB1027" t="n">
        <v>0.0</v>
      </c>
      <c r="AC1027" t="n">
        <v>0.0</v>
      </c>
      <c r="AD1027" t="n">
        <v>0.0</v>
      </c>
      <c r="AE1027" t="n">
        <v>0.0</v>
      </c>
      <c r="AF1027" t="n">
        <v>0.0</v>
      </c>
      <c r="AG1027" t="n">
        <v>0.0</v>
      </c>
      <c r="AH1027" t="n">
        <v>0.0</v>
      </c>
      <c r="AI1027" t="n">
        <v>0.0</v>
      </c>
      <c r="AJ1027" t="n">
        <v>0.0</v>
      </c>
      <c r="AK1027" t="inlineStr">
        <is>
          <t/>
        </is>
      </c>
      <c r="AL1027" t="inlineStr">
        <is>
          <t/>
        </is>
      </c>
    </row>
    <row r="1028">
      <c r="A1028" t="inlineStr">
        <is>
          <t>以为69块没多少，结果够我吃一周了</t>
        </is>
      </c>
      <c r="B1028" t="inlineStr">
        <is>
          <t>6a2a66bd00000000210234ae</t>
        </is>
      </c>
      <c r="C1028" s="1027" t="n">
        <f>HYPERLINK("https://www.xiaohongshu.com/explore/6a2a66bd00000000210234ae?xsec_token=TBzEbZzDIbsNf83YP0tUSA_PGJ7eKDBsY_lD7QjZH2kgg=&amp;xsec_source=pc_trdark","https://www.xiaohongshu.com/explore/6a2a66bd00000000210234ae?xsec_token=TBzEbZzDIbsNf83YP0tUSA_PGJ7eKDBsY_lD7QjZH2kgg=&amp;xsec_source=pc_trdark")</f>
        <v>0.0</v>
      </c>
      <c r="D1028" t="inlineStr">
        <is>
          <t>婉婉上班吃什么</t>
        </is>
      </c>
      <c r="E1028" t="inlineStr">
        <is>
          <t>11434449706</t>
        </is>
      </c>
      <c r="F1028" t="inlineStr">
        <is>
          <t>2026-06-11 15:41:49</t>
        </is>
      </c>
      <c r="G1028" t="inlineStr">
        <is>
          <t>图文</t>
        </is>
      </c>
      <c r="H1028" t="inlineStr">
        <is>
          <t>手剥虾仁 无冰衣无添加 低脂餐一人食 上班带饭 顺丰包邮 5盒装</t>
        </is>
      </c>
      <c r="I1028" t="inlineStr">
        <is>
          <t>694baba01d450d00013662f0</t>
        </is>
      </c>
      <c r="J1028" t="inlineStr">
        <is>
          <t/>
        </is>
      </c>
      <c r="K1028" t="n">
        <v>0.0</v>
      </c>
      <c r="L1028" t="n">
        <v>0.0</v>
      </c>
      <c r="M1028" t="n">
        <v>0.0</v>
      </c>
      <c r="N1028" t="inlineStr">
        <is>
          <t/>
        </is>
      </c>
      <c r="O1028" t="n">
        <v>0.0</v>
      </c>
      <c r="P1028" t="n">
        <v>0.0</v>
      </c>
      <c r="Q1028" t="inlineStr">
        <is>
          <t/>
        </is>
      </c>
      <c r="R1028" t="inlineStr">
        <is>
          <t/>
        </is>
      </c>
      <c r="S1028" t="n">
        <v>0.0</v>
      </c>
      <c r="T1028" t="n">
        <v>0.0</v>
      </c>
      <c r="U1028" t="n">
        <v>0.0</v>
      </c>
      <c r="V1028" t="n">
        <v>0.0</v>
      </c>
      <c r="W1028" t="inlineStr">
        <is>
          <t/>
        </is>
      </c>
      <c r="X1028" t="n">
        <v>0.0</v>
      </c>
      <c r="Y1028" t="n">
        <v>0.0</v>
      </c>
      <c r="Z1028" t="n">
        <v>0.0</v>
      </c>
      <c r="AA1028" t="n">
        <v>0.0</v>
      </c>
      <c r="AB1028" t="n">
        <v>0.0</v>
      </c>
      <c r="AC1028" t="n">
        <v>0.0</v>
      </c>
      <c r="AD1028" t="n">
        <v>0.0</v>
      </c>
      <c r="AE1028" t="n">
        <v>0.0</v>
      </c>
      <c r="AF1028" t="n">
        <v>0.0</v>
      </c>
      <c r="AG1028" t="n">
        <v>0.0</v>
      </c>
      <c r="AH1028" t="n">
        <v>0.0</v>
      </c>
      <c r="AI1028" t="n">
        <v>0.0</v>
      </c>
      <c r="AJ1028" t="n">
        <v>0.0</v>
      </c>
      <c r="AK1028" t="inlineStr">
        <is>
          <t/>
        </is>
      </c>
      <c r="AL1028" t="inlineStr">
        <is>
          <t/>
        </is>
      </c>
    </row>
    <row r="1029">
      <c r="A1029" t="inlineStr">
        <is>
          <t>别说了！！早八打工人和虾仁锁死了 ！！！</t>
        </is>
      </c>
      <c r="B1029" t="inlineStr">
        <is>
          <t>6a2a5f84000000002202fc68</t>
        </is>
      </c>
      <c r="C1029" s="1028" t="n">
        <f>HYPERLINK("https://www.xiaohongshu.com/explore/6a2a5f84000000002202fc68?xsec_token=TBzEbZzDIbsNf83YP0tUSA_EX5QbOtCfgAC9vUM8nNVyA=&amp;xsec_source=pc_trdark","https://www.xiaohongshu.com/explore/6a2a5f84000000002202fc68?xsec_token=TBzEbZzDIbsNf83YP0tUSA_EX5QbOtCfgAC9vUM8nNVyA=&amp;xsec_source=pc_trdark")</f>
        <v>0.0</v>
      </c>
      <c r="D1029" t="inlineStr">
        <is>
          <t>鲜水湾甄选</t>
        </is>
      </c>
      <c r="E1029" t="inlineStr">
        <is>
          <t>27401929161</t>
        </is>
      </c>
      <c r="F1029" t="inlineStr">
        <is>
          <t>2026-06-11 15:11:00</t>
        </is>
      </c>
      <c r="G1029" t="inlineStr">
        <is>
          <t>图文</t>
        </is>
      </c>
      <c r="H1029" t="inlineStr">
        <is>
          <t>手剥虾仁 无冰衣无添加 低脂餐一人食 上班带饭 顺丰包邮 5盒装</t>
        </is>
      </c>
      <c r="I1029" t="inlineStr">
        <is>
          <t>694baba01d450d00013662f0</t>
        </is>
      </c>
      <c r="J1029" t="inlineStr">
        <is>
          <t/>
        </is>
      </c>
      <c r="K1029" t="n">
        <v>0.0</v>
      </c>
      <c r="L1029" t="n">
        <v>0.0</v>
      </c>
      <c r="M1029" t="n">
        <v>0.0</v>
      </c>
      <c r="N1029" t="inlineStr">
        <is>
          <t/>
        </is>
      </c>
      <c r="O1029" t="n">
        <v>0.0</v>
      </c>
      <c r="P1029" t="n">
        <v>0.0</v>
      </c>
      <c r="Q1029" t="inlineStr">
        <is>
          <t/>
        </is>
      </c>
      <c r="R1029" t="inlineStr">
        <is>
          <t/>
        </is>
      </c>
      <c r="S1029" t="n">
        <v>0.0</v>
      </c>
      <c r="T1029" t="n">
        <v>0.0</v>
      </c>
      <c r="U1029" t="n">
        <v>0.0</v>
      </c>
      <c r="V1029" t="n">
        <v>0.0</v>
      </c>
      <c r="W1029" t="inlineStr">
        <is>
          <t/>
        </is>
      </c>
      <c r="X1029" t="n">
        <v>0.0</v>
      </c>
      <c r="Y1029" t="n">
        <v>0.0</v>
      </c>
      <c r="Z1029" t="n">
        <v>0.0</v>
      </c>
      <c r="AA1029" t="n">
        <v>0.0</v>
      </c>
      <c r="AB1029" t="n">
        <v>0.0</v>
      </c>
      <c r="AC1029" t="n">
        <v>0.0</v>
      </c>
      <c r="AD1029" t="n">
        <v>0.0</v>
      </c>
      <c r="AE1029" t="n">
        <v>0.0</v>
      </c>
      <c r="AF1029" t="n">
        <v>0.0</v>
      </c>
      <c r="AG1029" t="n">
        <v>0.0</v>
      </c>
      <c r="AH1029" t="n">
        <v>0.0</v>
      </c>
      <c r="AI1029" t="n">
        <v>0.0</v>
      </c>
      <c r="AJ1029" t="n">
        <v>0.0</v>
      </c>
      <c r="AK1029" t="inlineStr">
        <is>
          <t/>
        </is>
      </c>
      <c r="AL1029" t="inlineStr">
        <is>
          <t/>
        </is>
      </c>
    </row>
    <row r="1030">
      <c r="A1030" t="inlineStr">
        <is>
          <t>算了不劝了，300块一整条已经是底线了</t>
        </is>
      </c>
      <c r="B1030" t="inlineStr">
        <is>
          <t>6a2a49770000000021008e50</t>
        </is>
      </c>
      <c r="C1030" s="1029" t="n">
        <f>HYPERLINK("https://www.xiaohongshu.com/explore/6a2a49770000000021008e50?xsec_token=TBzEbZzDIbsNf83YP0tUSA_Ge3_0C-8Fcmtuo19HSFNIE=&amp;xsec_source=pc_trdark","https://www.xiaohongshu.com/explore/6a2a49770000000021008e50?xsec_token=TBzEbZzDIbsNf83YP0tUSA_Ge3_0C-8Fcmtuo19HSFNIE=&amp;xsec_source=pc_trdark")</f>
        <v>0.0</v>
      </c>
      <c r="D1030" t="inlineStr">
        <is>
          <t>鲜水湾</t>
        </is>
      </c>
      <c r="E1030" t="inlineStr">
        <is>
          <t>49316638994</t>
        </is>
      </c>
      <c r="F1030" t="inlineStr">
        <is>
          <t>2026-06-11 13:36:55</t>
        </is>
      </c>
      <c r="G1030" t="inlineStr">
        <is>
          <t>图文</t>
        </is>
      </c>
      <c r="H1030" t="inlineStr">
        <is>
          <t>智利三文鱼切块·整条三文鱼·深海鱼一人食健康饮食</t>
        </is>
      </c>
      <c r="I1030" t="inlineStr">
        <is>
          <t>691ac562a524ee0001b51d7b</t>
        </is>
      </c>
      <c r="J1030" t="inlineStr">
        <is>
          <t/>
        </is>
      </c>
      <c r="K1030" t="n">
        <v>0.0</v>
      </c>
      <c r="L1030" t="n">
        <v>0.0</v>
      </c>
      <c r="M1030" t="n">
        <v>0.0</v>
      </c>
      <c r="N1030" t="inlineStr">
        <is>
          <t/>
        </is>
      </c>
      <c r="O1030" t="n">
        <v>0.0</v>
      </c>
      <c r="P1030" t="n">
        <v>0.0</v>
      </c>
      <c r="Q1030" t="inlineStr">
        <is>
          <t/>
        </is>
      </c>
      <c r="R1030" t="inlineStr">
        <is>
          <t/>
        </is>
      </c>
      <c r="S1030" t="n">
        <v>0.0</v>
      </c>
      <c r="T1030" t="n">
        <v>0.0</v>
      </c>
      <c r="U1030" t="n">
        <v>0.0</v>
      </c>
      <c r="V1030" t="n">
        <v>0.0</v>
      </c>
      <c r="W1030" t="inlineStr">
        <is>
          <t/>
        </is>
      </c>
      <c r="X1030" t="n">
        <v>0.0</v>
      </c>
      <c r="Y1030" t="n">
        <v>0.0</v>
      </c>
      <c r="Z1030" t="n">
        <v>0.0</v>
      </c>
      <c r="AA1030" t="n">
        <v>0.0</v>
      </c>
      <c r="AB1030" t="n">
        <v>0.0</v>
      </c>
      <c r="AC1030" t="n">
        <v>0.0</v>
      </c>
      <c r="AD1030" t="n">
        <v>0.0</v>
      </c>
      <c r="AE1030" t="n">
        <v>0.0</v>
      </c>
      <c r="AF1030" t="n">
        <v>0.0</v>
      </c>
      <c r="AG1030" t="n">
        <v>0.0</v>
      </c>
      <c r="AH1030" t="n">
        <v>0.0</v>
      </c>
      <c r="AI1030" t="n">
        <v>0.0</v>
      </c>
      <c r="AJ1030" t="n">
        <v>0.0</v>
      </c>
      <c r="AK1030" t="inlineStr">
        <is>
          <t/>
        </is>
      </c>
      <c r="AL1030" t="inlineStr">
        <is>
          <t/>
        </is>
      </c>
    </row>
    <row r="1031">
      <c r="A1031" t="inlineStr">
        <is>
          <t>听粉丝的话，推出一人食减脂小包装😽</t>
        </is>
      </c>
      <c r="B1031" t="inlineStr">
        <is>
          <t>6a2a246d000000002100a515</t>
        </is>
      </c>
      <c r="C1031" s="1030" t="n">
        <f>HYPERLINK("https://www.xiaohongshu.com/explore/6a2a246d000000002100a515?xsec_token=TBzEbZzDIbsNf83YP0tUSA_JUKiPyrGX4sjqZKBG1ju8Y=&amp;xsec_source=pc_trdark","https://www.xiaohongshu.com/explore/6a2a246d000000002100a515?xsec_token=TBzEbZzDIbsNf83YP0tUSA_JUKiPyrGX4sjqZKBG1ju8Y=&amp;xsec_source=pc_trdark")</f>
        <v>0.0</v>
      </c>
      <c r="D1031" t="inlineStr">
        <is>
          <t>鲜水湾</t>
        </is>
      </c>
      <c r="E1031" t="inlineStr">
        <is>
          <t>49316638994</t>
        </is>
      </c>
      <c r="F1031" t="inlineStr">
        <is>
          <t>2026-06-11 10:58:53</t>
        </is>
      </c>
      <c r="G1031" t="inlineStr">
        <is>
          <t>图文</t>
        </is>
      </c>
      <c r="H1031" t="inlineStr">
        <is>
          <t>手剥虾仁 无冰衣无添加 低脂餐一人食 上班带饭 顺丰包邮 5盒装</t>
        </is>
      </c>
      <c r="I1031" t="inlineStr">
        <is>
          <t>694baba01d450d00013662f0</t>
        </is>
      </c>
      <c r="J1031" t="inlineStr">
        <is>
          <t/>
        </is>
      </c>
      <c r="K1031" t="n">
        <v>0.0</v>
      </c>
      <c r="L1031" t="n">
        <v>0.0</v>
      </c>
      <c r="M1031" t="n">
        <v>0.0</v>
      </c>
      <c r="N1031" t="inlineStr">
        <is>
          <t/>
        </is>
      </c>
      <c r="O1031" t="n">
        <v>0.0</v>
      </c>
      <c r="P1031" t="n">
        <v>0.0</v>
      </c>
      <c r="Q1031" t="inlineStr">
        <is>
          <t/>
        </is>
      </c>
      <c r="R1031" t="inlineStr">
        <is>
          <t/>
        </is>
      </c>
      <c r="S1031" t="n">
        <v>0.0</v>
      </c>
      <c r="T1031" t="n">
        <v>0.0</v>
      </c>
      <c r="U1031" t="n">
        <v>0.0</v>
      </c>
      <c r="V1031" t="n">
        <v>0.0</v>
      </c>
      <c r="W1031" t="inlineStr">
        <is>
          <t/>
        </is>
      </c>
      <c r="X1031" t="n">
        <v>0.0</v>
      </c>
      <c r="Y1031" t="n">
        <v>0.0</v>
      </c>
      <c r="Z1031" t="n">
        <v>0.0</v>
      </c>
      <c r="AA1031" t="n">
        <v>0.0</v>
      </c>
      <c r="AB1031" t="n">
        <v>0.0</v>
      </c>
      <c r="AC1031" t="n">
        <v>0.0</v>
      </c>
      <c r="AD1031" t="n">
        <v>0.0</v>
      </c>
      <c r="AE1031" t="n">
        <v>0.0</v>
      </c>
      <c r="AF1031" t="n">
        <v>0.0</v>
      </c>
      <c r="AG1031" t="n">
        <v>0.0</v>
      </c>
      <c r="AH1031" t="n">
        <v>0.0</v>
      </c>
      <c r="AI1031" t="n">
        <v>0.0</v>
      </c>
      <c r="AJ1031" t="n">
        <v>0.0</v>
      </c>
      <c r="AK1031" t="inlineStr">
        <is>
          <t/>
        </is>
      </c>
      <c r="AL1031" t="inlineStr">
        <is>
          <t/>
        </is>
      </c>
    </row>
    <row r="1032">
      <c r="A1032" t="inlineStr">
        <is>
          <t>上班带减脂餐不到一周8️⃣仅..好可怕！</t>
        </is>
      </c>
      <c r="B1032" t="inlineStr">
        <is>
          <t>6a2a20650000000035022895</t>
        </is>
      </c>
      <c r="C1032" s="1031" t="n">
        <f>HYPERLINK("https://www.xiaohongshu.com/explore/6a2a20650000000035022895?xsec_token=TBzEbZzDIbsNf83YP0tUSA_CBcIm6IuVOkvYG_EzTw2pk=&amp;xsec_source=pc_trdark","https://www.xiaohongshu.com/explore/6a2a20650000000035022895?xsec_token=TBzEbZzDIbsNf83YP0tUSA_CBcIm6IuVOkvYG_EzTw2pk=&amp;xsec_source=pc_trdark")</f>
        <v>0.0</v>
      </c>
      <c r="D1032" t="inlineStr">
        <is>
          <t>鲜水湾甄选</t>
        </is>
      </c>
      <c r="E1032" t="inlineStr">
        <is>
          <t>27401929161</t>
        </is>
      </c>
      <c r="F1032" t="inlineStr">
        <is>
          <t>2026-06-11 10:41:41</t>
        </is>
      </c>
      <c r="G1032" t="inlineStr">
        <is>
          <t>图文</t>
        </is>
      </c>
      <c r="H1032" t="inlineStr">
        <is>
          <t>手剥虾仁 无冰衣无添加 低脂餐一人食 上班带饭 顺丰包邮 5盒装</t>
        </is>
      </c>
      <c r="I1032" t="inlineStr">
        <is>
          <t>694baba01d450d00013662f0</t>
        </is>
      </c>
      <c r="J1032" t="inlineStr">
        <is>
          <t/>
        </is>
      </c>
      <c r="K1032" t="n">
        <v>0.0</v>
      </c>
      <c r="L1032" t="n">
        <v>0.0</v>
      </c>
      <c r="M1032" t="n">
        <v>0.0</v>
      </c>
      <c r="N1032" t="inlineStr">
        <is>
          <t/>
        </is>
      </c>
      <c r="O1032" t="n">
        <v>0.0</v>
      </c>
      <c r="P1032" t="n">
        <v>0.0</v>
      </c>
      <c r="Q1032" t="inlineStr">
        <is>
          <t/>
        </is>
      </c>
      <c r="R1032" t="inlineStr">
        <is>
          <t/>
        </is>
      </c>
      <c r="S1032" t="n">
        <v>0.0</v>
      </c>
      <c r="T1032" t="n">
        <v>0.0</v>
      </c>
      <c r="U1032" t="n">
        <v>0.0</v>
      </c>
      <c r="V1032" t="n">
        <v>0.0</v>
      </c>
      <c r="W1032" t="inlineStr">
        <is>
          <t/>
        </is>
      </c>
      <c r="X1032" t="n">
        <v>0.0</v>
      </c>
      <c r="Y1032" t="n">
        <v>0.0</v>
      </c>
      <c r="Z1032" t="n">
        <v>0.0</v>
      </c>
      <c r="AA1032" t="n">
        <v>0.0</v>
      </c>
      <c r="AB1032" t="n">
        <v>0.0</v>
      </c>
      <c r="AC1032" t="n">
        <v>0.0</v>
      </c>
      <c r="AD1032" t="n">
        <v>0.0</v>
      </c>
      <c r="AE1032" t="n">
        <v>0.0</v>
      </c>
      <c r="AF1032" t="n">
        <v>0.0</v>
      </c>
      <c r="AG1032" t="n">
        <v>0.0</v>
      </c>
      <c r="AH1032" t="n">
        <v>0.0</v>
      </c>
      <c r="AI1032" t="n">
        <v>0.0</v>
      </c>
      <c r="AJ1032" t="n">
        <v>0.0</v>
      </c>
      <c r="AK1032" t="inlineStr">
        <is>
          <t/>
        </is>
      </c>
      <c r="AL1032" t="inlineStr">
        <is>
          <t/>
        </is>
      </c>
    </row>
    <row r="1033">
      <c r="A1033" t="inlineStr">
        <is>
          <t>100块解决打工人半个月的轻食餐！</t>
        </is>
      </c>
      <c r="B1033" t="inlineStr">
        <is>
          <t>6a2a186e000000000803d88b</t>
        </is>
      </c>
      <c r="C1033" s="1032" t="n">
        <f>HYPERLINK("https://www.xiaohongshu.com/explore/6a2a186e000000000803d88b?xsec_token=TBzEbZzDIbsNf83YP0tUSA_JeeNs8IPATkTp3t5ZfXyhI=&amp;xsec_source=pc_trdark","https://www.xiaohongshu.com/explore/6a2a186e000000000803d88b?xsec_token=TBzEbZzDIbsNf83YP0tUSA_JeeNs8IPATkTp3t5ZfXyhI=&amp;xsec_source=pc_trdark")</f>
        <v>0.0</v>
      </c>
      <c r="D1033" t="inlineStr">
        <is>
          <t>菲菲上班吃什么</t>
        </is>
      </c>
      <c r="E1033" t="inlineStr">
        <is>
          <t>49936530607</t>
        </is>
      </c>
      <c r="F1033" t="inlineStr">
        <is>
          <t>2026-06-11 10:07:42</t>
        </is>
      </c>
      <c r="G1033" t="inlineStr">
        <is>
          <t>图文</t>
        </is>
      </c>
      <c r="H1033" t="inlineStr">
        <is>
          <t>手剥虾仁 无冰衣无添加 低脂餐一人食 上班带饭 顺丰包邮 5盒装</t>
        </is>
      </c>
      <c r="I1033" t="inlineStr">
        <is>
          <t>694baba01d450d00013662f0</t>
        </is>
      </c>
      <c r="J1033" t="inlineStr">
        <is>
          <t/>
        </is>
      </c>
      <c r="K1033" t="n">
        <v>0.0</v>
      </c>
      <c r="L1033" t="n">
        <v>0.0</v>
      </c>
      <c r="M1033" t="n">
        <v>0.0</v>
      </c>
      <c r="N1033" t="inlineStr">
        <is>
          <t/>
        </is>
      </c>
      <c r="O1033" t="n">
        <v>0.0</v>
      </c>
      <c r="P1033" t="n">
        <v>0.0</v>
      </c>
      <c r="Q1033" t="inlineStr">
        <is>
          <t/>
        </is>
      </c>
      <c r="R1033" t="inlineStr">
        <is>
          <t/>
        </is>
      </c>
      <c r="S1033" t="n">
        <v>0.0</v>
      </c>
      <c r="T1033" t="n">
        <v>0.0</v>
      </c>
      <c r="U1033" t="n">
        <v>0.0</v>
      </c>
      <c r="V1033" t="n">
        <v>0.0</v>
      </c>
      <c r="W1033" t="inlineStr">
        <is>
          <t/>
        </is>
      </c>
      <c r="X1033" t="n">
        <v>0.0</v>
      </c>
      <c r="Y1033" t="n">
        <v>0.0</v>
      </c>
      <c r="Z1033" t="n">
        <v>0.0</v>
      </c>
      <c r="AA1033" t="n">
        <v>0.0</v>
      </c>
      <c r="AB1033" t="n">
        <v>0.0</v>
      </c>
      <c r="AC1033" t="n">
        <v>0.0</v>
      </c>
      <c r="AD1033" t="n">
        <v>0.0</v>
      </c>
      <c r="AE1033" t="n">
        <v>0.0</v>
      </c>
      <c r="AF1033" t="n">
        <v>0.0</v>
      </c>
      <c r="AG1033" t="n">
        <v>0.0</v>
      </c>
      <c r="AH1033" t="n">
        <v>0.0</v>
      </c>
      <c r="AI1033" t="n">
        <v>0.0</v>
      </c>
      <c r="AJ1033" t="n">
        <v>0.0</v>
      </c>
      <c r="AK1033" t="inlineStr">
        <is>
          <t/>
        </is>
      </c>
      <c r="AL1033" t="inlineStr">
        <is>
          <t/>
        </is>
      </c>
    </row>
    <row r="1034">
      <c r="A1034" t="inlineStr">
        <is>
          <t>只有减脂的姐妹懂这一碗的含金量，不够吃</t>
        </is>
      </c>
      <c r="B1034" t="inlineStr">
        <is>
          <t>6a2962bf000000000702c9ae</t>
        </is>
      </c>
      <c r="C1034" s="1033" t="n">
        <f>HYPERLINK("https://www.xiaohongshu.com/explore/6a2962bf000000000702c9ae?xsec_token=TBxlbMhL8lXm-rLMytwo4IZOncfWMxgSTM0_V1QuxWHUI=&amp;xsec_source=pc_trdark","https://www.xiaohongshu.com/explore/6a2962bf000000000702c9ae?xsec_token=TBxlbMhL8lXm-rLMytwo4IZOncfWMxgSTM0_V1QuxWHUI=&amp;xsec_source=pc_trdark")</f>
        <v>0.0</v>
      </c>
      <c r="D1034" t="inlineStr">
        <is>
          <t>菲菲上班吃什么</t>
        </is>
      </c>
      <c r="E1034" t="inlineStr">
        <is>
          <t>49936530607</t>
        </is>
      </c>
      <c r="F1034" t="inlineStr">
        <is>
          <t>2026-06-10 21:12:31</t>
        </is>
      </c>
      <c r="G1034" t="inlineStr">
        <is>
          <t>图文</t>
        </is>
      </c>
      <c r="H1034" t="inlineStr">
        <is>
          <t>手剥虾仁 无冰衣无添加 低脂餐一人食 上班带饭 顺丰包邮 5盒装</t>
        </is>
      </c>
      <c r="I1034" t="inlineStr">
        <is>
          <t>694baba01d450d00013662f0</t>
        </is>
      </c>
      <c r="J1034" t="inlineStr">
        <is>
          <t/>
        </is>
      </c>
      <c r="K1034" t="n">
        <v>0.0</v>
      </c>
      <c r="L1034" t="n">
        <v>0.0</v>
      </c>
      <c r="M1034" t="n">
        <v>0.0</v>
      </c>
      <c r="N1034" t="inlineStr">
        <is>
          <t/>
        </is>
      </c>
      <c r="O1034" t="n">
        <v>0.0</v>
      </c>
      <c r="P1034" t="n">
        <v>0.0</v>
      </c>
      <c r="Q1034" t="inlineStr">
        <is>
          <t/>
        </is>
      </c>
      <c r="R1034" t="inlineStr">
        <is>
          <t/>
        </is>
      </c>
      <c r="S1034" t="n">
        <v>0.0</v>
      </c>
      <c r="T1034" t="n">
        <v>0.0</v>
      </c>
      <c r="U1034" t="n">
        <v>0.0</v>
      </c>
      <c r="V1034" t="n">
        <v>0.0</v>
      </c>
      <c r="W1034" t="inlineStr">
        <is>
          <t/>
        </is>
      </c>
      <c r="X1034" t="n">
        <v>0.0</v>
      </c>
      <c r="Y1034" t="n">
        <v>0.0</v>
      </c>
      <c r="Z1034" t="n">
        <v>0.0</v>
      </c>
      <c r="AA1034" t="n">
        <v>0.0</v>
      </c>
      <c r="AB1034" t="n">
        <v>0.0</v>
      </c>
      <c r="AC1034" t="n">
        <v>0.0</v>
      </c>
      <c r="AD1034" t="n">
        <v>0.0</v>
      </c>
      <c r="AE1034" t="n">
        <v>0.0</v>
      </c>
      <c r="AF1034" t="n">
        <v>0.0</v>
      </c>
      <c r="AG1034" t="n">
        <v>0.0</v>
      </c>
      <c r="AH1034" t="n">
        <v>0.0</v>
      </c>
      <c r="AI1034" t="n">
        <v>0.0</v>
      </c>
      <c r="AJ1034" t="n">
        <v>0.0</v>
      </c>
      <c r="AK1034" t="inlineStr">
        <is>
          <t/>
        </is>
      </c>
      <c r="AL1034" t="inlineStr">
        <is>
          <t/>
        </is>
      </c>
    </row>
    <row r="1035">
      <c r="A1035" t="inlineStr">
        <is>
          <t>谁顶得住啊😭60元直接实现虾仁自由！！！！</t>
        </is>
      </c>
      <c r="B1035" t="inlineStr">
        <is>
          <t>6a29629b000000002202b94a</t>
        </is>
      </c>
      <c r="C1035" s="1034" t="n">
        <f>HYPERLINK("https://www.xiaohongshu.com/explore/6a29629b000000002202b94a?xsec_token=TBxlbMhL8lXm-rLMytwo4IZEEdz35nRdYJM1X8qg49z9w=&amp;xsec_source=pc_trdark","https://www.xiaohongshu.com/explore/6a29629b000000002202b94a?xsec_token=TBxlbMhL8lXm-rLMytwo4IZEEdz35nRdYJM1X8qg49z9w=&amp;xsec_source=pc_trdark")</f>
        <v>0.0</v>
      </c>
      <c r="D1035" t="inlineStr">
        <is>
          <t>鲜水湾甄选</t>
        </is>
      </c>
      <c r="E1035" t="inlineStr">
        <is>
          <t>27401929161</t>
        </is>
      </c>
      <c r="F1035" t="inlineStr">
        <is>
          <t>2026-06-10 22:11:00</t>
        </is>
      </c>
      <c r="G1035" t="inlineStr">
        <is>
          <t>图文</t>
        </is>
      </c>
      <c r="H1035" t="inlineStr">
        <is>
          <t>手剥虾仁 无冰衣无添加 低脂餐一人食 上班带饭 顺丰包邮 5盒装</t>
        </is>
      </c>
      <c r="I1035" t="inlineStr">
        <is>
          <t>694baba01d450d00013662f0</t>
        </is>
      </c>
      <c r="J1035" t="inlineStr">
        <is>
          <t/>
        </is>
      </c>
      <c r="K1035" t="n">
        <v>0.0</v>
      </c>
      <c r="L1035" t="n">
        <v>0.0</v>
      </c>
      <c r="M1035" t="n">
        <v>0.0</v>
      </c>
      <c r="N1035" t="inlineStr">
        <is>
          <t/>
        </is>
      </c>
      <c r="O1035" t="n">
        <v>0.0</v>
      </c>
      <c r="P1035" t="n">
        <v>0.0</v>
      </c>
      <c r="Q1035" t="inlineStr">
        <is>
          <t/>
        </is>
      </c>
      <c r="R1035" t="inlineStr">
        <is>
          <t/>
        </is>
      </c>
      <c r="S1035" t="n">
        <v>0.0</v>
      </c>
      <c r="T1035" t="n">
        <v>0.0</v>
      </c>
      <c r="U1035" t="n">
        <v>0.0</v>
      </c>
      <c r="V1035" t="n">
        <v>0.0</v>
      </c>
      <c r="W1035" t="inlineStr">
        <is>
          <t/>
        </is>
      </c>
      <c r="X1035" t="n">
        <v>0.0</v>
      </c>
      <c r="Y1035" t="n">
        <v>0.0</v>
      </c>
      <c r="Z1035" t="n">
        <v>0.0</v>
      </c>
      <c r="AA1035" t="n">
        <v>0.0</v>
      </c>
      <c r="AB1035" t="n">
        <v>0.0</v>
      </c>
      <c r="AC1035" t="n">
        <v>0.0</v>
      </c>
      <c r="AD1035" t="n">
        <v>0.0</v>
      </c>
      <c r="AE1035" t="n">
        <v>0.0</v>
      </c>
      <c r="AF1035" t="n">
        <v>0.0</v>
      </c>
      <c r="AG1035" t="n">
        <v>0.0</v>
      </c>
      <c r="AH1035" t="n">
        <v>0.0</v>
      </c>
      <c r="AI1035" t="n">
        <v>0.0</v>
      </c>
      <c r="AJ1035" t="n">
        <v>0.0</v>
      </c>
      <c r="AK1035" t="inlineStr">
        <is>
          <t/>
        </is>
      </c>
      <c r="AL1035" t="inlineStr">
        <is>
          <t/>
        </is>
      </c>
    </row>
    <row r="1036">
      <c r="A1036" t="inlineStr">
        <is>
          <t>和老爸决定，上架了一人食方便携带的小包装</t>
        </is>
      </c>
      <c r="B1036" t="inlineStr">
        <is>
          <t>6a296281000000002202b8f2</t>
        </is>
      </c>
      <c r="C1036" s="1035" t="n">
        <f>HYPERLINK("https://www.xiaohongshu.com/explore/6a296281000000002202b8f2?xsec_token=TBxlbMhL8lXm-rLMytwo4IZFSBBTyNTCbhd5InNl38064=&amp;xsec_source=pc_trdark","https://www.xiaohongshu.com/explore/6a296281000000002202b8f2?xsec_token=TBxlbMhL8lXm-rLMytwo4IZFSBBTyNTCbhd5InNl38064=&amp;xsec_source=pc_trdark")</f>
        <v>0.0</v>
      </c>
      <c r="D1036" t="inlineStr">
        <is>
          <t>鲜水湾甄选</t>
        </is>
      </c>
      <c r="E1036" t="inlineStr">
        <is>
          <t>27401929161</t>
        </is>
      </c>
      <c r="F1036" t="inlineStr">
        <is>
          <t>2026-06-10 21:11:29</t>
        </is>
      </c>
      <c r="G1036" t="inlineStr">
        <is>
          <t>图文</t>
        </is>
      </c>
      <c r="H1036" t="inlineStr">
        <is>
          <t>手剥虾仁 无冰衣无添加 低脂餐一人食 上班带饭 顺丰包邮 5盒装</t>
        </is>
      </c>
      <c r="I1036" t="inlineStr">
        <is>
          <t>694baba01d450d00013662f0</t>
        </is>
      </c>
      <c r="J1036" t="inlineStr">
        <is>
          <t/>
        </is>
      </c>
      <c r="K1036" t="n">
        <v>0.0</v>
      </c>
      <c r="L1036" t="n">
        <v>0.0</v>
      </c>
      <c r="M1036" t="n">
        <v>0.0</v>
      </c>
      <c r="N1036" t="inlineStr">
        <is>
          <t/>
        </is>
      </c>
      <c r="O1036" t="n">
        <v>0.0</v>
      </c>
      <c r="P1036" t="n">
        <v>0.0</v>
      </c>
      <c r="Q1036" t="inlineStr">
        <is>
          <t/>
        </is>
      </c>
      <c r="R1036" t="inlineStr">
        <is>
          <t/>
        </is>
      </c>
      <c r="S1036" t="n">
        <v>0.0</v>
      </c>
      <c r="T1036" t="n">
        <v>0.0</v>
      </c>
      <c r="U1036" t="n">
        <v>0.0</v>
      </c>
      <c r="V1036" t="n">
        <v>0.0</v>
      </c>
      <c r="W1036" t="inlineStr">
        <is>
          <t/>
        </is>
      </c>
      <c r="X1036" t="n">
        <v>0.0</v>
      </c>
      <c r="Y1036" t="n">
        <v>0.0</v>
      </c>
      <c r="Z1036" t="n">
        <v>0.0</v>
      </c>
      <c r="AA1036" t="n">
        <v>0.0</v>
      </c>
      <c r="AB1036" t="n">
        <v>0.0</v>
      </c>
      <c r="AC1036" t="n">
        <v>0.0</v>
      </c>
      <c r="AD1036" t="n">
        <v>0.0</v>
      </c>
      <c r="AE1036" t="n">
        <v>0.0</v>
      </c>
      <c r="AF1036" t="n">
        <v>0.0</v>
      </c>
      <c r="AG1036" t="n">
        <v>0.0</v>
      </c>
      <c r="AH1036" t="n">
        <v>0.0</v>
      </c>
      <c r="AI1036" t="n">
        <v>0.0</v>
      </c>
      <c r="AJ1036" t="n">
        <v>0.0</v>
      </c>
      <c r="AK1036" t="inlineStr">
        <is>
          <t/>
        </is>
      </c>
      <c r="AL1036" t="inlineStr">
        <is>
          <t/>
        </is>
      </c>
    </row>
    <row r="1037">
      <c r="A1037" t="inlineStr">
        <is>
          <t>减脂期虾仁自由以后，外卖都不香了 ！！</t>
        </is>
      </c>
      <c r="B1037" t="inlineStr">
        <is>
          <t>6a2947d200000000080257f9</t>
        </is>
      </c>
      <c r="C1037" s="1036" t="n">
        <f>HYPERLINK("https://www.xiaohongshu.com/explore/6a2947d200000000080257f9?xsec_token=TBxlbMhL8lXm-rLMytwo4IZGqixfEfQzsih4tXra8q_dc=&amp;xsec_source=pc_trdark","https://www.xiaohongshu.com/explore/6a2947d200000000080257f9?xsec_token=TBxlbMhL8lXm-rLMytwo4IZGqixfEfQzsih4tXra8q_dc=&amp;xsec_source=pc_trdark")</f>
        <v>0.0</v>
      </c>
      <c r="D1037" t="inlineStr">
        <is>
          <t>菲菲上班吃什么</t>
        </is>
      </c>
      <c r="E1037" t="inlineStr">
        <is>
          <t>49936530607</t>
        </is>
      </c>
      <c r="F1037" t="inlineStr">
        <is>
          <t>2026-06-10 19:17:38</t>
        </is>
      </c>
      <c r="G1037" t="inlineStr">
        <is>
          <t>图文</t>
        </is>
      </c>
      <c r="H1037" t="inlineStr">
        <is>
          <t>手剥虾仁 无冰衣无添加 低脂餐一人食 上班带饭 顺丰包邮 5盒装</t>
        </is>
      </c>
      <c r="I1037" t="inlineStr">
        <is>
          <t>694baba01d450d00013662f0</t>
        </is>
      </c>
      <c r="J1037" t="inlineStr">
        <is>
          <t/>
        </is>
      </c>
      <c r="K1037" t="n">
        <v>0.0</v>
      </c>
      <c r="L1037" t="n">
        <v>0.0</v>
      </c>
      <c r="M1037" t="n">
        <v>0.0</v>
      </c>
      <c r="N1037" t="inlineStr">
        <is>
          <t/>
        </is>
      </c>
      <c r="O1037" t="n">
        <v>0.0</v>
      </c>
      <c r="P1037" t="n">
        <v>0.0</v>
      </c>
      <c r="Q1037" t="inlineStr">
        <is>
          <t/>
        </is>
      </c>
      <c r="R1037" t="inlineStr">
        <is>
          <t/>
        </is>
      </c>
      <c r="S1037" t="n">
        <v>0.0</v>
      </c>
      <c r="T1037" t="n">
        <v>0.0</v>
      </c>
      <c r="U1037" t="n">
        <v>0.0</v>
      </c>
      <c r="V1037" t="n">
        <v>0.0</v>
      </c>
      <c r="W1037" t="inlineStr">
        <is>
          <t/>
        </is>
      </c>
      <c r="X1037" t="n">
        <v>0.0</v>
      </c>
      <c r="Y1037" t="n">
        <v>0.0</v>
      </c>
      <c r="Z1037" t="n">
        <v>0.0</v>
      </c>
      <c r="AA1037" t="n">
        <v>0.0</v>
      </c>
      <c r="AB1037" t="n">
        <v>0.0</v>
      </c>
      <c r="AC1037" t="n">
        <v>0.0</v>
      </c>
      <c r="AD1037" t="n">
        <v>0.0</v>
      </c>
      <c r="AE1037" t="n">
        <v>0.0</v>
      </c>
      <c r="AF1037" t="n">
        <v>0.0</v>
      </c>
      <c r="AG1037" t="n">
        <v>0.0</v>
      </c>
      <c r="AH1037" t="n">
        <v>0.0</v>
      </c>
      <c r="AI1037" t="n">
        <v>0.0</v>
      </c>
      <c r="AJ1037" t="n">
        <v>0.0</v>
      </c>
      <c r="AK1037" t="inlineStr">
        <is>
          <t/>
        </is>
      </c>
      <c r="AL1037" t="inlineStr">
        <is>
          <t/>
        </is>
      </c>
    </row>
    <row r="1038">
      <c r="A1038" t="inlineStr">
        <is>
          <t>以为100没多少，结果够吃半个月了😂</t>
        </is>
      </c>
      <c r="B1038" t="inlineStr">
        <is>
          <t>6a293d4a00000000070218d1</t>
        </is>
      </c>
      <c r="C1038" s="1037" t="n">
        <f>HYPERLINK("https://www.xiaohongshu.com/explore/6a293d4a00000000070218d1?xsec_token=TBxlbMhL8lXm-rLMytwo4IZLn-mNiRQ_IBVgw-8UvsB5U=&amp;xsec_source=pc_trdark","https://www.xiaohongshu.com/explore/6a293d4a00000000070218d1?xsec_token=TBxlbMhL8lXm-rLMytwo4IZLn-mNiRQ_IBVgw-8UvsB5U=&amp;xsec_source=pc_trdark")</f>
        <v>0.0</v>
      </c>
      <c r="D1038" t="inlineStr">
        <is>
          <t>菲菲上班吃什么</t>
        </is>
      </c>
      <c r="E1038" t="inlineStr">
        <is>
          <t>49936530607</t>
        </is>
      </c>
      <c r="F1038" t="inlineStr">
        <is>
          <t>2026-06-10 18:32:42</t>
        </is>
      </c>
      <c r="G1038" t="inlineStr">
        <is>
          <t>图文</t>
        </is>
      </c>
      <c r="H1038" t="inlineStr">
        <is>
          <t>手剥虾仁 无冰衣无添加 低脂餐一人食 上班带饭 顺丰包邮 5盒装</t>
        </is>
      </c>
      <c r="I1038" t="inlineStr">
        <is>
          <t>694baba01d450d00013662f0</t>
        </is>
      </c>
      <c r="J1038" t="inlineStr">
        <is>
          <t/>
        </is>
      </c>
      <c r="K1038" t="n">
        <v>0.0</v>
      </c>
      <c r="L1038" t="n">
        <v>0.0</v>
      </c>
      <c r="M1038" t="n">
        <v>0.0</v>
      </c>
      <c r="N1038" t="inlineStr">
        <is>
          <t/>
        </is>
      </c>
      <c r="O1038" t="n">
        <v>0.0</v>
      </c>
      <c r="P1038" t="n">
        <v>0.0</v>
      </c>
      <c r="Q1038" t="inlineStr">
        <is>
          <t/>
        </is>
      </c>
      <c r="R1038" t="inlineStr">
        <is>
          <t/>
        </is>
      </c>
      <c r="S1038" t="n">
        <v>0.0</v>
      </c>
      <c r="T1038" t="n">
        <v>0.0</v>
      </c>
      <c r="U1038" t="n">
        <v>0.0</v>
      </c>
      <c r="V1038" t="n">
        <v>0.0</v>
      </c>
      <c r="W1038" t="inlineStr">
        <is>
          <t/>
        </is>
      </c>
      <c r="X1038" t="n">
        <v>0.0</v>
      </c>
      <c r="Y1038" t="n">
        <v>0.0</v>
      </c>
      <c r="Z1038" t="n">
        <v>0.0</v>
      </c>
      <c r="AA1038" t="n">
        <v>0.0</v>
      </c>
      <c r="AB1038" t="n">
        <v>0.0</v>
      </c>
      <c r="AC1038" t="n">
        <v>0.0</v>
      </c>
      <c r="AD1038" t="n">
        <v>0.0</v>
      </c>
      <c r="AE1038" t="n">
        <v>0.0</v>
      </c>
      <c r="AF1038" t="n">
        <v>0.0</v>
      </c>
      <c r="AG1038" t="n">
        <v>0.0</v>
      </c>
      <c r="AH1038" t="n">
        <v>0.0</v>
      </c>
      <c r="AI1038" t="n">
        <v>0.0</v>
      </c>
      <c r="AJ1038" t="n">
        <v>0.0</v>
      </c>
      <c r="AK1038" t="inlineStr">
        <is>
          <t/>
        </is>
      </c>
      <c r="AL1038" t="inlineStr">
        <is>
          <t/>
        </is>
      </c>
    </row>
    <row r="1039">
      <c r="A1039" t="inlineStr">
        <is>
          <t>我承认，是虾仁让我开始认真吃饭了……</t>
        </is>
      </c>
      <c r="B1039" t="inlineStr">
        <is>
          <t>6a2935670000000022020f41</t>
        </is>
      </c>
      <c r="C1039" s="1038" t="n">
        <f>HYPERLINK("https://www.xiaohongshu.com/explore/6a2935670000000022020f41?xsec_token=TBxlbMhL8lXm-rLMytwo4IZMDNfHaoUksH7loyUehOZCI=&amp;xsec_source=pc_trdark","https://www.xiaohongshu.com/explore/6a2935670000000022020f41?xsec_token=TBxlbMhL8lXm-rLMytwo4IZMDNfHaoUksH7loyUehOZCI=&amp;xsec_source=pc_trdark")</f>
        <v>0.0</v>
      </c>
      <c r="D1039" t="inlineStr">
        <is>
          <t>鲜水湾甄选</t>
        </is>
      </c>
      <c r="E1039" t="inlineStr">
        <is>
          <t>27401929161</t>
        </is>
      </c>
      <c r="F1039" t="inlineStr">
        <is>
          <t>2026-06-10 17:59:03</t>
        </is>
      </c>
      <c r="G1039" t="inlineStr">
        <is>
          <t>图文</t>
        </is>
      </c>
      <c r="H1039" t="inlineStr">
        <is>
          <t>手剥虾仁 无冰衣无添加 低脂餐一人食 上班带饭 顺丰包邮 5盒装</t>
        </is>
      </c>
      <c r="I1039" t="inlineStr">
        <is>
          <t>694baba01d450d00013662f0</t>
        </is>
      </c>
      <c r="J1039" t="inlineStr">
        <is>
          <t/>
        </is>
      </c>
      <c r="K1039" t="n">
        <v>0.0</v>
      </c>
      <c r="L1039" t="n">
        <v>0.0</v>
      </c>
      <c r="M1039" t="n">
        <v>0.0</v>
      </c>
      <c r="N1039" t="inlineStr">
        <is>
          <t/>
        </is>
      </c>
      <c r="O1039" t="n">
        <v>0.0</v>
      </c>
      <c r="P1039" t="n">
        <v>0.0</v>
      </c>
      <c r="Q1039" t="inlineStr">
        <is>
          <t/>
        </is>
      </c>
      <c r="R1039" t="inlineStr">
        <is>
          <t/>
        </is>
      </c>
      <c r="S1039" t="n">
        <v>0.0</v>
      </c>
      <c r="T1039" t="n">
        <v>0.0</v>
      </c>
      <c r="U1039" t="n">
        <v>0.0</v>
      </c>
      <c r="V1039" t="n">
        <v>0.0</v>
      </c>
      <c r="W1039" t="inlineStr">
        <is>
          <t/>
        </is>
      </c>
      <c r="X1039" t="n">
        <v>0.0</v>
      </c>
      <c r="Y1039" t="n">
        <v>0.0</v>
      </c>
      <c r="Z1039" t="n">
        <v>0.0</v>
      </c>
      <c r="AA1039" t="n">
        <v>0.0</v>
      </c>
      <c r="AB1039" t="n">
        <v>0.0</v>
      </c>
      <c r="AC1039" t="n">
        <v>0.0</v>
      </c>
      <c r="AD1039" t="n">
        <v>0.0</v>
      </c>
      <c r="AE1039" t="n">
        <v>0.0</v>
      </c>
      <c r="AF1039" t="n">
        <v>0.0</v>
      </c>
      <c r="AG1039" t="n">
        <v>0.0</v>
      </c>
      <c r="AH1039" t="n">
        <v>0.0</v>
      </c>
      <c r="AI1039" t="n">
        <v>0.0</v>
      </c>
      <c r="AJ1039" t="n">
        <v>0.0</v>
      </c>
      <c r="AK1039" t="inlineStr">
        <is>
          <t/>
        </is>
      </c>
      <c r="AL1039" t="inlineStr">
        <is>
          <t/>
        </is>
      </c>
    </row>
    <row r="1040">
      <c r="A1040" t="inlineStr">
        <is>
          <t>备餐完成！69块解决一周上班带饭</t>
        </is>
      </c>
      <c r="B1040" t="inlineStr">
        <is>
          <t>6a29065b0000000020038b27</t>
        </is>
      </c>
      <c r="C1040" s="1039" t="n">
        <f>HYPERLINK("https://www.xiaohongshu.com/explore/6a29065b0000000020038b27?xsec_token=TBxlbMhL8lXm-rLMytwo4IZBPFA98bpd6k979WMoE17VM=&amp;xsec_source=pc_trdark","https://www.xiaohongshu.com/explore/6a29065b0000000020038b27?xsec_token=TBxlbMhL8lXm-rLMytwo4IZBPFA98bpd6k979WMoE17VM=&amp;xsec_source=pc_trdark")</f>
        <v>0.0</v>
      </c>
      <c r="D1040" t="inlineStr">
        <is>
          <t>婉婉上班吃什么</t>
        </is>
      </c>
      <c r="E1040" t="inlineStr">
        <is>
          <t>11434449706</t>
        </is>
      </c>
      <c r="F1040" t="inlineStr">
        <is>
          <t>2026-06-10 14:38:19</t>
        </is>
      </c>
      <c r="G1040" t="inlineStr">
        <is>
          <t>图文</t>
        </is>
      </c>
      <c r="H1040" t="inlineStr">
        <is>
          <t>手剥虾仁 无冰衣无添加 低脂餐一人食 上班带饭 顺丰包邮 5盒装</t>
        </is>
      </c>
      <c r="I1040" t="inlineStr">
        <is>
          <t>694baba01d450d00013662f0</t>
        </is>
      </c>
      <c r="J1040" t="inlineStr">
        <is>
          <t/>
        </is>
      </c>
      <c r="K1040" t="n">
        <v>0.0</v>
      </c>
      <c r="L1040" t="n">
        <v>0.0</v>
      </c>
      <c r="M1040" t="n">
        <v>0.0</v>
      </c>
      <c r="N1040" t="inlineStr">
        <is>
          <t/>
        </is>
      </c>
      <c r="O1040" t="n">
        <v>0.0</v>
      </c>
      <c r="P1040" t="n">
        <v>0.0</v>
      </c>
      <c r="Q1040" t="inlineStr">
        <is>
          <t/>
        </is>
      </c>
      <c r="R1040" t="inlineStr">
        <is>
          <t/>
        </is>
      </c>
      <c r="S1040" t="n">
        <v>0.0</v>
      </c>
      <c r="T1040" t="n">
        <v>0.0</v>
      </c>
      <c r="U1040" t="n">
        <v>0.0</v>
      </c>
      <c r="V1040" t="n">
        <v>0.0</v>
      </c>
      <c r="W1040" t="inlineStr">
        <is>
          <t/>
        </is>
      </c>
      <c r="X1040" t="n">
        <v>0.0</v>
      </c>
      <c r="Y1040" t="n">
        <v>0.0</v>
      </c>
      <c r="Z1040" t="n">
        <v>0.0</v>
      </c>
      <c r="AA1040" t="n">
        <v>0.0</v>
      </c>
      <c r="AB1040" t="n">
        <v>0.0</v>
      </c>
      <c r="AC1040" t="n">
        <v>0.0</v>
      </c>
      <c r="AD1040" t="n">
        <v>0.0</v>
      </c>
      <c r="AE1040" t="n">
        <v>0.0</v>
      </c>
      <c r="AF1040" t="n">
        <v>0.0</v>
      </c>
      <c r="AG1040" t="n">
        <v>0.0</v>
      </c>
      <c r="AH1040" t="n">
        <v>0.0</v>
      </c>
      <c r="AI1040" t="n">
        <v>0.0</v>
      </c>
      <c r="AJ1040" t="n">
        <v>0.0</v>
      </c>
      <c r="AK1040" t="inlineStr">
        <is>
          <t/>
        </is>
      </c>
      <c r="AL1040" t="inlineStr">
        <is>
          <t/>
        </is>
      </c>
    </row>
    <row r="1041">
      <c r="A1041" t="inlineStr">
        <is>
          <t>你永远可以相信一个减脂人的选择！！</t>
        </is>
      </c>
      <c r="B1041" t="inlineStr">
        <is>
          <t>6a28e5240000000007013e7b</t>
        </is>
      </c>
      <c r="C1041" s="1040" t="n">
        <f>HYPERLINK("https://www.xiaohongshu.com/explore/6a28e5240000000007013e7b?xsec_token=TBjRDlWvuanGfwsOwntw7dM0Fsfh3WtO92x9NNE4KF2Og=&amp;xsec_source=pc_trdark","https://www.xiaohongshu.com/explore/6a28e5240000000007013e7b?xsec_token=TBjRDlWvuanGfwsOwntw7dM0Fsfh3WtO92x9NNE4KF2Og=&amp;xsec_source=pc_trdark")</f>
        <v>0.0</v>
      </c>
      <c r="D1041" t="inlineStr">
        <is>
          <t>菲菲上班吃什么</t>
        </is>
      </c>
      <c r="E1041" t="inlineStr">
        <is>
          <t>49936530607</t>
        </is>
      </c>
      <c r="F1041" t="inlineStr">
        <is>
          <t>2026-06-10 12:16:36</t>
        </is>
      </c>
      <c r="G1041" t="inlineStr">
        <is>
          <t>图文</t>
        </is>
      </c>
      <c r="H1041" t="inlineStr">
        <is>
          <t>手剥虾仁 无冰衣无添加 低脂餐一人食 上班带饭 顺丰包邮 5盒装</t>
        </is>
      </c>
      <c r="I1041" t="inlineStr">
        <is>
          <t>694baba01d450d00013662f0</t>
        </is>
      </c>
      <c r="J1041" t="inlineStr">
        <is>
          <t/>
        </is>
      </c>
      <c r="K1041" t="n">
        <v>0.0</v>
      </c>
      <c r="L1041" t="n">
        <v>0.0</v>
      </c>
      <c r="M1041" t="n">
        <v>0.0</v>
      </c>
      <c r="N1041" t="inlineStr">
        <is>
          <t/>
        </is>
      </c>
      <c r="O1041" t="n">
        <v>0.0</v>
      </c>
      <c r="P1041" t="n">
        <v>0.0</v>
      </c>
      <c r="Q1041" t="inlineStr">
        <is>
          <t/>
        </is>
      </c>
      <c r="R1041" t="inlineStr">
        <is>
          <t/>
        </is>
      </c>
      <c r="S1041" t="n">
        <v>0.0</v>
      </c>
      <c r="T1041" t="n">
        <v>0.0</v>
      </c>
      <c r="U1041" t="n">
        <v>0.0</v>
      </c>
      <c r="V1041" t="n">
        <v>0.0</v>
      </c>
      <c r="W1041" t="inlineStr">
        <is>
          <t/>
        </is>
      </c>
      <c r="X1041" t="n">
        <v>0.0</v>
      </c>
      <c r="Y1041" t="n">
        <v>0.0</v>
      </c>
      <c r="Z1041" t="n">
        <v>0.0</v>
      </c>
      <c r="AA1041" t="n">
        <v>0.0</v>
      </c>
      <c r="AB1041" t="n">
        <v>0.0</v>
      </c>
      <c r="AC1041" t="n">
        <v>0.0</v>
      </c>
      <c r="AD1041" t="n">
        <v>0.0</v>
      </c>
      <c r="AE1041" t="n">
        <v>0.0</v>
      </c>
      <c r="AF1041" t="n">
        <v>0.0</v>
      </c>
      <c r="AG1041" t="n">
        <v>0.0</v>
      </c>
      <c r="AH1041" t="n">
        <v>0.0</v>
      </c>
      <c r="AI1041" t="n">
        <v>0.0</v>
      </c>
      <c r="AJ1041" t="n">
        <v>0.0</v>
      </c>
      <c r="AK1041" t="inlineStr">
        <is>
          <t/>
        </is>
      </c>
      <c r="AL1041" t="inlineStr">
        <is>
          <t/>
        </is>
      </c>
    </row>
    <row r="1042">
      <c r="A1042" t="inlineStr">
        <is>
          <t>虾仁别吓人！69够减脂期吃一周！！！！</t>
        </is>
      </c>
      <c r="B1042" t="inlineStr">
        <is>
          <t>6a28d6660000000035020dc5</t>
        </is>
      </c>
      <c r="C1042" s="1041" t="n">
        <f>HYPERLINK("https://www.xiaohongshu.com/explore/6a28d6660000000035020dc5?xsec_token=TBjRDlWvuanGfwsOwntw7dM_KONlRhiICrEbs1QhlI55Q=&amp;xsec_source=pc_trdark","https://www.xiaohongshu.com/explore/6a28d6660000000035020dc5?xsec_token=TBjRDlWvuanGfwsOwntw7dM_KONlRhiICrEbs1QhlI55Q=&amp;xsec_source=pc_trdark")</f>
        <v>0.0</v>
      </c>
      <c r="D1042" t="inlineStr">
        <is>
          <t>鲜水湾甄选</t>
        </is>
      </c>
      <c r="E1042" t="inlineStr">
        <is>
          <t>27401929161</t>
        </is>
      </c>
      <c r="F1042" t="inlineStr">
        <is>
          <t>2026-06-10 11:13:42</t>
        </is>
      </c>
      <c r="G1042" t="inlineStr">
        <is>
          <t>图文</t>
        </is>
      </c>
      <c r="H1042" t="inlineStr">
        <is>
          <t>手剥虾仁 无冰衣无添加 低脂餐一人食 上班带饭 顺丰包邮 5盒装</t>
        </is>
      </c>
      <c r="I1042" t="inlineStr">
        <is>
          <t>694baba01d450d00013662f0</t>
        </is>
      </c>
      <c r="J1042" t="inlineStr">
        <is>
          <t/>
        </is>
      </c>
      <c r="K1042" t="n">
        <v>0.0</v>
      </c>
      <c r="L1042" t="n">
        <v>0.0</v>
      </c>
      <c r="M1042" t="n">
        <v>0.0</v>
      </c>
      <c r="N1042" t="inlineStr">
        <is>
          <t/>
        </is>
      </c>
      <c r="O1042" t="n">
        <v>0.0</v>
      </c>
      <c r="P1042" t="n">
        <v>0.0</v>
      </c>
      <c r="Q1042" t="inlineStr">
        <is>
          <t/>
        </is>
      </c>
      <c r="R1042" t="inlineStr">
        <is>
          <t/>
        </is>
      </c>
      <c r="S1042" t="n">
        <v>0.0</v>
      </c>
      <c r="T1042" t="n">
        <v>0.0</v>
      </c>
      <c r="U1042" t="n">
        <v>0.0</v>
      </c>
      <c r="V1042" t="n">
        <v>0.0</v>
      </c>
      <c r="W1042" t="inlineStr">
        <is>
          <t/>
        </is>
      </c>
      <c r="X1042" t="n">
        <v>0.0</v>
      </c>
      <c r="Y1042" t="n">
        <v>0.0</v>
      </c>
      <c r="Z1042" t="n">
        <v>0.0</v>
      </c>
      <c r="AA1042" t="n">
        <v>0.0</v>
      </c>
      <c r="AB1042" t="n">
        <v>0.0</v>
      </c>
      <c r="AC1042" t="n">
        <v>0.0</v>
      </c>
      <c r="AD1042" t="n">
        <v>0.0</v>
      </c>
      <c r="AE1042" t="n">
        <v>0.0</v>
      </c>
      <c r="AF1042" t="n">
        <v>0.0</v>
      </c>
      <c r="AG1042" t="n">
        <v>0.0</v>
      </c>
      <c r="AH1042" t="n">
        <v>0.0</v>
      </c>
      <c r="AI1042" t="n">
        <v>0.0</v>
      </c>
      <c r="AJ1042" t="n">
        <v>0.0</v>
      </c>
      <c r="AK1042" t="inlineStr">
        <is>
          <t/>
        </is>
      </c>
      <c r="AL1042" t="inlineStr">
        <is>
          <t/>
        </is>
      </c>
    </row>
    <row r="1043">
      <c r="A1043" t="inlineStr">
        <is>
          <t>听我一句劝，夏天减脂期控体还来得及！！！</t>
        </is>
      </c>
      <c r="B1043" t="inlineStr">
        <is>
          <t>6a28079c0000000022017043</t>
        </is>
      </c>
      <c r="C1043" s="1042" t="n">
        <f>HYPERLINK("https://www.xiaohongshu.com/explore/6a28079c0000000022017043?xsec_token=TBjRDlWvuanGfwsOwntw7dM2L_EY1LWkJnXCtLBqtmsqk=&amp;xsec_source=pc_trdark","https://www.xiaohongshu.com/explore/6a28079c0000000022017043?xsec_token=TBjRDlWvuanGfwsOwntw7dM2L_EY1LWkJnXCtLBqtmsqk=&amp;xsec_source=pc_trdark")</f>
        <v>0.0</v>
      </c>
      <c r="D1043" t="inlineStr">
        <is>
          <t>菲菲上班吃什么</t>
        </is>
      </c>
      <c r="E1043" t="inlineStr">
        <is>
          <t>49936530607</t>
        </is>
      </c>
      <c r="F1043" t="inlineStr">
        <is>
          <t>2026-06-09 21:31:00</t>
        </is>
      </c>
      <c r="G1043" t="inlineStr">
        <is>
          <t>图文</t>
        </is>
      </c>
      <c r="H1043" t="inlineStr">
        <is>
          <t>手剥虾仁 无冰衣无添加 低脂餐一人食 上班带饭 顺丰包邮 5盒装</t>
        </is>
      </c>
      <c r="I1043" t="inlineStr">
        <is>
          <t>694baba01d450d00013662f0</t>
        </is>
      </c>
      <c r="J1043" t="inlineStr">
        <is>
          <t/>
        </is>
      </c>
      <c r="K1043" t="n">
        <v>0.0</v>
      </c>
      <c r="L1043" t="n">
        <v>0.0</v>
      </c>
      <c r="M1043" t="n">
        <v>0.0</v>
      </c>
      <c r="N1043" t="inlineStr">
        <is>
          <t/>
        </is>
      </c>
      <c r="O1043" t="n">
        <v>0.0</v>
      </c>
      <c r="P1043" t="n">
        <v>0.0</v>
      </c>
      <c r="Q1043" t="inlineStr">
        <is>
          <t/>
        </is>
      </c>
      <c r="R1043" t="inlineStr">
        <is>
          <t/>
        </is>
      </c>
      <c r="S1043" t="n">
        <v>0.0</v>
      </c>
      <c r="T1043" t="n">
        <v>0.0</v>
      </c>
      <c r="U1043" t="n">
        <v>0.0</v>
      </c>
      <c r="V1043" t="n">
        <v>0.0</v>
      </c>
      <c r="W1043" t="inlineStr">
        <is>
          <t/>
        </is>
      </c>
      <c r="X1043" t="n">
        <v>0.0</v>
      </c>
      <c r="Y1043" t="n">
        <v>0.0</v>
      </c>
      <c r="Z1043" t="n">
        <v>0.0</v>
      </c>
      <c r="AA1043" t="n">
        <v>0.0</v>
      </c>
      <c r="AB1043" t="n">
        <v>0.0</v>
      </c>
      <c r="AC1043" t="n">
        <v>0.0</v>
      </c>
      <c r="AD1043" t="n">
        <v>0.0</v>
      </c>
      <c r="AE1043" t="n">
        <v>0.0</v>
      </c>
      <c r="AF1043" t="n">
        <v>0.0</v>
      </c>
      <c r="AG1043" t="n">
        <v>0.0</v>
      </c>
      <c r="AH1043" t="n">
        <v>0.0</v>
      </c>
      <c r="AI1043" t="n">
        <v>0.0</v>
      </c>
      <c r="AJ1043" t="n">
        <v>0.0</v>
      </c>
      <c r="AK1043" t="inlineStr">
        <is>
          <t/>
        </is>
      </c>
      <c r="AL1043" t="inlineStr">
        <is>
          <t/>
        </is>
      </c>
    </row>
    <row r="1044">
      <c r="A1044" t="inlineStr">
        <is>
          <t>奉劝大家不要低估69块的购买力！</t>
        </is>
      </c>
      <c r="B1044" t="inlineStr">
        <is>
          <t>6a280786000000000803fc19</t>
        </is>
      </c>
      <c r="C1044" s="1043" t="n">
        <f>HYPERLINK("https://www.xiaohongshu.com/explore/6a280786000000000803fc19?xsec_token=TBjRDlWvuanGfwsOwntw7dM-usatpziswPTE4BoowVmhM=&amp;xsec_source=pc_trdark","https://www.xiaohongshu.com/explore/6a280786000000000803fc19?xsec_token=TBjRDlWvuanGfwsOwntw7dM-usatpziswPTE4BoowVmhM=&amp;xsec_source=pc_trdark")</f>
        <v>0.0</v>
      </c>
      <c r="D1044" t="inlineStr">
        <is>
          <t>菲菲上班吃什么</t>
        </is>
      </c>
      <c r="E1044" t="inlineStr">
        <is>
          <t>49936530607</t>
        </is>
      </c>
      <c r="F1044" t="inlineStr">
        <is>
          <t>2026-06-09 20:31:02</t>
        </is>
      </c>
      <c r="G1044" t="inlineStr">
        <is>
          <t>图文</t>
        </is>
      </c>
      <c r="H1044" t="inlineStr">
        <is>
          <t>手剥虾仁 无冰衣无添加 低脂餐一人食 上班带饭 顺丰包邮 5盒装</t>
        </is>
      </c>
      <c r="I1044" t="inlineStr">
        <is>
          <t>694baba01d450d00013662f0</t>
        </is>
      </c>
      <c r="J1044" t="inlineStr">
        <is>
          <t/>
        </is>
      </c>
      <c r="K1044" t="n">
        <v>0.0</v>
      </c>
      <c r="L1044" t="n">
        <v>0.0</v>
      </c>
      <c r="M1044" t="n">
        <v>0.0</v>
      </c>
      <c r="N1044" t="inlineStr">
        <is>
          <t/>
        </is>
      </c>
      <c r="O1044" t="n">
        <v>0.0</v>
      </c>
      <c r="P1044" t="n">
        <v>0.0</v>
      </c>
      <c r="Q1044" t="inlineStr">
        <is>
          <t/>
        </is>
      </c>
      <c r="R1044" t="inlineStr">
        <is>
          <t/>
        </is>
      </c>
      <c r="S1044" t="n">
        <v>0.0</v>
      </c>
      <c r="T1044" t="n">
        <v>0.0</v>
      </c>
      <c r="U1044" t="n">
        <v>0.0</v>
      </c>
      <c r="V1044" t="n">
        <v>0.0</v>
      </c>
      <c r="W1044" t="inlineStr">
        <is>
          <t/>
        </is>
      </c>
      <c r="X1044" t="n">
        <v>0.0</v>
      </c>
      <c r="Y1044" t="n">
        <v>0.0</v>
      </c>
      <c r="Z1044" t="n">
        <v>0.0</v>
      </c>
      <c r="AA1044" t="n">
        <v>0.0</v>
      </c>
      <c r="AB1044" t="n">
        <v>0.0</v>
      </c>
      <c r="AC1044" t="n">
        <v>0.0</v>
      </c>
      <c r="AD1044" t="n">
        <v>0.0</v>
      </c>
      <c r="AE1044" t="n">
        <v>0.0</v>
      </c>
      <c r="AF1044" t="n">
        <v>0.0</v>
      </c>
      <c r="AG1044" t="n">
        <v>0.0</v>
      </c>
      <c r="AH1044" t="n">
        <v>0.0</v>
      </c>
      <c r="AI1044" t="n">
        <v>0.0</v>
      </c>
      <c r="AJ1044" t="n">
        <v>0.0</v>
      </c>
      <c r="AK1044" t="inlineStr">
        <is>
          <t/>
        </is>
      </c>
      <c r="AL1044" t="inlineStr">
        <is>
          <t/>
        </is>
      </c>
    </row>
    <row r="1045">
      <c r="A1045" t="inlineStr">
        <is>
          <t>减脂期的快乐只花69块就能拥有～</t>
        </is>
      </c>
      <c r="B1045" t="inlineStr">
        <is>
          <t>6a27eb4e0000000022009694</t>
        </is>
      </c>
      <c r="C1045" s="1044" t="n">
        <f>HYPERLINK("https://www.xiaohongshu.com/explore/6a27eb4e0000000022009694?xsec_token=TBvEjGJgk05ohH1lyk129F5Ub-pjPWGZUeeJJ9eZRs01E=&amp;xsec_source=pc_trdark","https://www.xiaohongshu.com/explore/6a27eb4e0000000022009694?xsec_token=TBvEjGJgk05ohH1lyk129F5Ub-pjPWGZUeeJJ9eZRs01E=&amp;xsec_source=pc_trdark")</f>
        <v>0.0</v>
      </c>
      <c r="D1045" t="inlineStr">
        <is>
          <t>菲菲上班吃什么</t>
        </is>
      </c>
      <c r="E1045" t="inlineStr">
        <is>
          <t>49936530607</t>
        </is>
      </c>
      <c r="F1045" t="inlineStr">
        <is>
          <t>2026-06-09 18:30:38</t>
        </is>
      </c>
      <c r="G1045" t="inlineStr">
        <is>
          <t>图文</t>
        </is>
      </c>
      <c r="H1045" t="inlineStr">
        <is>
          <t>手剥虾仁 无冰衣无添加 低脂餐一人食 上班带饭 顺丰包邮 5盒装</t>
        </is>
      </c>
      <c r="I1045" t="inlineStr">
        <is>
          <t>694baba01d450d00013662f0</t>
        </is>
      </c>
      <c r="J1045" t="inlineStr">
        <is>
          <t/>
        </is>
      </c>
      <c r="K1045" t="n">
        <v>0.0</v>
      </c>
      <c r="L1045" t="n">
        <v>0.0</v>
      </c>
      <c r="M1045" t="n">
        <v>0.0</v>
      </c>
      <c r="N1045" t="inlineStr">
        <is>
          <t/>
        </is>
      </c>
      <c r="O1045" t="n">
        <v>0.0</v>
      </c>
      <c r="P1045" t="n">
        <v>0.0</v>
      </c>
      <c r="Q1045" t="inlineStr">
        <is>
          <t/>
        </is>
      </c>
      <c r="R1045" t="inlineStr">
        <is>
          <t/>
        </is>
      </c>
      <c r="S1045" t="n">
        <v>0.0</v>
      </c>
      <c r="T1045" t="n">
        <v>0.0</v>
      </c>
      <c r="U1045" t="n">
        <v>0.0</v>
      </c>
      <c r="V1045" t="n">
        <v>0.0</v>
      </c>
      <c r="W1045" t="inlineStr">
        <is>
          <t/>
        </is>
      </c>
      <c r="X1045" t="n">
        <v>0.0</v>
      </c>
      <c r="Y1045" t="n">
        <v>0.0</v>
      </c>
      <c r="Z1045" t="n">
        <v>0.0</v>
      </c>
      <c r="AA1045" t="n">
        <v>0.0</v>
      </c>
      <c r="AB1045" t="n">
        <v>0.0</v>
      </c>
      <c r="AC1045" t="n">
        <v>0.0</v>
      </c>
      <c r="AD1045" t="n">
        <v>0.0</v>
      </c>
      <c r="AE1045" t="n">
        <v>0.0</v>
      </c>
      <c r="AF1045" t="n">
        <v>0.0</v>
      </c>
      <c r="AG1045" t="n">
        <v>0.0</v>
      </c>
      <c r="AH1045" t="n">
        <v>0.0</v>
      </c>
      <c r="AI1045" t="n">
        <v>0.0</v>
      </c>
      <c r="AJ1045" t="n">
        <v>0.0</v>
      </c>
      <c r="AK1045" t="inlineStr">
        <is>
          <t/>
        </is>
      </c>
      <c r="AL1045" t="inlineStr">
        <is>
          <t/>
        </is>
      </c>
    </row>
    <row r="1046">
      <c r="A1046" t="inlineStr">
        <is>
          <t>独居后才发现，小包装食材真的太重要了！！！</t>
        </is>
      </c>
      <c r="B1046" t="inlineStr">
        <is>
          <t>6a27c70b00000000360027a1</t>
        </is>
      </c>
      <c r="C1046" s="1045" t="n">
        <f>HYPERLINK("https://www.xiaohongshu.com/explore/6a27c70b00000000360027a1?xsec_token=TBvEjGJgk05ohH1lyk129F5fi7hBS_ZeROPk3-uC_YKpw=&amp;xsec_source=pc_trdark","https://www.xiaohongshu.com/explore/6a27c70b00000000360027a1?xsec_token=TBvEjGJgk05ohH1lyk129F5fi7hBS_ZeROPk3-uC_YKpw=&amp;xsec_source=pc_trdark")</f>
        <v>0.0</v>
      </c>
      <c r="D1046" t="inlineStr">
        <is>
          <t>鲜水湾甄选</t>
        </is>
      </c>
      <c r="E1046" t="inlineStr">
        <is>
          <t>27401929161</t>
        </is>
      </c>
      <c r="F1046" t="inlineStr">
        <is>
          <t>2026-06-09 15:55:55</t>
        </is>
      </c>
      <c r="G1046" t="inlineStr">
        <is>
          <t>图文</t>
        </is>
      </c>
      <c r="H1046" t="inlineStr">
        <is>
          <t>手剥虾仁 无冰衣无添加 低脂餐一人食 上班带饭 顺丰包邮 5盒装</t>
        </is>
      </c>
      <c r="I1046" t="inlineStr">
        <is>
          <t>694baba01d450d00013662f0</t>
        </is>
      </c>
      <c r="J1046" t="inlineStr">
        <is>
          <t/>
        </is>
      </c>
      <c r="K1046" t="n">
        <v>0.0</v>
      </c>
      <c r="L1046" t="n">
        <v>0.0</v>
      </c>
      <c r="M1046" t="n">
        <v>0.0</v>
      </c>
      <c r="N1046" t="inlineStr">
        <is>
          <t/>
        </is>
      </c>
      <c r="O1046" t="n">
        <v>0.0</v>
      </c>
      <c r="P1046" t="n">
        <v>0.0</v>
      </c>
      <c r="Q1046" t="inlineStr">
        <is>
          <t/>
        </is>
      </c>
      <c r="R1046" t="inlineStr">
        <is>
          <t/>
        </is>
      </c>
      <c r="S1046" t="n">
        <v>0.0</v>
      </c>
      <c r="T1046" t="n">
        <v>0.0</v>
      </c>
      <c r="U1046" t="n">
        <v>0.0</v>
      </c>
      <c r="V1046" t="n">
        <v>0.0</v>
      </c>
      <c r="W1046" t="inlineStr">
        <is>
          <t/>
        </is>
      </c>
      <c r="X1046" t="n">
        <v>0.0</v>
      </c>
      <c r="Y1046" t="n">
        <v>0.0</v>
      </c>
      <c r="Z1046" t="n">
        <v>0.0</v>
      </c>
      <c r="AA1046" t="n">
        <v>0.0</v>
      </c>
      <c r="AB1046" t="n">
        <v>0.0</v>
      </c>
      <c r="AC1046" t="n">
        <v>0.0</v>
      </c>
      <c r="AD1046" t="n">
        <v>0.0</v>
      </c>
      <c r="AE1046" t="n">
        <v>0.0</v>
      </c>
      <c r="AF1046" t="n">
        <v>0.0</v>
      </c>
      <c r="AG1046" t="n">
        <v>0.0</v>
      </c>
      <c r="AH1046" t="n">
        <v>0.0</v>
      </c>
      <c r="AI1046" t="n">
        <v>0.0</v>
      </c>
      <c r="AJ1046" t="n">
        <v>0.0</v>
      </c>
      <c r="AK1046" t="inlineStr">
        <is>
          <t/>
        </is>
      </c>
      <c r="AL1046" t="inlineStr">
        <is>
          <t/>
        </is>
      </c>
    </row>
    <row r="1047">
      <c r="A1047" t="inlineStr">
        <is>
          <t>不是... 这食材减脂期吃也太香了吧！！！</t>
        </is>
      </c>
      <c r="B1047" t="inlineStr">
        <is>
          <t>6a2783fd000000000803db0e</t>
        </is>
      </c>
      <c r="C1047" s="1046" t="n">
        <f>HYPERLINK("https://www.xiaohongshu.com/explore/6a2783fd000000000803db0e?xsec_token=TBvEjGJgk05ohH1lyk129F5S8U8IkE-dDOHj3KqgPeU7Y=&amp;xsec_source=pc_trdark","https://www.xiaohongshu.com/explore/6a2783fd000000000803db0e?xsec_token=TBvEjGJgk05ohH1lyk129F5S8U8IkE-dDOHj3KqgPeU7Y=&amp;xsec_source=pc_trdark")</f>
        <v>0.0</v>
      </c>
      <c r="D1047" t="inlineStr">
        <is>
          <t>菲菲上班吃什么</t>
        </is>
      </c>
      <c r="E1047" t="inlineStr">
        <is>
          <t>49936530607</t>
        </is>
      </c>
      <c r="F1047" t="inlineStr">
        <is>
          <t>2026-06-09 11:09:49</t>
        </is>
      </c>
      <c r="G1047" t="inlineStr">
        <is>
          <t>图文</t>
        </is>
      </c>
      <c r="H1047" t="inlineStr">
        <is>
          <t>手剥虾仁 无冰衣无添加 低脂餐一人食 上班带饭 顺丰包邮 5盒装</t>
        </is>
      </c>
      <c r="I1047" t="inlineStr">
        <is>
          <t>694baba01d450d00013662f0</t>
        </is>
      </c>
      <c r="J1047" t="inlineStr">
        <is>
          <t/>
        </is>
      </c>
      <c r="K1047" t="n">
        <v>0.0</v>
      </c>
      <c r="L1047" t="n">
        <v>0.0</v>
      </c>
      <c r="M1047" t="n">
        <v>0.0</v>
      </c>
      <c r="N1047" t="inlineStr">
        <is>
          <t/>
        </is>
      </c>
      <c r="O1047" t="n">
        <v>0.0</v>
      </c>
      <c r="P1047" t="n">
        <v>0.0</v>
      </c>
      <c r="Q1047" t="inlineStr">
        <is>
          <t/>
        </is>
      </c>
      <c r="R1047" t="inlineStr">
        <is>
          <t/>
        </is>
      </c>
      <c r="S1047" t="n">
        <v>0.0</v>
      </c>
      <c r="T1047" t="n">
        <v>0.0</v>
      </c>
      <c r="U1047" t="n">
        <v>0.0</v>
      </c>
      <c r="V1047" t="n">
        <v>0.0</v>
      </c>
      <c r="W1047" t="inlineStr">
        <is>
          <t/>
        </is>
      </c>
      <c r="X1047" t="n">
        <v>0.0</v>
      </c>
      <c r="Y1047" t="n">
        <v>0.0</v>
      </c>
      <c r="Z1047" t="n">
        <v>0.0</v>
      </c>
      <c r="AA1047" t="n">
        <v>0.0</v>
      </c>
      <c r="AB1047" t="n">
        <v>0.0</v>
      </c>
      <c r="AC1047" t="n">
        <v>0.0</v>
      </c>
      <c r="AD1047" t="n">
        <v>0.0</v>
      </c>
      <c r="AE1047" t="n">
        <v>0.0</v>
      </c>
      <c r="AF1047" t="n">
        <v>0.0</v>
      </c>
      <c r="AG1047" t="n">
        <v>0.0</v>
      </c>
      <c r="AH1047" t="n">
        <v>0.0</v>
      </c>
      <c r="AI1047" t="n">
        <v>0.0</v>
      </c>
      <c r="AJ1047" t="n">
        <v>0.0</v>
      </c>
      <c r="AK1047" t="inlineStr">
        <is>
          <t/>
        </is>
      </c>
      <c r="AL1047" t="inlineStr">
        <is>
          <t/>
        </is>
      </c>
    </row>
    <row r="1048">
      <c r="A1048" t="inlineStr">
        <is>
          <t>69块的虾仁，承包了我一周的工作餐</t>
        </is>
      </c>
      <c r="B1048" t="inlineStr">
        <is>
          <t>6a277aaa000000002202e885</t>
        </is>
      </c>
      <c r="C1048" s="1047" t="n">
        <f>HYPERLINK("https://www.xiaohongshu.com/explore/6a277aaa000000002202e885?xsec_token=TBvEjGJgk05ohH1lyk129F5R1ILmyYhMkC8KQBwG0DKtM=&amp;xsec_source=pc_trdark","https://www.xiaohongshu.com/explore/6a277aaa000000002202e885?xsec_token=TBvEjGJgk05ohH1lyk129F5R1ILmyYhMkC8KQBwG0DKtM=&amp;xsec_source=pc_trdark")</f>
        <v>0.0</v>
      </c>
      <c r="D1048" t="inlineStr">
        <is>
          <t>鲜水湾甄选</t>
        </is>
      </c>
      <c r="E1048" t="inlineStr">
        <is>
          <t>27401929161</t>
        </is>
      </c>
      <c r="F1048" t="inlineStr">
        <is>
          <t>2026-06-09 10:30:02</t>
        </is>
      </c>
      <c r="G1048" t="inlineStr">
        <is>
          <t>图文</t>
        </is>
      </c>
      <c r="H1048" t="inlineStr">
        <is>
          <t>手剥虾仁 无冰衣无添加 低脂餐一人食 上班带饭 顺丰包邮 5盒装</t>
        </is>
      </c>
      <c r="I1048" t="inlineStr">
        <is>
          <t>694baba01d450d00013662f0</t>
        </is>
      </c>
      <c r="J1048" t="inlineStr">
        <is>
          <t/>
        </is>
      </c>
      <c r="K1048" t="n">
        <v>0.0</v>
      </c>
      <c r="L1048" t="n">
        <v>0.0</v>
      </c>
      <c r="M1048" t="n">
        <v>0.0</v>
      </c>
      <c r="N1048" t="inlineStr">
        <is>
          <t/>
        </is>
      </c>
      <c r="O1048" t="n">
        <v>0.0</v>
      </c>
      <c r="P1048" t="n">
        <v>0.0</v>
      </c>
      <c r="Q1048" t="inlineStr">
        <is>
          <t/>
        </is>
      </c>
      <c r="R1048" t="inlineStr">
        <is>
          <t/>
        </is>
      </c>
      <c r="S1048" t="n">
        <v>0.0</v>
      </c>
      <c r="T1048" t="n">
        <v>0.0</v>
      </c>
      <c r="U1048" t="n">
        <v>0.0</v>
      </c>
      <c r="V1048" t="n">
        <v>0.0</v>
      </c>
      <c r="W1048" t="inlineStr">
        <is>
          <t/>
        </is>
      </c>
      <c r="X1048" t="n">
        <v>0.0</v>
      </c>
      <c r="Y1048" t="n">
        <v>0.0</v>
      </c>
      <c r="Z1048" t="n">
        <v>0.0</v>
      </c>
      <c r="AA1048" t="n">
        <v>0.0</v>
      </c>
      <c r="AB1048" t="n">
        <v>0.0</v>
      </c>
      <c r="AC1048" t="n">
        <v>0.0</v>
      </c>
      <c r="AD1048" t="n">
        <v>0.0</v>
      </c>
      <c r="AE1048" t="n">
        <v>0.0</v>
      </c>
      <c r="AF1048" t="n">
        <v>0.0</v>
      </c>
      <c r="AG1048" t="n">
        <v>0.0</v>
      </c>
      <c r="AH1048" t="n">
        <v>0.0</v>
      </c>
      <c r="AI1048" t="n">
        <v>0.0</v>
      </c>
      <c r="AJ1048" t="n">
        <v>0.0</v>
      </c>
      <c r="AK1048" t="inlineStr">
        <is>
          <t/>
        </is>
      </c>
      <c r="AL1048" t="inlineStr">
        <is>
          <t/>
        </is>
      </c>
    </row>
    <row r="1049">
      <c r="A1049" t="inlineStr">
        <is>
          <t>听劝，减脂期的姐妹不要乱买虾仁啦！！！！</t>
        </is>
      </c>
      <c r="B1049" t="inlineStr">
        <is>
          <t>6a26bcf10000000006020a26</t>
        </is>
      </c>
      <c r="C1049" s="1048" t="n">
        <f>HYPERLINK("https://www.xiaohongshu.com/explore/6a26bcf10000000006020a26?xsec_token=TB6Q3z0Jm3jMFQ1Wl1RTAnfrxkicVUwk0MyBqJvOsokK4=&amp;xsec_source=pc_trdark","https://www.xiaohongshu.com/explore/6a26bcf10000000006020a26?xsec_token=TB6Q3z0Jm3jMFQ1Wl1RTAnfrxkicVUwk0MyBqJvOsokK4=&amp;xsec_source=pc_trdark")</f>
        <v>0.0</v>
      </c>
      <c r="D1049" t="inlineStr">
        <is>
          <t>菲菲上班吃什么</t>
        </is>
      </c>
      <c r="E1049" t="inlineStr">
        <is>
          <t>49936530607</t>
        </is>
      </c>
      <c r="F1049" t="inlineStr">
        <is>
          <t>2026-06-08 21:50:00</t>
        </is>
      </c>
      <c r="G1049" t="inlineStr">
        <is>
          <t>图文</t>
        </is>
      </c>
      <c r="H1049" t="inlineStr">
        <is>
          <t>手剥虾仁 无冰衣无添加 低脂餐一人食 上班带饭 顺丰包邮 5盒装</t>
        </is>
      </c>
      <c r="I1049" t="inlineStr">
        <is>
          <t>694baba01d450d00013662f0</t>
        </is>
      </c>
      <c r="J1049" t="inlineStr">
        <is>
          <t/>
        </is>
      </c>
      <c r="K1049" t="n">
        <v>0.0</v>
      </c>
      <c r="L1049" t="n">
        <v>0.0</v>
      </c>
      <c r="M1049" t="n">
        <v>0.0</v>
      </c>
      <c r="N1049" t="inlineStr">
        <is>
          <t/>
        </is>
      </c>
      <c r="O1049" t="n">
        <v>0.0</v>
      </c>
      <c r="P1049" t="n">
        <v>0.0</v>
      </c>
      <c r="Q1049" t="inlineStr">
        <is>
          <t/>
        </is>
      </c>
      <c r="R1049" t="inlineStr">
        <is>
          <t/>
        </is>
      </c>
      <c r="S1049" t="n">
        <v>0.0</v>
      </c>
      <c r="T1049" t="n">
        <v>0.0</v>
      </c>
      <c r="U1049" t="n">
        <v>0.0</v>
      </c>
      <c r="V1049" t="n">
        <v>0.0</v>
      </c>
      <c r="W1049" t="inlineStr">
        <is>
          <t/>
        </is>
      </c>
      <c r="X1049" t="n">
        <v>0.0</v>
      </c>
      <c r="Y1049" t="n">
        <v>0.0</v>
      </c>
      <c r="Z1049" t="n">
        <v>0.0</v>
      </c>
      <c r="AA1049" t="n">
        <v>0.0</v>
      </c>
      <c r="AB1049" t="n">
        <v>0.0</v>
      </c>
      <c r="AC1049" t="n">
        <v>0.0</v>
      </c>
      <c r="AD1049" t="n">
        <v>0.0</v>
      </c>
      <c r="AE1049" t="n">
        <v>0.0</v>
      </c>
      <c r="AF1049" t="n">
        <v>0.0</v>
      </c>
      <c r="AG1049" t="n">
        <v>0.0</v>
      </c>
      <c r="AH1049" t="n">
        <v>0.0</v>
      </c>
      <c r="AI1049" t="n">
        <v>0.0</v>
      </c>
      <c r="AJ1049" t="n">
        <v>0.0</v>
      </c>
      <c r="AK1049" t="inlineStr">
        <is>
          <t/>
        </is>
      </c>
      <c r="AL1049" t="inlineStr">
        <is>
          <t/>
        </is>
      </c>
    </row>
    <row r="1050">
      <c r="A1050" t="inlineStr">
        <is>
          <t>普通牛马人……减脂餐也得好好吃饭😂</t>
        </is>
      </c>
      <c r="B1050" t="inlineStr">
        <is>
          <t>6a26bcdb0000000008031a5c</t>
        </is>
      </c>
      <c r="C1050" s="1049" t="n">
        <f>HYPERLINK("https://www.xiaohongshu.com/explore/6a26bcdb0000000008031a5c?xsec_token=TB6Q3z0Jm3jMFQ1Wl1RTAnfvZbAZ04T_qVmaJQUQqjcHs=&amp;xsec_source=pc_trdark","https://www.xiaohongshu.com/explore/6a26bcdb0000000008031a5c?xsec_token=TB6Q3z0Jm3jMFQ1Wl1RTAnfvZbAZ04T_qVmaJQUQqjcHs=&amp;xsec_source=pc_trdark")</f>
        <v>0.0</v>
      </c>
      <c r="D1050" t="inlineStr">
        <is>
          <t>菲菲上班吃什么</t>
        </is>
      </c>
      <c r="E1050" t="inlineStr">
        <is>
          <t>49936530607</t>
        </is>
      </c>
      <c r="F1050" t="inlineStr">
        <is>
          <t>2026-06-08 21:00:11</t>
        </is>
      </c>
      <c r="G1050" t="inlineStr">
        <is>
          <t>图文</t>
        </is>
      </c>
      <c r="H1050" t="inlineStr">
        <is>
          <t>手剥虾仁 无冰衣无添加 低脂餐一人食 上班带饭 顺丰包邮 5盒装</t>
        </is>
      </c>
      <c r="I1050" t="inlineStr">
        <is>
          <t>694baba01d450d00013662f0</t>
        </is>
      </c>
      <c r="J1050" t="inlineStr">
        <is>
          <t/>
        </is>
      </c>
      <c r="K1050" t="n">
        <v>0.0</v>
      </c>
      <c r="L1050" t="n">
        <v>0.0</v>
      </c>
      <c r="M1050" t="n">
        <v>0.0</v>
      </c>
      <c r="N1050" t="inlineStr">
        <is>
          <t/>
        </is>
      </c>
      <c r="O1050" t="n">
        <v>0.0</v>
      </c>
      <c r="P1050" t="n">
        <v>0.0</v>
      </c>
      <c r="Q1050" t="inlineStr">
        <is>
          <t/>
        </is>
      </c>
      <c r="R1050" t="inlineStr">
        <is>
          <t/>
        </is>
      </c>
      <c r="S1050" t="n">
        <v>0.0</v>
      </c>
      <c r="T1050" t="n">
        <v>0.0</v>
      </c>
      <c r="U1050" t="n">
        <v>0.0</v>
      </c>
      <c r="V1050" t="n">
        <v>0.0</v>
      </c>
      <c r="W1050" t="inlineStr">
        <is>
          <t/>
        </is>
      </c>
      <c r="X1050" t="n">
        <v>0.0</v>
      </c>
      <c r="Y1050" t="n">
        <v>0.0</v>
      </c>
      <c r="Z1050" t="n">
        <v>0.0</v>
      </c>
      <c r="AA1050" t="n">
        <v>0.0</v>
      </c>
      <c r="AB1050" t="n">
        <v>0.0</v>
      </c>
      <c r="AC1050" t="n">
        <v>0.0</v>
      </c>
      <c r="AD1050" t="n">
        <v>0.0</v>
      </c>
      <c r="AE1050" t="n">
        <v>0.0</v>
      </c>
      <c r="AF1050" t="n">
        <v>0.0</v>
      </c>
      <c r="AG1050" t="n">
        <v>0.0</v>
      </c>
      <c r="AH1050" t="n">
        <v>0.0</v>
      </c>
      <c r="AI1050" t="n">
        <v>0.0</v>
      </c>
      <c r="AJ1050" t="n">
        <v>0.0</v>
      </c>
      <c r="AK1050" t="inlineStr">
        <is>
          <t/>
        </is>
      </c>
      <c r="AL1050" t="inlineStr">
        <is>
          <t/>
        </is>
      </c>
    </row>
    <row r="1051">
      <c r="A1051" t="inlineStr">
        <is>
          <t>又囤上了....69承包了我一周的减脂餐…</t>
        </is>
      </c>
      <c r="B1051" t="inlineStr">
        <is>
          <t>6a26bca700000000350312ac</t>
        </is>
      </c>
      <c r="C1051" s="1050" t="n">
        <f>HYPERLINK("https://www.xiaohongshu.com/explore/6a26bca700000000350312ac?xsec_token=TB6Q3z0Jm3jMFQ1Wl1RTAnfm_7Bw-Zr_zWjjXQpxx9P4E=&amp;xsec_source=pc_trdark","https://www.xiaohongshu.com/explore/6a26bca700000000350312ac?xsec_token=TB6Q3z0Jm3jMFQ1Wl1RTAnfm_7Bw-Zr_zWjjXQpxx9P4E=&amp;xsec_source=pc_trdark")</f>
        <v>0.0</v>
      </c>
      <c r="D1051" t="inlineStr">
        <is>
          <t>鲜水湾甄选</t>
        </is>
      </c>
      <c r="E1051" t="inlineStr">
        <is>
          <t>27401929161</t>
        </is>
      </c>
      <c r="F1051" t="inlineStr">
        <is>
          <t>2026-06-08 20:59:19</t>
        </is>
      </c>
      <c r="G1051" t="inlineStr">
        <is>
          <t>图文</t>
        </is>
      </c>
      <c r="H1051" t="inlineStr">
        <is>
          <t>手剥虾仁 无冰衣无添加 低脂餐一人食 上班带饭 顺丰包邮 5盒装</t>
        </is>
      </c>
      <c r="I1051" t="inlineStr">
        <is>
          <t>694baba01d450d00013662f0</t>
        </is>
      </c>
      <c r="J1051" t="inlineStr">
        <is>
          <t/>
        </is>
      </c>
      <c r="K1051" t="n">
        <v>0.0</v>
      </c>
      <c r="L1051" t="n">
        <v>0.0</v>
      </c>
      <c r="M1051" t="n">
        <v>0.0</v>
      </c>
      <c r="N1051" t="inlineStr">
        <is>
          <t/>
        </is>
      </c>
      <c r="O1051" t="n">
        <v>0.0</v>
      </c>
      <c r="P1051" t="n">
        <v>0.0</v>
      </c>
      <c r="Q1051" t="inlineStr">
        <is>
          <t/>
        </is>
      </c>
      <c r="R1051" t="inlineStr">
        <is>
          <t/>
        </is>
      </c>
      <c r="S1051" t="n">
        <v>0.0</v>
      </c>
      <c r="T1051" t="n">
        <v>0.0</v>
      </c>
      <c r="U1051" t="n">
        <v>0.0</v>
      </c>
      <c r="V1051" t="n">
        <v>0.0</v>
      </c>
      <c r="W1051" t="inlineStr">
        <is>
          <t/>
        </is>
      </c>
      <c r="X1051" t="n">
        <v>0.0</v>
      </c>
      <c r="Y1051" t="n">
        <v>0.0</v>
      </c>
      <c r="Z1051" t="n">
        <v>0.0</v>
      </c>
      <c r="AA1051" t="n">
        <v>0.0</v>
      </c>
      <c r="AB1051" t="n">
        <v>0.0</v>
      </c>
      <c r="AC1051" t="n">
        <v>0.0</v>
      </c>
      <c r="AD1051" t="n">
        <v>0.0</v>
      </c>
      <c r="AE1051" t="n">
        <v>0.0</v>
      </c>
      <c r="AF1051" t="n">
        <v>0.0</v>
      </c>
      <c r="AG1051" t="n">
        <v>0.0</v>
      </c>
      <c r="AH1051" t="n">
        <v>0.0</v>
      </c>
      <c r="AI1051" t="n">
        <v>0.0</v>
      </c>
      <c r="AJ1051" t="n">
        <v>0.0</v>
      </c>
      <c r="AK1051" t="inlineStr">
        <is>
          <t/>
        </is>
      </c>
      <c r="AL1051" t="inlineStr">
        <is>
          <t/>
        </is>
      </c>
    </row>
    <row r="1052">
      <c r="A1052" t="inlineStr">
        <is>
          <t>不敢相信😱100块承包了我十顿轻食餐…</t>
        </is>
      </c>
      <c r="B1052" t="inlineStr">
        <is>
          <t>6a26a2570000000036001845</t>
        </is>
      </c>
      <c r="C1052" s="1051" t="n">
        <f>HYPERLINK("https://www.xiaohongshu.com/explore/6a26a2570000000036001845?xsec_token=TB6Q3z0Jm3jMFQ1Wl1RTAnfoUv0WF459QibV_qB-ZbwCM=&amp;xsec_source=pc_trdark","https://www.xiaohongshu.com/explore/6a26a2570000000036001845?xsec_token=TB6Q3z0Jm3jMFQ1Wl1RTAnfoUv0WF459QibV_qB-ZbwCM=&amp;xsec_source=pc_trdark")</f>
        <v>0.0</v>
      </c>
      <c r="D1052" t="inlineStr">
        <is>
          <t>鲜水湾甄选</t>
        </is>
      </c>
      <c r="E1052" t="inlineStr">
        <is>
          <t>27401929161</t>
        </is>
      </c>
      <c r="F1052" t="inlineStr">
        <is>
          <t>2026-06-08 19:07:03</t>
        </is>
      </c>
      <c r="G1052" t="inlineStr">
        <is>
          <t>图文</t>
        </is>
      </c>
      <c r="H1052" t="inlineStr">
        <is>
          <t>手剥虾仁 无冰衣无添加 低脂餐一人食 上班带饭 顺丰包邮 5盒装</t>
        </is>
      </c>
      <c r="I1052" t="inlineStr">
        <is>
          <t>694baba01d450d00013662f0</t>
        </is>
      </c>
      <c r="J1052" t="inlineStr">
        <is>
          <t/>
        </is>
      </c>
      <c r="K1052" t="n">
        <v>0.0</v>
      </c>
      <c r="L1052" t="n">
        <v>0.0</v>
      </c>
      <c r="M1052" t="n">
        <v>0.0</v>
      </c>
      <c r="N1052" t="inlineStr">
        <is>
          <t/>
        </is>
      </c>
      <c r="O1052" t="n">
        <v>0.0</v>
      </c>
      <c r="P1052" t="n">
        <v>0.0</v>
      </c>
      <c r="Q1052" t="inlineStr">
        <is>
          <t/>
        </is>
      </c>
      <c r="R1052" t="inlineStr">
        <is>
          <t/>
        </is>
      </c>
      <c r="S1052" t="n">
        <v>0.0</v>
      </c>
      <c r="T1052" t="n">
        <v>0.0</v>
      </c>
      <c r="U1052" t="n">
        <v>0.0</v>
      </c>
      <c r="V1052" t="n">
        <v>0.0</v>
      </c>
      <c r="W1052" t="inlineStr">
        <is>
          <t/>
        </is>
      </c>
      <c r="X1052" t="n">
        <v>0.0</v>
      </c>
      <c r="Y1052" t="n">
        <v>0.0</v>
      </c>
      <c r="Z1052" t="n">
        <v>0.0</v>
      </c>
      <c r="AA1052" t="n">
        <v>0.0</v>
      </c>
      <c r="AB1052" t="n">
        <v>0.0</v>
      </c>
      <c r="AC1052" t="n">
        <v>0.0</v>
      </c>
      <c r="AD1052" t="n">
        <v>0.0</v>
      </c>
      <c r="AE1052" t="n">
        <v>0.0</v>
      </c>
      <c r="AF1052" t="n">
        <v>0.0</v>
      </c>
      <c r="AG1052" t="n">
        <v>0.0</v>
      </c>
      <c r="AH1052" t="n">
        <v>0.0</v>
      </c>
      <c r="AI1052" t="n">
        <v>0.0</v>
      </c>
      <c r="AJ1052" t="n">
        <v>0.0</v>
      </c>
      <c r="AK1052" t="inlineStr">
        <is>
          <t/>
        </is>
      </c>
      <c r="AL1052" t="inlineStr">
        <is>
          <t/>
        </is>
      </c>
    </row>
    <row r="1053">
      <c r="A1053" t="inlineStr">
        <is>
          <t>被小红书姐妹种草的虾仁，确实不错 😋</t>
        </is>
      </c>
      <c r="B1053" t="inlineStr">
        <is>
          <t>6a2665960000000007023c0f</t>
        </is>
      </c>
      <c r="C1053" s="1052" t="n">
        <f>HYPERLINK("https://www.xiaohongshu.com/explore/6a2665960000000007023c0f?xsec_token=TB6Q3z0Jm3jMFQ1Wl1RTAnfhrRjw55cZnsl5UHdCFwfj8=&amp;xsec_source=pc_trdark","https://www.xiaohongshu.com/explore/6a2665960000000007023c0f?xsec_token=TB6Q3z0Jm3jMFQ1Wl1RTAnfhrRjw55cZnsl5UHdCFwfj8=&amp;xsec_source=pc_trdark")</f>
        <v>0.0</v>
      </c>
      <c r="D1053" t="inlineStr">
        <is>
          <t>婉婉上班吃什么</t>
        </is>
      </c>
      <c r="E1053" t="inlineStr">
        <is>
          <t>11434449706</t>
        </is>
      </c>
      <c r="F1053" t="inlineStr">
        <is>
          <t>2026-06-08 14:47:50</t>
        </is>
      </c>
      <c r="G1053" t="inlineStr">
        <is>
          <t>图文</t>
        </is>
      </c>
      <c r="H1053" t="inlineStr">
        <is>
          <t>手剥虾仁 无冰衣无添加 低脂餐一人食 上班带饭 顺丰包邮 5盒装</t>
        </is>
      </c>
      <c r="I1053" t="inlineStr">
        <is>
          <t>694baba01d450d00013662f0</t>
        </is>
      </c>
      <c r="J1053" t="inlineStr">
        <is>
          <t/>
        </is>
      </c>
      <c r="K1053" t="n">
        <v>0.0</v>
      </c>
      <c r="L1053" t="n">
        <v>0.0</v>
      </c>
      <c r="M1053" t="n">
        <v>0.0</v>
      </c>
      <c r="N1053" t="inlineStr">
        <is>
          <t/>
        </is>
      </c>
      <c r="O1053" t="n">
        <v>0.0</v>
      </c>
      <c r="P1053" t="n">
        <v>0.0</v>
      </c>
      <c r="Q1053" t="inlineStr">
        <is>
          <t/>
        </is>
      </c>
      <c r="R1053" t="inlineStr">
        <is>
          <t/>
        </is>
      </c>
      <c r="S1053" t="n">
        <v>0.0</v>
      </c>
      <c r="T1053" t="n">
        <v>0.0</v>
      </c>
      <c r="U1053" t="n">
        <v>0.0</v>
      </c>
      <c r="V1053" t="n">
        <v>0.0</v>
      </c>
      <c r="W1053" t="inlineStr">
        <is>
          <t/>
        </is>
      </c>
      <c r="X1053" t="n">
        <v>0.0</v>
      </c>
      <c r="Y1053" t="n">
        <v>0.0</v>
      </c>
      <c r="Z1053" t="n">
        <v>0.0</v>
      </c>
      <c r="AA1053" t="n">
        <v>0.0</v>
      </c>
      <c r="AB1053" t="n">
        <v>0.0</v>
      </c>
      <c r="AC1053" t="n">
        <v>0.0</v>
      </c>
      <c r="AD1053" t="n">
        <v>0.0</v>
      </c>
      <c r="AE1053" t="n">
        <v>0.0</v>
      </c>
      <c r="AF1053" t="n">
        <v>0.0</v>
      </c>
      <c r="AG1053" t="n">
        <v>0.0</v>
      </c>
      <c r="AH1053" t="n">
        <v>0.0</v>
      </c>
      <c r="AI1053" t="n">
        <v>0.0</v>
      </c>
      <c r="AJ1053" t="n">
        <v>0.0</v>
      </c>
      <c r="AK1053" t="inlineStr">
        <is>
          <t/>
        </is>
      </c>
      <c r="AL1053" t="inlineStr">
        <is>
          <t/>
        </is>
      </c>
    </row>
    <row r="1054">
      <c r="A1054" t="inlineStr">
        <is>
          <t>我靠69块够我带一周减脂饭？！！！</t>
        </is>
      </c>
      <c r="B1054" t="inlineStr">
        <is>
          <t>6a26585d00000000070268b1</t>
        </is>
      </c>
      <c r="C1054" s="1053" t="n">
        <f>HYPERLINK("https://www.xiaohongshu.com/explore/6a26585d00000000070268b1?xsec_token=TB6Q3z0Jm3jMFQ1Wl1RTAnfvYhaxXYotEPPsaZqZ9iTwE=&amp;xsec_source=pc_trdark","https://www.xiaohongshu.com/explore/6a26585d00000000070268b1?xsec_token=TB6Q3z0Jm3jMFQ1Wl1RTAnfvYhaxXYotEPPsaZqZ9iTwE=&amp;xsec_source=pc_trdark")</f>
        <v>0.0</v>
      </c>
      <c r="D1054" t="inlineStr">
        <is>
          <t>菲菲上班吃什么</t>
        </is>
      </c>
      <c r="E1054" t="inlineStr">
        <is>
          <t>49936530607</t>
        </is>
      </c>
      <c r="F1054" t="inlineStr">
        <is>
          <t>2026-06-08 13:51:25</t>
        </is>
      </c>
      <c r="G1054" t="inlineStr">
        <is>
          <t>图文</t>
        </is>
      </c>
      <c r="H1054" t="inlineStr">
        <is>
          <t>手剥虾仁 无冰衣无添加 低脂餐一人食 上班带饭 顺丰包邮 5盒装</t>
        </is>
      </c>
      <c r="I1054" t="inlineStr">
        <is>
          <t>694baba01d450d00013662f0</t>
        </is>
      </c>
      <c r="J1054" t="inlineStr">
        <is>
          <t/>
        </is>
      </c>
      <c r="K1054" t="n">
        <v>0.0</v>
      </c>
      <c r="L1054" t="n">
        <v>0.0</v>
      </c>
      <c r="M1054" t="n">
        <v>0.0</v>
      </c>
      <c r="N1054" t="inlineStr">
        <is>
          <t/>
        </is>
      </c>
      <c r="O1054" t="n">
        <v>0.0</v>
      </c>
      <c r="P1054" t="n">
        <v>0.0</v>
      </c>
      <c r="Q1054" t="inlineStr">
        <is>
          <t/>
        </is>
      </c>
      <c r="R1054" t="inlineStr">
        <is>
          <t/>
        </is>
      </c>
      <c r="S1054" t="n">
        <v>0.0</v>
      </c>
      <c r="T1054" t="n">
        <v>0.0</v>
      </c>
      <c r="U1054" t="n">
        <v>0.0</v>
      </c>
      <c r="V1054" t="n">
        <v>0.0</v>
      </c>
      <c r="W1054" t="inlineStr">
        <is>
          <t/>
        </is>
      </c>
      <c r="X1054" t="n">
        <v>0.0</v>
      </c>
      <c r="Y1054" t="n">
        <v>0.0</v>
      </c>
      <c r="Z1054" t="n">
        <v>0.0</v>
      </c>
      <c r="AA1054" t="n">
        <v>0.0</v>
      </c>
      <c r="AB1054" t="n">
        <v>0.0</v>
      </c>
      <c r="AC1054" t="n">
        <v>0.0</v>
      </c>
      <c r="AD1054" t="n">
        <v>0.0</v>
      </c>
      <c r="AE1054" t="n">
        <v>0.0</v>
      </c>
      <c r="AF1054" t="n">
        <v>0.0</v>
      </c>
      <c r="AG1054" t="n">
        <v>0.0</v>
      </c>
      <c r="AH1054" t="n">
        <v>0.0</v>
      </c>
      <c r="AI1054" t="n">
        <v>0.0</v>
      </c>
      <c r="AJ1054" t="n">
        <v>0.0</v>
      </c>
      <c r="AK1054" t="inlineStr">
        <is>
          <t/>
        </is>
      </c>
      <c r="AL1054" t="inlineStr">
        <is>
          <t/>
        </is>
      </c>
    </row>
    <row r="1055">
      <c r="A1055" t="inlineStr">
        <is>
          <t>好癫…减脂期吃虾仁简直尊享太庙啊️‼️</t>
        </is>
      </c>
      <c r="B1055" t="inlineStr">
        <is>
          <t>6a2636f6000000000702f3c9</t>
        </is>
      </c>
      <c r="C1055" s="1054" t="n">
        <f>HYPERLINK("https://www.xiaohongshu.com/explore/6a2636f6000000000702f3c9?xsec_token=TB6Q3z0Jm3jMFQ1Wl1RTAnfnANvkmYGkKakp1i_fQJaFQ=&amp;xsec_source=pc_trdark","https://www.xiaohongshu.com/explore/6a2636f6000000000702f3c9?xsec_token=TB6Q3z0Jm3jMFQ1Wl1RTAnfnANvkmYGkKakp1i_fQJaFQ=&amp;xsec_source=pc_trdark")</f>
        <v>0.0</v>
      </c>
      <c r="D1055" t="inlineStr">
        <is>
          <t>菲菲上班吃什么</t>
        </is>
      </c>
      <c r="E1055" t="inlineStr">
        <is>
          <t>49936530607</t>
        </is>
      </c>
      <c r="F1055" t="inlineStr">
        <is>
          <t>2026-06-08 11:28:54</t>
        </is>
      </c>
      <c r="G1055" t="inlineStr">
        <is>
          <t>图文</t>
        </is>
      </c>
      <c r="H1055" t="inlineStr">
        <is>
          <t>手剥虾仁 无冰衣无添加 低脂餐一人食 上班带饭 顺丰包邮 5盒装</t>
        </is>
      </c>
      <c r="I1055" t="inlineStr">
        <is>
          <t>694baba01d450d00013662f0</t>
        </is>
      </c>
      <c r="J1055" t="inlineStr">
        <is>
          <t/>
        </is>
      </c>
      <c r="K1055" t="n">
        <v>0.0</v>
      </c>
      <c r="L1055" t="n">
        <v>0.0</v>
      </c>
      <c r="M1055" t="n">
        <v>0.0</v>
      </c>
      <c r="N1055" t="inlineStr">
        <is>
          <t/>
        </is>
      </c>
      <c r="O1055" t="n">
        <v>0.0</v>
      </c>
      <c r="P1055" t="n">
        <v>0.0</v>
      </c>
      <c r="Q1055" t="inlineStr">
        <is>
          <t/>
        </is>
      </c>
      <c r="R1055" t="inlineStr">
        <is>
          <t/>
        </is>
      </c>
      <c r="S1055" t="n">
        <v>0.0</v>
      </c>
      <c r="T1055" t="n">
        <v>0.0</v>
      </c>
      <c r="U1055" t="n">
        <v>0.0</v>
      </c>
      <c r="V1055" t="n">
        <v>0.0</v>
      </c>
      <c r="W1055" t="inlineStr">
        <is>
          <t/>
        </is>
      </c>
      <c r="X1055" t="n">
        <v>0.0</v>
      </c>
      <c r="Y1055" t="n">
        <v>0.0</v>
      </c>
      <c r="Z1055" t="n">
        <v>0.0</v>
      </c>
      <c r="AA1055" t="n">
        <v>0.0</v>
      </c>
      <c r="AB1055" t="n">
        <v>0.0</v>
      </c>
      <c r="AC1055" t="n">
        <v>0.0</v>
      </c>
      <c r="AD1055" t="n">
        <v>0.0</v>
      </c>
      <c r="AE1055" t="n">
        <v>0.0</v>
      </c>
      <c r="AF1055" t="n">
        <v>0.0</v>
      </c>
      <c r="AG1055" t="n">
        <v>0.0</v>
      </c>
      <c r="AH1055" t="n">
        <v>0.0</v>
      </c>
      <c r="AI1055" t="n">
        <v>0.0</v>
      </c>
      <c r="AJ1055" t="n">
        <v>0.0</v>
      </c>
      <c r="AK1055" t="inlineStr">
        <is>
          <t/>
        </is>
      </c>
      <c r="AL1055" t="inlineStr">
        <is>
          <t/>
        </is>
      </c>
    </row>
    <row r="1056">
      <c r="A1056" t="inlineStr">
        <is>
          <t>减脂期，吃这个的人简直是天才！！！</t>
        </is>
      </c>
      <c r="B1056" t="inlineStr">
        <is>
          <t>6a2631af000000002202d757</t>
        </is>
      </c>
      <c r="C1056" s="1055" t="n">
        <f>HYPERLINK("https://www.xiaohongshu.com/explore/6a2631af000000002202d757?xsec_token=TB6Q3z0Jm3jMFQ1Wl1RTAnfqV3BUnSu8v_c1QhY6zwTkw=&amp;xsec_source=pc_trdark","https://www.xiaohongshu.com/explore/6a2631af000000002202d757?xsec_token=TB6Q3z0Jm3jMFQ1Wl1RTAnfqV3BUnSu8v_c1QhY6zwTkw=&amp;xsec_source=pc_trdark")</f>
        <v>0.0</v>
      </c>
      <c r="D1056" t="inlineStr">
        <is>
          <t>鲜水湾甄选</t>
        </is>
      </c>
      <c r="E1056" t="inlineStr">
        <is>
          <t>27401929161</t>
        </is>
      </c>
      <c r="F1056" t="inlineStr">
        <is>
          <t>2026-06-08 11:06:23</t>
        </is>
      </c>
      <c r="G1056" t="inlineStr">
        <is>
          <t>图文</t>
        </is>
      </c>
      <c r="H1056" t="inlineStr">
        <is>
          <t>手剥虾仁 无冰衣无添加 低脂餐一人食 上班带饭 顺丰包邮 5盒装</t>
        </is>
      </c>
      <c r="I1056" t="inlineStr">
        <is>
          <t>694baba01d450d00013662f0</t>
        </is>
      </c>
      <c r="J1056" t="inlineStr">
        <is>
          <t/>
        </is>
      </c>
      <c r="K1056" t="n">
        <v>0.0</v>
      </c>
      <c r="L1056" t="n">
        <v>0.0</v>
      </c>
      <c r="M1056" t="n">
        <v>0.0</v>
      </c>
      <c r="N1056" t="inlineStr">
        <is>
          <t/>
        </is>
      </c>
      <c r="O1056" t="n">
        <v>0.0</v>
      </c>
      <c r="P1056" t="n">
        <v>0.0</v>
      </c>
      <c r="Q1056" t="inlineStr">
        <is>
          <t/>
        </is>
      </c>
      <c r="R1056" t="inlineStr">
        <is>
          <t/>
        </is>
      </c>
      <c r="S1056" t="n">
        <v>0.0</v>
      </c>
      <c r="T1056" t="n">
        <v>0.0</v>
      </c>
      <c r="U1056" t="n">
        <v>0.0</v>
      </c>
      <c r="V1056" t="n">
        <v>0.0</v>
      </c>
      <c r="W1056" t="inlineStr">
        <is>
          <t/>
        </is>
      </c>
      <c r="X1056" t="n">
        <v>0.0</v>
      </c>
      <c r="Y1056" t="n">
        <v>0.0</v>
      </c>
      <c r="Z1056" t="n">
        <v>0.0</v>
      </c>
      <c r="AA1056" t="n">
        <v>0.0</v>
      </c>
      <c r="AB1056" t="n">
        <v>0.0</v>
      </c>
      <c r="AC1056" t="n">
        <v>0.0</v>
      </c>
      <c r="AD1056" t="n">
        <v>0.0</v>
      </c>
      <c r="AE1056" t="n">
        <v>0.0</v>
      </c>
      <c r="AF1056" t="n">
        <v>0.0</v>
      </c>
      <c r="AG1056" t="n">
        <v>0.0</v>
      </c>
      <c r="AH1056" t="n">
        <v>0.0</v>
      </c>
      <c r="AI1056" t="n">
        <v>0.0</v>
      </c>
      <c r="AJ1056" t="n">
        <v>0.0</v>
      </c>
      <c r="AK1056" t="inlineStr">
        <is>
          <t/>
        </is>
      </c>
      <c r="AL1056" t="inlineStr">
        <is>
          <t/>
        </is>
      </c>
    </row>
    <row r="1057">
      <c r="A1057" t="inlineStr">
        <is>
          <t>天天带虾仁，同事问我月薪多少啊…</t>
        </is>
      </c>
      <c r="B1057" t="inlineStr">
        <is>
          <t>6a2558f9000000003501f391</t>
        </is>
      </c>
      <c r="C1057" s="1056" t="n">
        <f>HYPERLINK("https://www.xiaohongshu.com/explore/6a2558f9000000003501f391?xsec_token=TBIVDC5esCetQl7nWPT786lxEVgpyxpci_mH5_kA4lfBc=&amp;xsec_source=pc_trdark","https://www.xiaohongshu.com/explore/6a2558f9000000003501f391?xsec_token=TBIVDC5esCetQl7nWPT786lxEVgpyxpci_mH5_kA4lfBc=&amp;xsec_source=pc_trdark")</f>
        <v>0.0</v>
      </c>
      <c r="D1057" t="inlineStr">
        <is>
          <t>鲜水湾甄选</t>
        </is>
      </c>
      <c r="E1057" t="inlineStr">
        <is>
          <t>27401929161</t>
        </is>
      </c>
      <c r="F1057" t="inlineStr">
        <is>
          <t>2026-06-07 21:28:00</t>
        </is>
      </c>
      <c r="G1057" t="inlineStr">
        <is>
          <t>图文</t>
        </is>
      </c>
      <c r="H1057" t="inlineStr">
        <is>
          <t>手剥虾仁 无冰衣无添加 低脂餐一人食 上班带饭 顺丰包邮 5盒装</t>
        </is>
      </c>
      <c r="I1057" t="inlineStr">
        <is>
          <t>694baba01d450d00013662f0</t>
        </is>
      </c>
      <c r="J1057" t="inlineStr">
        <is>
          <t/>
        </is>
      </c>
      <c r="K1057" t="n">
        <v>0.0</v>
      </c>
      <c r="L1057" t="n">
        <v>0.0</v>
      </c>
      <c r="M1057" t="n">
        <v>0.0</v>
      </c>
      <c r="N1057" t="inlineStr">
        <is>
          <t/>
        </is>
      </c>
      <c r="O1057" t="n">
        <v>0.0</v>
      </c>
      <c r="P1057" t="n">
        <v>0.0</v>
      </c>
      <c r="Q1057" t="inlineStr">
        <is>
          <t/>
        </is>
      </c>
      <c r="R1057" t="inlineStr">
        <is>
          <t/>
        </is>
      </c>
      <c r="S1057" t="n">
        <v>0.0</v>
      </c>
      <c r="T1057" t="n">
        <v>0.0</v>
      </c>
      <c r="U1057" t="n">
        <v>0.0</v>
      </c>
      <c r="V1057" t="n">
        <v>0.0</v>
      </c>
      <c r="W1057" t="inlineStr">
        <is>
          <t/>
        </is>
      </c>
      <c r="X1057" t="n">
        <v>0.0</v>
      </c>
      <c r="Y1057" t="n">
        <v>0.0</v>
      </c>
      <c r="Z1057" t="n">
        <v>0.0</v>
      </c>
      <c r="AA1057" t="n">
        <v>0.0</v>
      </c>
      <c r="AB1057" t="n">
        <v>0.0</v>
      </c>
      <c r="AC1057" t="n">
        <v>0.0</v>
      </c>
      <c r="AD1057" t="n">
        <v>0.0</v>
      </c>
      <c r="AE1057" t="n">
        <v>0.0</v>
      </c>
      <c r="AF1057" t="n">
        <v>0.0</v>
      </c>
      <c r="AG1057" t="n">
        <v>0.0</v>
      </c>
      <c r="AH1057" t="n">
        <v>0.0</v>
      </c>
      <c r="AI1057" t="n">
        <v>0.0</v>
      </c>
      <c r="AJ1057" t="n">
        <v>0.0</v>
      </c>
      <c r="AK1057" t="inlineStr">
        <is>
          <t/>
        </is>
      </c>
      <c r="AL1057" t="inlineStr">
        <is>
          <t/>
        </is>
      </c>
    </row>
    <row r="1058">
      <c r="A1058" t="inlineStr">
        <is>
          <t>减脂党狂喜！69冰箱囤满一周！！ 独立小包装！！</t>
        </is>
      </c>
      <c r="B1058" t="inlineStr">
        <is>
          <t>6a2558d3000000003503921b</t>
        </is>
      </c>
      <c r="C1058" s="1057" t="n">
        <f>HYPERLINK("https://www.xiaohongshu.com/explore/6a2558d3000000003503921b?xsec_token=TBIVDC5esCetQl7nWPT786l-R-gwi0V8GbXPXDdZkF8ps=&amp;xsec_source=pc_trdark","https://www.xiaohongshu.com/explore/6a2558d3000000003503921b?xsec_token=TBIVDC5esCetQl7nWPT786l-R-gwi0V8GbXPXDdZkF8ps=&amp;xsec_source=pc_trdark")</f>
        <v>0.0</v>
      </c>
      <c r="D1058" t="inlineStr">
        <is>
          <t>鲜水湾甄选</t>
        </is>
      </c>
      <c r="E1058" t="inlineStr">
        <is>
          <t>27401929161</t>
        </is>
      </c>
      <c r="F1058" t="inlineStr">
        <is>
          <t>2026-06-07 19:41:07</t>
        </is>
      </c>
      <c r="G1058" t="inlineStr">
        <is>
          <t>图文</t>
        </is>
      </c>
      <c r="H1058" t="inlineStr">
        <is>
          <t>手剥虾仁 无冰衣无添加 低脂餐一人食 上班带饭 顺丰包邮 5盒装</t>
        </is>
      </c>
      <c r="I1058" t="inlineStr">
        <is>
          <t>694baba01d450d00013662f0</t>
        </is>
      </c>
      <c r="J1058" t="inlineStr">
        <is>
          <t/>
        </is>
      </c>
      <c r="K1058" t="n">
        <v>0.0</v>
      </c>
      <c r="L1058" t="n">
        <v>0.0</v>
      </c>
      <c r="M1058" t="n">
        <v>0.0</v>
      </c>
      <c r="N1058" t="inlineStr">
        <is>
          <t/>
        </is>
      </c>
      <c r="O1058" t="n">
        <v>0.0</v>
      </c>
      <c r="P1058" t="n">
        <v>0.0</v>
      </c>
      <c r="Q1058" t="inlineStr">
        <is>
          <t/>
        </is>
      </c>
      <c r="R1058" t="inlineStr">
        <is>
          <t/>
        </is>
      </c>
      <c r="S1058" t="n">
        <v>0.0</v>
      </c>
      <c r="T1058" t="n">
        <v>0.0</v>
      </c>
      <c r="U1058" t="n">
        <v>0.0</v>
      </c>
      <c r="V1058" t="n">
        <v>0.0</v>
      </c>
      <c r="W1058" t="inlineStr">
        <is>
          <t/>
        </is>
      </c>
      <c r="X1058" t="n">
        <v>0.0</v>
      </c>
      <c r="Y1058" t="n">
        <v>0.0</v>
      </c>
      <c r="Z1058" t="n">
        <v>0.0</v>
      </c>
      <c r="AA1058" t="n">
        <v>0.0</v>
      </c>
      <c r="AB1058" t="n">
        <v>0.0</v>
      </c>
      <c r="AC1058" t="n">
        <v>0.0</v>
      </c>
      <c r="AD1058" t="n">
        <v>0.0</v>
      </c>
      <c r="AE1058" t="n">
        <v>0.0</v>
      </c>
      <c r="AF1058" t="n">
        <v>0.0</v>
      </c>
      <c r="AG1058" t="n">
        <v>0.0</v>
      </c>
      <c r="AH1058" t="n">
        <v>0.0</v>
      </c>
      <c r="AI1058" t="n">
        <v>0.0</v>
      </c>
      <c r="AJ1058" t="n">
        <v>0.0</v>
      </c>
      <c r="AK1058" t="inlineStr">
        <is>
          <t/>
        </is>
      </c>
      <c r="AL1058" t="inlineStr">
        <is>
          <t/>
        </is>
      </c>
    </row>
    <row r="1059">
      <c r="A1059" t="inlineStr">
        <is>
          <t>你永远可以相信一个减脂人的选择！！</t>
        </is>
      </c>
      <c r="B1059" t="inlineStr">
        <is>
          <t>6a2558450000000007025f2c</t>
        </is>
      </c>
      <c r="C1059" s="1058" t="n">
        <f>HYPERLINK("https://www.xiaohongshu.com/explore/6a2558450000000007025f2c?xsec_token=TBIVDC5esCetQl7nWPT786l_Q8B10SikCmHB43FkxzZYc=&amp;xsec_source=pc_trdark","https://www.xiaohongshu.com/explore/6a2558450000000007025f2c?xsec_token=TBIVDC5esCetQl7nWPT786l_Q8B10SikCmHB43FkxzZYc=&amp;xsec_source=pc_trdark")</f>
        <v>0.0</v>
      </c>
      <c r="D1059" t="inlineStr">
        <is>
          <t>菲菲上班吃什么</t>
        </is>
      </c>
      <c r="E1059" t="inlineStr">
        <is>
          <t>49936530607</t>
        </is>
      </c>
      <c r="F1059" t="inlineStr">
        <is>
          <t>2026-06-07 20:57:00</t>
        </is>
      </c>
      <c r="G1059" t="inlineStr">
        <is>
          <t>图文</t>
        </is>
      </c>
      <c r="H1059" t="inlineStr">
        <is>
          <t>手剥虾仁 无冰衣无添加 低脂餐一人食 上班带饭 顺丰包邮 5盒装</t>
        </is>
      </c>
      <c r="I1059" t="inlineStr">
        <is>
          <t>694baba01d450d00013662f0</t>
        </is>
      </c>
      <c r="J1059" t="inlineStr">
        <is>
          <t/>
        </is>
      </c>
      <c r="K1059" t="n">
        <v>0.0</v>
      </c>
      <c r="L1059" t="n">
        <v>0.0</v>
      </c>
      <c r="M1059" t="n">
        <v>0.0</v>
      </c>
      <c r="N1059" t="inlineStr">
        <is>
          <t/>
        </is>
      </c>
      <c r="O1059" t="n">
        <v>0.0</v>
      </c>
      <c r="P1059" t="n">
        <v>0.0</v>
      </c>
      <c r="Q1059" t="inlineStr">
        <is>
          <t/>
        </is>
      </c>
      <c r="R1059" t="inlineStr">
        <is>
          <t/>
        </is>
      </c>
      <c r="S1059" t="n">
        <v>0.0</v>
      </c>
      <c r="T1059" t="n">
        <v>0.0</v>
      </c>
      <c r="U1059" t="n">
        <v>0.0</v>
      </c>
      <c r="V1059" t="n">
        <v>0.0</v>
      </c>
      <c r="W1059" t="inlineStr">
        <is>
          <t/>
        </is>
      </c>
      <c r="X1059" t="n">
        <v>0.0</v>
      </c>
      <c r="Y1059" t="n">
        <v>0.0</v>
      </c>
      <c r="Z1059" t="n">
        <v>0.0</v>
      </c>
      <c r="AA1059" t="n">
        <v>0.0</v>
      </c>
      <c r="AB1059" t="n">
        <v>0.0</v>
      </c>
      <c r="AC1059" t="n">
        <v>0.0</v>
      </c>
      <c r="AD1059" t="n">
        <v>0.0</v>
      </c>
      <c r="AE1059" t="n">
        <v>0.0</v>
      </c>
      <c r="AF1059" t="n">
        <v>0.0</v>
      </c>
      <c r="AG1059" t="n">
        <v>0.0</v>
      </c>
      <c r="AH1059" t="n">
        <v>0.0</v>
      </c>
      <c r="AI1059" t="n">
        <v>0.0</v>
      </c>
      <c r="AJ1059" t="n">
        <v>0.0</v>
      </c>
      <c r="AK1059" t="inlineStr">
        <is>
          <t/>
        </is>
      </c>
      <c r="AL1059" t="inlineStr">
        <is>
          <t/>
        </is>
      </c>
    </row>
    <row r="1060">
      <c r="A1060" t="inlineStr">
        <is>
          <t>独居女夏日减脂，69吃一周轻食餐！</t>
        </is>
      </c>
      <c r="B1060" t="inlineStr">
        <is>
          <t>6a2556c500000000060239d1</t>
        </is>
      </c>
      <c r="C1060" s="1059" t="n">
        <f>HYPERLINK("https://www.xiaohongshu.com/explore/6a2556c500000000060239d1?xsec_token=TBIVDC5esCetQl7nWPT786l6gaEfRF1gTI8Xbxc1UkG44=&amp;xsec_source=pc_trdark","https://www.xiaohongshu.com/explore/6a2556c500000000060239d1?xsec_token=TBIVDC5esCetQl7nWPT786l6gaEfRF1gTI8Xbxc1UkG44=&amp;xsec_source=pc_trdark")</f>
        <v>0.0</v>
      </c>
      <c r="D1060" t="inlineStr">
        <is>
          <t>菲菲上班吃什么</t>
        </is>
      </c>
      <c r="E1060" t="inlineStr">
        <is>
          <t>49936530607</t>
        </is>
      </c>
      <c r="F1060" t="inlineStr">
        <is>
          <t>2026-06-07 19:32:21</t>
        </is>
      </c>
      <c r="G1060" t="inlineStr">
        <is>
          <t>图文</t>
        </is>
      </c>
      <c r="H1060" t="inlineStr">
        <is>
          <t>手剥虾仁 无冰衣无添加 低脂餐一人食 上班带饭 顺丰包邮 5盒装</t>
        </is>
      </c>
      <c r="I1060" t="inlineStr">
        <is>
          <t>694baba01d450d00013662f0</t>
        </is>
      </c>
      <c r="J1060" t="inlineStr">
        <is>
          <t/>
        </is>
      </c>
      <c r="K1060" t="n">
        <v>0.0</v>
      </c>
      <c r="L1060" t="n">
        <v>0.0</v>
      </c>
      <c r="M1060" t="n">
        <v>0.0</v>
      </c>
      <c r="N1060" t="inlineStr">
        <is>
          <t/>
        </is>
      </c>
      <c r="O1060" t="n">
        <v>0.0</v>
      </c>
      <c r="P1060" t="n">
        <v>0.0</v>
      </c>
      <c r="Q1060" t="inlineStr">
        <is>
          <t/>
        </is>
      </c>
      <c r="R1060" t="inlineStr">
        <is>
          <t/>
        </is>
      </c>
      <c r="S1060" t="n">
        <v>0.0</v>
      </c>
      <c r="T1060" t="n">
        <v>0.0</v>
      </c>
      <c r="U1060" t="n">
        <v>0.0</v>
      </c>
      <c r="V1060" t="n">
        <v>0.0</v>
      </c>
      <c r="W1060" t="inlineStr">
        <is>
          <t/>
        </is>
      </c>
      <c r="X1060" t="n">
        <v>0.0</v>
      </c>
      <c r="Y1060" t="n">
        <v>0.0</v>
      </c>
      <c r="Z1060" t="n">
        <v>0.0</v>
      </c>
      <c r="AA1060" t="n">
        <v>0.0</v>
      </c>
      <c r="AB1060" t="n">
        <v>0.0</v>
      </c>
      <c r="AC1060" t="n">
        <v>0.0</v>
      </c>
      <c r="AD1060" t="n">
        <v>0.0</v>
      </c>
      <c r="AE1060" t="n">
        <v>0.0</v>
      </c>
      <c r="AF1060" t="n">
        <v>0.0</v>
      </c>
      <c r="AG1060" t="n">
        <v>0.0</v>
      </c>
      <c r="AH1060" t="n">
        <v>0.0</v>
      </c>
      <c r="AI1060" t="n">
        <v>0.0</v>
      </c>
      <c r="AJ1060" t="n">
        <v>0.0</v>
      </c>
      <c r="AK1060" t="inlineStr">
        <is>
          <t/>
        </is>
      </c>
      <c r="AL1060" t="inlineStr">
        <is>
          <t/>
        </is>
      </c>
    </row>
    <row r="1061">
      <c r="A1061" t="inlineStr">
        <is>
          <t>早八打工人建议：减脂虾仁不要随便买 ！！</t>
        </is>
      </c>
      <c r="B1061" t="inlineStr">
        <is>
          <t>6a253557000000002101a22a</t>
        </is>
      </c>
      <c r="C1061" s="1060" t="n">
        <f>HYPERLINK("https://www.xiaohongshu.com/explore/6a253557000000002101a22a?xsec_token=TBIVDC5esCetQl7nWPT786lyTPHKNTBP6xuiZeVm5mNsE=&amp;xsec_source=pc_trdark","https://www.xiaohongshu.com/explore/6a253557000000002101a22a?xsec_token=TBIVDC5esCetQl7nWPT786lyTPHKNTBP6xuiZeVm5mNsE=&amp;xsec_source=pc_trdark")</f>
        <v>0.0</v>
      </c>
      <c r="D1061" t="inlineStr">
        <is>
          <t>菲菲上班吃什么</t>
        </is>
      </c>
      <c r="E1061" t="inlineStr">
        <is>
          <t>49936530607</t>
        </is>
      </c>
      <c r="F1061" t="inlineStr">
        <is>
          <t>2026-06-07 17:09:43</t>
        </is>
      </c>
      <c r="G1061" t="inlineStr">
        <is>
          <t>图文</t>
        </is>
      </c>
      <c r="H1061" t="inlineStr">
        <is>
          <t>手剥虾仁 无冰衣无添加 低脂餐一人食 上班带饭 顺丰包邮 5盒装</t>
        </is>
      </c>
      <c r="I1061" t="inlineStr">
        <is>
          <t>694baba01d450d00013662f0</t>
        </is>
      </c>
      <c r="J1061" t="inlineStr">
        <is>
          <t/>
        </is>
      </c>
      <c r="K1061" t="n">
        <v>0.0</v>
      </c>
      <c r="L1061" t="n">
        <v>0.0</v>
      </c>
      <c r="M1061" t="n">
        <v>0.0</v>
      </c>
      <c r="N1061" t="inlineStr">
        <is>
          <t/>
        </is>
      </c>
      <c r="O1061" t="n">
        <v>0.0</v>
      </c>
      <c r="P1061" t="n">
        <v>0.0</v>
      </c>
      <c r="Q1061" t="inlineStr">
        <is>
          <t/>
        </is>
      </c>
      <c r="R1061" t="inlineStr">
        <is>
          <t/>
        </is>
      </c>
      <c r="S1061" t="n">
        <v>0.0</v>
      </c>
      <c r="T1061" t="n">
        <v>0.0</v>
      </c>
      <c r="U1061" t="n">
        <v>0.0</v>
      </c>
      <c r="V1061" t="n">
        <v>0.0</v>
      </c>
      <c r="W1061" t="inlineStr">
        <is>
          <t/>
        </is>
      </c>
      <c r="X1061" t="n">
        <v>0.0</v>
      </c>
      <c r="Y1061" t="n">
        <v>0.0</v>
      </c>
      <c r="Z1061" t="n">
        <v>0.0</v>
      </c>
      <c r="AA1061" t="n">
        <v>0.0</v>
      </c>
      <c r="AB1061" t="n">
        <v>0.0</v>
      </c>
      <c r="AC1061" t="n">
        <v>0.0</v>
      </c>
      <c r="AD1061" t="n">
        <v>0.0</v>
      </c>
      <c r="AE1061" t="n">
        <v>0.0</v>
      </c>
      <c r="AF1061" t="n">
        <v>0.0</v>
      </c>
      <c r="AG1061" t="n">
        <v>0.0</v>
      </c>
      <c r="AH1061" t="n">
        <v>0.0</v>
      </c>
      <c r="AI1061" t="n">
        <v>0.0</v>
      </c>
      <c r="AJ1061" t="n">
        <v>0.0</v>
      </c>
      <c r="AK1061" t="inlineStr">
        <is>
          <t/>
        </is>
      </c>
      <c r="AL1061" t="inlineStr">
        <is>
          <t/>
        </is>
      </c>
    </row>
    <row r="1062">
      <c r="A1062" t="inlineStr">
        <is>
          <t>爸妈对于我每天吃虾仁表示很奢侈😭…</t>
        </is>
      </c>
      <c r="B1062" t="inlineStr">
        <is>
          <t>6a24f6c4000000002202b70f</t>
        </is>
      </c>
      <c r="C1062" s="1061" t="n">
        <f>HYPERLINK("https://www.xiaohongshu.com/explore/6a24f6c4000000002202b70f?xsec_token=TBc_HUPM1sGFsuvm4VeVtY0UKH1qQW3CHvCIolMmCiFqk=&amp;xsec_source=pc_trdark","https://www.xiaohongshu.com/explore/6a24f6c4000000002202b70f?xsec_token=TBc_HUPM1sGFsuvm4VeVtY0UKH1qQW3CHvCIolMmCiFqk=&amp;xsec_source=pc_trdark")</f>
        <v>0.0</v>
      </c>
      <c r="D1062" t="inlineStr">
        <is>
          <t>鲜水湾甄选</t>
        </is>
      </c>
      <c r="E1062" t="inlineStr">
        <is>
          <t>27401929161</t>
        </is>
      </c>
      <c r="F1062" t="inlineStr">
        <is>
          <t>2026-06-07 12:42:44</t>
        </is>
      </c>
      <c r="G1062" t="inlineStr">
        <is>
          <t>图文</t>
        </is>
      </c>
      <c r="H1062" t="inlineStr">
        <is>
          <t>手剥虾仁 无冰衣无添加 低脂餐一人食 上班带饭 顺丰包邮 5盒装</t>
        </is>
      </c>
      <c r="I1062" t="inlineStr">
        <is>
          <t>694baba01d450d00013662f0</t>
        </is>
      </c>
      <c r="J1062" t="inlineStr">
        <is>
          <t/>
        </is>
      </c>
      <c r="K1062" t="n">
        <v>0.0</v>
      </c>
      <c r="L1062" t="n">
        <v>0.0</v>
      </c>
      <c r="M1062" t="n">
        <v>0.0</v>
      </c>
      <c r="N1062" t="inlineStr">
        <is>
          <t/>
        </is>
      </c>
      <c r="O1062" t="n">
        <v>0.0</v>
      </c>
      <c r="P1062" t="n">
        <v>0.0</v>
      </c>
      <c r="Q1062" t="inlineStr">
        <is>
          <t/>
        </is>
      </c>
      <c r="R1062" t="inlineStr">
        <is>
          <t/>
        </is>
      </c>
      <c r="S1062" t="n">
        <v>0.0</v>
      </c>
      <c r="T1062" t="n">
        <v>0.0</v>
      </c>
      <c r="U1062" t="n">
        <v>0.0</v>
      </c>
      <c r="V1062" t="n">
        <v>0.0</v>
      </c>
      <c r="W1062" t="inlineStr">
        <is>
          <t/>
        </is>
      </c>
      <c r="X1062" t="n">
        <v>0.0</v>
      </c>
      <c r="Y1062" t="n">
        <v>0.0</v>
      </c>
      <c r="Z1062" t="n">
        <v>0.0</v>
      </c>
      <c r="AA1062" t="n">
        <v>0.0</v>
      </c>
      <c r="AB1062" t="n">
        <v>0.0</v>
      </c>
      <c r="AC1062" t="n">
        <v>0.0</v>
      </c>
      <c r="AD1062" t="n">
        <v>0.0</v>
      </c>
      <c r="AE1062" t="n">
        <v>0.0</v>
      </c>
      <c r="AF1062" t="n">
        <v>0.0</v>
      </c>
      <c r="AG1062" t="n">
        <v>0.0</v>
      </c>
      <c r="AH1062" t="n">
        <v>0.0</v>
      </c>
      <c r="AI1062" t="n">
        <v>0.0</v>
      </c>
      <c r="AJ1062" t="n">
        <v>0.0</v>
      </c>
      <c r="AK1062" t="inlineStr">
        <is>
          <t/>
        </is>
      </c>
      <c r="AL1062" t="inlineStr">
        <is>
          <t/>
        </is>
      </c>
    </row>
    <row r="1063">
      <c r="A1063" t="inlineStr">
        <is>
          <t>上班带饭被同事围观一个月！没想到so了13斤！</t>
        </is>
      </c>
      <c r="B1063" t="inlineStr">
        <is>
          <t>6a24dfd500000000210236b1</t>
        </is>
      </c>
      <c r="C1063" s="1062" t="n">
        <f>HYPERLINK("https://www.xiaohongshu.com/explore/6a24dfd500000000210236b1?xsec_token=TBc_HUPM1sGFsuvm4VeVtY0TdU-Ym1n8ebO7N8Afv4A6E=&amp;xsec_source=pc_trdark","https://www.xiaohongshu.com/explore/6a24dfd500000000210236b1?xsec_token=TBc_HUPM1sGFsuvm4VeVtY0TdU-Ym1n8ebO7N8Afv4A6E=&amp;xsec_source=pc_trdark")</f>
        <v>0.0</v>
      </c>
      <c r="D1063" t="inlineStr">
        <is>
          <t>菲菲上班吃什么</t>
        </is>
      </c>
      <c r="E1063" t="inlineStr">
        <is>
          <t>49936530607</t>
        </is>
      </c>
      <c r="F1063" t="inlineStr">
        <is>
          <t>2026-06-07 11:04:53</t>
        </is>
      </c>
      <c r="G1063" t="inlineStr">
        <is>
          <t>图文</t>
        </is>
      </c>
      <c r="H1063" t="inlineStr">
        <is>
          <t>手剥虾仁 无冰衣无添加 低脂餐一人食 上班带饭 顺丰包邮 5盒装</t>
        </is>
      </c>
      <c r="I1063" t="inlineStr">
        <is>
          <t>694baba01d450d00013662f0</t>
        </is>
      </c>
      <c r="J1063" t="inlineStr">
        <is>
          <t/>
        </is>
      </c>
      <c r="K1063" t="n">
        <v>0.0</v>
      </c>
      <c r="L1063" t="n">
        <v>0.0</v>
      </c>
      <c r="M1063" t="n">
        <v>0.0</v>
      </c>
      <c r="N1063" t="inlineStr">
        <is>
          <t/>
        </is>
      </c>
      <c r="O1063" t="n">
        <v>0.0</v>
      </c>
      <c r="P1063" t="n">
        <v>0.0</v>
      </c>
      <c r="Q1063" t="inlineStr">
        <is>
          <t/>
        </is>
      </c>
      <c r="R1063" t="inlineStr">
        <is>
          <t/>
        </is>
      </c>
      <c r="S1063" t="n">
        <v>0.0</v>
      </c>
      <c r="T1063" t="n">
        <v>0.0</v>
      </c>
      <c r="U1063" t="n">
        <v>0.0</v>
      </c>
      <c r="V1063" t="n">
        <v>0.0</v>
      </c>
      <c r="W1063" t="inlineStr">
        <is>
          <t/>
        </is>
      </c>
      <c r="X1063" t="n">
        <v>0.0</v>
      </c>
      <c r="Y1063" t="n">
        <v>0.0</v>
      </c>
      <c r="Z1063" t="n">
        <v>0.0</v>
      </c>
      <c r="AA1063" t="n">
        <v>0.0</v>
      </c>
      <c r="AB1063" t="n">
        <v>0.0</v>
      </c>
      <c r="AC1063" t="n">
        <v>0.0</v>
      </c>
      <c r="AD1063" t="n">
        <v>0.0</v>
      </c>
      <c r="AE1063" t="n">
        <v>0.0</v>
      </c>
      <c r="AF1063" t="n">
        <v>0.0</v>
      </c>
      <c r="AG1063" t="n">
        <v>0.0</v>
      </c>
      <c r="AH1063" t="n">
        <v>0.0</v>
      </c>
      <c r="AI1063" t="n">
        <v>0.0</v>
      </c>
      <c r="AJ1063" t="n">
        <v>0.0</v>
      </c>
      <c r="AK1063" t="inlineStr">
        <is>
          <t/>
        </is>
      </c>
      <c r="AL1063" t="inlineStr">
        <is>
          <t/>
        </is>
      </c>
    </row>
    <row r="1064">
      <c r="A1064" t="inlineStr">
        <is>
          <t>减脂人冰箱里真的该有虾仁🍤</t>
        </is>
      </c>
      <c r="B1064" t="inlineStr">
        <is>
          <t>6a24d2500000000035026f81</t>
        </is>
      </c>
      <c r="C1064" s="1063" t="n">
        <f>HYPERLINK("https://www.xiaohongshu.com/explore/6a24d2500000000035026f81?xsec_token=TBc_HUPM1sGFsuvm4VeVtY0SUHGjkgv1q9yJvgSr9yOyA=&amp;xsec_source=pc_trdark","https://www.xiaohongshu.com/explore/6a24d2500000000035026f81?xsec_token=TBc_HUPM1sGFsuvm4VeVtY0SUHGjkgv1q9yJvgSr9yOyA=&amp;xsec_source=pc_trdark")</f>
        <v>0.0</v>
      </c>
      <c r="D1064" t="inlineStr">
        <is>
          <t>鲜水湾甄选</t>
        </is>
      </c>
      <c r="E1064" t="inlineStr">
        <is>
          <t>27401929161</t>
        </is>
      </c>
      <c r="F1064" t="inlineStr">
        <is>
          <t>2026-06-07 10:07:12</t>
        </is>
      </c>
      <c r="G1064" t="inlineStr">
        <is>
          <t>图文</t>
        </is>
      </c>
      <c r="H1064" t="inlineStr">
        <is>
          <t>手剥虾仁 无冰衣无添加 低脂餐一人食 上班带饭 顺丰包邮 5盒装</t>
        </is>
      </c>
      <c r="I1064" t="inlineStr">
        <is>
          <t>694baba01d450d00013662f0</t>
        </is>
      </c>
      <c r="J1064" t="inlineStr">
        <is>
          <t/>
        </is>
      </c>
      <c r="K1064" t="n">
        <v>0.0</v>
      </c>
      <c r="L1064" t="n">
        <v>0.0</v>
      </c>
      <c r="M1064" t="n">
        <v>0.0</v>
      </c>
      <c r="N1064" t="inlineStr">
        <is>
          <t/>
        </is>
      </c>
      <c r="O1064" t="n">
        <v>0.0</v>
      </c>
      <c r="P1064" t="n">
        <v>0.0</v>
      </c>
      <c r="Q1064" t="inlineStr">
        <is>
          <t/>
        </is>
      </c>
      <c r="R1064" t="inlineStr">
        <is>
          <t/>
        </is>
      </c>
      <c r="S1064" t="n">
        <v>0.0</v>
      </c>
      <c r="T1064" t="n">
        <v>0.0</v>
      </c>
      <c r="U1064" t="n">
        <v>0.0</v>
      </c>
      <c r="V1064" t="n">
        <v>0.0</v>
      </c>
      <c r="W1064" t="inlineStr">
        <is>
          <t/>
        </is>
      </c>
      <c r="X1064" t="n">
        <v>0.0</v>
      </c>
      <c r="Y1064" t="n">
        <v>0.0</v>
      </c>
      <c r="Z1064" t="n">
        <v>0.0</v>
      </c>
      <c r="AA1064" t="n">
        <v>0.0</v>
      </c>
      <c r="AB1064" t="n">
        <v>0.0</v>
      </c>
      <c r="AC1064" t="n">
        <v>0.0</v>
      </c>
      <c r="AD1064" t="n">
        <v>0.0</v>
      </c>
      <c r="AE1064" t="n">
        <v>0.0</v>
      </c>
      <c r="AF1064" t="n">
        <v>0.0</v>
      </c>
      <c r="AG1064" t="n">
        <v>0.0</v>
      </c>
      <c r="AH1064" t="n">
        <v>0.0</v>
      </c>
      <c r="AI1064" t="n">
        <v>0.0</v>
      </c>
      <c r="AJ1064" t="n">
        <v>0.0</v>
      </c>
      <c r="AK1064" t="inlineStr">
        <is>
          <t/>
        </is>
      </c>
      <c r="AL1064" t="inlineStr">
        <is>
          <t/>
        </is>
      </c>
    </row>
    <row r="1065">
      <c r="A1065" t="inlineStr">
        <is>
          <t>正确的CPB饮食✅不是硬抗，是吃对</t>
        </is>
      </c>
      <c r="B1065" t="inlineStr">
        <is>
          <t>6a23ee3a0000000008000145</t>
        </is>
      </c>
      <c r="C1065" s="1064" t="n">
        <f>HYPERLINK("https://www.xiaohongshu.com/explore/6a23ee3a0000000008000145?xsec_token=TBMokr-Q7hGTLjI-UgelFX725baPI8RvQb57uX_-GnsE8=&amp;xsec_source=pc_trdark","https://www.xiaohongshu.com/explore/6a23ee3a0000000008000145?xsec_token=TBMokr-Q7hGTLjI-UgelFX725baPI8RvQb57uX_-GnsE8=&amp;xsec_source=pc_trdark")</f>
        <v>0.0</v>
      </c>
      <c r="D1065" t="inlineStr">
        <is>
          <t>鲜水湾</t>
        </is>
      </c>
      <c r="E1065" t="inlineStr">
        <is>
          <t>49316638994</t>
        </is>
      </c>
      <c r="F1065" t="inlineStr">
        <is>
          <t>2026-06-06 17:54:02</t>
        </is>
      </c>
      <c r="G1065" t="inlineStr">
        <is>
          <t>图文</t>
        </is>
      </c>
      <c r="H1065" t="inlineStr">
        <is>
          <t>智利三文鱼切块·整条三文鱼·深海鱼一人食健康饮食</t>
        </is>
      </c>
      <c r="I1065" t="inlineStr">
        <is>
          <t>691ac562a524ee0001b51d7b</t>
        </is>
      </c>
      <c r="J1065" t="inlineStr">
        <is>
          <t/>
        </is>
      </c>
      <c r="K1065" t="n">
        <v>0.0</v>
      </c>
      <c r="L1065" t="n">
        <v>0.0</v>
      </c>
      <c r="M1065" t="n">
        <v>0.0</v>
      </c>
      <c r="N1065" t="inlineStr">
        <is>
          <t/>
        </is>
      </c>
      <c r="O1065" t="n">
        <v>0.0</v>
      </c>
      <c r="P1065" t="n">
        <v>0.0</v>
      </c>
      <c r="Q1065" t="inlineStr">
        <is>
          <t/>
        </is>
      </c>
      <c r="R1065" t="inlineStr">
        <is>
          <t/>
        </is>
      </c>
      <c r="S1065" t="n">
        <v>0.0</v>
      </c>
      <c r="T1065" t="n">
        <v>0.0</v>
      </c>
      <c r="U1065" t="n">
        <v>0.0</v>
      </c>
      <c r="V1065" t="n">
        <v>0.0</v>
      </c>
      <c r="W1065" t="inlineStr">
        <is>
          <t/>
        </is>
      </c>
      <c r="X1065" t="n">
        <v>0.0</v>
      </c>
      <c r="Y1065" t="n">
        <v>0.0</v>
      </c>
      <c r="Z1065" t="n">
        <v>0.0</v>
      </c>
      <c r="AA1065" t="n">
        <v>0.0</v>
      </c>
      <c r="AB1065" t="n">
        <v>0.0</v>
      </c>
      <c r="AC1065" t="n">
        <v>0.0</v>
      </c>
      <c r="AD1065" t="n">
        <v>0.0</v>
      </c>
      <c r="AE1065" t="n">
        <v>0.0</v>
      </c>
      <c r="AF1065" t="n">
        <v>0.0</v>
      </c>
      <c r="AG1065" t="n">
        <v>0.0</v>
      </c>
      <c r="AH1065" t="n">
        <v>0.0</v>
      </c>
      <c r="AI1065" t="n">
        <v>0.0</v>
      </c>
      <c r="AJ1065" t="n">
        <v>0.0</v>
      </c>
      <c r="AK1065" t="inlineStr">
        <is>
          <t/>
        </is>
      </c>
      <c r="AL1065" t="inlineStr">
        <is>
          <t/>
        </is>
      </c>
    </row>
    <row r="1066">
      <c r="A1066" t="inlineStr">
        <is>
          <t>宝子们，这才是减脂人冰箱的正确打开方式！</t>
        </is>
      </c>
      <c r="B1066" t="inlineStr">
        <is>
          <t>6a23dd7b0000000020039610</t>
        </is>
      </c>
      <c r="C1066" s="1065" t="n">
        <f>HYPERLINK("https://www.xiaohongshu.com/explore/6a23dd7b0000000020039610?xsec_token=TBMokr-Q7hGTLjI-UgelFX7wD7BRjredWVoe1Z_OLFhZk=&amp;xsec_source=pc_trdark","https://www.xiaohongshu.com/explore/6a23dd7b0000000020039610?xsec_token=TBMokr-Q7hGTLjI-UgelFX7wD7BRjredWVoe1Z_OLFhZk=&amp;xsec_source=pc_trdark")</f>
        <v>0.0</v>
      </c>
      <c r="D1066" t="inlineStr">
        <is>
          <t>鲜水湾</t>
        </is>
      </c>
      <c r="E1066" t="inlineStr">
        <is>
          <t>49316638994</t>
        </is>
      </c>
      <c r="F1066" t="inlineStr">
        <is>
          <t>2026-06-06 16:42:35</t>
        </is>
      </c>
      <c r="G1066" t="inlineStr">
        <is>
          <t>图文</t>
        </is>
      </c>
      <c r="H1066" t="inlineStr">
        <is>
          <t>智利三文鱼切块·整条三文鱼·深海鱼一人食健康饮食</t>
        </is>
      </c>
      <c r="I1066" t="inlineStr">
        <is>
          <t>691ac562a524ee0001b51d7b</t>
        </is>
      </c>
      <c r="J1066" t="inlineStr">
        <is>
          <t/>
        </is>
      </c>
      <c r="K1066" t="n">
        <v>0.0</v>
      </c>
      <c r="L1066" t="n">
        <v>0.0</v>
      </c>
      <c r="M1066" t="n">
        <v>0.0</v>
      </c>
      <c r="N1066" t="inlineStr">
        <is>
          <t/>
        </is>
      </c>
      <c r="O1066" t="n">
        <v>0.0</v>
      </c>
      <c r="P1066" t="n">
        <v>0.0</v>
      </c>
      <c r="Q1066" t="inlineStr">
        <is>
          <t/>
        </is>
      </c>
      <c r="R1066" t="inlineStr">
        <is>
          <t/>
        </is>
      </c>
      <c r="S1066" t="n">
        <v>0.0</v>
      </c>
      <c r="T1066" t="n">
        <v>0.0</v>
      </c>
      <c r="U1066" t="n">
        <v>0.0</v>
      </c>
      <c r="V1066" t="n">
        <v>0.0</v>
      </c>
      <c r="W1066" t="inlineStr">
        <is>
          <t/>
        </is>
      </c>
      <c r="X1066" t="n">
        <v>0.0</v>
      </c>
      <c r="Y1066" t="n">
        <v>0.0</v>
      </c>
      <c r="Z1066" t="n">
        <v>0.0</v>
      </c>
      <c r="AA1066" t="n">
        <v>0.0</v>
      </c>
      <c r="AB1066" t="n">
        <v>0.0</v>
      </c>
      <c r="AC1066" t="n">
        <v>0.0</v>
      </c>
      <c r="AD1066" t="n">
        <v>0.0</v>
      </c>
      <c r="AE1066" t="n">
        <v>0.0</v>
      </c>
      <c r="AF1066" t="n">
        <v>0.0</v>
      </c>
      <c r="AG1066" t="n">
        <v>0.0</v>
      </c>
      <c r="AH1066" t="n">
        <v>0.0</v>
      </c>
      <c r="AI1066" t="n">
        <v>0.0</v>
      </c>
      <c r="AJ1066" t="n">
        <v>0.0</v>
      </c>
      <c r="AK1066" t="inlineStr">
        <is>
          <t/>
        </is>
      </c>
      <c r="AL1066" t="inlineStr">
        <is>
          <t/>
        </is>
      </c>
    </row>
    <row r="1067">
      <c r="A1067" t="inlineStr">
        <is>
          <t>现在年轻人，严重低估了70块的购买力…</t>
        </is>
      </c>
      <c r="B1067" t="inlineStr">
        <is>
          <t>6a23d88b0000000007028b0f</t>
        </is>
      </c>
      <c r="C1067" s="1066" t="n">
        <f>HYPERLINK("https://www.xiaohongshu.com/explore/6a23d88b0000000007028b0f?xsec_token=TBMokr-Q7hGTLjI-UgelFX76yyDpYjygsxDAmrtZR6goE=&amp;xsec_source=pc_trdark","https://www.xiaohongshu.com/explore/6a23d88b0000000007028b0f?xsec_token=TBMokr-Q7hGTLjI-UgelFX76yyDpYjygsxDAmrtZR6goE=&amp;xsec_source=pc_trdark")</f>
        <v>0.0</v>
      </c>
      <c r="D1067" t="inlineStr">
        <is>
          <t>菲菲上班吃什么</t>
        </is>
      </c>
      <c r="E1067" t="inlineStr">
        <is>
          <t>49936530607</t>
        </is>
      </c>
      <c r="F1067" t="inlineStr">
        <is>
          <t>2026-06-06 19:43:00</t>
        </is>
      </c>
      <c r="G1067" t="inlineStr">
        <is>
          <t>图文</t>
        </is>
      </c>
      <c r="H1067" t="inlineStr">
        <is>
          <t>手剥虾仁 无冰衣无添加 低脂餐一人食 上班带饭 顺丰包邮 5盒装</t>
        </is>
      </c>
      <c r="I1067" t="inlineStr">
        <is>
          <t>694baba01d450d00013662f0</t>
        </is>
      </c>
      <c r="J1067" t="inlineStr">
        <is>
          <t/>
        </is>
      </c>
      <c r="K1067" t="n">
        <v>0.0</v>
      </c>
      <c r="L1067" t="n">
        <v>0.0</v>
      </c>
      <c r="M1067" t="n">
        <v>0.0</v>
      </c>
      <c r="N1067" t="inlineStr">
        <is>
          <t/>
        </is>
      </c>
      <c r="O1067" t="n">
        <v>0.0</v>
      </c>
      <c r="P1067" t="n">
        <v>0.0</v>
      </c>
      <c r="Q1067" t="inlineStr">
        <is>
          <t/>
        </is>
      </c>
      <c r="R1067" t="inlineStr">
        <is>
          <t/>
        </is>
      </c>
      <c r="S1067" t="n">
        <v>0.0</v>
      </c>
      <c r="T1067" t="n">
        <v>0.0</v>
      </c>
      <c r="U1067" t="n">
        <v>0.0</v>
      </c>
      <c r="V1067" t="n">
        <v>0.0</v>
      </c>
      <c r="W1067" t="inlineStr">
        <is>
          <t/>
        </is>
      </c>
      <c r="X1067" t="n">
        <v>0.0</v>
      </c>
      <c r="Y1067" t="n">
        <v>0.0</v>
      </c>
      <c r="Z1067" t="n">
        <v>0.0</v>
      </c>
      <c r="AA1067" t="n">
        <v>0.0</v>
      </c>
      <c r="AB1067" t="n">
        <v>0.0</v>
      </c>
      <c r="AC1067" t="n">
        <v>0.0</v>
      </c>
      <c r="AD1067" t="n">
        <v>0.0</v>
      </c>
      <c r="AE1067" t="n">
        <v>0.0</v>
      </c>
      <c r="AF1067" t="n">
        <v>0.0</v>
      </c>
      <c r="AG1067" t="n">
        <v>0.0</v>
      </c>
      <c r="AH1067" t="n">
        <v>0.0</v>
      </c>
      <c r="AI1067" t="n">
        <v>0.0</v>
      </c>
      <c r="AJ1067" t="n">
        <v>0.0</v>
      </c>
      <c r="AK1067" t="inlineStr">
        <is>
          <t/>
        </is>
      </c>
      <c r="AL1067" t="inlineStr">
        <is>
          <t/>
        </is>
      </c>
    </row>
    <row r="1068">
      <c r="A1068" t="inlineStr">
        <is>
          <t>控体期不吃虾仁，你糊涂啊！！！！</t>
        </is>
      </c>
      <c r="B1068" t="inlineStr">
        <is>
          <t>6a23d850000000003503314c</t>
        </is>
      </c>
      <c r="C1068" s="1067" t="n">
        <f>HYPERLINK("https://www.xiaohongshu.com/explore/6a23d850000000003503314c?xsec_token=TBMokr-Q7hGTLjI-UgelFX77-7GC8I8NGaw2leke4UgZo=&amp;xsec_source=pc_trdark","https://www.xiaohongshu.com/explore/6a23d850000000003503314c?xsec_token=TBMokr-Q7hGTLjI-UgelFX77-7GC8I8NGaw2leke4UgZo=&amp;xsec_source=pc_trdark")</f>
        <v>0.0</v>
      </c>
      <c r="D1068" t="inlineStr">
        <is>
          <t>鲜水湾甄选</t>
        </is>
      </c>
      <c r="E1068" t="inlineStr">
        <is>
          <t>27401929161</t>
        </is>
      </c>
      <c r="F1068" t="inlineStr">
        <is>
          <t>2026-06-06 16:20:32</t>
        </is>
      </c>
      <c r="G1068" t="inlineStr">
        <is>
          <t>图文</t>
        </is>
      </c>
      <c r="H1068" t="inlineStr">
        <is>
          <t>手剥虾仁 无冰衣无添加 低脂餐一人食 上班带饭 顺丰包邮 5盒装</t>
        </is>
      </c>
      <c r="I1068" t="inlineStr">
        <is>
          <t>694baba01d450d00013662f0</t>
        </is>
      </c>
      <c r="J1068" t="inlineStr">
        <is>
          <t/>
        </is>
      </c>
      <c r="K1068" t="n">
        <v>0.0</v>
      </c>
      <c r="L1068" t="n">
        <v>0.0</v>
      </c>
      <c r="M1068" t="n">
        <v>0.0</v>
      </c>
      <c r="N1068" t="inlineStr">
        <is>
          <t/>
        </is>
      </c>
      <c r="O1068" t="n">
        <v>0.0</v>
      </c>
      <c r="P1068" t="n">
        <v>0.0</v>
      </c>
      <c r="Q1068" t="inlineStr">
        <is>
          <t/>
        </is>
      </c>
      <c r="R1068" t="inlineStr">
        <is>
          <t/>
        </is>
      </c>
      <c r="S1068" t="n">
        <v>0.0</v>
      </c>
      <c r="T1068" t="n">
        <v>0.0</v>
      </c>
      <c r="U1068" t="n">
        <v>0.0</v>
      </c>
      <c r="V1068" t="n">
        <v>0.0</v>
      </c>
      <c r="W1068" t="inlineStr">
        <is>
          <t/>
        </is>
      </c>
      <c r="X1068" t="n">
        <v>0.0</v>
      </c>
      <c r="Y1068" t="n">
        <v>0.0</v>
      </c>
      <c r="Z1068" t="n">
        <v>0.0</v>
      </c>
      <c r="AA1068" t="n">
        <v>0.0</v>
      </c>
      <c r="AB1068" t="n">
        <v>0.0</v>
      </c>
      <c r="AC1068" t="n">
        <v>0.0</v>
      </c>
      <c r="AD1068" t="n">
        <v>0.0</v>
      </c>
      <c r="AE1068" t="n">
        <v>0.0</v>
      </c>
      <c r="AF1068" t="n">
        <v>0.0</v>
      </c>
      <c r="AG1068" t="n">
        <v>0.0</v>
      </c>
      <c r="AH1068" t="n">
        <v>0.0</v>
      </c>
      <c r="AI1068" t="n">
        <v>0.0</v>
      </c>
      <c r="AJ1068" t="n">
        <v>0.0</v>
      </c>
      <c r="AK1068" t="inlineStr">
        <is>
          <t/>
        </is>
      </c>
      <c r="AL1068" t="inlineStr">
        <is>
          <t/>
        </is>
      </c>
    </row>
    <row r="1069">
      <c r="A1069" t="inlineStr">
        <is>
          <t>邪修减肥法！我就说网上能学到好东西…</t>
        </is>
      </c>
      <c r="B1069" t="inlineStr">
        <is>
          <t>6a23caa30000000021016d85</t>
        </is>
      </c>
      <c r="C1069" s="1068" t="n">
        <f>HYPERLINK("https://www.xiaohongshu.com/explore/6a23caa30000000021016d85?xsec_token=TBMokr-Q7hGTLjI-UgelFX7_hQtHuvYIGZ_IuzzuQhpQM=&amp;xsec_source=pc_trdark","https://www.xiaohongshu.com/explore/6a23caa30000000021016d85?xsec_token=TBMokr-Q7hGTLjI-UgelFX7_hQtHuvYIGZ_IuzzuQhpQM=&amp;xsec_source=pc_trdark")</f>
        <v>0.0</v>
      </c>
      <c r="D1069" t="inlineStr">
        <is>
          <t>菲菲上班吃什么</t>
        </is>
      </c>
      <c r="E1069" t="inlineStr">
        <is>
          <t>49936530607</t>
        </is>
      </c>
      <c r="F1069" t="inlineStr">
        <is>
          <t>2026-06-06 15:22:11</t>
        </is>
      </c>
      <c r="G1069" t="inlineStr">
        <is>
          <t>图文</t>
        </is>
      </c>
      <c r="H1069" t="inlineStr">
        <is>
          <t>手剥虾仁 无冰衣无添加 低脂餐一人食 上班带饭 顺丰包邮 5盒装</t>
        </is>
      </c>
      <c r="I1069" t="inlineStr">
        <is>
          <t>694baba01d450d00013662f0</t>
        </is>
      </c>
      <c r="J1069" t="inlineStr">
        <is>
          <t/>
        </is>
      </c>
      <c r="K1069" t="n">
        <v>0.0</v>
      </c>
      <c r="L1069" t="n">
        <v>0.0</v>
      </c>
      <c r="M1069" t="n">
        <v>0.0</v>
      </c>
      <c r="N1069" t="inlineStr">
        <is>
          <t/>
        </is>
      </c>
      <c r="O1069" t="n">
        <v>0.0</v>
      </c>
      <c r="P1069" t="n">
        <v>0.0</v>
      </c>
      <c r="Q1069" t="inlineStr">
        <is>
          <t/>
        </is>
      </c>
      <c r="R1069" t="inlineStr">
        <is>
          <t/>
        </is>
      </c>
      <c r="S1069" t="n">
        <v>0.0</v>
      </c>
      <c r="T1069" t="n">
        <v>0.0</v>
      </c>
      <c r="U1069" t="n">
        <v>0.0</v>
      </c>
      <c r="V1069" t="n">
        <v>0.0</v>
      </c>
      <c r="W1069" t="inlineStr">
        <is>
          <t/>
        </is>
      </c>
      <c r="X1069" t="n">
        <v>0.0</v>
      </c>
      <c r="Y1069" t="n">
        <v>0.0</v>
      </c>
      <c r="Z1069" t="n">
        <v>0.0</v>
      </c>
      <c r="AA1069" t="n">
        <v>0.0</v>
      </c>
      <c r="AB1069" t="n">
        <v>0.0</v>
      </c>
      <c r="AC1069" t="n">
        <v>0.0</v>
      </c>
      <c r="AD1069" t="n">
        <v>0.0</v>
      </c>
      <c r="AE1069" t="n">
        <v>0.0</v>
      </c>
      <c r="AF1069" t="n">
        <v>0.0</v>
      </c>
      <c r="AG1069" t="n">
        <v>0.0</v>
      </c>
      <c r="AH1069" t="n">
        <v>0.0</v>
      </c>
      <c r="AI1069" t="n">
        <v>0.0</v>
      </c>
      <c r="AJ1069" t="n">
        <v>0.0</v>
      </c>
      <c r="AK1069" t="inlineStr">
        <is>
          <t/>
        </is>
      </c>
      <c r="AL1069" t="inlineStr">
        <is>
          <t/>
        </is>
      </c>
    </row>
    <row r="1070">
      <c r="A1070" t="inlineStr">
        <is>
          <t>我妈：终于不天天吃外卖了😂</t>
        </is>
      </c>
      <c r="B1070" t="inlineStr">
        <is>
          <t>6a239ce00000000036000c03</t>
        </is>
      </c>
      <c r="C1070" s="1069" t="n">
        <f>HYPERLINK("https://www.xiaohongshu.com/explore/6a239ce00000000036000c03?xsec_token=TBMokr-Q7hGTLjI-UgelFX738iTcJY01sAjqhXuRnQ1Lo=&amp;xsec_source=pc_trdark","https://www.xiaohongshu.com/explore/6a239ce00000000036000c03?xsec_token=TBMokr-Q7hGTLjI-UgelFX738iTcJY01sAjqhXuRnQ1Lo=&amp;xsec_source=pc_trdark")</f>
        <v>0.0</v>
      </c>
      <c r="D1070" t="inlineStr">
        <is>
          <t>鲜水湾甄选</t>
        </is>
      </c>
      <c r="E1070" t="inlineStr">
        <is>
          <t>27401929161</t>
        </is>
      </c>
      <c r="F1070" t="inlineStr">
        <is>
          <t>2026-06-06 12:06:56</t>
        </is>
      </c>
      <c r="G1070" t="inlineStr">
        <is>
          <t>图文</t>
        </is>
      </c>
      <c r="H1070" t="inlineStr">
        <is>
          <t>手剥虾仁 无冰衣无添加 低脂餐一人食 上班带饭 顺丰包邮 5盒装</t>
        </is>
      </c>
      <c r="I1070" t="inlineStr">
        <is>
          <t>694baba01d450d00013662f0</t>
        </is>
      </c>
      <c r="J1070" t="inlineStr">
        <is>
          <t/>
        </is>
      </c>
      <c r="K1070" t="n">
        <v>0.0</v>
      </c>
      <c r="L1070" t="n">
        <v>0.0</v>
      </c>
      <c r="M1070" t="n">
        <v>0.0</v>
      </c>
      <c r="N1070" t="inlineStr">
        <is>
          <t/>
        </is>
      </c>
      <c r="O1070" t="n">
        <v>0.0</v>
      </c>
      <c r="P1070" t="n">
        <v>0.0</v>
      </c>
      <c r="Q1070" t="inlineStr">
        <is>
          <t/>
        </is>
      </c>
      <c r="R1070" t="inlineStr">
        <is>
          <t/>
        </is>
      </c>
      <c r="S1070" t="n">
        <v>0.0</v>
      </c>
      <c r="T1070" t="n">
        <v>0.0</v>
      </c>
      <c r="U1070" t="n">
        <v>0.0</v>
      </c>
      <c r="V1070" t="n">
        <v>0.0</v>
      </c>
      <c r="W1070" t="inlineStr">
        <is>
          <t/>
        </is>
      </c>
      <c r="X1070" t="n">
        <v>0.0</v>
      </c>
      <c r="Y1070" t="n">
        <v>0.0</v>
      </c>
      <c r="Z1070" t="n">
        <v>0.0</v>
      </c>
      <c r="AA1070" t="n">
        <v>0.0</v>
      </c>
      <c r="AB1070" t="n">
        <v>0.0</v>
      </c>
      <c r="AC1070" t="n">
        <v>0.0</v>
      </c>
      <c r="AD1070" t="n">
        <v>0.0</v>
      </c>
      <c r="AE1070" t="n">
        <v>0.0</v>
      </c>
      <c r="AF1070" t="n">
        <v>0.0</v>
      </c>
      <c r="AG1070" t="n">
        <v>0.0</v>
      </c>
      <c r="AH1070" t="n">
        <v>0.0</v>
      </c>
      <c r="AI1070" t="n">
        <v>0.0</v>
      </c>
      <c r="AJ1070" t="n">
        <v>0.0</v>
      </c>
      <c r="AK1070" t="inlineStr">
        <is>
          <t/>
        </is>
      </c>
      <c r="AL1070" t="inlineStr">
        <is>
          <t/>
        </is>
      </c>
    </row>
    <row r="1071">
      <c r="A1071" t="inlineStr">
        <is>
          <t>每天带饭最怕别人问： “你怎么天天吃这么好</t>
        </is>
      </c>
      <c r="B1071" t="inlineStr">
        <is>
          <t>6a239956000000002003812e</t>
        </is>
      </c>
      <c r="C1071" s="1070" t="n">
        <f>HYPERLINK("https://www.xiaohongshu.com/explore/6a239956000000002003812e?xsec_token=TBMokr-Q7hGTLjI-UgelFX79qW8aSe-aoiR2OGc6ODoGw=&amp;xsec_source=pc_trdark","https://www.xiaohongshu.com/explore/6a239956000000002003812e?xsec_token=TBMokr-Q7hGTLjI-UgelFX79qW8aSe-aoiR2OGc6ODoGw=&amp;xsec_source=pc_trdark")</f>
        <v>0.0</v>
      </c>
      <c r="D1071" t="inlineStr">
        <is>
          <t>菲菲上班吃什么</t>
        </is>
      </c>
      <c r="E1071" t="inlineStr">
        <is>
          <t>49936530607</t>
        </is>
      </c>
      <c r="F1071" t="inlineStr">
        <is>
          <t>2026-06-06 11:51:50</t>
        </is>
      </c>
      <c r="G1071" t="inlineStr">
        <is>
          <t>图文</t>
        </is>
      </c>
      <c r="H1071" t="inlineStr">
        <is>
          <t>手剥虾仁 无冰衣无添加 低脂餐一人食 上班带饭 顺丰包邮 5盒装</t>
        </is>
      </c>
      <c r="I1071" t="inlineStr">
        <is>
          <t>694baba01d450d00013662f0</t>
        </is>
      </c>
      <c r="J1071" t="inlineStr">
        <is>
          <t/>
        </is>
      </c>
      <c r="K1071" t="n">
        <v>0.0</v>
      </c>
      <c r="L1071" t="n">
        <v>0.0</v>
      </c>
      <c r="M1071" t="n">
        <v>0.0</v>
      </c>
      <c r="N1071" t="inlineStr">
        <is>
          <t/>
        </is>
      </c>
      <c r="O1071" t="n">
        <v>0.0</v>
      </c>
      <c r="P1071" t="n">
        <v>0.0</v>
      </c>
      <c r="Q1071" t="inlineStr">
        <is>
          <t/>
        </is>
      </c>
      <c r="R1071" t="inlineStr">
        <is>
          <t/>
        </is>
      </c>
      <c r="S1071" t="n">
        <v>0.0</v>
      </c>
      <c r="T1071" t="n">
        <v>0.0</v>
      </c>
      <c r="U1071" t="n">
        <v>0.0</v>
      </c>
      <c r="V1071" t="n">
        <v>0.0</v>
      </c>
      <c r="W1071" t="inlineStr">
        <is>
          <t/>
        </is>
      </c>
      <c r="X1071" t="n">
        <v>0.0</v>
      </c>
      <c r="Y1071" t="n">
        <v>0.0</v>
      </c>
      <c r="Z1071" t="n">
        <v>0.0</v>
      </c>
      <c r="AA1071" t="n">
        <v>0.0</v>
      </c>
      <c r="AB1071" t="n">
        <v>0.0</v>
      </c>
      <c r="AC1071" t="n">
        <v>0.0</v>
      </c>
      <c r="AD1071" t="n">
        <v>0.0</v>
      </c>
      <c r="AE1071" t="n">
        <v>0.0</v>
      </c>
      <c r="AF1071" t="n">
        <v>0.0</v>
      </c>
      <c r="AG1071" t="n">
        <v>0.0</v>
      </c>
      <c r="AH1071" t="n">
        <v>0.0</v>
      </c>
      <c r="AI1071" t="n">
        <v>0.0</v>
      </c>
      <c r="AJ1071" t="n">
        <v>0.0</v>
      </c>
      <c r="AK1071" t="inlineStr">
        <is>
          <t/>
        </is>
      </c>
      <c r="AL1071" t="inlineStr">
        <is>
          <t/>
        </is>
      </c>
    </row>
    <row r="1072">
      <c r="A1072" t="inlineStr">
        <is>
          <t>减脂期连吃15天虾仁后，我真香了…</t>
        </is>
      </c>
      <c r="B1072" t="inlineStr">
        <is>
          <t>6a238253000000003502619a</t>
        </is>
      </c>
      <c r="C1072" s="1071" t="n">
        <f>HYPERLINK("https://www.xiaohongshu.com/explore/6a238253000000003502619a?xsec_token=TBMokr-Q7hGTLjI-UgelFX7xtAj_t6ON99GZhc8Npx0TE=&amp;xsec_source=pc_trdark","https://www.xiaohongshu.com/explore/6a238253000000003502619a?xsec_token=TBMokr-Q7hGTLjI-UgelFX7xtAj_t6ON99GZhc8Npx0TE=&amp;xsec_source=pc_trdark")</f>
        <v>0.0</v>
      </c>
      <c r="D1072" t="inlineStr">
        <is>
          <t>鲜水湾甄选</t>
        </is>
      </c>
      <c r="E1072" t="inlineStr">
        <is>
          <t>27401929161</t>
        </is>
      </c>
      <c r="F1072" t="inlineStr">
        <is>
          <t>2026-06-06 10:13:39</t>
        </is>
      </c>
      <c r="G1072" t="inlineStr">
        <is>
          <t>图文</t>
        </is>
      </c>
      <c r="H1072" t="inlineStr">
        <is>
          <t>手剥虾仁 无冰衣无添加 低脂餐一人食 上班带饭 顺丰包邮 5盒装</t>
        </is>
      </c>
      <c r="I1072" t="inlineStr">
        <is>
          <t>694baba01d450d00013662f0</t>
        </is>
      </c>
      <c r="J1072" t="inlineStr">
        <is>
          <t/>
        </is>
      </c>
      <c r="K1072" t="n">
        <v>0.0</v>
      </c>
      <c r="L1072" t="n">
        <v>0.0</v>
      </c>
      <c r="M1072" t="n">
        <v>0.0</v>
      </c>
      <c r="N1072" t="inlineStr">
        <is>
          <t/>
        </is>
      </c>
      <c r="O1072" t="n">
        <v>0.0</v>
      </c>
      <c r="P1072" t="n">
        <v>0.0</v>
      </c>
      <c r="Q1072" t="inlineStr">
        <is>
          <t/>
        </is>
      </c>
      <c r="R1072" t="inlineStr">
        <is>
          <t/>
        </is>
      </c>
      <c r="S1072" t="n">
        <v>0.0</v>
      </c>
      <c r="T1072" t="n">
        <v>0.0</v>
      </c>
      <c r="U1072" t="n">
        <v>0.0</v>
      </c>
      <c r="V1072" t="n">
        <v>0.0</v>
      </c>
      <c r="W1072" t="inlineStr">
        <is>
          <t/>
        </is>
      </c>
      <c r="X1072" t="n">
        <v>0.0</v>
      </c>
      <c r="Y1072" t="n">
        <v>0.0</v>
      </c>
      <c r="Z1072" t="n">
        <v>0.0</v>
      </c>
      <c r="AA1072" t="n">
        <v>0.0</v>
      </c>
      <c r="AB1072" t="n">
        <v>0.0</v>
      </c>
      <c r="AC1072" t="n">
        <v>0.0</v>
      </c>
      <c r="AD1072" t="n">
        <v>0.0</v>
      </c>
      <c r="AE1072" t="n">
        <v>0.0</v>
      </c>
      <c r="AF1072" t="n">
        <v>0.0</v>
      </c>
      <c r="AG1072" t="n">
        <v>0.0</v>
      </c>
      <c r="AH1072" t="n">
        <v>0.0</v>
      </c>
      <c r="AI1072" t="n">
        <v>0.0</v>
      </c>
      <c r="AJ1072" t="n">
        <v>0.0</v>
      </c>
      <c r="AK1072" t="inlineStr">
        <is>
          <t/>
        </is>
      </c>
      <c r="AL1072" t="inlineStr">
        <is>
          <t/>
        </is>
      </c>
    </row>
    <row r="1073">
      <c r="A1073" t="inlineStr">
        <is>
          <t>本来想尝试一下，结果回购了一次又一次</t>
        </is>
      </c>
      <c r="B1073" t="inlineStr">
        <is>
          <t>6a22c7c1000000000803eaec</t>
        </is>
      </c>
      <c r="C1073" s="1072" t="n">
        <f>HYPERLINK("https://www.xiaohongshu.com/explore/6a22c7c1000000000803eaec?xsec_token=TBC-_2V2Jf8UHvhGX5sq95h2rvJu9kAJkN2gxx2AOH3hc=&amp;xsec_source=pc_trdark","https://www.xiaohongshu.com/explore/6a22c7c1000000000803eaec?xsec_token=TBC-_2V2Jf8UHvhGX5sq95h2rvJu9kAJkN2gxx2AOH3hc=&amp;xsec_source=pc_trdark")</f>
        <v>0.0</v>
      </c>
      <c r="D1073" t="inlineStr">
        <is>
          <t>婉婉上班吃什么</t>
        </is>
      </c>
      <c r="E1073" t="inlineStr">
        <is>
          <t>11434449706</t>
        </is>
      </c>
      <c r="F1073" t="inlineStr">
        <is>
          <t>2026-06-05 20:57:37</t>
        </is>
      </c>
      <c r="G1073" t="inlineStr">
        <is>
          <t>图文</t>
        </is>
      </c>
      <c r="H1073" t="inlineStr">
        <is>
          <t>手剥虾仁 无冰衣无添加 低脂餐一人食 上班带饭 顺丰包邮 5盒装</t>
        </is>
      </c>
      <c r="I1073" t="inlineStr">
        <is>
          <t>694baba01d450d00013662f0</t>
        </is>
      </c>
      <c r="J1073" t="inlineStr">
        <is>
          <t/>
        </is>
      </c>
      <c r="K1073" t="n">
        <v>0.0</v>
      </c>
      <c r="L1073" t="n">
        <v>0.0</v>
      </c>
      <c r="M1073" t="n">
        <v>0.0</v>
      </c>
      <c r="N1073" t="inlineStr">
        <is>
          <t/>
        </is>
      </c>
      <c r="O1073" t="n">
        <v>0.0</v>
      </c>
      <c r="P1073" t="n">
        <v>0.0</v>
      </c>
      <c r="Q1073" t="inlineStr">
        <is>
          <t/>
        </is>
      </c>
      <c r="R1073" t="inlineStr">
        <is>
          <t/>
        </is>
      </c>
      <c r="S1073" t="n">
        <v>0.0</v>
      </c>
      <c r="T1073" t="n">
        <v>0.0</v>
      </c>
      <c r="U1073" t="n">
        <v>0.0</v>
      </c>
      <c r="V1073" t="n">
        <v>0.0</v>
      </c>
      <c r="W1073" t="inlineStr">
        <is>
          <t/>
        </is>
      </c>
      <c r="X1073" t="n">
        <v>0.0</v>
      </c>
      <c r="Y1073" t="n">
        <v>0.0</v>
      </c>
      <c r="Z1073" t="n">
        <v>0.0</v>
      </c>
      <c r="AA1073" t="n">
        <v>0.0</v>
      </c>
      <c r="AB1073" t="n">
        <v>0.0</v>
      </c>
      <c r="AC1073" t="n">
        <v>0.0</v>
      </c>
      <c r="AD1073" t="n">
        <v>0.0</v>
      </c>
      <c r="AE1073" t="n">
        <v>0.0</v>
      </c>
      <c r="AF1073" t="n">
        <v>0.0</v>
      </c>
      <c r="AG1073" t="n">
        <v>0.0</v>
      </c>
      <c r="AH1073" t="n">
        <v>0.0</v>
      </c>
      <c r="AI1073" t="n">
        <v>0.0</v>
      </c>
      <c r="AJ1073" t="n">
        <v>0.0</v>
      </c>
      <c r="AK1073" t="inlineStr">
        <is>
          <t/>
        </is>
      </c>
      <c r="AL1073" t="inlineStr">
        <is>
          <t/>
        </is>
      </c>
    </row>
    <row r="1074">
      <c r="A1074" t="inlineStr">
        <is>
          <t>小小69元，承包了独居人一周减脂的快乐！</t>
        </is>
      </c>
      <c r="B1074" t="inlineStr">
        <is>
          <t>6a22a7cd000000003503a299</t>
        </is>
      </c>
      <c r="C1074" s="1073" t="n">
        <f>HYPERLINK("https://www.xiaohongshu.com/explore/6a22a7cd000000003503a299?xsec_token=TBC-_2V2Jf8UHvhGX5sq95h986J-rzDCI2b0v8ddGnW04=&amp;xsec_source=pc_trdark","https://www.xiaohongshu.com/explore/6a22a7cd000000003503a299?xsec_token=TBC-_2V2Jf8UHvhGX5sq95h986J-rzDCI2b0v8ddGnW04=&amp;xsec_source=pc_trdark")</f>
        <v>0.0</v>
      </c>
      <c r="D1074" t="inlineStr">
        <is>
          <t>鲜水湾甄选</t>
        </is>
      </c>
      <c r="E1074" t="inlineStr">
        <is>
          <t>27401929161</t>
        </is>
      </c>
      <c r="F1074" t="inlineStr">
        <is>
          <t>2026-06-05 20:19:00</t>
        </is>
      </c>
      <c r="G1074" t="inlineStr">
        <is>
          <t>图文</t>
        </is>
      </c>
      <c r="H1074" t="inlineStr">
        <is>
          <t>手剥虾仁 无冰衣无添加 低脂餐一人食 上班带饭 顺丰包邮 5盒装</t>
        </is>
      </c>
      <c r="I1074" t="inlineStr">
        <is>
          <t>694baba01d450d00013662f0</t>
        </is>
      </c>
      <c r="J1074" t="inlineStr">
        <is>
          <t/>
        </is>
      </c>
      <c r="K1074" t="n">
        <v>0.0</v>
      </c>
      <c r="L1074" t="n">
        <v>0.0</v>
      </c>
      <c r="M1074" t="n">
        <v>0.0</v>
      </c>
      <c r="N1074" t="inlineStr">
        <is>
          <t/>
        </is>
      </c>
      <c r="O1074" t="n">
        <v>0.0</v>
      </c>
      <c r="P1074" t="n">
        <v>0.0</v>
      </c>
      <c r="Q1074" t="inlineStr">
        <is>
          <t/>
        </is>
      </c>
      <c r="R1074" t="inlineStr">
        <is>
          <t/>
        </is>
      </c>
      <c r="S1074" t="n">
        <v>0.0</v>
      </c>
      <c r="T1074" t="n">
        <v>0.0</v>
      </c>
      <c r="U1074" t="n">
        <v>0.0</v>
      </c>
      <c r="V1074" t="n">
        <v>0.0</v>
      </c>
      <c r="W1074" t="inlineStr">
        <is>
          <t/>
        </is>
      </c>
      <c r="X1074" t="n">
        <v>0.0</v>
      </c>
      <c r="Y1074" t="n">
        <v>0.0</v>
      </c>
      <c r="Z1074" t="n">
        <v>0.0</v>
      </c>
      <c r="AA1074" t="n">
        <v>0.0</v>
      </c>
      <c r="AB1074" t="n">
        <v>0.0</v>
      </c>
      <c r="AC1074" t="n">
        <v>0.0</v>
      </c>
      <c r="AD1074" t="n">
        <v>0.0</v>
      </c>
      <c r="AE1074" t="n">
        <v>0.0</v>
      </c>
      <c r="AF1074" t="n">
        <v>0.0</v>
      </c>
      <c r="AG1074" t="n">
        <v>0.0</v>
      </c>
      <c r="AH1074" t="n">
        <v>0.0</v>
      </c>
      <c r="AI1074" t="n">
        <v>0.0</v>
      </c>
      <c r="AJ1074" t="n">
        <v>0.0</v>
      </c>
      <c r="AK1074" t="inlineStr">
        <is>
          <t/>
        </is>
      </c>
      <c r="AL1074" t="inlineStr">
        <is>
          <t/>
        </is>
      </c>
    </row>
    <row r="1075">
      <c r="A1075" t="inlineStr">
        <is>
          <t>真别低估了100来块的购买力，够吃半个月了</t>
        </is>
      </c>
      <c r="B1075" t="inlineStr">
        <is>
          <t>6a22a7b600000000220211eb</t>
        </is>
      </c>
      <c r="C1075" s="1074" t="n">
        <f>HYPERLINK("https://www.xiaohongshu.com/explore/6a22a7b600000000220211eb?xsec_token=TBC-_2V2Jf8UHvhGX5sq95h2F8RPVzKlcpZ1YErpE3iGY=&amp;xsec_source=pc_trdark","https://www.xiaohongshu.com/explore/6a22a7b600000000220211eb?xsec_token=TBC-_2V2Jf8UHvhGX5sq95h2F8RPVzKlcpZ1YErpE3iGY=&amp;xsec_source=pc_trdark")</f>
        <v>0.0</v>
      </c>
      <c r="D1075" t="inlineStr">
        <is>
          <t>鲜水湾甄选</t>
        </is>
      </c>
      <c r="E1075" t="inlineStr">
        <is>
          <t>27401929161</t>
        </is>
      </c>
      <c r="F1075" t="inlineStr">
        <is>
          <t>2026-06-05 18:40:54</t>
        </is>
      </c>
      <c r="G1075" t="inlineStr">
        <is>
          <t>图文</t>
        </is>
      </c>
      <c r="H1075" t="inlineStr">
        <is>
          <t>手剥虾仁 无冰衣无添加 低脂餐一人食 上班带饭 顺丰包邮 5盒装</t>
        </is>
      </c>
      <c r="I1075" t="inlineStr">
        <is>
          <t>694baba01d450d00013662f0</t>
        </is>
      </c>
      <c r="J1075" t="inlineStr">
        <is>
          <t/>
        </is>
      </c>
      <c r="K1075" t="n">
        <v>0.0</v>
      </c>
      <c r="L1075" t="n">
        <v>0.0</v>
      </c>
      <c r="M1075" t="n">
        <v>0.0</v>
      </c>
      <c r="N1075" t="inlineStr">
        <is>
          <t/>
        </is>
      </c>
      <c r="O1075" t="n">
        <v>0.0</v>
      </c>
      <c r="P1075" t="n">
        <v>0.0</v>
      </c>
      <c r="Q1075" t="inlineStr">
        <is>
          <t/>
        </is>
      </c>
      <c r="R1075" t="inlineStr">
        <is>
          <t/>
        </is>
      </c>
      <c r="S1075" t="n">
        <v>0.0</v>
      </c>
      <c r="T1075" t="n">
        <v>0.0</v>
      </c>
      <c r="U1075" t="n">
        <v>0.0</v>
      </c>
      <c r="V1075" t="n">
        <v>0.0</v>
      </c>
      <c r="W1075" t="inlineStr">
        <is>
          <t/>
        </is>
      </c>
      <c r="X1075" t="n">
        <v>0.0</v>
      </c>
      <c r="Y1075" t="n">
        <v>0.0</v>
      </c>
      <c r="Z1075" t="n">
        <v>0.0</v>
      </c>
      <c r="AA1075" t="n">
        <v>0.0</v>
      </c>
      <c r="AB1075" t="n">
        <v>0.0</v>
      </c>
      <c r="AC1075" t="n">
        <v>0.0</v>
      </c>
      <c r="AD1075" t="n">
        <v>0.0</v>
      </c>
      <c r="AE1075" t="n">
        <v>0.0</v>
      </c>
      <c r="AF1075" t="n">
        <v>0.0</v>
      </c>
      <c r="AG1075" t="n">
        <v>0.0</v>
      </c>
      <c r="AH1075" t="n">
        <v>0.0</v>
      </c>
      <c r="AI1075" t="n">
        <v>0.0</v>
      </c>
      <c r="AJ1075" t="n">
        <v>0.0</v>
      </c>
      <c r="AK1075" t="inlineStr">
        <is>
          <t/>
        </is>
      </c>
      <c r="AL1075" t="inlineStr">
        <is>
          <t/>
        </is>
      </c>
    </row>
    <row r="1076">
      <c r="A1076" t="inlineStr">
        <is>
          <t>吃了半个多月的虾仁，发现才花了100多！！！</t>
        </is>
      </c>
      <c r="B1076" t="inlineStr">
        <is>
          <t>6a22a7a30000000021023fcd</t>
        </is>
      </c>
      <c r="C1076" s="1075" t="n">
        <f>HYPERLINK("https://www.xiaohongshu.com/explore/6a22a7a30000000021023fcd?xsec_token=TBC-_2V2Jf8UHvhGX5sq95h6Vadg4AA58EhKf-X--aig0=&amp;xsec_source=pc_trdark","https://www.xiaohongshu.com/explore/6a22a7a30000000021023fcd?xsec_token=TBC-_2V2Jf8UHvhGX5sq95h6Vadg4AA58EhKf-X--aig0=&amp;xsec_source=pc_trdark")</f>
        <v>0.0</v>
      </c>
      <c r="D1076" t="inlineStr">
        <is>
          <t>菲菲上班吃什么</t>
        </is>
      </c>
      <c r="E1076" t="inlineStr">
        <is>
          <t>49936530607</t>
        </is>
      </c>
      <c r="F1076" t="inlineStr">
        <is>
          <t>2026-06-05 20:40:00</t>
        </is>
      </c>
      <c r="G1076" t="inlineStr">
        <is>
          <t>图文</t>
        </is>
      </c>
      <c r="H1076" t="inlineStr">
        <is>
          <t>手剥虾仁 无冰衣无添加 低脂餐一人食 上班带饭 顺丰包邮 5盒装</t>
        </is>
      </c>
      <c r="I1076" t="inlineStr">
        <is>
          <t>694baba01d450d00013662f0</t>
        </is>
      </c>
      <c r="J1076" t="inlineStr">
        <is>
          <t/>
        </is>
      </c>
      <c r="K1076" t="n">
        <v>0.0</v>
      </c>
      <c r="L1076" t="n">
        <v>0.0</v>
      </c>
      <c r="M1076" t="n">
        <v>0.0</v>
      </c>
      <c r="N1076" t="inlineStr">
        <is>
          <t/>
        </is>
      </c>
      <c r="O1076" t="n">
        <v>0.0</v>
      </c>
      <c r="P1076" t="n">
        <v>0.0</v>
      </c>
      <c r="Q1076" t="inlineStr">
        <is>
          <t/>
        </is>
      </c>
      <c r="R1076" t="inlineStr">
        <is>
          <t/>
        </is>
      </c>
      <c r="S1076" t="n">
        <v>0.0</v>
      </c>
      <c r="T1076" t="n">
        <v>0.0</v>
      </c>
      <c r="U1076" t="n">
        <v>0.0</v>
      </c>
      <c r="V1076" t="n">
        <v>0.0</v>
      </c>
      <c r="W1076" t="inlineStr">
        <is>
          <t/>
        </is>
      </c>
      <c r="X1076" t="n">
        <v>0.0</v>
      </c>
      <c r="Y1076" t="n">
        <v>0.0</v>
      </c>
      <c r="Z1076" t="n">
        <v>0.0</v>
      </c>
      <c r="AA1076" t="n">
        <v>0.0</v>
      </c>
      <c r="AB1076" t="n">
        <v>0.0</v>
      </c>
      <c r="AC1076" t="n">
        <v>0.0</v>
      </c>
      <c r="AD1076" t="n">
        <v>0.0</v>
      </c>
      <c r="AE1076" t="n">
        <v>0.0</v>
      </c>
      <c r="AF1076" t="n">
        <v>0.0</v>
      </c>
      <c r="AG1076" t="n">
        <v>0.0</v>
      </c>
      <c r="AH1076" t="n">
        <v>0.0</v>
      </c>
      <c r="AI1076" t="n">
        <v>0.0</v>
      </c>
      <c r="AJ1076" t="n">
        <v>0.0</v>
      </c>
      <c r="AK1076" t="inlineStr">
        <is>
          <t/>
        </is>
      </c>
      <c r="AL1076" t="inlineStr">
        <is>
          <t/>
        </is>
      </c>
    </row>
    <row r="1077">
      <c r="A1077" t="inlineStr">
        <is>
          <t>算了，和你们点外卖的说不清楚……</t>
        </is>
      </c>
      <c r="B1077" t="inlineStr">
        <is>
          <t>6a22a799000000002100a964</t>
        </is>
      </c>
      <c r="C1077" s="1076" t="n">
        <f>HYPERLINK("https://www.xiaohongshu.com/explore/6a22a799000000002100a964?xsec_token=TBC-_2V2Jf8UHvhGX5sq95h_vWpH3zXOiQD5zGGpCNQPQ=&amp;xsec_source=pc_trdark","https://www.xiaohongshu.com/explore/6a22a799000000002100a964?xsec_token=TBC-_2V2Jf8UHvhGX5sq95h_vWpH3zXOiQD5zGGpCNQPQ=&amp;xsec_source=pc_trdark")</f>
        <v>0.0</v>
      </c>
      <c r="D1077" t="inlineStr">
        <is>
          <t>菲菲上班吃什么</t>
        </is>
      </c>
      <c r="E1077" t="inlineStr">
        <is>
          <t>49936530607</t>
        </is>
      </c>
      <c r="F1077" t="inlineStr">
        <is>
          <t>2026-06-05 19:40:00</t>
        </is>
      </c>
      <c r="G1077" t="inlineStr">
        <is>
          <t>图文</t>
        </is>
      </c>
      <c r="H1077" t="inlineStr">
        <is>
          <t>手剥虾仁 无冰衣无添加 低脂餐一人食 上班带饭 顺丰包邮 5盒装</t>
        </is>
      </c>
      <c r="I1077" t="inlineStr">
        <is>
          <t>694baba01d450d00013662f0</t>
        </is>
      </c>
      <c r="J1077" t="inlineStr">
        <is>
          <t/>
        </is>
      </c>
      <c r="K1077" t="n">
        <v>0.0</v>
      </c>
      <c r="L1077" t="n">
        <v>0.0</v>
      </c>
      <c r="M1077" t="n">
        <v>0.0</v>
      </c>
      <c r="N1077" t="inlineStr">
        <is>
          <t/>
        </is>
      </c>
      <c r="O1077" t="n">
        <v>0.0</v>
      </c>
      <c r="P1077" t="n">
        <v>0.0</v>
      </c>
      <c r="Q1077" t="inlineStr">
        <is>
          <t/>
        </is>
      </c>
      <c r="R1077" t="inlineStr">
        <is>
          <t/>
        </is>
      </c>
      <c r="S1077" t="n">
        <v>0.0</v>
      </c>
      <c r="T1077" t="n">
        <v>0.0</v>
      </c>
      <c r="U1077" t="n">
        <v>0.0</v>
      </c>
      <c r="V1077" t="n">
        <v>0.0</v>
      </c>
      <c r="W1077" t="inlineStr">
        <is>
          <t/>
        </is>
      </c>
      <c r="X1077" t="n">
        <v>0.0</v>
      </c>
      <c r="Y1077" t="n">
        <v>0.0</v>
      </c>
      <c r="Z1077" t="n">
        <v>0.0</v>
      </c>
      <c r="AA1077" t="n">
        <v>0.0</v>
      </c>
      <c r="AB1077" t="n">
        <v>0.0</v>
      </c>
      <c r="AC1077" t="n">
        <v>0.0</v>
      </c>
      <c r="AD1077" t="n">
        <v>0.0</v>
      </c>
      <c r="AE1077" t="n">
        <v>0.0</v>
      </c>
      <c r="AF1077" t="n">
        <v>0.0</v>
      </c>
      <c r="AG1077" t="n">
        <v>0.0</v>
      </c>
      <c r="AH1077" t="n">
        <v>0.0</v>
      </c>
      <c r="AI1077" t="n">
        <v>0.0</v>
      </c>
      <c r="AJ1077" t="n">
        <v>0.0</v>
      </c>
      <c r="AK1077" t="inlineStr">
        <is>
          <t/>
        </is>
      </c>
      <c r="AL1077" t="inlineStr">
        <is>
          <t/>
        </is>
      </c>
    </row>
    <row r="1078">
      <c r="A1078" t="inlineStr">
        <is>
          <t>区区69💰居然够我自律期吃一周了！！！</t>
        </is>
      </c>
      <c r="B1078" t="inlineStr">
        <is>
          <t>6a229e0c0000000007013d5b</t>
        </is>
      </c>
      <c r="C1078" s="1077" t="n">
        <f>HYPERLINK("https://www.xiaohongshu.com/explore/6a229e0c0000000007013d5b?xsec_token=TBC-_2V2Jf8UHvhGX5sq95h7WzoRVUtPiE91wCWUg75NQ=&amp;xsec_source=pc_trdark","https://www.xiaohongshu.com/explore/6a229e0c0000000007013d5b?xsec_token=TBC-_2V2Jf8UHvhGX5sq95h7WzoRVUtPiE91wCWUg75NQ=&amp;xsec_source=pc_trdark")</f>
        <v>0.0</v>
      </c>
      <c r="D1078" t="inlineStr">
        <is>
          <t>菲菲上班吃什么</t>
        </is>
      </c>
      <c r="E1078" t="inlineStr">
        <is>
          <t>49936530607</t>
        </is>
      </c>
      <c r="F1078" t="inlineStr">
        <is>
          <t>2026-06-05 17:59:41</t>
        </is>
      </c>
      <c r="G1078" t="inlineStr">
        <is>
          <t>图文</t>
        </is>
      </c>
      <c r="H1078" t="inlineStr">
        <is>
          <t>手剥虾仁 无冰衣无添加 低脂餐一人食 上班带饭 顺丰包邮 5盒装</t>
        </is>
      </c>
      <c r="I1078" t="inlineStr">
        <is>
          <t>694baba01d450d00013662f0</t>
        </is>
      </c>
      <c r="J1078" t="inlineStr">
        <is>
          <t/>
        </is>
      </c>
      <c r="K1078" t="n">
        <v>0.0</v>
      </c>
      <c r="L1078" t="n">
        <v>0.0</v>
      </c>
      <c r="M1078" t="n">
        <v>0.0</v>
      </c>
      <c r="N1078" t="inlineStr">
        <is>
          <t/>
        </is>
      </c>
      <c r="O1078" t="n">
        <v>0.0</v>
      </c>
      <c r="P1078" t="n">
        <v>0.0</v>
      </c>
      <c r="Q1078" t="inlineStr">
        <is>
          <t/>
        </is>
      </c>
      <c r="R1078" t="inlineStr">
        <is>
          <t/>
        </is>
      </c>
      <c r="S1078" t="n">
        <v>0.0</v>
      </c>
      <c r="T1078" t="n">
        <v>0.0</v>
      </c>
      <c r="U1078" t="n">
        <v>0.0</v>
      </c>
      <c r="V1078" t="n">
        <v>0.0</v>
      </c>
      <c r="W1078" t="inlineStr">
        <is>
          <t/>
        </is>
      </c>
      <c r="X1078" t="n">
        <v>0.0</v>
      </c>
      <c r="Y1078" t="n">
        <v>0.0</v>
      </c>
      <c r="Z1078" t="n">
        <v>0.0</v>
      </c>
      <c r="AA1078" t="n">
        <v>0.0</v>
      </c>
      <c r="AB1078" t="n">
        <v>0.0</v>
      </c>
      <c r="AC1078" t="n">
        <v>0.0</v>
      </c>
      <c r="AD1078" t="n">
        <v>0.0</v>
      </c>
      <c r="AE1078" t="n">
        <v>0.0</v>
      </c>
      <c r="AF1078" t="n">
        <v>0.0</v>
      </c>
      <c r="AG1078" t="n">
        <v>0.0</v>
      </c>
      <c r="AH1078" t="n">
        <v>0.0</v>
      </c>
      <c r="AI1078" t="n">
        <v>0.0</v>
      </c>
      <c r="AJ1078" t="n">
        <v>0.0</v>
      </c>
      <c r="AK1078" t="inlineStr">
        <is>
          <t/>
        </is>
      </c>
      <c r="AL1078" t="inlineStr">
        <is>
          <t/>
        </is>
      </c>
    </row>
    <row r="1079">
      <c r="A1079" t="inlineStr">
        <is>
          <t>同事总说我天天吃虾仁也太奢侈了……</t>
        </is>
      </c>
      <c r="B1079" t="inlineStr">
        <is>
          <t>6a228fd700000000360034b0</t>
        </is>
      </c>
      <c r="C1079" s="1078" t="n">
        <f>HYPERLINK("https://www.xiaohongshu.com/explore/6a228fd700000000360034b0?xsec_token=TBC-_2V2Jf8UHvhGX5sq95h2Z8C-wR_DSwKsERYfubjo0=&amp;xsec_source=pc_trdark","https://www.xiaohongshu.com/explore/6a228fd700000000360034b0?xsec_token=TBC-_2V2Jf8UHvhGX5sq95h2Z8C-wR_DSwKsERYfubjo0=&amp;xsec_source=pc_trdark")</f>
        <v>0.0</v>
      </c>
      <c r="D1079" t="inlineStr">
        <is>
          <t>鲜水湾甄选</t>
        </is>
      </c>
      <c r="E1079" t="inlineStr">
        <is>
          <t>27401929161</t>
        </is>
      </c>
      <c r="F1079" t="inlineStr">
        <is>
          <t>2026-06-05 16:59:03</t>
        </is>
      </c>
      <c r="G1079" t="inlineStr">
        <is>
          <t>图文</t>
        </is>
      </c>
      <c r="H1079" t="inlineStr">
        <is>
          <t>手剥虾仁 无冰衣无添加 低脂餐一人食 上班带饭 顺丰包邮 5盒装</t>
        </is>
      </c>
      <c r="I1079" t="inlineStr">
        <is>
          <t>694baba01d450d00013662f0</t>
        </is>
      </c>
      <c r="J1079" t="inlineStr">
        <is>
          <t/>
        </is>
      </c>
      <c r="K1079" t="n">
        <v>0.0</v>
      </c>
      <c r="L1079" t="n">
        <v>0.0</v>
      </c>
      <c r="M1079" t="n">
        <v>0.0</v>
      </c>
      <c r="N1079" t="inlineStr">
        <is>
          <t/>
        </is>
      </c>
      <c r="O1079" t="n">
        <v>0.0</v>
      </c>
      <c r="P1079" t="n">
        <v>0.0</v>
      </c>
      <c r="Q1079" t="inlineStr">
        <is>
          <t/>
        </is>
      </c>
      <c r="R1079" t="inlineStr">
        <is>
          <t/>
        </is>
      </c>
      <c r="S1079" t="n">
        <v>0.0</v>
      </c>
      <c r="T1079" t="n">
        <v>0.0</v>
      </c>
      <c r="U1079" t="n">
        <v>0.0</v>
      </c>
      <c r="V1079" t="n">
        <v>0.0</v>
      </c>
      <c r="W1079" t="inlineStr">
        <is>
          <t/>
        </is>
      </c>
      <c r="X1079" t="n">
        <v>0.0</v>
      </c>
      <c r="Y1079" t="n">
        <v>0.0</v>
      </c>
      <c r="Z1079" t="n">
        <v>0.0</v>
      </c>
      <c r="AA1079" t="n">
        <v>0.0</v>
      </c>
      <c r="AB1079" t="n">
        <v>0.0</v>
      </c>
      <c r="AC1079" t="n">
        <v>0.0</v>
      </c>
      <c r="AD1079" t="n">
        <v>0.0</v>
      </c>
      <c r="AE1079" t="n">
        <v>0.0</v>
      </c>
      <c r="AF1079" t="n">
        <v>0.0</v>
      </c>
      <c r="AG1079" t="n">
        <v>0.0</v>
      </c>
      <c r="AH1079" t="n">
        <v>0.0</v>
      </c>
      <c r="AI1079" t="n">
        <v>0.0</v>
      </c>
      <c r="AJ1079" t="n">
        <v>0.0</v>
      </c>
      <c r="AK1079" t="inlineStr">
        <is>
          <t/>
        </is>
      </c>
      <c r="AL1079" t="inlineStr">
        <is>
          <t/>
        </is>
      </c>
    </row>
    <row r="1080">
      <c r="A1080" t="inlineStr">
        <is>
          <t>以为 69 没多少，结果解决了我一周上班带饭</t>
        </is>
      </c>
      <c r="B1080" t="inlineStr">
        <is>
          <t>6a2273820000000022020762</t>
        </is>
      </c>
      <c r="C1080" s="1079" t="n">
        <f>HYPERLINK("https://www.xiaohongshu.com/explore/6a2273820000000022020762?xsec_token=TBC-_2V2Jf8UHvhGX5sq95hw939zQCEuz1DJlHuoWHv5s=&amp;xsec_source=pc_trdark","https://www.xiaohongshu.com/explore/6a2273820000000022020762?xsec_token=TBC-_2V2Jf8UHvhGX5sq95hw939zQCEuz1DJlHuoWHv5s=&amp;xsec_source=pc_trdark")</f>
        <v>0.0</v>
      </c>
      <c r="D1080" t="inlineStr">
        <is>
          <t>鲜水湾甄选</t>
        </is>
      </c>
      <c r="E1080" t="inlineStr">
        <is>
          <t>27401929161</t>
        </is>
      </c>
      <c r="F1080" t="inlineStr">
        <is>
          <t>2026-06-05 14:58:10</t>
        </is>
      </c>
      <c r="G1080" t="inlineStr">
        <is>
          <t>图文</t>
        </is>
      </c>
      <c r="H1080" t="inlineStr">
        <is>
          <t>手剥虾仁 无冰衣无添加 低脂餐一人食 上班带饭 顺丰包邮 5盒装</t>
        </is>
      </c>
      <c r="I1080" t="inlineStr">
        <is>
          <t>694baba01d450d00013662f0</t>
        </is>
      </c>
      <c r="J1080" t="inlineStr">
        <is>
          <t/>
        </is>
      </c>
      <c r="K1080" t="n">
        <v>0.0</v>
      </c>
      <c r="L1080" t="n">
        <v>0.0</v>
      </c>
      <c r="M1080" t="n">
        <v>0.0</v>
      </c>
      <c r="N1080" t="inlineStr">
        <is>
          <t/>
        </is>
      </c>
      <c r="O1080" t="n">
        <v>0.0</v>
      </c>
      <c r="P1080" t="n">
        <v>0.0</v>
      </c>
      <c r="Q1080" t="inlineStr">
        <is>
          <t/>
        </is>
      </c>
      <c r="R1080" t="inlineStr">
        <is>
          <t/>
        </is>
      </c>
      <c r="S1080" t="n">
        <v>0.0</v>
      </c>
      <c r="T1080" t="n">
        <v>0.0</v>
      </c>
      <c r="U1080" t="n">
        <v>0.0</v>
      </c>
      <c r="V1080" t="n">
        <v>0.0</v>
      </c>
      <c r="W1080" t="inlineStr">
        <is>
          <t/>
        </is>
      </c>
      <c r="X1080" t="n">
        <v>0.0</v>
      </c>
      <c r="Y1080" t="n">
        <v>0.0</v>
      </c>
      <c r="Z1080" t="n">
        <v>0.0</v>
      </c>
      <c r="AA1080" t="n">
        <v>0.0</v>
      </c>
      <c r="AB1080" t="n">
        <v>0.0</v>
      </c>
      <c r="AC1080" t="n">
        <v>0.0</v>
      </c>
      <c r="AD1080" t="n">
        <v>0.0</v>
      </c>
      <c r="AE1080" t="n">
        <v>0.0</v>
      </c>
      <c r="AF1080" t="n">
        <v>0.0</v>
      </c>
      <c r="AG1080" t="n">
        <v>0.0</v>
      </c>
      <c r="AH1080" t="n">
        <v>0.0</v>
      </c>
      <c r="AI1080" t="n">
        <v>0.0</v>
      </c>
      <c r="AJ1080" t="n">
        <v>0.0</v>
      </c>
      <c r="AK1080" t="inlineStr">
        <is>
          <t/>
        </is>
      </c>
      <c r="AL1080" t="inlineStr">
        <is>
          <t/>
        </is>
      </c>
    </row>
    <row r="1081">
      <c r="A1081" t="inlineStr">
        <is>
          <t>我宣布这个是减脂期买过坠成功的虾仁！！！</t>
        </is>
      </c>
      <c r="B1081" t="inlineStr">
        <is>
          <t>6a22434b000000002202b4b4</t>
        </is>
      </c>
      <c r="C1081" s="1080" t="n">
        <f>HYPERLINK("https://www.xiaohongshu.com/explore/6a22434b000000002202b4b4?xsec_token=TBC-_2V2Jf8UHvhGX5sq95h3bkZJDDyb8IGPnowWV6xlo=&amp;xsec_source=pc_trdark","https://www.xiaohongshu.com/explore/6a22434b000000002202b4b4?xsec_token=TBC-_2V2Jf8UHvhGX5sq95h3bkZJDDyb8IGPnowWV6xlo=&amp;xsec_source=pc_trdark")</f>
        <v>0.0</v>
      </c>
      <c r="D1081" t="inlineStr">
        <is>
          <t>鲜水湾甄选</t>
        </is>
      </c>
      <c r="E1081" t="inlineStr">
        <is>
          <t>27401929161</t>
        </is>
      </c>
      <c r="F1081" t="inlineStr">
        <is>
          <t>2026-06-05 11:32:27</t>
        </is>
      </c>
      <c r="G1081" t="inlineStr">
        <is>
          <t>图文</t>
        </is>
      </c>
      <c r="H1081" t="inlineStr">
        <is>
          <t>手剥虾仁 无冰衣无添加 低脂餐一人食 上班带饭 顺丰包邮 5盒装</t>
        </is>
      </c>
      <c r="I1081" t="inlineStr">
        <is>
          <t>694baba01d450d00013662f0</t>
        </is>
      </c>
      <c r="J1081" t="inlineStr">
        <is>
          <t/>
        </is>
      </c>
      <c r="K1081" t="n">
        <v>0.0</v>
      </c>
      <c r="L1081" t="n">
        <v>0.0</v>
      </c>
      <c r="M1081" t="n">
        <v>0.0</v>
      </c>
      <c r="N1081" t="inlineStr">
        <is>
          <t/>
        </is>
      </c>
      <c r="O1081" t="n">
        <v>0.0</v>
      </c>
      <c r="P1081" t="n">
        <v>0.0</v>
      </c>
      <c r="Q1081" t="inlineStr">
        <is>
          <t/>
        </is>
      </c>
      <c r="R1081" t="inlineStr">
        <is>
          <t/>
        </is>
      </c>
      <c r="S1081" t="n">
        <v>0.0</v>
      </c>
      <c r="T1081" t="n">
        <v>0.0</v>
      </c>
      <c r="U1081" t="n">
        <v>0.0</v>
      </c>
      <c r="V1081" t="n">
        <v>0.0</v>
      </c>
      <c r="W1081" t="inlineStr">
        <is>
          <t/>
        </is>
      </c>
      <c r="X1081" t="n">
        <v>0.0</v>
      </c>
      <c r="Y1081" t="n">
        <v>0.0</v>
      </c>
      <c r="Z1081" t="n">
        <v>0.0</v>
      </c>
      <c r="AA1081" t="n">
        <v>0.0</v>
      </c>
      <c r="AB1081" t="n">
        <v>0.0</v>
      </c>
      <c r="AC1081" t="n">
        <v>0.0</v>
      </c>
      <c r="AD1081" t="n">
        <v>0.0</v>
      </c>
      <c r="AE1081" t="n">
        <v>0.0</v>
      </c>
      <c r="AF1081" t="n">
        <v>0.0</v>
      </c>
      <c r="AG1081" t="n">
        <v>0.0</v>
      </c>
      <c r="AH1081" t="n">
        <v>0.0</v>
      </c>
      <c r="AI1081" t="n">
        <v>0.0</v>
      </c>
      <c r="AJ1081" t="n">
        <v>0.0</v>
      </c>
      <c r="AK1081" t="inlineStr">
        <is>
          <t/>
        </is>
      </c>
      <c r="AL1081" t="inlineStr">
        <is>
          <t/>
        </is>
      </c>
    </row>
    <row r="1082">
      <c r="A1082" t="inlineStr">
        <is>
          <t>小红书66周年庆，整条三文鱼满300-30真香</t>
        </is>
      </c>
      <c r="B1082" t="inlineStr">
        <is>
          <t>6a222d8400000000070122f6</t>
        </is>
      </c>
      <c r="C1082" s="1081" t="n">
        <f>HYPERLINK("https://www.xiaohongshu.com/explore/6a222d8400000000070122f6?xsec_token=TBC-_2V2Jf8UHvhGX5sq95hyQqVvCRSJxFsQpAB0BJTI4=&amp;xsec_source=pc_trdark","https://www.xiaohongshu.com/explore/6a222d8400000000070122f6?xsec_token=TBC-_2V2Jf8UHvhGX5sq95hyQqVvCRSJxFsQpAB0BJTI4=&amp;xsec_source=pc_trdark")</f>
        <v>0.0</v>
      </c>
      <c r="D1082" t="inlineStr">
        <is>
          <t>鲜水湾</t>
        </is>
      </c>
      <c r="E1082" t="inlineStr">
        <is>
          <t>49316638994</t>
        </is>
      </c>
      <c r="F1082" t="inlineStr">
        <is>
          <t>2026-06-05 09:59:32</t>
        </is>
      </c>
      <c r="G1082" t="inlineStr">
        <is>
          <t>图文</t>
        </is>
      </c>
      <c r="H1082" t="inlineStr">
        <is>
          <t>智利三文鱼切块·整条三文鱼·深海鱼一人食健康饮食</t>
        </is>
      </c>
      <c r="I1082" t="inlineStr">
        <is>
          <t>691ac562a524ee0001b51d7b</t>
        </is>
      </c>
      <c r="J1082" t="inlineStr">
        <is>
          <t/>
        </is>
      </c>
      <c r="K1082" t="n">
        <v>0.0</v>
      </c>
      <c r="L1082" t="n">
        <v>0.0</v>
      </c>
      <c r="M1082" t="n">
        <v>0.0</v>
      </c>
      <c r="N1082" t="inlineStr">
        <is>
          <t/>
        </is>
      </c>
      <c r="O1082" t="n">
        <v>0.0</v>
      </c>
      <c r="P1082" t="n">
        <v>0.0</v>
      </c>
      <c r="Q1082" t="inlineStr">
        <is>
          <t/>
        </is>
      </c>
      <c r="R1082" t="inlineStr">
        <is>
          <t/>
        </is>
      </c>
      <c r="S1082" t="n">
        <v>0.0</v>
      </c>
      <c r="T1082" t="n">
        <v>0.0</v>
      </c>
      <c r="U1082" t="n">
        <v>0.0</v>
      </c>
      <c r="V1082" t="n">
        <v>0.0</v>
      </c>
      <c r="W1082" t="inlineStr">
        <is>
          <t/>
        </is>
      </c>
      <c r="X1082" t="n">
        <v>0.0</v>
      </c>
      <c r="Y1082" t="n">
        <v>0.0</v>
      </c>
      <c r="Z1082" t="n">
        <v>0.0</v>
      </c>
      <c r="AA1082" t="n">
        <v>0.0</v>
      </c>
      <c r="AB1082" t="n">
        <v>0.0</v>
      </c>
      <c r="AC1082" t="n">
        <v>0.0</v>
      </c>
      <c r="AD1082" t="n">
        <v>0.0</v>
      </c>
      <c r="AE1082" t="n">
        <v>0.0</v>
      </c>
      <c r="AF1082" t="n">
        <v>0.0</v>
      </c>
      <c r="AG1082" t="n">
        <v>0.0</v>
      </c>
      <c r="AH1082" t="n">
        <v>0.0</v>
      </c>
      <c r="AI1082" t="n">
        <v>0.0</v>
      </c>
      <c r="AJ1082" t="n">
        <v>0.0</v>
      </c>
      <c r="AK1082" t="inlineStr">
        <is>
          <t/>
        </is>
      </c>
      <c r="AL1082" t="inlineStr">
        <is>
          <t/>
        </is>
      </c>
    </row>
    <row r="1083">
      <c r="A1083" t="inlineStr">
        <is>
          <t>为了夏天穿吊带，我先戒外卖了……</t>
        </is>
      </c>
      <c r="B1083" t="inlineStr">
        <is>
          <t>6a217a1e000000003503b5c9</t>
        </is>
      </c>
      <c r="C1083" s="1082" t="n">
        <f>HYPERLINK("https://www.xiaohongshu.com/explore/6a217a1e000000003503b5c9?xsec_token=TBruDoYqydt0gOAY-R5iHU24JtgEkk2l0xgHahVKmDWJ8=&amp;xsec_source=pc_trdark","https://www.xiaohongshu.com/explore/6a217a1e000000003503b5c9?xsec_token=TBruDoYqydt0gOAY-R5iHU24JtgEkk2l0xgHahVKmDWJ8=&amp;xsec_source=pc_trdark")</f>
        <v>0.0</v>
      </c>
      <c r="D1083" t="inlineStr">
        <is>
          <t>鲜水湾甄选</t>
        </is>
      </c>
      <c r="E1083" t="inlineStr">
        <is>
          <t>27401929161</t>
        </is>
      </c>
      <c r="F1083" t="inlineStr">
        <is>
          <t>2026-06-04 21:14:06</t>
        </is>
      </c>
      <c r="G1083" t="inlineStr">
        <is>
          <t>图文</t>
        </is>
      </c>
      <c r="H1083" t="inlineStr">
        <is>
          <t>手剥虾仁 无冰衣无添加 低脂餐一人食 上班带饭 顺丰包邮 5盒装</t>
        </is>
      </c>
      <c r="I1083" t="inlineStr">
        <is>
          <t>694baba01d450d00013662f0</t>
        </is>
      </c>
      <c r="J1083" t="inlineStr">
        <is>
          <t/>
        </is>
      </c>
      <c r="K1083" t="n">
        <v>0.0</v>
      </c>
      <c r="L1083" t="n">
        <v>0.0</v>
      </c>
      <c r="M1083" t="n">
        <v>0.0</v>
      </c>
      <c r="N1083" t="inlineStr">
        <is>
          <t/>
        </is>
      </c>
      <c r="O1083" t="n">
        <v>0.0</v>
      </c>
      <c r="P1083" t="n">
        <v>0.0</v>
      </c>
      <c r="Q1083" t="inlineStr">
        <is>
          <t/>
        </is>
      </c>
      <c r="R1083" t="inlineStr">
        <is>
          <t/>
        </is>
      </c>
      <c r="S1083" t="n">
        <v>0.0</v>
      </c>
      <c r="T1083" t="n">
        <v>0.0</v>
      </c>
      <c r="U1083" t="n">
        <v>0.0</v>
      </c>
      <c r="V1083" t="n">
        <v>0.0</v>
      </c>
      <c r="W1083" t="inlineStr">
        <is>
          <t/>
        </is>
      </c>
      <c r="X1083" t="n">
        <v>0.0</v>
      </c>
      <c r="Y1083" t="n">
        <v>0.0</v>
      </c>
      <c r="Z1083" t="n">
        <v>0.0</v>
      </c>
      <c r="AA1083" t="n">
        <v>0.0</v>
      </c>
      <c r="AB1083" t="n">
        <v>0.0</v>
      </c>
      <c r="AC1083" t="n">
        <v>0.0</v>
      </c>
      <c r="AD1083" t="n">
        <v>0.0</v>
      </c>
      <c r="AE1083" t="n">
        <v>0.0</v>
      </c>
      <c r="AF1083" t="n">
        <v>0.0</v>
      </c>
      <c r="AG1083" t="n">
        <v>0.0</v>
      </c>
      <c r="AH1083" t="n">
        <v>0.0</v>
      </c>
      <c r="AI1083" t="n">
        <v>0.0</v>
      </c>
      <c r="AJ1083" t="n">
        <v>0.0</v>
      </c>
      <c r="AK1083" t="inlineStr">
        <is>
          <t/>
        </is>
      </c>
      <c r="AL1083" t="inlineStr">
        <is>
          <t/>
        </is>
      </c>
    </row>
    <row r="1084">
      <c r="A1084" t="inlineStr">
        <is>
          <t>69真的够我吃一周减脂餐……</t>
        </is>
      </c>
      <c r="B1084" t="inlineStr">
        <is>
          <t>6a2177fe00000000060345b6</t>
        </is>
      </c>
      <c r="C1084" s="1083" t="n">
        <f>HYPERLINK("https://www.xiaohongshu.com/explore/6a2177fe00000000060345b6?xsec_token=TBruDoYqydt0gOAY-R5iHU25YyZSVjag3gSIH2HtM4jE8=&amp;xsec_source=pc_trdark","https://www.xiaohongshu.com/explore/6a2177fe00000000060345b6?xsec_token=TBruDoYqydt0gOAY-R5iHU25YyZSVjag3gSIH2HtM4jE8=&amp;xsec_source=pc_trdark")</f>
        <v>0.0</v>
      </c>
      <c r="D1084" t="inlineStr">
        <is>
          <t>菲菲上班吃什么</t>
        </is>
      </c>
      <c r="E1084" t="inlineStr">
        <is>
          <t>49936530607</t>
        </is>
      </c>
      <c r="F1084" t="inlineStr">
        <is>
          <t>2026-06-04 21:05:02</t>
        </is>
      </c>
      <c r="G1084" t="inlineStr">
        <is>
          <t>图文</t>
        </is>
      </c>
      <c r="H1084" t="inlineStr">
        <is>
          <t>手剥虾仁 无冰衣无添加 低脂餐一人食 上班带饭 顺丰包邮 5盒装</t>
        </is>
      </c>
      <c r="I1084" t="inlineStr">
        <is>
          <t>694baba01d450d00013662f0</t>
        </is>
      </c>
      <c r="J1084" t="inlineStr">
        <is>
          <t/>
        </is>
      </c>
      <c r="K1084" t="n">
        <v>0.0</v>
      </c>
      <c r="L1084" t="n">
        <v>0.0</v>
      </c>
      <c r="M1084" t="n">
        <v>0.0</v>
      </c>
      <c r="N1084" t="inlineStr">
        <is>
          <t/>
        </is>
      </c>
      <c r="O1084" t="n">
        <v>0.0</v>
      </c>
      <c r="P1084" t="n">
        <v>0.0</v>
      </c>
      <c r="Q1084" t="inlineStr">
        <is>
          <t/>
        </is>
      </c>
      <c r="R1084" t="inlineStr">
        <is>
          <t/>
        </is>
      </c>
      <c r="S1084" t="n">
        <v>0.0</v>
      </c>
      <c r="T1084" t="n">
        <v>0.0</v>
      </c>
      <c r="U1084" t="n">
        <v>0.0</v>
      </c>
      <c r="V1084" t="n">
        <v>0.0</v>
      </c>
      <c r="W1084" t="inlineStr">
        <is>
          <t/>
        </is>
      </c>
      <c r="X1084" t="n">
        <v>0.0</v>
      </c>
      <c r="Y1084" t="n">
        <v>0.0</v>
      </c>
      <c r="Z1084" t="n">
        <v>0.0</v>
      </c>
      <c r="AA1084" t="n">
        <v>0.0</v>
      </c>
      <c r="AB1084" t="n">
        <v>0.0</v>
      </c>
      <c r="AC1084" t="n">
        <v>0.0</v>
      </c>
      <c r="AD1084" t="n">
        <v>0.0</v>
      </c>
      <c r="AE1084" t="n">
        <v>0.0</v>
      </c>
      <c r="AF1084" t="n">
        <v>0.0</v>
      </c>
      <c r="AG1084" t="n">
        <v>0.0</v>
      </c>
      <c r="AH1084" t="n">
        <v>0.0</v>
      </c>
      <c r="AI1084" t="n">
        <v>0.0</v>
      </c>
      <c r="AJ1084" t="n">
        <v>0.0</v>
      </c>
      <c r="AK1084" t="inlineStr">
        <is>
          <t/>
        </is>
      </c>
      <c r="AL1084" t="inlineStr">
        <is>
          <t/>
        </is>
      </c>
    </row>
    <row r="1085">
      <c r="A1085" t="inlineStr">
        <is>
          <t>谁懂啊，减脂期真的离不开小包装虾仁…</t>
        </is>
      </c>
      <c r="B1085" t="inlineStr">
        <is>
          <t>6a2170cd0000000006036fa1</t>
        </is>
      </c>
      <c r="C1085" s="1084" t="n">
        <f>HYPERLINK("https://www.xiaohongshu.com/explore/6a2170cd0000000006036fa1?xsec_token=TBruDoYqydt0gOAY-R5iHU25gKFxi5HNXiFFdt4L5FYwQ=&amp;xsec_source=pc_trdark","https://www.xiaohongshu.com/explore/6a2170cd0000000006036fa1?xsec_token=TBruDoYqydt0gOAY-R5iHU25gKFxi5HNXiFFdt4L5FYwQ=&amp;xsec_source=pc_trdark")</f>
        <v>0.0</v>
      </c>
      <c r="D1085" t="inlineStr">
        <is>
          <t>菲菲上班吃什么</t>
        </is>
      </c>
      <c r="E1085" t="inlineStr">
        <is>
          <t>49936530607</t>
        </is>
      </c>
      <c r="F1085" t="inlineStr">
        <is>
          <t>2026-06-04 20:34:21</t>
        </is>
      </c>
      <c r="G1085" t="inlineStr">
        <is>
          <t>图文</t>
        </is>
      </c>
      <c r="H1085" t="inlineStr">
        <is>
          <t>手剥虾仁 无冰衣无添加 低脂餐一人食 上班带饭 顺丰包邮 5盒装</t>
        </is>
      </c>
      <c r="I1085" t="inlineStr">
        <is>
          <t>694baba01d450d00013662f0</t>
        </is>
      </c>
      <c r="J1085" t="inlineStr">
        <is>
          <t/>
        </is>
      </c>
      <c r="K1085" t="n">
        <v>0.0</v>
      </c>
      <c r="L1085" t="n">
        <v>0.0</v>
      </c>
      <c r="M1085" t="n">
        <v>0.0</v>
      </c>
      <c r="N1085" t="inlineStr">
        <is>
          <t/>
        </is>
      </c>
      <c r="O1085" t="n">
        <v>0.0</v>
      </c>
      <c r="P1085" t="n">
        <v>0.0</v>
      </c>
      <c r="Q1085" t="inlineStr">
        <is>
          <t/>
        </is>
      </c>
      <c r="R1085" t="inlineStr">
        <is>
          <t/>
        </is>
      </c>
      <c r="S1085" t="n">
        <v>0.0</v>
      </c>
      <c r="T1085" t="n">
        <v>0.0</v>
      </c>
      <c r="U1085" t="n">
        <v>0.0</v>
      </c>
      <c r="V1085" t="n">
        <v>0.0</v>
      </c>
      <c r="W1085" t="inlineStr">
        <is>
          <t/>
        </is>
      </c>
      <c r="X1085" t="n">
        <v>0.0</v>
      </c>
      <c r="Y1085" t="n">
        <v>0.0</v>
      </c>
      <c r="Z1085" t="n">
        <v>0.0</v>
      </c>
      <c r="AA1085" t="n">
        <v>0.0</v>
      </c>
      <c r="AB1085" t="n">
        <v>0.0</v>
      </c>
      <c r="AC1085" t="n">
        <v>0.0</v>
      </c>
      <c r="AD1085" t="n">
        <v>0.0</v>
      </c>
      <c r="AE1085" t="n">
        <v>0.0</v>
      </c>
      <c r="AF1085" t="n">
        <v>0.0</v>
      </c>
      <c r="AG1085" t="n">
        <v>0.0</v>
      </c>
      <c r="AH1085" t="n">
        <v>0.0</v>
      </c>
      <c r="AI1085" t="n">
        <v>0.0</v>
      </c>
      <c r="AJ1085" t="n">
        <v>0.0</v>
      </c>
      <c r="AK1085" t="inlineStr">
        <is>
          <t/>
        </is>
      </c>
      <c r="AL1085" t="inlineStr">
        <is>
          <t/>
        </is>
      </c>
    </row>
    <row r="1086">
      <c r="A1086" t="inlineStr">
        <is>
          <t>减脂期，独居一人食安全感来自冰箱……</t>
        </is>
      </c>
      <c r="B1086" t="inlineStr">
        <is>
          <t>6a2168770000000035029f58</t>
        </is>
      </c>
      <c r="C1086" s="1085" t="n">
        <f>HYPERLINK("https://www.xiaohongshu.com/explore/6a2168770000000035029f58?xsec_token=TBruDoYqydt0gOAY-R5iHU2wAG_n1qtkKTM-H_wU_dRo4=&amp;xsec_source=pc_trdark","https://www.xiaohongshu.com/explore/6a2168770000000035029f58?xsec_token=TBruDoYqydt0gOAY-R5iHU2wAG_n1qtkKTM-H_wU_dRo4=&amp;xsec_source=pc_trdark")</f>
        <v>0.0</v>
      </c>
      <c r="D1086" t="inlineStr">
        <is>
          <t>鲜水湾甄选</t>
        </is>
      </c>
      <c r="E1086" t="inlineStr">
        <is>
          <t>27401929161</t>
        </is>
      </c>
      <c r="F1086" t="inlineStr">
        <is>
          <t>2026-06-04 19:58:47</t>
        </is>
      </c>
      <c r="G1086" t="inlineStr">
        <is>
          <t>图文</t>
        </is>
      </c>
      <c r="H1086" t="inlineStr">
        <is>
          <t>手剥虾仁 无冰衣无添加 低脂餐一人食 上班带饭 顺丰包邮 5盒装</t>
        </is>
      </c>
      <c r="I1086" t="inlineStr">
        <is>
          <t>694baba01d450d00013662f0</t>
        </is>
      </c>
      <c r="J1086" t="inlineStr">
        <is>
          <t/>
        </is>
      </c>
      <c r="K1086" t="n">
        <v>0.0</v>
      </c>
      <c r="L1086" t="n">
        <v>0.0</v>
      </c>
      <c r="M1086" t="n">
        <v>0.0</v>
      </c>
      <c r="N1086" t="inlineStr">
        <is>
          <t/>
        </is>
      </c>
      <c r="O1086" t="n">
        <v>0.0</v>
      </c>
      <c r="P1086" t="n">
        <v>0.0</v>
      </c>
      <c r="Q1086" t="inlineStr">
        <is>
          <t/>
        </is>
      </c>
      <c r="R1086" t="inlineStr">
        <is>
          <t/>
        </is>
      </c>
      <c r="S1086" t="n">
        <v>0.0</v>
      </c>
      <c r="T1086" t="n">
        <v>0.0</v>
      </c>
      <c r="U1086" t="n">
        <v>0.0</v>
      </c>
      <c r="V1086" t="n">
        <v>0.0</v>
      </c>
      <c r="W1086" t="inlineStr">
        <is>
          <t/>
        </is>
      </c>
      <c r="X1086" t="n">
        <v>0.0</v>
      </c>
      <c r="Y1086" t="n">
        <v>0.0</v>
      </c>
      <c r="Z1086" t="n">
        <v>0.0</v>
      </c>
      <c r="AA1086" t="n">
        <v>0.0</v>
      </c>
      <c r="AB1086" t="n">
        <v>0.0</v>
      </c>
      <c r="AC1086" t="n">
        <v>0.0</v>
      </c>
      <c r="AD1086" t="n">
        <v>0.0</v>
      </c>
      <c r="AE1086" t="n">
        <v>0.0</v>
      </c>
      <c r="AF1086" t="n">
        <v>0.0</v>
      </c>
      <c r="AG1086" t="n">
        <v>0.0</v>
      </c>
      <c r="AH1086" t="n">
        <v>0.0</v>
      </c>
      <c r="AI1086" t="n">
        <v>0.0</v>
      </c>
      <c r="AJ1086" t="n">
        <v>0.0</v>
      </c>
      <c r="AK1086" t="inlineStr">
        <is>
          <t/>
        </is>
      </c>
      <c r="AL1086" t="inlineStr">
        <is>
          <t/>
        </is>
      </c>
    </row>
    <row r="1087">
      <c r="A1087" t="inlineStr">
        <is>
          <t>多亏了这虾仁，夏天前的控体KPI提前完成…</t>
        </is>
      </c>
      <c r="B1087" t="inlineStr">
        <is>
          <t>6a211d6500000000080248cf</t>
        </is>
      </c>
      <c r="C1087" s="1086" t="n">
        <f>HYPERLINK("https://www.xiaohongshu.com/explore/6a211d6500000000080248cf?xsec_token=TBruDoYqydt0gOAY-R5iHU2-518oOv_VrAKnzDcQAzWU4=&amp;xsec_source=pc_trdark","https://www.xiaohongshu.com/explore/6a211d6500000000080248cf?xsec_token=TBruDoYqydt0gOAY-R5iHU2-518oOv_VrAKnzDcQAzWU4=&amp;xsec_source=pc_trdark")</f>
        <v>0.0</v>
      </c>
      <c r="D1087" t="inlineStr">
        <is>
          <t>菲菲上班吃什么</t>
        </is>
      </c>
      <c r="E1087" t="inlineStr">
        <is>
          <t>49936530607</t>
        </is>
      </c>
      <c r="F1087" t="inlineStr">
        <is>
          <t>2026-06-04 14:38:29</t>
        </is>
      </c>
      <c r="G1087" t="inlineStr">
        <is>
          <t>图文</t>
        </is>
      </c>
      <c r="H1087" t="inlineStr">
        <is>
          <t>手剥虾仁 无冰衣无添加 低脂餐一人食 上班带饭 顺丰包邮 5盒装</t>
        </is>
      </c>
      <c r="I1087" t="inlineStr">
        <is>
          <t>694baba01d450d00013662f0</t>
        </is>
      </c>
      <c r="J1087" t="inlineStr">
        <is>
          <t/>
        </is>
      </c>
      <c r="K1087" t="n">
        <v>0.0</v>
      </c>
      <c r="L1087" t="n">
        <v>0.0</v>
      </c>
      <c r="M1087" t="n">
        <v>0.0</v>
      </c>
      <c r="N1087" t="inlineStr">
        <is>
          <t/>
        </is>
      </c>
      <c r="O1087" t="n">
        <v>0.0</v>
      </c>
      <c r="P1087" t="n">
        <v>0.0</v>
      </c>
      <c r="Q1087" t="inlineStr">
        <is>
          <t/>
        </is>
      </c>
      <c r="R1087" t="inlineStr">
        <is>
          <t/>
        </is>
      </c>
      <c r="S1087" t="n">
        <v>0.0</v>
      </c>
      <c r="T1087" t="n">
        <v>0.0</v>
      </c>
      <c r="U1087" t="n">
        <v>0.0</v>
      </c>
      <c r="V1087" t="n">
        <v>0.0</v>
      </c>
      <c r="W1087" t="inlineStr">
        <is>
          <t/>
        </is>
      </c>
      <c r="X1087" t="n">
        <v>0.0</v>
      </c>
      <c r="Y1087" t="n">
        <v>0.0</v>
      </c>
      <c r="Z1087" t="n">
        <v>0.0</v>
      </c>
      <c r="AA1087" t="n">
        <v>0.0</v>
      </c>
      <c r="AB1087" t="n">
        <v>0.0</v>
      </c>
      <c r="AC1087" t="n">
        <v>0.0</v>
      </c>
      <c r="AD1087" t="n">
        <v>0.0</v>
      </c>
      <c r="AE1087" t="n">
        <v>0.0</v>
      </c>
      <c r="AF1087" t="n">
        <v>0.0</v>
      </c>
      <c r="AG1087" t="n">
        <v>0.0</v>
      </c>
      <c r="AH1087" t="n">
        <v>0.0</v>
      </c>
      <c r="AI1087" t="n">
        <v>0.0</v>
      </c>
      <c r="AJ1087" t="n">
        <v>0.0</v>
      </c>
      <c r="AK1087" t="inlineStr">
        <is>
          <t/>
        </is>
      </c>
      <c r="AL1087" t="inlineStr">
        <is>
          <t/>
        </is>
      </c>
    </row>
    <row r="1088">
      <c r="A1088" t="inlineStr">
        <is>
          <t>夏日减脂真不贵，69承包我一周减脂餐！！！！</t>
        </is>
      </c>
      <c r="B1088" t="inlineStr">
        <is>
          <t>6a20f00f00000000060226a5</t>
        </is>
      </c>
      <c r="C1088" s="1087" t="n">
        <f>HYPERLINK("https://www.xiaohongshu.com/explore/6a20f00f00000000060226a5?xsec_token=TBZaEUoTZZZ466F90Rpl7uk1TLKC3ykw0KVOsWgT3BIfM=&amp;xsec_source=pc_trdark","https://www.xiaohongshu.com/explore/6a20f00f00000000060226a5?xsec_token=TBZaEUoTZZZ466F90Rpl7uk1TLKC3ykw0KVOsWgT3BIfM=&amp;xsec_source=pc_trdark")</f>
        <v>0.0</v>
      </c>
      <c r="D1088" t="inlineStr">
        <is>
          <t>菲菲上班吃什么</t>
        </is>
      </c>
      <c r="E1088" t="inlineStr">
        <is>
          <t>49936530607</t>
        </is>
      </c>
      <c r="F1088" t="inlineStr">
        <is>
          <t>2026-06-04 11:25:03</t>
        </is>
      </c>
      <c r="G1088" t="inlineStr">
        <is>
          <t>图文</t>
        </is>
      </c>
      <c r="H1088" t="inlineStr">
        <is>
          <t>手剥虾仁 无冰衣无添加 低脂餐一人食 上班带饭 顺丰包邮 5盒装</t>
        </is>
      </c>
      <c r="I1088" t="inlineStr">
        <is>
          <t>694baba01d450d00013662f0</t>
        </is>
      </c>
      <c r="J1088" t="inlineStr">
        <is>
          <t/>
        </is>
      </c>
      <c r="K1088" t="n">
        <v>0.0</v>
      </c>
      <c r="L1088" t="n">
        <v>0.0</v>
      </c>
      <c r="M1088" t="n">
        <v>0.0</v>
      </c>
      <c r="N1088" t="inlineStr">
        <is>
          <t/>
        </is>
      </c>
      <c r="O1088" t="n">
        <v>0.0</v>
      </c>
      <c r="P1088" t="n">
        <v>0.0</v>
      </c>
      <c r="Q1088" t="inlineStr">
        <is>
          <t/>
        </is>
      </c>
      <c r="R1088" t="inlineStr">
        <is>
          <t/>
        </is>
      </c>
      <c r="S1088" t="n">
        <v>0.0</v>
      </c>
      <c r="T1088" t="n">
        <v>0.0</v>
      </c>
      <c r="U1088" t="n">
        <v>0.0</v>
      </c>
      <c r="V1088" t="n">
        <v>0.0</v>
      </c>
      <c r="W1088" t="inlineStr">
        <is>
          <t/>
        </is>
      </c>
      <c r="X1088" t="n">
        <v>0.0</v>
      </c>
      <c r="Y1088" t="n">
        <v>0.0</v>
      </c>
      <c r="Z1088" t="n">
        <v>0.0</v>
      </c>
      <c r="AA1088" t="n">
        <v>0.0</v>
      </c>
      <c r="AB1088" t="n">
        <v>0.0</v>
      </c>
      <c r="AC1088" t="n">
        <v>0.0</v>
      </c>
      <c r="AD1088" t="n">
        <v>0.0</v>
      </c>
      <c r="AE1088" t="n">
        <v>0.0</v>
      </c>
      <c r="AF1088" t="n">
        <v>0.0</v>
      </c>
      <c r="AG1088" t="n">
        <v>0.0</v>
      </c>
      <c r="AH1088" t="n">
        <v>0.0</v>
      </c>
      <c r="AI1088" t="n">
        <v>0.0</v>
      </c>
      <c r="AJ1088" t="n">
        <v>0.0</v>
      </c>
      <c r="AK1088" t="inlineStr">
        <is>
          <t/>
        </is>
      </c>
      <c r="AL1088" t="inlineStr">
        <is>
          <t/>
        </is>
      </c>
    </row>
    <row r="1089">
      <c r="A1089" t="inlineStr">
        <is>
          <t>减脂期！！你们吃虾仁的嘴真严啊！！！</t>
        </is>
      </c>
      <c r="B1089" t="inlineStr">
        <is>
          <t>6a20e9b700000000220205ef</t>
        </is>
      </c>
      <c r="C1089" s="1088" t="n">
        <f>HYPERLINK("https://www.xiaohongshu.com/explore/6a20e9b700000000220205ef?xsec_token=TBZaEUoTZZZ466F90Rpl7ukxh2Q5vs_I09R9emzSqGHxo=&amp;xsec_source=pc_trdark","https://www.xiaohongshu.com/explore/6a20e9b700000000220205ef?xsec_token=TBZaEUoTZZZ466F90Rpl7ukxh2Q5vs_I09R9emzSqGHxo=&amp;xsec_source=pc_trdark")</f>
        <v>0.0</v>
      </c>
      <c r="D1089" t="inlineStr">
        <is>
          <t>鲜水湾甄选</t>
        </is>
      </c>
      <c r="E1089" t="inlineStr">
        <is>
          <t>27401929161</t>
        </is>
      </c>
      <c r="F1089" t="inlineStr">
        <is>
          <t>2026-06-04 10:57:59</t>
        </is>
      </c>
      <c r="G1089" t="inlineStr">
        <is>
          <t>图文</t>
        </is>
      </c>
      <c r="H1089" t="inlineStr">
        <is>
          <t>手剥虾仁 无冰衣无添加 低脂餐一人食 上班带饭 顺丰包邮 5盒装</t>
        </is>
      </c>
      <c r="I1089" t="inlineStr">
        <is>
          <t>694baba01d450d00013662f0</t>
        </is>
      </c>
      <c r="J1089" t="inlineStr">
        <is>
          <t/>
        </is>
      </c>
      <c r="K1089" t="n">
        <v>0.0</v>
      </c>
      <c r="L1089" t="n">
        <v>0.0</v>
      </c>
      <c r="M1089" t="n">
        <v>0.0</v>
      </c>
      <c r="N1089" t="inlineStr">
        <is>
          <t/>
        </is>
      </c>
      <c r="O1089" t="n">
        <v>0.0</v>
      </c>
      <c r="P1089" t="n">
        <v>0.0</v>
      </c>
      <c r="Q1089" t="inlineStr">
        <is>
          <t/>
        </is>
      </c>
      <c r="R1089" t="inlineStr">
        <is>
          <t/>
        </is>
      </c>
      <c r="S1089" t="n">
        <v>0.0</v>
      </c>
      <c r="T1089" t="n">
        <v>0.0</v>
      </c>
      <c r="U1089" t="n">
        <v>0.0</v>
      </c>
      <c r="V1089" t="n">
        <v>0.0</v>
      </c>
      <c r="W1089" t="inlineStr">
        <is>
          <t/>
        </is>
      </c>
      <c r="X1089" t="n">
        <v>0.0</v>
      </c>
      <c r="Y1089" t="n">
        <v>0.0</v>
      </c>
      <c r="Z1089" t="n">
        <v>0.0</v>
      </c>
      <c r="AA1089" t="n">
        <v>0.0</v>
      </c>
      <c r="AB1089" t="n">
        <v>0.0</v>
      </c>
      <c r="AC1089" t="n">
        <v>0.0</v>
      </c>
      <c r="AD1089" t="n">
        <v>0.0</v>
      </c>
      <c r="AE1089" t="n">
        <v>0.0</v>
      </c>
      <c r="AF1089" t="n">
        <v>0.0</v>
      </c>
      <c r="AG1089" t="n">
        <v>0.0</v>
      </c>
      <c r="AH1089" t="n">
        <v>0.0</v>
      </c>
      <c r="AI1089" t="n">
        <v>0.0</v>
      </c>
      <c r="AJ1089" t="n">
        <v>0.0</v>
      </c>
      <c r="AK1089" t="inlineStr">
        <is>
          <t/>
        </is>
      </c>
      <c r="AL1089" t="inlineStr">
        <is>
          <t/>
        </is>
      </c>
    </row>
    <row r="1090">
      <c r="A1090" t="inlineStr">
        <is>
          <t>整条三文鱼真是长期主义的选择！</t>
        </is>
      </c>
      <c r="B1090" t="inlineStr">
        <is>
          <t>6a2028c6000000000702fc73</t>
        </is>
      </c>
      <c r="C1090" s="1089" t="n">
        <f>HYPERLINK("https://www.xiaohongshu.com/explore/6a2028c6000000000702fc73?xsec_token=TBZaEUoTZZZ466F90Rpl7uk8J2Z0yrtd27xpiuA9XAG9Y=&amp;xsec_source=pc_trdark","https://www.xiaohongshu.com/explore/6a2028c6000000000702fc73?xsec_token=TBZaEUoTZZZ466F90Rpl7uk8J2Z0yrtd27xpiuA9XAG9Y=&amp;xsec_source=pc_trdark")</f>
        <v>0.0</v>
      </c>
      <c r="D1090" t="inlineStr">
        <is>
          <t>鲜水湾</t>
        </is>
      </c>
      <c r="E1090" t="inlineStr">
        <is>
          <t>49316638994</t>
        </is>
      </c>
      <c r="F1090" t="inlineStr">
        <is>
          <t>2026-06-03 21:14:46</t>
        </is>
      </c>
      <c r="G1090" t="inlineStr">
        <is>
          <t>图文</t>
        </is>
      </c>
      <c r="H1090" t="inlineStr">
        <is>
          <t>智利三文鱼切块·整条三文鱼·深海鱼一人食健康饮食</t>
        </is>
      </c>
      <c r="I1090" t="inlineStr">
        <is>
          <t>691ac562a524ee0001b51d7b</t>
        </is>
      </c>
      <c r="J1090" t="inlineStr">
        <is>
          <t/>
        </is>
      </c>
      <c r="K1090" t="n">
        <v>0.0</v>
      </c>
      <c r="L1090" t="n">
        <v>0.0</v>
      </c>
      <c r="M1090" t="n">
        <v>0.0</v>
      </c>
      <c r="N1090" t="inlineStr">
        <is>
          <t/>
        </is>
      </c>
      <c r="O1090" t="n">
        <v>0.0</v>
      </c>
      <c r="P1090" t="n">
        <v>0.0</v>
      </c>
      <c r="Q1090" t="inlineStr">
        <is>
          <t/>
        </is>
      </c>
      <c r="R1090" t="inlineStr">
        <is>
          <t/>
        </is>
      </c>
      <c r="S1090" t="n">
        <v>0.0</v>
      </c>
      <c r="T1090" t="n">
        <v>0.0</v>
      </c>
      <c r="U1090" t="n">
        <v>0.0</v>
      </c>
      <c r="V1090" t="n">
        <v>0.0</v>
      </c>
      <c r="W1090" t="inlineStr">
        <is>
          <t/>
        </is>
      </c>
      <c r="X1090" t="n">
        <v>0.0</v>
      </c>
      <c r="Y1090" t="n">
        <v>0.0</v>
      </c>
      <c r="Z1090" t="n">
        <v>0.0</v>
      </c>
      <c r="AA1090" t="n">
        <v>0.0</v>
      </c>
      <c r="AB1090" t="n">
        <v>0.0</v>
      </c>
      <c r="AC1090" t="n">
        <v>0.0</v>
      </c>
      <c r="AD1090" t="n">
        <v>0.0</v>
      </c>
      <c r="AE1090" t="n">
        <v>0.0</v>
      </c>
      <c r="AF1090" t="n">
        <v>0.0</v>
      </c>
      <c r="AG1090" t="n">
        <v>0.0</v>
      </c>
      <c r="AH1090" t="n">
        <v>0.0</v>
      </c>
      <c r="AI1090" t="n">
        <v>0.0</v>
      </c>
      <c r="AJ1090" t="n">
        <v>0.0</v>
      </c>
      <c r="AK1090" t="inlineStr">
        <is>
          <t/>
        </is>
      </c>
      <c r="AL1090" t="inlineStr">
        <is>
          <t/>
        </is>
      </c>
    </row>
    <row r="1091">
      <c r="A1091" t="inlineStr">
        <is>
          <t>小裙子还没穿上，虾仁先安排上了……</t>
        </is>
      </c>
      <c r="B1091" t="inlineStr">
        <is>
          <t>6a20161200000000220282eb</t>
        </is>
      </c>
      <c r="C1091" s="1090" t="n">
        <f>HYPERLINK("https://www.xiaohongshu.com/explore/6a20161200000000220282eb?xsec_token=TBZaEUoTZZZ466F90Rpl7uk63UWnMkUiS6OLYhD3_NCBo=&amp;xsec_source=pc_trdark","https://www.xiaohongshu.com/explore/6a20161200000000220282eb?xsec_token=TBZaEUoTZZZ466F90Rpl7uk63UWnMkUiS6OLYhD3_NCBo=&amp;xsec_source=pc_trdark")</f>
        <v>0.0</v>
      </c>
      <c r="D1091" t="inlineStr">
        <is>
          <t>鲜水湾甄选</t>
        </is>
      </c>
      <c r="E1091" t="inlineStr">
        <is>
          <t>27401929161</t>
        </is>
      </c>
      <c r="F1091" t="inlineStr">
        <is>
          <t>2026-06-03 22:00:00</t>
        </is>
      </c>
      <c r="G1091" t="inlineStr">
        <is>
          <t>图文</t>
        </is>
      </c>
      <c r="H1091" t="inlineStr">
        <is>
          <t>手剥虾仁 无冰衣无添加 低脂餐一人食 上班带饭 顺丰包邮 5盒装</t>
        </is>
      </c>
      <c r="I1091" t="inlineStr">
        <is>
          <t>694baba01d450d00013662f0</t>
        </is>
      </c>
      <c r="J1091" t="inlineStr">
        <is>
          <t/>
        </is>
      </c>
      <c r="K1091" t="n">
        <v>0.0</v>
      </c>
      <c r="L1091" t="n">
        <v>0.0</v>
      </c>
      <c r="M1091" t="n">
        <v>0.0</v>
      </c>
      <c r="N1091" t="inlineStr">
        <is>
          <t/>
        </is>
      </c>
      <c r="O1091" t="n">
        <v>0.0</v>
      </c>
      <c r="P1091" t="n">
        <v>0.0</v>
      </c>
      <c r="Q1091" t="inlineStr">
        <is>
          <t/>
        </is>
      </c>
      <c r="R1091" t="inlineStr">
        <is>
          <t/>
        </is>
      </c>
      <c r="S1091" t="n">
        <v>0.0</v>
      </c>
      <c r="T1091" t="n">
        <v>0.0</v>
      </c>
      <c r="U1091" t="n">
        <v>0.0</v>
      </c>
      <c r="V1091" t="n">
        <v>0.0</v>
      </c>
      <c r="W1091" t="inlineStr">
        <is>
          <t/>
        </is>
      </c>
      <c r="X1091" t="n">
        <v>0.0</v>
      </c>
      <c r="Y1091" t="n">
        <v>0.0</v>
      </c>
      <c r="Z1091" t="n">
        <v>0.0</v>
      </c>
      <c r="AA1091" t="n">
        <v>0.0</v>
      </c>
      <c r="AB1091" t="n">
        <v>0.0</v>
      </c>
      <c r="AC1091" t="n">
        <v>0.0</v>
      </c>
      <c r="AD1091" t="n">
        <v>0.0</v>
      </c>
      <c r="AE1091" t="n">
        <v>0.0</v>
      </c>
      <c r="AF1091" t="n">
        <v>0.0</v>
      </c>
      <c r="AG1091" t="n">
        <v>0.0</v>
      </c>
      <c r="AH1091" t="n">
        <v>0.0</v>
      </c>
      <c r="AI1091" t="n">
        <v>0.0</v>
      </c>
      <c r="AJ1091" t="n">
        <v>0.0</v>
      </c>
      <c r="AK1091" t="inlineStr">
        <is>
          <t/>
        </is>
      </c>
      <c r="AL1091" t="inlineStr">
        <is>
          <t/>
        </is>
      </c>
    </row>
    <row r="1092">
      <c r="A1092" t="inlineStr">
        <is>
          <t>以为69没多少，实际够我吃一周的了！！！</t>
        </is>
      </c>
      <c r="B1092" t="inlineStr">
        <is>
          <t>6a2014a70000000021008ceb</t>
        </is>
      </c>
      <c r="C1092" s="1091" t="n">
        <f>HYPERLINK("https://www.xiaohongshu.com/explore/6a2014a70000000021008ceb?xsec_token=TBZaEUoTZZZ466F90Rpl7uk5vr70bYMAw1uAAXo3q9L6A=&amp;xsec_source=pc_trdark","https://www.xiaohongshu.com/explore/6a2014a70000000021008ceb?xsec_token=TBZaEUoTZZZ466F90Rpl7uk5vr70bYMAw1uAAXo3q9L6A=&amp;xsec_source=pc_trdark")</f>
        <v>0.0</v>
      </c>
      <c r="D1092" t="inlineStr">
        <is>
          <t>菲菲上班吃什么</t>
        </is>
      </c>
      <c r="E1092" t="inlineStr">
        <is>
          <t>49936530607</t>
        </is>
      </c>
      <c r="F1092" t="inlineStr">
        <is>
          <t>2026-06-03 21:48:00</t>
        </is>
      </c>
      <c r="G1092" t="inlineStr">
        <is>
          <t>图文</t>
        </is>
      </c>
      <c r="H1092" t="inlineStr">
        <is>
          <t>手剥虾仁 无冰衣无添加 低脂餐一人食 上班带饭 顺丰包邮 5盒装</t>
        </is>
      </c>
      <c r="I1092" t="inlineStr">
        <is>
          <t>694baba01d450d00013662f0</t>
        </is>
      </c>
      <c r="J1092" t="inlineStr">
        <is>
          <t/>
        </is>
      </c>
      <c r="K1092" t="n">
        <v>0.0</v>
      </c>
      <c r="L1092" t="n">
        <v>0.0</v>
      </c>
      <c r="M1092" t="n">
        <v>0.0</v>
      </c>
      <c r="N1092" t="inlineStr">
        <is>
          <t/>
        </is>
      </c>
      <c r="O1092" t="n">
        <v>0.0</v>
      </c>
      <c r="P1092" t="n">
        <v>0.0</v>
      </c>
      <c r="Q1092" t="inlineStr">
        <is>
          <t/>
        </is>
      </c>
      <c r="R1092" t="inlineStr">
        <is>
          <t/>
        </is>
      </c>
      <c r="S1092" t="n">
        <v>0.0</v>
      </c>
      <c r="T1092" t="n">
        <v>0.0</v>
      </c>
      <c r="U1092" t="n">
        <v>0.0</v>
      </c>
      <c r="V1092" t="n">
        <v>0.0</v>
      </c>
      <c r="W1092" t="inlineStr">
        <is>
          <t/>
        </is>
      </c>
      <c r="X1092" t="n">
        <v>0.0</v>
      </c>
      <c r="Y1092" t="n">
        <v>0.0</v>
      </c>
      <c r="Z1092" t="n">
        <v>0.0</v>
      </c>
      <c r="AA1092" t="n">
        <v>0.0</v>
      </c>
      <c r="AB1092" t="n">
        <v>0.0</v>
      </c>
      <c r="AC1092" t="n">
        <v>0.0</v>
      </c>
      <c r="AD1092" t="n">
        <v>0.0</v>
      </c>
      <c r="AE1092" t="n">
        <v>0.0</v>
      </c>
      <c r="AF1092" t="n">
        <v>0.0</v>
      </c>
      <c r="AG1092" t="n">
        <v>0.0</v>
      </c>
      <c r="AH1092" t="n">
        <v>0.0</v>
      </c>
      <c r="AI1092" t="n">
        <v>0.0</v>
      </c>
      <c r="AJ1092" t="n">
        <v>0.0</v>
      </c>
      <c r="AK1092" t="inlineStr">
        <is>
          <t/>
        </is>
      </c>
      <c r="AL1092" t="inlineStr">
        <is>
          <t/>
        </is>
      </c>
    </row>
    <row r="1093">
      <c r="A1093" t="inlineStr">
        <is>
          <t>减脂餐吃腻后我爱上虾仁！！！！！</t>
        </is>
      </c>
      <c r="B1093" t="inlineStr">
        <is>
          <t>6a20149c000000002103c360</t>
        </is>
      </c>
      <c r="C1093" s="1092" t="n">
        <f>HYPERLINK("https://www.xiaohongshu.com/explore/6a20149c000000002103c360?xsec_token=TBZaEUoTZZZ466F90Rpl7uk9Q94O0ZPttCMmjkLd0NFR8=&amp;xsec_source=pc_trdark","https://www.xiaohongshu.com/explore/6a20149c000000002103c360?xsec_token=TBZaEUoTZZZ466F90Rpl7uk9Q94O0ZPttCMmjkLd0NFR8=&amp;xsec_source=pc_trdark")</f>
        <v>0.0</v>
      </c>
      <c r="D1093" t="inlineStr">
        <is>
          <t>菲菲上班吃什么</t>
        </is>
      </c>
      <c r="E1093" t="inlineStr">
        <is>
          <t>49936530607</t>
        </is>
      </c>
      <c r="F1093" t="inlineStr">
        <is>
          <t>2026-06-03 20:17:00</t>
        </is>
      </c>
      <c r="G1093" t="inlineStr">
        <is>
          <t>图文</t>
        </is>
      </c>
      <c r="H1093" t="inlineStr">
        <is>
          <t>手剥虾仁 无冰衣无添加 低脂餐一人食 上班带饭 顺丰包邮 5盒装</t>
        </is>
      </c>
      <c r="I1093" t="inlineStr">
        <is>
          <t>694baba01d450d00013662f0</t>
        </is>
      </c>
      <c r="J1093" t="inlineStr">
        <is>
          <t/>
        </is>
      </c>
      <c r="K1093" t="n">
        <v>0.0</v>
      </c>
      <c r="L1093" t="n">
        <v>0.0</v>
      </c>
      <c r="M1093" t="n">
        <v>0.0</v>
      </c>
      <c r="N1093" t="inlineStr">
        <is>
          <t/>
        </is>
      </c>
      <c r="O1093" t="n">
        <v>0.0</v>
      </c>
      <c r="P1093" t="n">
        <v>0.0</v>
      </c>
      <c r="Q1093" t="inlineStr">
        <is>
          <t/>
        </is>
      </c>
      <c r="R1093" t="inlineStr">
        <is>
          <t/>
        </is>
      </c>
      <c r="S1093" t="n">
        <v>0.0</v>
      </c>
      <c r="T1093" t="n">
        <v>0.0</v>
      </c>
      <c r="U1093" t="n">
        <v>0.0</v>
      </c>
      <c r="V1093" t="n">
        <v>0.0</v>
      </c>
      <c r="W1093" t="inlineStr">
        <is>
          <t/>
        </is>
      </c>
      <c r="X1093" t="n">
        <v>0.0</v>
      </c>
      <c r="Y1093" t="n">
        <v>0.0</v>
      </c>
      <c r="Z1093" t="n">
        <v>0.0</v>
      </c>
      <c r="AA1093" t="n">
        <v>0.0</v>
      </c>
      <c r="AB1093" t="n">
        <v>0.0</v>
      </c>
      <c r="AC1093" t="n">
        <v>0.0</v>
      </c>
      <c r="AD1093" t="n">
        <v>0.0</v>
      </c>
      <c r="AE1093" t="n">
        <v>0.0</v>
      </c>
      <c r="AF1093" t="n">
        <v>0.0</v>
      </c>
      <c r="AG1093" t="n">
        <v>0.0</v>
      </c>
      <c r="AH1093" t="n">
        <v>0.0</v>
      </c>
      <c r="AI1093" t="n">
        <v>0.0</v>
      </c>
      <c r="AJ1093" t="n">
        <v>0.0</v>
      </c>
      <c r="AK1093" t="inlineStr">
        <is>
          <t/>
        </is>
      </c>
      <c r="AL1093" t="inlineStr">
        <is>
          <t/>
        </is>
      </c>
    </row>
    <row r="1094">
      <c r="A1094" t="inlineStr">
        <is>
          <t>误以为很贵的整条三文鱼才三百多😆</t>
        </is>
      </c>
      <c r="B1094" t="inlineStr">
        <is>
          <t>6a1ff97300000000080335bb</t>
        </is>
      </c>
      <c r="C1094" s="1093" t="n">
        <f>HYPERLINK("https://www.xiaohongshu.com/explore/6a1ff97300000000080335bb?xsec_token=TB6EZ8Y08PPqC5fHOGEZ2EHt-dEcZ9e2n7TJ_GDwp7NxQ=&amp;xsec_source=pc_trdark","https://www.xiaohongshu.com/explore/6a1ff97300000000080335bb?xsec_token=TB6EZ8Y08PPqC5fHOGEZ2EHt-dEcZ9e2n7TJ_GDwp7NxQ=&amp;xsec_source=pc_trdark")</f>
        <v>0.0</v>
      </c>
      <c r="D1094" t="inlineStr">
        <is>
          <t>鲜水湾</t>
        </is>
      </c>
      <c r="E1094" t="inlineStr">
        <is>
          <t>49316638994</t>
        </is>
      </c>
      <c r="F1094" t="inlineStr">
        <is>
          <t>2026-06-03 17:52:51</t>
        </is>
      </c>
      <c r="G1094" t="inlineStr">
        <is>
          <t>图文</t>
        </is>
      </c>
      <c r="H1094" t="inlineStr">
        <is>
          <t>智利三文鱼切块·整条三文鱼·深海鱼一人食健康饮食</t>
        </is>
      </c>
      <c r="I1094" t="inlineStr">
        <is>
          <t>691ac562a524ee0001b51d7b</t>
        </is>
      </c>
      <c r="J1094" t="inlineStr">
        <is>
          <t/>
        </is>
      </c>
      <c r="K1094" t="n">
        <v>0.0</v>
      </c>
      <c r="L1094" t="n">
        <v>0.0</v>
      </c>
      <c r="M1094" t="n">
        <v>0.0</v>
      </c>
      <c r="N1094" t="inlineStr">
        <is>
          <t/>
        </is>
      </c>
      <c r="O1094" t="n">
        <v>0.0</v>
      </c>
      <c r="P1094" t="n">
        <v>0.0</v>
      </c>
      <c r="Q1094" t="inlineStr">
        <is>
          <t/>
        </is>
      </c>
      <c r="R1094" t="inlineStr">
        <is>
          <t/>
        </is>
      </c>
      <c r="S1094" t="n">
        <v>0.0</v>
      </c>
      <c r="T1094" t="n">
        <v>0.0</v>
      </c>
      <c r="U1094" t="n">
        <v>0.0</v>
      </c>
      <c r="V1094" t="n">
        <v>0.0</v>
      </c>
      <c r="W1094" t="inlineStr">
        <is>
          <t/>
        </is>
      </c>
      <c r="X1094" t="n">
        <v>0.0</v>
      </c>
      <c r="Y1094" t="n">
        <v>0.0</v>
      </c>
      <c r="Z1094" t="n">
        <v>0.0</v>
      </c>
      <c r="AA1094" t="n">
        <v>0.0</v>
      </c>
      <c r="AB1094" t="n">
        <v>0.0</v>
      </c>
      <c r="AC1094" t="n">
        <v>0.0</v>
      </c>
      <c r="AD1094" t="n">
        <v>0.0</v>
      </c>
      <c r="AE1094" t="n">
        <v>0.0</v>
      </c>
      <c r="AF1094" t="n">
        <v>0.0</v>
      </c>
      <c r="AG1094" t="n">
        <v>0.0</v>
      </c>
      <c r="AH1094" t="n">
        <v>0.0</v>
      </c>
      <c r="AI1094" t="n">
        <v>0.0</v>
      </c>
      <c r="AJ1094" t="n">
        <v>0.0</v>
      </c>
      <c r="AK1094" t="inlineStr">
        <is>
          <t/>
        </is>
      </c>
      <c r="AL1094" t="inlineStr">
        <is>
          <t/>
        </is>
      </c>
    </row>
    <row r="1095">
      <c r="A1095" t="inlineStr">
        <is>
          <t>听我一句劝，现在控体还来得及！！！</t>
        </is>
      </c>
      <c r="B1095" t="inlineStr">
        <is>
          <t>6a1fe5e80000000035020b0a</t>
        </is>
      </c>
      <c r="C1095" s="1094" t="n">
        <f>HYPERLINK("https://www.xiaohongshu.com/explore/6a1fe5e80000000035020b0a?xsec_token=TB6EZ8Y08PPqC5fHOGEZ2EHo8ZH6e-Hkk6uIYfAlTTEYQ=&amp;xsec_source=pc_trdark","https://www.xiaohongshu.com/explore/6a1fe5e80000000035020b0a?xsec_token=TB6EZ8Y08PPqC5fHOGEZ2EHo8ZH6e-Hkk6uIYfAlTTEYQ=&amp;xsec_source=pc_trdark")</f>
        <v>0.0</v>
      </c>
      <c r="D1095" t="inlineStr">
        <is>
          <t>鲜水湾甄选</t>
        </is>
      </c>
      <c r="E1095" t="inlineStr">
        <is>
          <t>27401929161</t>
        </is>
      </c>
      <c r="F1095" t="inlineStr">
        <is>
          <t>2026-06-03 16:29:28</t>
        </is>
      </c>
      <c r="G1095" t="inlineStr">
        <is>
          <t>图文</t>
        </is>
      </c>
      <c r="H1095" t="inlineStr">
        <is>
          <t>手剥虾仁 无冰衣无添加 低脂餐一人食 上班带饭 顺丰包邮 5盒装</t>
        </is>
      </c>
      <c r="I1095" t="inlineStr">
        <is>
          <t>694baba01d450d00013662f0</t>
        </is>
      </c>
      <c r="J1095" t="inlineStr">
        <is>
          <t/>
        </is>
      </c>
      <c r="K1095" t="n">
        <v>0.0</v>
      </c>
      <c r="L1095" t="n">
        <v>0.0</v>
      </c>
      <c r="M1095" t="n">
        <v>0.0</v>
      </c>
      <c r="N1095" t="inlineStr">
        <is>
          <t/>
        </is>
      </c>
      <c r="O1095" t="n">
        <v>0.0</v>
      </c>
      <c r="P1095" t="n">
        <v>0.0</v>
      </c>
      <c r="Q1095" t="inlineStr">
        <is>
          <t/>
        </is>
      </c>
      <c r="R1095" t="inlineStr">
        <is>
          <t/>
        </is>
      </c>
      <c r="S1095" t="n">
        <v>0.0</v>
      </c>
      <c r="T1095" t="n">
        <v>0.0</v>
      </c>
      <c r="U1095" t="n">
        <v>0.0</v>
      </c>
      <c r="V1095" t="n">
        <v>0.0</v>
      </c>
      <c r="W1095" t="inlineStr">
        <is>
          <t/>
        </is>
      </c>
      <c r="X1095" t="n">
        <v>0.0</v>
      </c>
      <c r="Y1095" t="n">
        <v>0.0</v>
      </c>
      <c r="Z1095" t="n">
        <v>0.0</v>
      </c>
      <c r="AA1095" t="n">
        <v>0.0</v>
      </c>
      <c r="AB1095" t="n">
        <v>0.0</v>
      </c>
      <c r="AC1095" t="n">
        <v>0.0</v>
      </c>
      <c r="AD1095" t="n">
        <v>0.0</v>
      </c>
      <c r="AE1095" t="n">
        <v>0.0</v>
      </c>
      <c r="AF1095" t="n">
        <v>0.0</v>
      </c>
      <c r="AG1095" t="n">
        <v>0.0</v>
      </c>
      <c r="AH1095" t="n">
        <v>0.0</v>
      </c>
      <c r="AI1095" t="n">
        <v>0.0</v>
      </c>
      <c r="AJ1095" t="n">
        <v>0.0</v>
      </c>
      <c r="AK1095" t="inlineStr">
        <is>
          <t/>
        </is>
      </c>
      <c r="AL1095" t="inlineStr">
        <is>
          <t/>
        </is>
      </c>
    </row>
    <row r="1096">
      <c r="A1096" t="inlineStr">
        <is>
          <t>算了不劝了，一个人带动全公司买的🤣</t>
        </is>
      </c>
      <c r="B1096" t="inlineStr">
        <is>
          <t>6a1fe2700000000007028e40</t>
        </is>
      </c>
      <c r="C1096" s="1095" t="n">
        <f>HYPERLINK("https://www.xiaohongshu.com/explore/6a1fe2700000000007028e40?xsec_token=TB6EZ8Y08PPqC5fHOGEZ2EHpVBXeZJihqsH32krhMNa6I=&amp;xsec_source=pc_trdark","https://www.xiaohongshu.com/explore/6a1fe2700000000007028e40?xsec_token=TB6EZ8Y08PPqC5fHOGEZ2EHpVBXeZJihqsH32krhMNa6I=&amp;xsec_source=pc_trdark")</f>
        <v>0.0</v>
      </c>
      <c r="D1096" t="inlineStr">
        <is>
          <t>菲菲上班吃什么</t>
        </is>
      </c>
      <c r="E1096" t="inlineStr">
        <is>
          <t>49936530607</t>
        </is>
      </c>
      <c r="F1096" t="inlineStr">
        <is>
          <t>2026-06-03 16:14:40</t>
        </is>
      </c>
      <c r="G1096" t="inlineStr">
        <is>
          <t>图文</t>
        </is>
      </c>
      <c r="H1096" t="inlineStr">
        <is>
          <t>手剥虾仁 无冰衣无添加 低脂餐一人食 上班带饭 顺丰包邮 5盒装</t>
        </is>
      </c>
      <c r="I1096" t="inlineStr">
        <is>
          <t>694baba01d450d00013662f0</t>
        </is>
      </c>
      <c r="J1096" t="inlineStr">
        <is>
          <t/>
        </is>
      </c>
      <c r="K1096" t="n">
        <v>0.0</v>
      </c>
      <c r="L1096" t="n">
        <v>0.0</v>
      </c>
      <c r="M1096" t="n">
        <v>0.0</v>
      </c>
      <c r="N1096" t="inlineStr">
        <is>
          <t/>
        </is>
      </c>
      <c r="O1096" t="n">
        <v>0.0</v>
      </c>
      <c r="P1096" t="n">
        <v>0.0</v>
      </c>
      <c r="Q1096" t="inlineStr">
        <is>
          <t/>
        </is>
      </c>
      <c r="R1096" t="inlineStr">
        <is>
          <t/>
        </is>
      </c>
      <c r="S1096" t="n">
        <v>0.0</v>
      </c>
      <c r="T1096" t="n">
        <v>0.0</v>
      </c>
      <c r="U1096" t="n">
        <v>0.0</v>
      </c>
      <c r="V1096" t="n">
        <v>0.0</v>
      </c>
      <c r="W1096" t="inlineStr">
        <is>
          <t/>
        </is>
      </c>
      <c r="X1096" t="n">
        <v>0.0</v>
      </c>
      <c r="Y1096" t="n">
        <v>0.0</v>
      </c>
      <c r="Z1096" t="n">
        <v>0.0</v>
      </c>
      <c r="AA1096" t="n">
        <v>0.0</v>
      </c>
      <c r="AB1096" t="n">
        <v>0.0</v>
      </c>
      <c r="AC1096" t="n">
        <v>0.0</v>
      </c>
      <c r="AD1096" t="n">
        <v>0.0</v>
      </c>
      <c r="AE1096" t="n">
        <v>0.0</v>
      </c>
      <c r="AF1096" t="n">
        <v>0.0</v>
      </c>
      <c r="AG1096" t="n">
        <v>0.0</v>
      </c>
      <c r="AH1096" t="n">
        <v>0.0</v>
      </c>
      <c r="AI1096" t="n">
        <v>0.0</v>
      </c>
      <c r="AJ1096" t="n">
        <v>0.0</v>
      </c>
      <c r="AK1096" t="inlineStr">
        <is>
          <t/>
        </is>
      </c>
      <c r="AL1096" t="inlineStr">
        <is>
          <t/>
        </is>
      </c>
    </row>
    <row r="1097">
      <c r="A1097" t="inlineStr">
        <is>
          <t>靠虾仁布局一下今年夏天小裙子计划！！！！</t>
        </is>
      </c>
      <c r="B1097" t="inlineStr">
        <is>
          <t>6a1fccf10000000008027c84</t>
        </is>
      </c>
      <c r="C1097" s="1096" t="n">
        <f>HYPERLINK("https://www.xiaohongshu.com/explore/6a1fccf10000000008027c84?xsec_token=TB6EZ8Y08PPqC5fHOGEZ2EHv-jdh2ZTodnvGTJLMsT5xw=&amp;xsec_source=pc_trdark","https://www.xiaohongshu.com/explore/6a1fccf10000000008027c84?xsec_token=TB6EZ8Y08PPqC5fHOGEZ2EHv-jdh2ZTodnvGTJLMsT5xw=&amp;xsec_source=pc_trdark")</f>
        <v>0.0</v>
      </c>
      <c r="D1097" t="inlineStr">
        <is>
          <t>菲菲上班吃什么</t>
        </is>
      </c>
      <c r="E1097" t="inlineStr">
        <is>
          <t>49936530607</t>
        </is>
      </c>
      <c r="F1097" t="inlineStr">
        <is>
          <t>2026-06-03 14:42:57</t>
        </is>
      </c>
      <c r="G1097" t="inlineStr">
        <is>
          <t>图文</t>
        </is>
      </c>
      <c r="H1097" t="inlineStr">
        <is>
          <t>手剥虾仁 无冰衣无添加 低脂餐一人食 上班带饭 顺丰包邮 5盒装</t>
        </is>
      </c>
      <c r="I1097" t="inlineStr">
        <is>
          <t>694baba01d450d00013662f0</t>
        </is>
      </c>
      <c r="J1097" t="inlineStr">
        <is>
          <t/>
        </is>
      </c>
      <c r="K1097" t="n">
        <v>0.0</v>
      </c>
      <c r="L1097" t="n">
        <v>0.0</v>
      </c>
      <c r="M1097" t="n">
        <v>0.0</v>
      </c>
      <c r="N1097" t="inlineStr">
        <is>
          <t/>
        </is>
      </c>
      <c r="O1097" t="n">
        <v>0.0</v>
      </c>
      <c r="P1097" t="n">
        <v>0.0</v>
      </c>
      <c r="Q1097" t="inlineStr">
        <is>
          <t/>
        </is>
      </c>
      <c r="R1097" t="inlineStr">
        <is>
          <t/>
        </is>
      </c>
      <c r="S1097" t="n">
        <v>0.0</v>
      </c>
      <c r="T1097" t="n">
        <v>0.0</v>
      </c>
      <c r="U1097" t="n">
        <v>0.0</v>
      </c>
      <c r="V1097" t="n">
        <v>0.0</v>
      </c>
      <c r="W1097" t="inlineStr">
        <is>
          <t/>
        </is>
      </c>
      <c r="X1097" t="n">
        <v>0.0</v>
      </c>
      <c r="Y1097" t="n">
        <v>0.0</v>
      </c>
      <c r="Z1097" t="n">
        <v>0.0</v>
      </c>
      <c r="AA1097" t="n">
        <v>0.0</v>
      </c>
      <c r="AB1097" t="n">
        <v>0.0</v>
      </c>
      <c r="AC1097" t="n">
        <v>0.0</v>
      </c>
      <c r="AD1097" t="n">
        <v>0.0</v>
      </c>
      <c r="AE1097" t="n">
        <v>0.0</v>
      </c>
      <c r="AF1097" t="n">
        <v>0.0</v>
      </c>
      <c r="AG1097" t="n">
        <v>0.0</v>
      </c>
      <c r="AH1097" t="n">
        <v>0.0</v>
      </c>
      <c r="AI1097" t="n">
        <v>0.0</v>
      </c>
      <c r="AJ1097" t="n">
        <v>0.0</v>
      </c>
      <c r="AK1097" t="inlineStr">
        <is>
          <t/>
        </is>
      </c>
      <c r="AL1097" t="inlineStr">
        <is>
          <t/>
        </is>
      </c>
    </row>
    <row r="1098">
      <c r="A1098" t="inlineStr">
        <is>
          <t>减脂期！！由于我不停的吃！！！不停的吃！！！</t>
        </is>
      </c>
      <c r="B1098" t="inlineStr">
        <is>
          <t>6a1fc821000000003502f8a9</t>
        </is>
      </c>
      <c r="C1098" s="1097" t="n">
        <f>HYPERLINK("https://www.xiaohongshu.com/explore/6a1fc821000000003502f8a9?xsec_token=TB6EZ8Y08PPqC5fHOGEZ2EHvQPrX2L8Lj71__7xFKEIiE=&amp;xsec_source=pc_trdark","https://www.xiaohongshu.com/explore/6a1fc821000000003502f8a9?xsec_token=TB6EZ8Y08PPqC5fHOGEZ2EHvQPrX2L8Lj71__7xFKEIiE=&amp;xsec_source=pc_trdark")</f>
        <v>0.0</v>
      </c>
      <c r="D1098" t="inlineStr">
        <is>
          <t>鲜水湾甄选</t>
        </is>
      </c>
      <c r="E1098" t="inlineStr">
        <is>
          <t>27401929161</t>
        </is>
      </c>
      <c r="F1098" t="inlineStr">
        <is>
          <t>2026-06-03 14:22:25</t>
        </is>
      </c>
      <c r="G1098" t="inlineStr">
        <is>
          <t>图文</t>
        </is>
      </c>
      <c r="H1098" t="inlineStr">
        <is>
          <t>手剥虾仁 无冰衣无添加 低脂餐一人食 上班带饭 顺丰包邮 5盒装</t>
        </is>
      </c>
      <c r="I1098" t="inlineStr">
        <is>
          <t>694baba01d450d00013662f0</t>
        </is>
      </c>
      <c r="J1098" t="inlineStr">
        <is>
          <t/>
        </is>
      </c>
      <c r="K1098" t="n">
        <v>0.0</v>
      </c>
      <c r="L1098" t="n">
        <v>0.0</v>
      </c>
      <c r="M1098" t="n">
        <v>0.0</v>
      </c>
      <c r="N1098" t="inlineStr">
        <is>
          <t/>
        </is>
      </c>
      <c r="O1098" t="n">
        <v>0.0</v>
      </c>
      <c r="P1098" t="n">
        <v>0.0</v>
      </c>
      <c r="Q1098" t="inlineStr">
        <is>
          <t/>
        </is>
      </c>
      <c r="R1098" t="inlineStr">
        <is>
          <t/>
        </is>
      </c>
      <c r="S1098" t="n">
        <v>0.0</v>
      </c>
      <c r="T1098" t="n">
        <v>0.0</v>
      </c>
      <c r="U1098" t="n">
        <v>0.0</v>
      </c>
      <c r="V1098" t="n">
        <v>0.0</v>
      </c>
      <c r="W1098" t="inlineStr">
        <is>
          <t/>
        </is>
      </c>
      <c r="X1098" t="n">
        <v>0.0</v>
      </c>
      <c r="Y1098" t="n">
        <v>0.0</v>
      </c>
      <c r="Z1098" t="n">
        <v>0.0</v>
      </c>
      <c r="AA1098" t="n">
        <v>0.0</v>
      </c>
      <c r="AB1098" t="n">
        <v>0.0</v>
      </c>
      <c r="AC1098" t="n">
        <v>0.0</v>
      </c>
      <c r="AD1098" t="n">
        <v>0.0</v>
      </c>
      <c r="AE1098" t="n">
        <v>0.0</v>
      </c>
      <c r="AF1098" t="n">
        <v>0.0</v>
      </c>
      <c r="AG1098" t="n">
        <v>0.0</v>
      </c>
      <c r="AH1098" t="n">
        <v>0.0</v>
      </c>
      <c r="AI1098" t="n">
        <v>0.0</v>
      </c>
      <c r="AJ1098" t="n">
        <v>0.0</v>
      </c>
      <c r="AK1098" t="inlineStr">
        <is>
          <t/>
        </is>
      </c>
      <c r="AL1098" t="inlineStr">
        <is>
          <t/>
        </is>
      </c>
    </row>
    <row r="1099">
      <c r="A1099" t="inlineStr">
        <is>
          <t>吃了一星期虾仁，才花了70元🥳</t>
        </is>
      </c>
      <c r="B1099" t="inlineStr">
        <is>
          <t>6a1fc5bf0000000008003111</t>
        </is>
      </c>
      <c r="C1099" s="1098" t="n">
        <f>HYPERLINK("https://www.xiaohongshu.com/explore/6a1fc5bf0000000008003111?xsec_token=TB6EZ8Y08PPqC5fHOGEZ2EHr2fhOPZP3cylBddpB-KwE0=&amp;xsec_source=pc_trdark","https://www.xiaohongshu.com/explore/6a1fc5bf0000000008003111?xsec_token=TB6EZ8Y08PPqC5fHOGEZ2EHr2fhOPZP3cylBddpB-KwE0=&amp;xsec_source=pc_trdark")</f>
        <v>0.0</v>
      </c>
      <c r="D1099" t="inlineStr">
        <is>
          <t>婉婉上班吃什么</t>
        </is>
      </c>
      <c r="E1099" t="inlineStr">
        <is>
          <t>11434449706</t>
        </is>
      </c>
      <c r="F1099" t="inlineStr">
        <is>
          <t>2026-06-03 14:12:15</t>
        </is>
      </c>
      <c r="G1099" t="inlineStr">
        <is>
          <t>图文</t>
        </is>
      </c>
      <c r="H1099" t="inlineStr">
        <is>
          <t>手剥虾仁 无冰衣无添加 低脂餐一人食 上班带饭 顺丰包邮 5盒装</t>
        </is>
      </c>
      <c r="I1099" t="inlineStr">
        <is>
          <t>694baba01d450d00013662f0</t>
        </is>
      </c>
      <c r="J1099" t="inlineStr">
        <is>
          <t/>
        </is>
      </c>
      <c r="K1099" t="n">
        <v>0.0</v>
      </c>
      <c r="L1099" t="n">
        <v>0.0</v>
      </c>
      <c r="M1099" t="n">
        <v>0.0</v>
      </c>
      <c r="N1099" t="inlineStr">
        <is>
          <t/>
        </is>
      </c>
      <c r="O1099" t="n">
        <v>0.0</v>
      </c>
      <c r="P1099" t="n">
        <v>0.0</v>
      </c>
      <c r="Q1099" t="inlineStr">
        <is>
          <t/>
        </is>
      </c>
      <c r="R1099" t="inlineStr">
        <is>
          <t/>
        </is>
      </c>
      <c r="S1099" t="n">
        <v>0.0</v>
      </c>
      <c r="T1099" t="n">
        <v>0.0</v>
      </c>
      <c r="U1099" t="n">
        <v>0.0</v>
      </c>
      <c r="V1099" t="n">
        <v>0.0</v>
      </c>
      <c r="W1099" t="inlineStr">
        <is>
          <t/>
        </is>
      </c>
      <c r="X1099" t="n">
        <v>0.0</v>
      </c>
      <c r="Y1099" t="n">
        <v>0.0</v>
      </c>
      <c r="Z1099" t="n">
        <v>0.0</v>
      </c>
      <c r="AA1099" t="n">
        <v>0.0</v>
      </c>
      <c r="AB1099" t="n">
        <v>0.0</v>
      </c>
      <c r="AC1099" t="n">
        <v>0.0</v>
      </c>
      <c r="AD1099" t="n">
        <v>0.0</v>
      </c>
      <c r="AE1099" t="n">
        <v>0.0</v>
      </c>
      <c r="AF1099" t="n">
        <v>0.0</v>
      </c>
      <c r="AG1099" t="n">
        <v>0.0</v>
      </c>
      <c r="AH1099" t="n">
        <v>0.0</v>
      </c>
      <c r="AI1099" t="n">
        <v>0.0</v>
      </c>
      <c r="AJ1099" t="n">
        <v>0.0</v>
      </c>
      <c r="AK1099" t="inlineStr">
        <is>
          <t/>
        </is>
      </c>
      <c r="AL1099" t="inlineStr">
        <is>
          <t/>
        </is>
      </c>
    </row>
    <row r="1100">
      <c r="A1100" t="inlineStr">
        <is>
          <t>年轻人真的别再低估100块的购买力了😭</t>
        </is>
      </c>
      <c r="B1100" t="inlineStr">
        <is>
          <t>6a1fbe70000000002103f467</t>
        </is>
      </c>
      <c r="C1100" s="1099" t="n">
        <f>HYPERLINK("https://www.xiaohongshu.com/explore/6a1fbe70000000002103f467?xsec_token=TB6EZ8Y08PPqC5fHOGEZ2EHlA1XhAH6YvWfEKKydAT4qI=&amp;xsec_source=pc_trdark","https://www.xiaohongshu.com/explore/6a1fbe70000000002103f467?xsec_token=TB6EZ8Y08PPqC5fHOGEZ2EHlA1XhAH6YvWfEKKydAT4qI=&amp;xsec_source=pc_trdark")</f>
        <v>0.0</v>
      </c>
      <c r="D1100" t="inlineStr">
        <is>
          <t>婉婉上班吃什么</t>
        </is>
      </c>
      <c r="E1100" t="inlineStr">
        <is>
          <t>11434449706</t>
        </is>
      </c>
      <c r="F1100" t="inlineStr">
        <is>
          <t>2026-06-03 13:41:04</t>
        </is>
      </c>
      <c r="G1100" t="inlineStr">
        <is>
          <t>图文</t>
        </is>
      </c>
      <c r="H1100" t="inlineStr">
        <is>
          <t>手剥虾仁 无冰衣无添加 低脂餐一人食 上班带饭 顺丰包邮 5盒装</t>
        </is>
      </c>
      <c r="I1100" t="inlineStr">
        <is>
          <t>694baba01d450d00013662f0</t>
        </is>
      </c>
      <c r="J1100" t="inlineStr">
        <is>
          <t/>
        </is>
      </c>
      <c r="K1100" t="n">
        <v>0.0</v>
      </c>
      <c r="L1100" t="n">
        <v>0.0</v>
      </c>
      <c r="M1100" t="n">
        <v>0.0</v>
      </c>
      <c r="N1100" t="inlineStr">
        <is>
          <t/>
        </is>
      </c>
      <c r="O1100" t="n">
        <v>0.0</v>
      </c>
      <c r="P1100" t="n">
        <v>0.0</v>
      </c>
      <c r="Q1100" t="inlineStr">
        <is>
          <t/>
        </is>
      </c>
      <c r="R1100" t="inlineStr">
        <is>
          <t/>
        </is>
      </c>
      <c r="S1100" t="n">
        <v>0.0</v>
      </c>
      <c r="T1100" t="n">
        <v>0.0</v>
      </c>
      <c r="U1100" t="n">
        <v>0.0</v>
      </c>
      <c r="V1100" t="n">
        <v>0.0</v>
      </c>
      <c r="W1100" t="inlineStr">
        <is>
          <t/>
        </is>
      </c>
      <c r="X1100" t="n">
        <v>0.0</v>
      </c>
      <c r="Y1100" t="n">
        <v>0.0</v>
      </c>
      <c r="Z1100" t="n">
        <v>0.0</v>
      </c>
      <c r="AA1100" t="n">
        <v>0.0</v>
      </c>
      <c r="AB1100" t="n">
        <v>0.0</v>
      </c>
      <c r="AC1100" t="n">
        <v>0.0</v>
      </c>
      <c r="AD1100" t="n">
        <v>0.0</v>
      </c>
      <c r="AE1100" t="n">
        <v>0.0</v>
      </c>
      <c r="AF1100" t="n">
        <v>0.0</v>
      </c>
      <c r="AG1100" t="n">
        <v>0.0</v>
      </c>
      <c r="AH1100" t="n">
        <v>0.0</v>
      </c>
      <c r="AI1100" t="n">
        <v>0.0</v>
      </c>
      <c r="AJ1100" t="n">
        <v>0.0</v>
      </c>
      <c r="AK1100" t="inlineStr">
        <is>
          <t/>
        </is>
      </c>
      <c r="AL1100" t="inlineStr">
        <is>
          <t/>
        </is>
      </c>
    </row>
    <row r="1101">
      <c r="A1101" t="inlineStr">
        <is>
          <t>控体期别饿自己，我靠虾仁撑下来了…</t>
        </is>
      </c>
      <c r="B1101" t="inlineStr">
        <is>
          <t>6a1f9dc6000000002202a34d</t>
        </is>
      </c>
      <c r="C1101" s="1100" t="n">
        <f>HYPERLINK("https://www.xiaohongshu.com/explore/6a1f9dc6000000002202a34d?xsec_token=TB6EZ8Y08PPqC5fHOGEZ2EHuYFjN6Uo9ayEpxlNiFoAFU=&amp;xsec_source=pc_trdark","https://www.xiaohongshu.com/explore/6a1f9dc6000000002202a34d?xsec_token=TB6EZ8Y08PPqC5fHOGEZ2EHuYFjN6Uo9ayEpxlNiFoAFU=&amp;xsec_source=pc_trdark")</f>
        <v>0.0</v>
      </c>
      <c r="D1101" t="inlineStr">
        <is>
          <t>鲜水湾甄选</t>
        </is>
      </c>
      <c r="E1101" t="inlineStr">
        <is>
          <t>27401929161</t>
        </is>
      </c>
      <c r="F1101" t="inlineStr">
        <is>
          <t>2026-06-03 11:21:42</t>
        </is>
      </c>
      <c r="G1101" t="inlineStr">
        <is>
          <t>图文</t>
        </is>
      </c>
      <c r="H1101" t="inlineStr">
        <is>
          <t>手剥虾仁 无冰衣无添加 低脂餐一人食 上班带饭 顺丰包邮 5盒装</t>
        </is>
      </c>
      <c r="I1101" t="inlineStr">
        <is>
          <t>694baba01d450d00013662f0</t>
        </is>
      </c>
      <c r="J1101" t="inlineStr">
        <is>
          <t/>
        </is>
      </c>
      <c r="K1101" t="n">
        <v>0.0</v>
      </c>
      <c r="L1101" t="n">
        <v>0.0</v>
      </c>
      <c r="M1101" t="n">
        <v>0.0</v>
      </c>
      <c r="N1101" t="inlineStr">
        <is>
          <t/>
        </is>
      </c>
      <c r="O1101" t="n">
        <v>0.0</v>
      </c>
      <c r="P1101" t="n">
        <v>0.0</v>
      </c>
      <c r="Q1101" t="inlineStr">
        <is>
          <t/>
        </is>
      </c>
      <c r="R1101" t="inlineStr">
        <is>
          <t/>
        </is>
      </c>
      <c r="S1101" t="n">
        <v>0.0</v>
      </c>
      <c r="T1101" t="n">
        <v>0.0</v>
      </c>
      <c r="U1101" t="n">
        <v>0.0</v>
      </c>
      <c r="V1101" t="n">
        <v>0.0</v>
      </c>
      <c r="W1101" t="inlineStr">
        <is>
          <t/>
        </is>
      </c>
      <c r="X1101" t="n">
        <v>0.0</v>
      </c>
      <c r="Y1101" t="n">
        <v>0.0</v>
      </c>
      <c r="Z1101" t="n">
        <v>0.0</v>
      </c>
      <c r="AA1101" t="n">
        <v>0.0</v>
      </c>
      <c r="AB1101" t="n">
        <v>0.0</v>
      </c>
      <c r="AC1101" t="n">
        <v>0.0</v>
      </c>
      <c r="AD1101" t="n">
        <v>0.0</v>
      </c>
      <c r="AE1101" t="n">
        <v>0.0</v>
      </c>
      <c r="AF1101" t="n">
        <v>0.0</v>
      </c>
      <c r="AG1101" t="n">
        <v>0.0</v>
      </c>
      <c r="AH1101" t="n">
        <v>0.0</v>
      </c>
      <c r="AI1101" t="n">
        <v>0.0</v>
      </c>
      <c r="AJ1101" t="n">
        <v>0.0</v>
      </c>
      <c r="AK1101" t="inlineStr">
        <is>
          <t/>
        </is>
      </c>
      <c r="AL1101" t="inlineStr">
        <is>
          <t/>
        </is>
      </c>
    </row>
    <row r="1102">
      <c r="A1102" t="inlineStr">
        <is>
          <t>控体期能持续掉秤，全靠吃的干净！</t>
        </is>
      </c>
      <c r="B1102" t="inlineStr">
        <is>
          <t>6a1f9ce400000000080277f0</t>
        </is>
      </c>
      <c r="C1102" s="1101" t="n">
        <f>HYPERLINK("https://www.xiaohongshu.com/explore/6a1f9ce400000000080277f0?xsec_token=TB6EZ8Y08PPqC5fHOGEZ2EHuHg0d8ooORf1cgFoSjRsxY=&amp;xsec_source=pc_trdark","https://www.xiaohongshu.com/explore/6a1f9ce400000000080277f0?xsec_token=TB6EZ8Y08PPqC5fHOGEZ2EHuHg0d8ooORf1cgFoSjRsxY=&amp;xsec_source=pc_trdark")</f>
        <v>0.0</v>
      </c>
      <c r="D1102" t="inlineStr">
        <is>
          <t>婉婉上班吃什么</t>
        </is>
      </c>
      <c r="E1102" t="inlineStr">
        <is>
          <t>11434449706</t>
        </is>
      </c>
      <c r="F1102" t="inlineStr">
        <is>
          <t>2026-06-03 11:17:56</t>
        </is>
      </c>
      <c r="G1102" t="inlineStr">
        <is>
          <t>图文</t>
        </is>
      </c>
      <c r="H1102" t="inlineStr">
        <is>
          <t>手剥虾仁 无冰衣无添加 低脂餐一人食 上班带饭 顺丰包邮 5盒装</t>
        </is>
      </c>
      <c r="I1102" t="inlineStr">
        <is>
          <t>694baba01d450d00013662f0</t>
        </is>
      </c>
      <c r="J1102" t="inlineStr">
        <is>
          <t/>
        </is>
      </c>
      <c r="K1102" t="n">
        <v>0.0</v>
      </c>
      <c r="L1102" t="n">
        <v>0.0</v>
      </c>
      <c r="M1102" t="n">
        <v>0.0</v>
      </c>
      <c r="N1102" t="inlineStr">
        <is>
          <t/>
        </is>
      </c>
      <c r="O1102" t="n">
        <v>0.0</v>
      </c>
      <c r="P1102" t="n">
        <v>0.0</v>
      </c>
      <c r="Q1102" t="inlineStr">
        <is>
          <t/>
        </is>
      </c>
      <c r="R1102" t="inlineStr">
        <is>
          <t/>
        </is>
      </c>
      <c r="S1102" t="n">
        <v>0.0</v>
      </c>
      <c r="T1102" t="n">
        <v>0.0</v>
      </c>
      <c r="U1102" t="n">
        <v>0.0</v>
      </c>
      <c r="V1102" t="n">
        <v>0.0</v>
      </c>
      <c r="W1102" t="inlineStr">
        <is>
          <t/>
        </is>
      </c>
      <c r="X1102" t="n">
        <v>0.0</v>
      </c>
      <c r="Y1102" t="n">
        <v>0.0</v>
      </c>
      <c r="Z1102" t="n">
        <v>0.0</v>
      </c>
      <c r="AA1102" t="n">
        <v>0.0</v>
      </c>
      <c r="AB1102" t="n">
        <v>0.0</v>
      </c>
      <c r="AC1102" t="n">
        <v>0.0</v>
      </c>
      <c r="AD1102" t="n">
        <v>0.0</v>
      </c>
      <c r="AE1102" t="n">
        <v>0.0</v>
      </c>
      <c r="AF1102" t="n">
        <v>0.0</v>
      </c>
      <c r="AG1102" t="n">
        <v>0.0</v>
      </c>
      <c r="AH1102" t="n">
        <v>0.0</v>
      </c>
      <c r="AI1102" t="n">
        <v>0.0</v>
      </c>
      <c r="AJ1102" t="n">
        <v>0.0</v>
      </c>
      <c r="AK1102" t="inlineStr">
        <is>
          <t/>
        </is>
      </c>
      <c r="AL1102" t="inlineStr">
        <is>
          <t/>
        </is>
      </c>
    </row>
    <row r="1103">
      <c r="A1103" t="inlineStr">
        <is>
          <t>独居3年，独立包装的虾仁救了我太多次🍤</t>
        </is>
      </c>
      <c r="B1103" t="inlineStr">
        <is>
          <t>6a1ecb730000000006023d28</t>
        </is>
      </c>
      <c r="C1103" s="1102" t="n">
        <f>HYPERLINK("https://www.xiaohongshu.com/explore/6a1ecb730000000006023d28?xsec_token=TB-3bUuyjb2g56J4RSha7EmhDSx1YB3Ek5eZdaEg-p9vs=&amp;xsec_source=pc_trdark","https://www.xiaohongshu.com/explore/6a1ecb730000000006023d28?xsec_token=TB-3bUuyjb2g56J4RSha7EmhDSx1YB3Ek5eZdaEg-p9vs=&amp;xsec_source=pc_trdark")</f>
        <v>0.0</v>
      </c>
      <c r="D1103" t="inlineStr">
        <is>
          <t>菲菲上班吃什么</t>
        </is>
      </c>
      <c r="E1103" t="inlineStr">
        <is>
          <t>49936530607</t>
        </is>
      </c>
      <c r="F1103" t="inlineStr">
        <is>
          <t>2026-06-02 21:49:00</t>
        </is>
      </c>
      <c r="G1103" t="inlineStr">
        <is>
          <t>图文</t>
        </is>
      </c>
      <c r="H1103" t="inlineStr">
        <is>
          <t>手剥虾仁 无冰衣无添加 低脂餐一人食 上班带饭 顺丰包邮 5盒装</t>
        </is>
      </c>
      <c r="I1103" t="inlineStr">
        <is>
          <t>694baba01d450d00013662f0</t>
        </is>
      </c>
      <c r="J1103" t="inlineStr">
        <is>
          <t/>
        </is>
      </c>
      <c r="K1103" t="n">
        <v>0.0</v>
      </c>
      <c r="L1103" t="n">
        <v>0.0</v>
      </c>
      <c r="M1103" t="n">
        <v>0.0</v>
      </c>
      <c r="N1103" t="inlineStr">
        <is>
          <t/>
        </is>
      </c>
      <c r="O1103" t="n">
        <v>0.0</v>
      </c>
      <c r="P1103" t="n">
        <v>0.0</v>
      </c>
      <c r="Q1103" t="inlineStr">
        <is>
          <t/>
        </is>
      </c>
      <c r="R1103" t="inlineStr">
        <is>
          <t/>
        </is>
      </c>
      <c r="S1103" t="n">
        <v>0.0</v>
      </c>
      <c r="T1103" t="n">
        <v>0.0</v>
      </c>
      <c r="U1103" t="n">
        <v>0.0</v>
      </c>
      <c r="V1103" t="n">
        <v>0.0</v>
      </c>
      <c r="W1103" t="inlineStr">
        <is>
          <t/>
        </is>
      </c>
      <c r="X1103" t="n">
        <v>0.0</v>
      </c>
      <c r="Y1103" t="n">
        <v>0.0</v>
      </c>
      <c r="Z1103" t="n">
        <v>0.0</v>
      </c>
      <c r="AA1103" t="n">
        <v>0.0</v>
      </c>
      <c r="AB1103" t="n">
        <v>0.0</v>
      </c>
      <c r="AC1103" t="n">
        <v>0.0</v>
      </c>
      <c r="AD1103" t="n">
        <v>0.0</v>
      </c>
      <c r="AE1103" t="n">
        <v>0.0</v>
      </c>
      <c r="AF1103" t="n">
        <v>0.0</v>
      </c>
      <c r="AG1103" t="n">
        <v>0.0</v>
      </c>
      <c r="AH1103" t="n">
        <v>0.0</v>
      </c>
      <c r="AI1103" t="n">
        <v>0.0</v>
      </c>
      <c r="AJ1103" t="n">
        <v>0.0</v>
      </c>
      <c r="AK1103" t="inlineStr">
        <is>
          <t/>
        </is>
      </c>
      <c r="AL1103" t="inlineStr">
        <is>
          <t/>
        </is>
      </c>
    </row>
    <row r="1104">
      <c r="A1104" t="inlineStr">
        <is>
          <t>‼️适合打工人的大虾出现了，请按箱囤！！！</t>
        </is>
      </c>
      <c r="B1104" t="inlineStr">
        <is>
          <t>6a1ecb24000000003503a05a</t>
        </is>
      </c>
      <c r="C1104" s="1103" t="n">
        <f>HYPERLINK("https://www.xiaohongshu.com/explore/6a1ecb24000000003503a05a?xsec_token=TB-3bUuyjb2g56J4RSha7Emk8NVTcVvhIaA4WHzMUemgw=&amp;xsec_source=pc_trdark","https://www.xiaohongshu.com/explore/6a1ecb24000000003503a05a?xsec_token=TB-3bUuyjb2g56J4RSha7Emk8NVTcVvhIaA4WHzMUemgw=&amp;xsec_source=pc_trdark")</f>
        <v>0.0</v>
      </c>
      <c r="D1104" t="inlineStr">
        <is>
          <t>鲜水湾甄选</t>
        </is>
      </c>
      <c r="E1104" t="inlineStr">
        <is>
          <t>27401929161</t>
        </is>
      </c>
      <c r="F1104" t="inlineStr">
        <is>
          <t>2026-06-02 21:22:00</t>
        </is>
      </c>
      <c r="G1104" t="inlineStr">
        <is>
          <t>图文</t>
        </is>
      </c>
      <c r="H1104" t="inlineStr">
        <is>
          <t>手剥虾仁 无冰衣无添加 低脂餐一人食 上班带饭 顺丰包邮 5盒装</t>
        </is>
      </c>
      <c r="I1104" t="inlineStr">
        <is>
          <t>694baba01d450d00013662f0</t>
        </is>
      </c>
      <c r="J1104" t="inlineStr">
        <is>
          <t/>
        </is>
      </c>
      <c r="K1104" t="n">
        <v>0.0</v>
      </c>
      <c r="L1104" t="n">
        <v>0.0</v>
      </c>
      <c r="M1104" t="n">
        <v>0.0</v>
      </c>
      <c r="N1104" t="inlineStr">
        <is>
          <t/>
        </is>
      </c>
      <c r="O1104" t="n">
        <v>0.0</v>
      </c>
      <c r="P1104" t="n">
        <v>0.0</v>
      </c>
      <c r="Q1104" t="inlineStr">
        <is>
          <t/>
        </is>
      </c>
      <c r="R1104" t="inlineStr">
        <is>
          <t/>
        </is>
      </c>
      <c r="S1104" t="n">
        <v>0.0</v>
      </c>
      <c r="T1104" t="n">
        <v>0.0</v>
      </c>
      <c r="U1104" t="n">
        <v>0.0</v>
      </c>
      <c r="V1104" t="n">
        <v>0.0</v>
      </c>
      <c r="W1104" t="inlineStr">
        <is>
          <t/>
        </is>
      </c>
      <c r="X1104" t="n">
        <v>0.0</v>
      </c>
      <c r="Y1104" t="n">
        <v>0.0</v>
      </c>
      <c r="Z1104" t="n">
        <v>0.0</v>
      </c>
      <c r="AA1104" t="n">
        <v>0.0</v>
      </c>
      <c r="AB1104" t="n">
        <v>0.0</v>
      </c>
      <c r="AC1104" t="n">
        <v>0.0</v>
      </c>
      <c r="AD1104" t="n">
        <v>0.0</v>
      </c>
      <c r="AE1104" t="n">
        <v>0.0</v>
      </c>
      <c r="AF1104" t="n">
        <v>0.0</v>
      </c>
      <c r="AG1104" t="n">
        <v>0.0</v>
      </c>
      <c r="AH1104" t="n">
        <v>0.0</v>
      </c>
      <c r="AI1104" t="n">
        <v>0.0</v>
      </c>
      <c r="AJ1104" t="n">
        <v>0.0</v>
      </c>
      <c r="AK1104" t="inlineStr">
        <is>
          <t/>
        </is>
      </c>
      <c r="AL1104" t="inlineStr">
        <is>
          <t/>
        </is>
      </c>
    </row>
    <row r="1105">
      <c r="A1105" t="inlineStr">
        <is>
          <t>减脂期标配！！！不到一杯奶茶钱！！！</t>
        </is>
      </c>
      <c r="B1105" t="inlineStr">
        <is>
          <t>6a1ecb080000000022021991</t>
        </is>
      </c>
      <c r="C1105" s="1104" t="n">
        <f>HYPERLINK("https://www.xiaohongshu.com/explore/6a1ecb080000000022021991?xsec_token=TB-3bUuyjb2g56J4RSha7Emrhoc-AKrCo2x4epdOi8gp4=&amp;xsec_source=pc_trdark","https://www.xiaohongshu.com/explore/6a1ecb080000000022021991?xsec_token=TB-3bUuyjb2g56J4RSha7Emrhoc-AKrCo2x4epdOi8gp4=&amp;xsec_source=pc_trdark")</f>
        <v>0.0</v>
      </c>
      <c r="D1105" t="inlineStr">
        <is>
          <t>鲜水湾甄选</t>
        </is>
      </c>
      <c r="E1105" t="inlineStr">
        <is>
          <t>27401929161</t>
        </is>
      </c>
      <c r="F1105" t="inlineStr">
        <is>
          <t>2026-06-02 20:22:32</t>
        </is>
      </c>
      <c r="G1105" t="inlineStr">
        <is>
          <t>图文</t>
        </is>
      </c>
      <c r="H1105" t="inlineStr">
        <is>
          <t>手剥虾仁 无冰衣无添加 低脂餐一人食 上班带饭 顺丰包邮 5盒装</t>
        </is>
      </c>
      <c r="I1105" t="inlineStr">
        <is>
          <t>694baba01d450d00013662f0</t>
        </is>
      </c>
      <c r="J1105" t="inlineStr">
        <is>
          <t/>
        </is>
      </c>
      <c r="K1105" t="n">
        <v>0.0</v>
      </c>
      <c r="L1105" t="n">
        <v>0.0</v>
      </c>
      <c r="M1105" t="n">
        <v>0.0</v>
      </c>
      <c r="N1105" t="inlineStr">
        <is>
          <t/>
        </is>
      </c>
      <c r="O1105" t="n">
        <v>0.0</v>
      </c>
      <c r="P1105" t="n">
        <v>0.0</v>
      </c>
      <c r="Q1105" t="inlineStr">
        <is>
          <t/>
        </is>
      </c>
      <c r="R1105" t="inlineStr">
        <is>
          <t/>
        </is>
      </c>
      <c r="S1105" t="n">
        <v>0.0</v>
      </c>
      <c r="T1105" t="n">
        <v>0.0</v>
      </c>
      <c r="U1105" t="n">
        <v>0.0</v>
      </c>
      <c r="V1105" t="n">
        <v>0.0</v>
      </c>
      <c r="W1105" t="inlineStr">
        <is>
          <t/>
        </is>
      </c>
      <c r="X1105" t="n">
        <v>0.0</v>
      </c>
      <c r="Y1105" t="n">
        <v>0.0</v>
      </c>
      <c r="Z1105" t="n">
        <v>0.0</v>
      </c>
      <c r="AA1105" t="n">
        <v>0.0</v>
      </c>
      <c r="AB1105" t="n">
        <v>0.0</v>
      </c>
      <c r="AC1105" t="n">
        <v>0.0</v>
      </c>
      <c r="AD1105" t="n">
        <v>0.0</v>
      </c>
      <c r="AE1105" t="n">
        <v>0.0</v>
      </c>
      <c r="AF1105" t="n">
        <v>0.0</v>
      </c>
      <c r="AG1105" t="n">
        <v>0.0</v>
      </c>
      <c r="AH1105" t="n">
        <v>0.0</v>
      </c>
      <c r="AI1105" t="n">
        <v>0.0</v>
      </c>
      <c r="AJ1105" t="n">
        <v>0.0</v>
      </c>
      <c r="AK1105" t="inlineStr">
        <is>
          <t/>
        </is>
      </c>
      <c r="AL1105" t="inlineStr">
        <is>
          <t/>
        </is>
      </c>
    </row>
    <row r="1106">
      <c r="A1106" t="inlineStr">
        <is>
          <t>同事看我天天吃虾，还以为我伙食开销很高😭</t>
        </is>
      </c>
      <c r="B1106" t="inlineStr">
        <is>
          <t>6a1ec2c7000000003501e950</t>
        </is>
      </c>
      <c r="C1106" s="1105" t="n">
        <f>HYPERLINK("https://www.xiaohongshu.com/explore/6a1ec2c7000000003501e950?xsec_token=TB-3bUuyjb2g56J4RSha7EmnuLCrqRQmdxTkHrzgpCxCg=&amp;xsec_source=pc_trdark","https://www.xiaohongshu.com/explore/6a1ec2c7000000003501e950?xsec_token=TB-3bUuyjb2g56J4RSha7EmnuLCrqRQmdxTkHrzgpCxCg=&amp;xsec_source=pc_trdark")</f>
        <v>0.0</v>
      </c>
      <c r="D1106" t="inlineStr">
        <is>
          <t>鲜水湾甄选</t>
        </is>
      </c>
      <c r="E1106" t="inlineStr">
        <is>
          <t>27401929161</t>
        </is>
      </c>
      <c r="F1106" t="inlineStr">
        <is>
          <t>2026-06-02 19:47:19</t>
        </is>
      </c>
      <c r="G1106" t="inlineStr">
        <is>
          <t>图文</t>
        </is>
      </c>
      <c r="H1106" t="inlineStr">
        <is>
          <t>手剥虾仁 无冰衣无添加 低脂餐一人食 上班带饭 顺丰包邮 5盒装</t>
        </is>
      </c>
      <c r="I1106" t="inlineStr">
        <is>
          <t>694baba01d450d00013662f0</t>
        </is>
      </c>
      <c r="J1106" t="inlineStr">
        <is>
          <t/>
        </is>
      </c>
      <c r="K1106" t="n">
        <v>0.0</v>
      </c>
      <c r="L1106" t="n">
        <v>0.0</v>
      </c>
      <c r="M1106" t="n">
        <v>0.0</v>
      </c>
      <c r="N1106" t="inlineStr">
        <is>
          <t/>
        </is>
      </c>
      <c r="O1106" t="n">
        <v>0.0</v>
      </c>
      <c r="P1106" t="n">
        <v>0.0</v>
      </c>
      <c r="Q1106" t="inlineStr">
        <is>
          <t/>
        </is>
      </c>
      <c r="R1106" t="inlineStr">
        <is>
          <t/>
        </is>
      </c>
      <c r="S1106" t="n">
        <v>0.0</v>
      </c>
      <c r="T1106" t="n">
        <v>0.0</v>
      </c>
      <c r="U1106" t="n">
        <v>0.0</v>
      </c>
      <c r="V1106" t="n">
        <v>0.0</v>
      </c>
      <c r="W1106" t="inlineStr">
        <is>
          <t/>
        </is>
      </c>
      <c r="X1106" t="n">
        <v>0.0</v>
      </c>
      <c r="Y1106" t="n">
        <v>0.0</v>
      </c>
      <c r="Z1106" t="n">
        <v>0.0</v>
      </c>
      <c r="AA1106" t="n">
        <v>0.0</v>
      </c>
      <c r="AB1106" t="n">
        <v>0.0</v>
      </c>
      <c r="AC1106" t="n">
        <v>0.0</v>
      </c>
      <c r="AD1106" t="n">
        <v>0.0</v>
      </c>
      <c r="AE1106" t="n">
        <v>0.0</v>
      </c>
      <c r="AF1106" t="n">
        <v>0.0</v>
      </c>
      <c r="AG1106" t="n">
        <v>0.0</v>
      </c>
      <c r="AH1106" t="n">
        <v>0.0</v>
      </c>
      <c r="AI1106" t="n">
        <v>0.0</v>
      </c>
      <c r="AJ1106" t="n">
        <v>0.0</v>
      </c>
      <c r="AK1106" t="inlineStr">
        <is>
          <t/>
        </is>
      </c>
      <c r="AL1106" t="inlineStr">
        <is>
          <t/>
        </is>
      </c>
    </row>
    <row r="1107">
      <c r="A1107" t="inlineStr">
        <is>
          <t>5年健身人！！！吃的干净真的会上瘾！！</t>
        </is>
      </c>
      <c r="B1107" t="inlineStr">
        <is>
          <t>6a1ebe4100000000070221e9</t>
        </is>
      </c>
      <c r="C1107" s="1106" t="n">
        <f>HYPERLINK("https://www.xiaohongshu.com/explore/6a1ebe4100000000070221e9?xsec_token=TB-3bUuyjb2g56J4RSha7EmiMmOkLg9fvAAQq184IINn0=&amp;xsec_source=pc_trdark","https://www.xiaohongshu.com/explore/6a1ebe4100000000070221e9?xsec_token=TB-3bUuyjb2g56J4RSha7EmiMmOkLg9fvAAQq184IINn0=&amp;xsec_source=pc_trdark")</f>
        <v>0.0</v>
      </c>
      <c r="D1107" t="inlineStr">
        <is>
          <t>菲菲上班吃什么</t>
        </is>
      </c>
      <c r="E1107" t="inlineStr">
        <is>
          <t>49936530607</t>
        </is>
      </c>
      <c r="F1107" t="inlineStr">
        <is>
          <t>2026-06-02 19:28:01</t>
        </is>
      </c>
      <c r="G1107" t="inlineStr">
        <is>
          <t>图文</t>
        </is>
      </c>
      <c r="H1107" t="inlineStr">
        <is>
          <t>手剥虾仁 无冰衣无添加 低脂餐一人食 上班带饭 顺丰包邮 5盒装</t>
        </is>
      </c>
      <c r="I1107" t="inlineStr">
        <is>
          <t>694baba01d450d00013662f0</t>
        </is>
      </c>
      <c r="J1107" t="inlineStr">
        <is>
          <t/>
        </is>
      </c>
      <c r="K1107" t="n">
        <v>0.0</v>
      </c>
      <c r="L1107" t="n">
        <v>0.0</v>
      </c>
      <c r="M1107" t="n">
        <v>0.0</v>
      </c>
      <c r="N1107" t="inlineStr">
        <is>
          <t/>
        </is>
      </c>
      <c r="O1107" t="n">
        <v>0.0</v>
      </c>
      <c r="P1107" t="n">
        <v>0.0</v>
      </c>
      <c r="Q1107" t="inlineStr">
        <is>
          <t/>
        </is>
      </c>
      <c r="R1107" t="inlineStr">
        <is>
          <t/>
        </is>
      </c>
      <c r="S1107" t="n">
        <v>0.0</v>
      </c>
      <c r="T1107" t="n">
        <v>0.0</v>
      </c>
      <c r="U1107" t="n">
        <v>0.0</v>
      </c>
      <c r="V1107" t="n">
        <v>0.0</v>
      </c>
      <c r="W1107" t="inlineStr">
        <is>
          <t/>
        </is>
      </c>
      <c r="X1107" t="n">
        <v>0.0</v>
      </c>
      <c r="Y1107" t="n">
        <v>0.0</v>
      </c>
      <c r="Z1107" t="n">
        <v>0.0</v>
      </c>
      <c r="AA1107" t="n">
        <v>0.0</v>
      </c>
      <c r="AB1107" t="n">
        <v>0.0</v>
      </c>
      <c r="AC1107" t="n">
        <v>0.0</v>
      </c>
      <c r="AD1107" t="n">
        <v>0.0</v>
      </c>
      <c r="AE1107" t="n">
        <v>0.0</v>
      </c>
      <c r="AF1107" t="n">
        <v>0.0</v>
      </c>
      <c r="AG1107" t="n">
        <v>0.0</v>
      </c>
      <c r="AH1107" t="n">
        <v>0.0</v>
      </c>
      <c r="AI1107" t="n">
        <v>0.0</v>
      </c>
      <c r="AJ1107" t="n">
        <v>0.0</v>
      </c>
      <c r="AK1107" t="inlineStr">
        <is>
          <t/>
        </is>
      </c>
      <c r="AL1107" t="inlineStr">
        <is>
          <t/>
        </is>
      </c>
    </row>
    <row r="1108">
      <c r="A1108" t="inlineStr">
        <is>
          <t>早八带饭党，早晨5分钟备餐全靠它！！！</t>
        </is>
      </c>
      <c r="B1108" t="inlineStr">
        <is>
          <t>6a1ea58300000000220211c9</t>
        </is>
      </c>
      <c r="C1108" s="1107" t="n">
        <f>HYPERLINK("https://www.xiaohongshu.com/explore/6a1ea58300000000220211c9?xsec_token=TB-3bUuyjb2g56J4RSha7EmuvZI7oa0YXGdxSVQUQsf_c=&amp;xsec_source=pc_trdark","https://www.xiaohongshu.com/explore/6a1ea58300000000220211c9?xsec_token=TB-3bUuyjb2g56J4RSha7EmuvZI7oa0YXGdxSVQUQsf_c=&amp;xsec_source=pc_trdark")</f>
        <v>0.0</v>
      </c>
      <c r="D1108" t="inlineStr">
        <is>
          <t>鲜水湾甄选</t>
        </is>
      </c>
      <c r="E1108" t="inlineStr">
        <is>
          <t>27401929161</t>
        </is>
      </c>
      <c r="F1108" t="inlineStr">
        <is>
          <t>2026-06-02 17:42:27</t>
        </is>
      </c>
      <c r="G1108" t="inlineStr">
        <is>
          <t>图文</t>
        </is>
      </c>
      <c r="H1108" t="inlineStr">
        <is>
          <t>手剥虾仁 无冰衣无添加 低脂餐一人食 上班带饭 顺丰包邮 5盒装</t>
        </is>
      </c>
      <c r="I1108" t="inlineStr">
        <is>
          <t>694baba01d450d00013662f0</t>
        </is>
      </c>
      <c r="J1108" t="inlineStr">
        <is>
          <t/>
        </is>
      </c>
      <c r="K1108" t="n">
        <v>0.0</v>
      </c>
      <c r="L1108" t="n">
        <v>0.0</v>
      </c>
      <c r="M1108" t="n">
        <v>0.0</v>
      </c>
      <c r="N1108" t="inlineStr">
        <is>
          <t/>
        </is>
      </c>
      <c r="O1108" t="n">
        <v>0.0</v>
      </c>
      <c r="P1108" t="n">
        <v>0.0</v>
      </c>
      <c r="Q1108" t="inlineStr">
        <is>
          <t/>
        </is>
      </c>
      <c r="R1108" t="inlineStr">
        <is>
          <t/>
        </is>
      </c>
      <c r="S1108" t="n">
        <v>0.0</v>
      </c>
      <c r="T1108" t="n">
        <v>0.0</v>
      </c>
      <c r="U1108" t="n">
        <v>0.0</v>
      </c>
      <c r="V1108" t="n">
        <v>0.0</v>
      </c>
      <c r="W1108" t="inlineStr">
        <is>
          <t/>
        </is>
      </c>
      <c r="X1108" t="n">
        <v>0.0</v>
      </c>
      <c r="Y1108" t="n">
        <v>0.0</v>
      </c>
      <c r="Z1108" t="n">
        <v>0.0</v>
      </c>
      <c r="AA1108" t="n">
        <v>0.0</v>
      </c>
      <c r="AB1108" t="n">
        <v>0.0</v>
      </c>
      <c r="AC1108" t="n">
        <v>0.0</v>
      </c>
      <c r="AD1108" t="n">
        <v>0.0</v>
      </c>
      <c r="AE1108" t="n">
        <v>0.0</v>
      </c>
      <c r="AF1108" t="n">
        <v>0.0</v>
      </c>
      <c r="AG1108" t="n">
        <v>0.0</v>
      </c>
      <c r="AH1108" t="n">
        <v>0.0</v>
      </c>
      <c r="AI1108" t="n">
        <v>0.0</v>
      </c>
      <c r="AJ1108" t="n">
        <v>0.0</v>
      </c>
      <c r="AK1108" t="inlineStr">
        <is>
          <t/>
        </is>
      </c>
      <c r="AL1108" t="inlineStr">
        <is>
          <t/>
        </is>
      </c>
    </row>
    <row r="1109">
      <c r="A1109" t="inlineStr">
        <is>
          <t>看似复杂，其实香煎三文鱼真的不难</t>
        </is>
      </c>
      <c r="B1109" t="inlineStr">
        <is>
          <t>6a1e98ad0000000007011a09</t>
        </is>
      </c>
      <c r="C1109" s="1108" t="n">
        <f>HYPERLINK("https://www.xiaohongshu.com/explore/6a1e98ad0000000007011a09?xsec_token=TB-3bUuyjb2g56J4RSha7EmpCOea4d3odTfHu3rXzvaHQ=&amp;xsec_source=pc_trdark","https://www.xiaohongshu.com/explore/6a1e98ad0000000007011a09?xsec_token=TB-3bUuyjb2g56J4RSha7EmpCOea4d3odTfHu3rXzvaHQ=&amp;xsec_source=pc_trdark")</f>
        <v>0.0</v>
      </c>
      <c r="D1109" t="inlineStr">
        <is>
          <t>鲜水湾</t>
        </is>
      </c>
      <c r="E1109" t="inlineStr">
        <is>
          <t>49316638994</t>
        </is>
      </c>
      <c r="F1109" t="inlineStr">
        <is>
          <t>2026-06-02 16:47:41</t>
        </is>
      </c>
      <c r="G1109" t="inlineStr">
        <is>
          <t>图文</t>
        </is>
      </c>
      <c r="H1109" t="inlineStr">
        <is>
          <t>智利三文鱼切块·整条三文鱼·深海鱼一人食健康饮食</t>
        </is>
      </c>
      <c r="I1109" t="inlineStr">
        <is>
          <t>691ac562a524ee0001b51d7b</t>
        </is>
      </c>
      <c r="J1109" t="inlineStr">
        <is>
          <t/>
        </is>
      </c>
      <c r="K1109" t="n">
        <v>0.0</v>
      </c>
      <c r="L1109" t="n">
        <v>0.0</v>
      </c>
      <c r="M1109" t="n">
        <v>0.0</v>
      </c>
      <c r="N1109" t="inlineStr">
        <is>
          <t/>
        </is>
      </c>
      <c r="O1109" t="n">
        <v>0.0</v>
      </c>
      <c r="P1109" t="n">
        <v>0.0</v>
      </c>
      <c r="Q1109" t="inlineStr">
        <is>
          <t/>
        </is>
      </c>
      <c r="R1109" t="inlineStr">
        <is>
          <t/>
        </is>
      </c>
      <c r="S1109" t="n">
        <v>0.0</v>
      </c>
      <c r="T1109" t="n">
        <v>0.0</v>
      </c>
      <c r="U1109" t="n">
        <v>0.0</v>
      </c>
      <c r="V1109" t="n">
        <v>0.0</v>
      </c>
      <c r="W1109" t="inlineStr">
        <is>
          <t/>
        </is>
      </c>
      <c r="X1109" t="n">
        <v>0.0</v>
      </c>
      <c r="Y1109" t="n">
        <v>0.0</v>
      </c>
      <c r="Z1109" t="n">
        <v>0.0</v>
      </c>
      <c r="AA1109" t="n">
        <v>0.0</v>
      </c>
      <c r="AB1109" t="n">
        <v>0.0</v>
      </c>
      <c r="AC1109" t="n">
        <v>0.0</v>
      </c>
      <c r="AD1109" t="n">
        <v>0.0</v>
      </c>
      <c r="AE1109" t="n">
        <v>0.0</v>
      </c>
      <c r="AF1109" t="n">
        <v>0.0</v>
      </c>
      <c r="AG1109" t="n">
        <v>0.0</v>
      </c>
      <c r="AH1109" t="n">
        <v>0.0</v>
      </c>
      <c r="AI1109" t="n">
        <v>0.0</v>
      </c>
      <c r="AJ1109" t="n">
        <v>0.0</v>
      </c>
      <c r="AK1109" t="inlineStr">
        <is>
          <t/>
        </is>
      </c>
      <c r="AL1109" t="inlineStr">
        <is>
          <t/>
        </is>
      </c>
    </row>
    <row r="1110">
      <c r="A1110" t="inlineStr">
        <is>
          <t>300多囤够了一个月的减脂餐</t>
        </is>
      </c>
      <c r="B1110" t="inlineStr">
        <is>
          <t>6a1e959a000000002101a0f0</t>
        </is>
      </c>
      <c r="C1110" s="1109" t="n">
        <f>HYPERLINK("https://www.xiaohongshu.com/explore/6a1e959a000000002101a0f0?xsec_token=TB-3bUuyjb2g56J4RSha7EmnrdhEnN1qznZ8KjKjKJYrQ=&amp;xsec_source=pc_trdark","https://www.xiaohongshu.com/explore/6a1e959a000000002101a0f0?xsec_token=TB-3bUuyjb2g56J4RSha7EmnrdhEnN1qznZ8KjKjKJYrQ=&amp;xsec_source=pc_trdark")</f>
        <v>0.0</v>
      </c>
      <c r="D1110" t="inlineStr">
        <is>
          <t>鲜水湾</t>
        </is>
      </c>
      <c r="E1110" t="inlineStr">
        <is>
          <t>49316638994</t>
        </is>
      </c>
      <c r="F1110" t="inlineStr">
        <is>
          <t>2026-06-02 16:34:34</t>
        </is>
      </c>
      <c r="G1110" t="inlineStr">
        <is>
          <t>图文</t>
        </is>
      </c>
      <c r="H1110" t="inlineStr">
        <is>
          <t>智利三文鱼切块·整条三文鱼·深海鱼一人食健康饮食</t>
        </is>
      </c>
      <c r="I1110" t="inlineStr">
        <is>
          <t>691ac562a524ee0001b51d7b</t>
        </is>
      </c>
      <c r="J1110" t="inlineStr">
        <is>
          <t/>
        </is>
      </c>
      <c r="K1110" t="n">
        <v>0.0</v>
      </c>
      <c r="L1110" t="n">
        <v>0.0</v>
      </c>
      <c r="M1110" t="n">
        <v>0.0</v>
      </c>
      <c r="N1110" t="inlineStr">
        <is>
          <t/>
        </is>
      </c>
      <c r="O1110" t="n">
        <v>0.0</v>
      </c>
      <c r="P1110" t="n">
        <v>0.0</v>
      </c>
      <c r="Q1110" t="inlineStr">
        <is>
          <t/>
        </is>
      </c>
      <c r="R1110" t="inlineStr">
        <is>
          <t/>
        </is>
      </c>
      <c r="S1110" t="n">
        <v>0.0</v>
      </c>
      <c r="T1110" t="n">
        <v>0.0</v>
      </c>
      <c r="U1110" t="n">
        <v>0.0</v>
      </c>
      <c r="V1110" t="n">
        <v>0.0</v>
      </c>
      <c r="W1110" t="inlineStr">
        <is>
          <t/>
        </is>
      </c>
      <c r="X1110" t="n">
        <v>0.0</v>
      </c>
      <c r="Y1110" t="n">
        <v>0.0</v>
      </c>
      <c r="Z1110" t="n">
        <v>0.0</v>
      </c>
      <c r="AA1110" t="n">
        <v>0.0</v>
      </c>
      <c r="AB1110" t="n">
        <v>0.0</v>
      </c>
      <c r="AC1110" t="n">
        <v>0.0</v>
      </c>
      <c r="AD1110" t="n">
        <v>0.0</v>
      </c>
      <c r="AE1110" t="n">
        <v>0.0</v>
      </c>
      <c r="AF1110" t="n">
        <v>0.0</v>
      </c>
      <c r="AG1110" t="n">
        <v>0.0</v>
      </c>
      <c r="AH1110" t="n">
        <v>0.0</v>
      </c>
      <c r="AI1110" t="n">
        <v>0.0</v>
      </c>
      <c r="AJ1110" t="n">
        <v>0.0</v>
      </c>
      <c r="AK1110" t="inlineStr">
        <is>
          <t/>
        </is>
      </c>
      <c r="AL1110" t="inlineStr">
        <is>
          <t/>
        </is>
      </c>
    </row>
    <row r="1111">
      <c r="A1111" t="inlineStr">
        <is>
          <t>减脂期别再吃水煮西兰花了🍤全靠虾仁！！</t>
        </is>
      </c>
      <c r="B1111" t="inlineStr">
        <is>
          <t>6a1e640c0000000006032802</t>
        </is>
      </c>
      <c r="C1111" s="1110" t="n">
        <f>HYPERLINK("https://www.xiaohongshu.com/explore/6a1e640c0000000006032802?xsec_token=TB-3bUuyjb2g56J4RSha7EmhhArs1dGsqG3UyWxcslHcA=&amp;xsec_source=pc_trdark","https://www.xiaohongshu.com/explore/6a1e640c0000000006032802?xsec_token=TB-3bUuyjb2g56J4RSha7EmhhArs1dGsqG3UyWxcslHcA=&amp;xsec_source=pc_trdark")</f>
        <v>0.0</v>
      </c>
      <c r="D1111" t="inlineStr">
        <is>
          <t>菲菲上班吃什么</t>
        </is>
      </c>
      <c r="E1111" t="inlineStr">
        <is>
          <t>49936530607</t>
        </is>
      </c>
      <c r="F1111" t="inlineStr">
        <is>
          <t>2026-06-02 13:03:08</t>
        </is>
      </c>
      <c r="G1111" t="inlineStr">
        <is>
          <t>图文</t>
        </is>
      </c>
      <c r="H1111" t="inlineStr">
        <is>
          <t>手剥虾仁 无冰衣无添加 低脂餐一人食 上班带饭 顺丰包邮 5盒装</t>
        </is>
      </c>
      <c r="I1111" t="inlineStr">
        <is>
          <t>694baba01d450d00013662f0</t>
        </is>
      </c>
      <c r="J1111" t="inlineStr">
        <is>
          <t/>
        </is>
      </c>
      <c r="K1111" t="n">
        <v>0.0</v>
      </c>
      <c r="L1111" t="n">
        <v>0.0</v>
      </c>
      <c r="M1111" t="n">
        <v>0.0</v>
      </c>
      <c r="N1111" t="inlineStr">
        <is>
          <t/>
        </is>
      </c>
      <c r="O1111" t="n">
        <v>0.0</v>
      </c>
      <c r="P1111" t="n">
        <v>0.0</v>
      </c>
      <c r="Q1111" t="inlineStr">
        <is>
          <t/>
        </is>
      </c>
      <c r="R1111" t="inlineStr">
        <is>
          <t/>
        </is>
      </c>
      <c r="S1111" t="n">
        <v>0.0</v>
      </c>
      <c r="T1111" t="n">
        <v>0.0</v>
      </c>
      <c r="U1111" t="n">
        <v>0.0</v>
      </c>
      <c r="V1111" t="n">
        <v>0.0</v>
      </c>
      <c r="W1111" t="inlineStr">
        <is>
          <t/>
        </is>
      </c>
      <c r="X1111" t="n">
        <v>0.0</v>
      </c>
      <c r="Y1111" t="n">
        <v>0.0</v>
      </c>
      <c r="Z1111" t="n">
        <v>0.0</v>
      </c>
      <c r="AA1111" t="n">
        <v>0.0</v>
      </c>
      <c r="AB1111" t="n">
        <v>0.0</v>
      </c>
      <c r="AC1111" t="n">
        <v>0.0</v>
      </c>
      <c r="AD1111" t="n">
        <v>0.0</v>
      </c>
      <c r="AE1111" t="n">
        <v>0.0</v>
      </c>
      <c r="AF1111" t="n">
        <v>0.0</v>
      </c>
      <c r="AG1111" t="n">
        <v>0.0</v>
      </c>
      <c r="AH1111" t="n">
        <v>0.0</v>
      </c>
      <c r="AI1111" t="n">
        <v>0.0</v>
      </c>
      <c r="AJ1111" t="n">
        <v>0.0</v>
      </c>
      <c r="AK1111" t="inlineStr">
        <is>
          <t/>
        </is>
      </c>
      <c r="AL1111" t="inlineStr">
        <is>
          <t/>
        </is>
      </c>
    </row>
    <row r="1112">
      <c r="A1112" t="inlineStr">
        <is>
          <t>算了，和你们点外卖的说不清楚🥲</t>
        </is>
      </c>
      <c r="B1112" t="inlineStr">
        <is>
          <t>6a1e453c00000000220182a3</t>
        </is>
      </c>
      <c r="C1112" s="1111" t="n">
        <f>HYPERLINK("https://www.xiaohongshu.com/explore/6a1e453c00000000220182a3?xsec_token=TB-3bUuyjb2g56J4RSha7Emu0x6gZO0sHEge5tlrEdyBA=&amp;xsec_source=pc_trdark","https://www.xiaohongshu.com/explore/6a1e453c00000000220182a3?xsec_token=TB-3bUuyjb2g56J4RSha7Emu0x6gZO0sHEge5tlrEdyBA=&amp;xsec_source=pc_trdark")</f>
        <v>0.0</v>
      </c>
      <c r="D1112" t="inlineStr">
        <is>
          <t>鲜水湾甄选</t>
        </is>
      </c>
      <c r="E1112" t="inlineStr">
        <is>
          <t>27401929161</t>
        </is>
      </c>
      <c r="F1112" t="inlineStr">
        <is>
          <t>2026-06-02 10:51:40</t>
        </is>
      </c>
      <c r="G1112" t="inlineStr">
        <is>
          <t>图文</t>
        </is>
      </c>
      <c r="H1112" t="inlineStr">
        <is>
          <t>手剥虾仁 无冰衣无添加 低脂餐一人食 上班带饭 顺丰包邮 5盒装</t>
        </is>
      </c>
      <c r="I1112" t="inlineStr">
        <is>
          <t>694baba01d450d00013662f0</t>
        </is>
      </c>
      <c r="J1112" t="inlineStr">
        <is>
          <t/>
        </is>
      </c>
      <c r="K1112" t="n">
        <v>0.0</v>
      </c>
      <c r="L1112" t="n">
        <v>0.0</v>
      </c>
      <c r="M1112" t="n">
        <v>0.0</v>
      </c>
      <c r="N1112" t="inlineStr">
        <is>
          <t/>
        </is>
      </c>
      <c r="O1112" t="n">
        <v>0.0</v>
      </c>
      <c r="P1112" t="n">
        <v>0.0</v>
      </c>
      <c r="Q1112" t="inlineStr">
        <is>
          <t/>
        </is>
      </c>
      <c r="R1112" t="inlineStr">
        <is>
          <t/>
        </is>
      </c>
      <c r="S1112" t="n">
        <v>0.0</v>
      </c>
      <c r="T1112" t="n">
        <v>0.0</v>
      </c>
      <c r="U1112" t="n">
        <v>0.0</v>
      </c>
      <c r="V1112" t="n">
        <v>0.0</v>
      </c>
      <c r="W1112" t="inlineStr">
        <is>
          <t/>
        </is>
      </c>
      <c r="X1112" t="n">
        <v>0.0</v>
      </c>
      <c r="Y1112" t="n">
        <v>0.0</v>
      </c>
      <c r="Z1112" t="n">
        <v>0.0</v>
      </c>
      <c r="AA1112" t="n">
        <v>0.0</v>
      </c>
      <c r="AB1112" t="n">
        <v>0.0</v>
      </c>
      <c r="AC1112" t="n">
        <v>0.0</v>
      </c>
      <c r="AD1112" t="n">
        <v>0.0</v>
      </c>
      <c r="AE1112" t="n">
        <v>0.0</v>
      </c>
      <c r="AF1112" t="n">
        <v>0.0</v>
      </c>
      <c r="AG1112" t="n">
        <v>0.0</v>
      </c>
      <c r="AH1112" t="n">
        <v>0.0</v>
      </c>
      <c r="AI1112" t="n">
        <v>0.0</v>
      </c>
      <c r="AJ1112" t="n">
        <v>0.0</v>
      </c>
      <c r="AK1112" t="inlineStr">
        <is>
          <t/>
        </is>
      </c>
      <c r="AL1112" t="inlineStr">
        <is>
          <t/>
        </is>
      </c>
    </row>
    <row r="1113">
      <c r="A1113" t="inlineStr">
        <is>
          <t>这也太适合减脂了吧😂刷剧嘴馋也不怕胖！</t>
        </is>
      </c>
      <c r="B1113" t="inlineStr">
        <is>
          <t>6a1e40b70000000008032e29</t>
        </is>
      </c>
      <c r="C1113" s="1112" t="n">
        <f>HYPERLINK("https://www.xiaohongshu.com/explore/6a1e40b70000000008032e29?xsec_token=TB-3bUuyjb2g56J4RSha7EmoAcFNYPGRhWasyINKCCdxA=&amp;xsec_source=pc_trdark","https://www.xiaohongshu.com/explore/6a1e40b70000000008032e29?xsec_token=TB-3bUuyjb2g56J4RSha7EmoAcFNYPGRhWasyINKCCdxA=&amp;xsec_source=pc_trdark")</f>
        <v>0.0</v>
      </c>
      <c r="D1113" t="inlineStr">
        <is>
          <t>婉婉上班吃什么</t>
        </is>
      </c>
      <c r="E1113" t="inlineStr">
        <is>
          <t>11434449706</t>
        </is>
      </c>
      <c r="F1113" t="inlineStr">
        <is>
          <t>2026-06-02 10:32:23</t>
        </is>
      </c>
      <c r="G1113" t="inlineStr">
        <is>
          <t>图文</t>
        </is>
      </c>
      <c r="H1113" t="inlineStr">
        <is>
          <t>手剥虾仁 无冰衣无添加 低脂餐一人食 上班带饭 顺丰包邮 5盒装</t>
        </is>
      </c>
      <c r="I1113" t="inlineStr">
        <is>
          <t>694baba01d450d00013662f0</t>
        </is>
      </c>
      <c r="J1113" t="inlineStr">
        <is>
          <t/>
        </is>
      </c>
      <c r="K1113" t="n">
        <v>0.0</v>
      </c>
      <c r="L1113" t="n">
        <v>0.0</v>
      </c>
      <c r="M1113" t="n">
        <v>0.0</v>
      </c>
      <c r="N1113" t="inlineStr">
        <is>
          <t/>
        </is>
      </c>
      <c r="O1113" t="n">
        <v>0.0</v>
      </c>
      <c r="P1113" t="n">
        <v>0.0</v>
      </c>
      <c r="Q1113" t="inlineStr">
        <is>
          <t/>
        </is>
      </c>
      <c r="R1113" t="inlineStr">
        <is>
          <t/>
        </is>
      </c>
      <c r="S1113" t="n">
        <v>0.0</v>
      </c>
      <c r="T1113" t="n">
        <v>0.0</v>
      </c>
      <c r="U1113" t="n">
        <v>0.0</v>
      </c>
      <c r="V1113" t="n">
        <v>0.0</v>
      </c>
      <c r="W1113" t="inlineStr">
        <is>
          <t/>
        </is>
      </c>
      <c r="X1113" t="n">
        <v>0.0</v>
      </c>
      <c r="Y1113" t="n">
        <v>0.0</v>
      </c>
      <c r="Z1113" t="n">
        <v>0.0</v>
      </c>
      <c r="AA1113" t="n">
        <v>0.0</v>
      </c>
      <c r="AB1113" t="n">
        <v>0.0</v>
      </c>
      <c r="AC1113" t="n">
        <v>0.0</v>
      </c>
      <c r="AD1113" t="n">
        <v>0.0</v>
      </c>
      <c r="AE1113" t="n">
        <v>0.0</v>
      </c>
      <c r="AF1113" t="n">
        <v>0.0</v>
      </c>
      <c r="AG1113" t="n">
        <v>0.0</v>
      </c>
      <c r="AH1113" t="n">
        <v>0.0</v>
      </c>
      <c r="AI1113" t="n">
        <v>0.0</v>
      </c>
      <c r="AJ1113" t="n">
        <v>0.0</v>
      </c>
      <c r="AK1113" t="inlineStr">
        <is>
          <t/>
        </is>
      </c>
      <c r="AL1113" t="inlineStr">
        <is>
          <t/>
        </is>
      </c>
    </row>
    <row r="1114">
      <c r="A1114" t="inlineStr">
        <is>
          <t>独居后才懂，虾仁真是囤货神器！！！！</t>
        </is>
      </c>
      <c r="B1114" t="inlineStr">
        <is>
          <t>6a1e3ae2000000000702d1eb</t>
        </is>
      </c>
      <c r="C1114" s="1113" t="n">
        <f>HYPERLINK("https://www.xiaohongshu.com/explore/6a1e3ae2000000000702d1eb?xsec_token=TB-3bUuyjb2g56J4RSha7EmqY1GZLSGdIqQTwkraatio8=&amp;xsec_source=pc_trdark","https://www.xiaohongshu.com/explore/6a1e3ae2000000000702d1eb?xsec_token=TB-3bUuyjb2g56J4RSha7EmqY1GZLSGdIqQTwkraatio8=&amp;xsec_source=pc_trdark")</f>
        <v>0.0</v>
      </c>
      <c r="D1114" t="inlineStr">
        <is>
          <t>菲菲上班吃什么</t>
        </is>
      </c>
      <c r="E1114" t="inlineStr">
        <is>
          <t>49936530607</t>
        </is>
      </c>
      <c r="F1114" t="inlineStr">
        <is>
          <t>2026-06-02 10:07:30</t>
        </is>
      </c>
      <c r="G1114" t="inlineStr">
        <is>
          <t>图文</t>
        </is>
      </c>
      <c r="H1114" t="inlineStr">
        <is>
          <t>手剥虾仁 无冰衣无添加 低脂餐一人食 上班带饭 顺丰包邮 5盒装</t>
        </is>
      </c>
      <c r="I1114" t="inlineStr">
        <is>
          <t>694baba01d450d00013662f0</t>
        </is>
      </c>
      <c r="J1114" t="inlineStr">
        <is>
          <t/>
        </is>
      </c>
      <c r="K1114" t="n">
        <v>0.0</v>
      </c>
      <c r="L1114" t="n">
        <v>0.0</v>
      </c>
      <c r="M1114" t="n">
        <v>0.0</v>
      </c>
      <c r="N1114" t="inlineStr">
        <is>
          <t/>
        </is>
      </c>
      <c r="O1114" t="n">
        <v>0.0</v>
      </c>
      <c r="P1114" t="n">
        <v>0.0</v>
      </c>
      <c r="Q1114" t="inlineStr">
        <is>
          <t/>
        </is>
      </c>
      <c r="R1114" t="inlineStr">
        <is>
          <t/>
        </is>
      </c>
      <c r="S1114" t="n">
        <v>0.0</v>
      </c>
      <c r="T1114" t="n">
        <v>0.0</v>
      </c>
      <c r="U1114" t="n">
        <v>0.0</v>
      </c>
      <c r="V1114" t="n">
        <v>0.0</v>
      </c>
      <c r="W1114" t="inlineStr">
        <is>
          <t/>
        </is>
      </c>
      <c r="X1114" t="n">
        <v>0.0</v>
      </c>
      <c r="Y1114" t="n">
        <v>0.0</v>
      </c>
      <c r="Z1114" t="n">
        <v>0.0</v>
      </c>
      <c r="AA1114" t="n">
        <v>0.0</v>
      </c>
      <c r="AB1114" t="n">
        <v>0.0</v>
      </c>
      <c r="AC1114" t="n">
        <v>0.0</v>
      </c>
      <c r="AD1114" t="n">
        <v>0.0</v>
      </c>
      <c r="AE1114" t="n">
        <v>0.0</v>
      </c>
      <c r="AF1114" t="n">
        <v>0.0</v>
      </c>
      <c r="AG1114" t="n">
        <v>0.0</v>
      </c>
      <c r="AH1114" t="n">
        <v>0.0</v>
      </c>
      <c r="AI1114" t="n">
        <v>0.0</v>
      </c>
      <c r="AJ1114" t="n">
        <v>0.0</v>
      </c>
      <c r="AK1114" t="inlineStr">
        <is>
          <t/>
        </is>
      </c>
      <c r="AL1114" t="inlineStr">
        <is>
          <t/>
        </is>
      </c>
    </row>
    <row r="1115">
      <c r="A1115" t="inlineStr">
        <is>
          <t>儿子吃过一次后…决定早餐就它了！！！</t>
        </is>
      </c>
      <c r="B1115" t="inlineStr">
        <is>
          <t>6a1d68af0000000008027147</t>
        </is>
      </c>
      <c r="C1115" s="1114" t="n">
        <f>HYPERLINK("https://www.xiaohongshu.com/explore/6a1d68af0000000008027147?xsec_token=TB9kCrU1OKj1OYrarOG6c5h1yWIe7ETb6ero_oRZwDmuQ=&amp;xsec_source=pc_trdark","https://www.xiaohongshu.com/explore/6a1d68af0000000008027147?xsec_token=TB9kCrU1OKj1OYrarOG6c5h1yWIe7ETb6ero_oRZwDmuQ=&amp;xsec_source=pc_trdark")</f>
        <v>0.0</v>
      </c>
      <c r="D1115" t="inlineStr">
        <is>
          <t>菲菲上班吃什么</t>
        </is>
      </c>
      <c r="E1115" t="inlineStr">
        <is>
          <t>49936530607</t>
        </is>
      </c>
      <c r="F1115" t="inlineStr">
        <is>
          <t>2026-06-01 19:10:39</t>
        </is>
      </c>
      <c r="G1115" t="inlineStr">
        <is>
          <t>图文</t>
        </is>
      </c>
      <c r="H1115" t="inlineStr">
        <is>
          <t>手剥虾仁 无冰衣无添加 低脂餐一人食 上班带饭 顺丰包邮 5盒装</t>
        </is>
      </c>
      <c r="I1115" t="inlineStr">
        <is>
          <t>694baba01d450d00013662f0</t>
        </is>
      </c>
      <c r="J1115" t="inlineStr">
        <is>
          <t/>
        </is>
      </c>
      <c r="K1115" t="n">
        <v>0.0</v>
      </c>
      <c r="L1115" t="n">
        <v>0.0</v>
      </c>
      <c r="M1115" t="n">
        <v>0.0</v>
      </c>
      <c r="N1115" t="inlineStr">
        <is>
          <t/>
        </is>
      </c>
      <c r="O1115" t="n">
        <v>0.0</v>
      </c>
      <c r="P1115" t="n">
        <v>0.0</v>
      </c>
      <c r="Q1115" t="inlineStr">
        <is>
          <t/>
        </is>
      </c>
      <c r="R1115" t="inlineStr">
        <is>
          <t/>
        </is>
      </c>
      <c r="S1115" t="n">
        <v>0.0</v>
      </c>
      <c r="T1115" t="n">
        <v>0.0</v>
      </c>
      <c r="U1115" t="n">
        <v>0.0</v>
      </c>
      <c r="V1115" t="n">
        <v>0.0</v>
      </c>
      <c r="W1115" t="inlineStr">
        <is>
          <t/>
        </is>
      </c>
      <c r="X1115" t="n">
        <v>0.0</v>
      </c>
      <c r="Y1115" t="n">
        <v>0.0</v>
      </c>
      <c r="Z1115" t="n">
        <v>0.0</v>
      </c>
      <c r="AA1115" t="n">
        <v>0.0</v>
      </c>
      <c r="AB1115" t="n">
        <v>0.0</v>
      </c>
      <c r="AC1115" t="n">
        <v>0.0</v>
      </c>
      <c r="AD1115" t="n">
        <v>0.0</v>
      </c>
      <c r="AE1115" t="n">
        <v>0.0</v>
      </c>
      <c r="AF1115" t="n">
        <v>0.0</v>
      </c>
      <c r="AG1115" t="n">
        <v>0.0</v>
      </c>
      <c r="AH1115" t="n">
        <v>0.0</v>
      </c>
      <c r="AI1115" t="n">
        <v>0.0</v>
      </c>
      <c r="AJ1115" t="n">
        <v>0.0</v>
      </c>
      <c r="AK1115" t="inlineStr">
        <is>
          <t/>
        </is>
      </c>
      <c r="AL1115" t="inlineStr">
        <is>
          <t/>
        </is>
      </c>
    </row>
    <row r="1116">
      <c r="A1116" t="inlineStr">
        <is>
          <t>直观展示一下 100 元的购买力！！！！</t>
        </is>
      </c>
      <c r="B1116" t="inlineStr">
        <is>
          <t>6a1d3fd90000000006036f55</t>
        </is>
      </c>
      <c r="C1116" s="1115" t="n">
        <f>HYPERLINK("https://www.xiaohongshu.com/explore/6a1d3fd90000000006036f55?xsec_token=TB9kCrU1OKj1OYrarOG6c5h6JI4xDfqhmHWzQHdyawRlI=&amp;xsec_source=pc_trdark","https://www.xiaohongshu.com/explore/6a1d3fd90000000006036f55?xsec_token=TB9kCrU1OKj1OYrarOG6c5h6JI4xDfqhmHWzQHdyawRlI=&amp;xsec_source=pc_trdark")</f>
        <v>0.0</v>
      </c>
      <c r="D1116" t="inlineStr">
        <is>
          <t>菲菲上班吃什么</t>
        </is>
      </c>
      <c r="E1116" t="inlineStr">
        <is>
          <t>49936530607</t>
        </is>
      </c>
      <c r="F1116" t="inlineStr">
        <is>
          <t>2026-06-01 16:16:25</t>
        </is>
      </c>
      <c r="G1116" t="inlineStr">
        <is>
          <t>图文</t>
        </is>
      </c>
      <c r="H1116" t="inlineStr">
        <is>
          <t>手剥虾仁 无冰衣无添加 低脂餐一人食 上班带饭 顺丰包邮 5盒装</t>
        </is>
      </c>
      <c r="I1116" t="inlineStr">
        <is>
          <t>694baba01d450d00013662f0</t>
        </is>
      </c>
      <c r="J1116" t="inlineStr">
        <is>
          <t/>
        </is>
      </c>
      <c r="K1116" t="n">
        <v>0.0</v>
      </c>
      <c r="L1116" t="n">
        <v>0.0</v>
      </c>
      <c r="M1116" t="n">
        <v>0.0</v>
      </c>
      <c r="N1116" t="inlineStr">
        <is>
          <t/>
        </is>
      </c>
      <c r="O1116" t="n">
        <v>0.0</v>
      </c>
      <c r="P1116" t="n">
        <v>0.0</v>
      </c>
      <c r="Q1116" t="inlineStr">
        <is>
          <t/>
        </is>
      </c>
      <c r="R1116" t="inlineStr">
        <is>
          <t/>
        </is>
      </c>
      <c r="S1116" t="n">
        <v>0.0</v>
      </c>
      <c r="T1116" t="n">
        <v>0.0</v>
      </c>
      <c r="U1116" t="n">
        <v>0.0</v>
      </c>
      <c r="V1116" t="n">
        <v>0.0</v>
      </c>
      <c r="W1116" t="inlineStr">
        <is>
          <t/>
        </is>
      </c>
      <c r="X1116" t="n">
        <v>0.0</v>
      </c>
      <c r="Y1116" t="n">
        <v>0.0</v>
      </c>
      <c r="Z1116" t="n">
        <v>0.0</v>
      </c>
      <c r="AA1116" t="n">
        <v>0.0</v>
      </c>
      <c r="AB1116" t="n">
        <v>0.0</v>
      </c>
      <c r="AC1116" t="n">
        <v>0.0</v>
      </c>
      <c r="AD1116" t="n">
        <v>0.0</v>
      </c>
      <c r="AE1116" t="n">
        <v>0.0</v>
      </c>
      <c r="AF1116" t="n">
        <v>0.0</v>
      </c>
      <c r="AG1116" t="n">
        <v>0.0</v>
      </c>
      <c r="AH1116" t="n">
        <v>0.0</v>
      </c>
      <c r="AI1116" t="n">
        <v>0.0</v>
      </c>
      <c r="AJ1116" t="n">
        <v>0.0</v>
      </c>
      <c r="AK1116" t="inlineStr">
        <is>
          <t/>
        </is>
      </c>
      <c r="AL1116" t="inlineStr">
        <is>
          <t/>
        </is>
      </c>
    </row>
    <row r="1117">
      <c r="A1117" t="inlineStr">
        <is>
          <t>不是…这玩意减脂期吃太香了吧！！！</t>
        </is>
      </c>
      <c r="B1117" t="inlineStr">
        <is>
          <t>6a1cee580000000006032d93</t>
        </is>
      </c>
      <c r="C1117" s="1116" t="n">
        <f>HYPERLINK("https://www.xiaohongshu.com/explore/6a1cee580000000006032d93?xsec_token=TBI-GQfdF0uIK8olRzilz5G8qp-TndOmBFdxXKBSJxSfI=&amp;xsec_source=pc_trdark","https://www.xiaohongshu.com/explore/6a1cee580000000006032d93?xsec_token=TBI-GQfdF0uIK8olRzilz5G8qp-TndOmBFdxXKBSJxSfI=&amp;xsec_source=pc_trdark")</f>
        <v>0.0</v>
      </c>
      <c r="D1117" t="inlineStr">
        <is>
          <t>菲菲上班吃什么</t>
        </is>
      </c>
      <c r="E1117" t="inlineStr">
        <is>
          <t>49936530607</t>
        </is>
      </c>
      <c r="F1117" t="inlineStr">
        <is>
          <t>2026-06-01 10:28:40</t>
        </is>
      </c>
      <c r="G1117" t="inlineStr">
        <is>
          <t>图文</t>
        </is>
      </c>
      <c r="H1117" t="inlineStr">
        <is>
          <t>手剥虾仁 无冰衣无添加 低脂餐一人食 上班带饭 顺丰包邮 5盒装</t>
        </is>
      </c>
      <c r="I1117" t="inlineStr">
        <is>
          <t>694baba01d450d00013662f0</t>
        </is>
      </c>
      <c r="J1117" t="inlineStr">
        <is>
          <t/>
        </is>
      </c>
      <c r="K1117" t="n">
        <v>0.0</v>
      </c>
      <c r="L1117" t="n">
        <v>0.0</v>
      </c>
      <c r="M1117" t="n">
        <v>0.0</v>
      </c>
      <c r="N1117" t="inlineStr">
        <is>
          <t/>
        </is>
      </c>
      <c r="O1117" t="n">
        <v>0.0</v>
      </c>
      <c r="P1117" t="n">
        <v>0.0</v>
      </c>
      <c r="Q1117" t="inlineStr">
        <is>
          <t/>
        </is>
      </c>
      <c r="R1117" t="inlineStr">
        <is>
          <t/>
        </is>
      </c>
      <c r="S1117" t="n">
        <v>0.0</v>
      </c>
      <c r="T1117" t="n">
        <v>0.0</v>
      </c>
      <c r="U1117" t="n">
        <v>0.0</v>
      </c>
      <c r="V1117" t="n">
        <v>0.0</v>
      </c>
      <c r="W1117" t="inlineStr">
        <is>
          <t/>
        </is>
      </c>
      <c r="X1117" t="n">
        <v>0.0</v>
      </c>
      <c r="Y1117" t="n">
        <v>0.0</v>
      </c>
      <c r="Z1117" t="n">
        <v>0.0</v>
      </c>
      <c r="AA1117" t="n">
        <v>0.0</v>
      </c>
      <c r="AB1117" t="n">
        <v>0.0</v>
      </c>
      <c r="AC1117" t="n">
        <v>0.0</v>
      </c>
      <c r="AD1117" t="n">
        <v>0.0</v>
      </c>
      <c r="AE1117" t="n">
        <v>0.0</v>
      </c>
      <c r="AF1117" t="n">
        <v>0.0</v>
      </c>
      <c r="AG1117" t="n">
        <v>0.0</v>
      </c>
      <c r="AH1117" t="n">
        <v>0.0</v>
      </c>
      <c r="AI1117" t="n">
        <v>0.0</v>
      </c>
      <c r="AJ1117" t="n">
        <v>0.0</v>
      </c>
      <c r="AK1117" t="inlineStr">
        <is>
          <t/>
        </is>
      </c>
      <c r="AL1117" t="inlineStr">
        <is>
          <t/>
        </is>
      </c>
    </row>
    <row r="1118">
      <c r="A1118" t="inlineStr">
        <is>
          <t>打工人带饭被它轻松拿捏……</t>
        </is>
      </c>
      <c r="B1118" t="inlineStr">
        <is>
          <t>6a1ce86f000000003501f30c</t>
        </is>
      </c>
      <c r="C1118" s="1117" t="n">
        <f>HYPERLINK("https://www.xiaohongshu.com/explore/6a1ce86f000000003501f30c?xsec_token=TBI-GQfdF0uIK8olRzilz5G6qz4gm7mERIWPfrY5eC1pw=&amp;xsec_source=pc_trdark","https://www.xiaohongshu.com/explore/6a1ce86f000000003501f30c?xsec_token=TBI-GQfdF0uIK8olRzilz5G6qz4gm7mERIWPfrY5eC1pw=&amp;xsec_source=pc_trdark")</f>
        <v>0.0</v>
      </c>
      <c r="D1118" t="inlineStr">
        <is>
          <t>鲜水湾甄选</t>
        </is>
      </c>
      <c r="E1118" t="inlineStr">
        <is>
          <t>27401929161</t>
        </is>
      </c>
      <c r="F1118" t="inlineStr">
        <is>
          <t>2026-06-01 10:03:27</t>
        </is>
      </c>
      <c r="G1118" t="inlineStr">
        <is>
          <t>图文</t>
        </is>
      </c>
      <c r="H1118" t="inlineStr">
        <is>
          <t>手剥虾仁 无冰衣无添加 低脂餐一人食 上班带饭 顺丰包邮 5盒装</t>
        </is>
      </c>
      <c r="I1118" t="inlineStr">
        <is>
          <t>694baba01d450d00013662f0</t>
        </is>
      </c>
      <c r="J1118" t="inlineStr">
        <is>
          <t/>
        </is>
      </c>
      <c r="K1118" t="n">
        <v>0.0</v>
      </c>
      <c r="L1118" t="n">
        <v>0.0</v>
      </c>
      <c r="M1118" t="n">
        <v>0.0</v>
      </c>
      <c r="N1118" t="inlineStr">
        <is>
          <t/>
        </is>
      </c>
      <c r="O1118" t="n">
        <v>0.0</v>
      </c>
      <c r="P1118" t="n">
        <v>0.0</v>
      </c>
      <c r="Q1118" t="inlineStr">
        <is>
          <t/>
        </is>
      </c>
      <c r="R1118" t="inlineStr">
        <is>
          <t/>
        </is>
      </c>
      <c r="S1118" t="n">
        <v>0.0</v>
      </c>
      <c r="T1118" t="n">
        <v>0.0</v>
      </c>
      <c r="U1118" t="n">
        <v>0.0</v>
      </c>
      <c r="V1118" t="n">
        <v>0.0</v>
      </c>
      <c r="W1118" t="inlineStr">
        <is>
          <t/>
        </is>
      </c>
      <c r="X1118" t="n">
        <v>0.0</v>
      </c>
      <c r="Y1118" t="n">
        <v>0.0</v>
      </c>
      <c r="Z1118" t="n">
        <v>0.0</v>
      </c>
      <c r="AA1118" t="n">
        <v>0.0</v>
      </c>
      <c r="AB1118" t="n">
        <v>0.0</v>
      </c>
      <c r="AC1118" t="n">
        <v>0.0</v>
      </c>
      <c r="AD1118" t="n">
        <v>0.0</v>
      </c>
      <c r="AE1118" t="n">
        <v>0.0</v>
      </c>
      <c r="AF1118" t="n">
        <v>0.0</v>
      </c>
      <c r="AG1118" t="n">
        <v>0.0</v>
      </c>
      <c r="AH1118" t="n">
        <v>0.0</v>
      </c>
      <c r="AI1118" t="n">
        <v>0.0</v>
      </c>
      <c r="AJ1118" t="n">
        <v>0.0</v>
      </c>
      <c r="AK1118" t="inlineStr">
        <is>
          <t/>
        </is>
      </c>
      <c r="AL1118" t="inlineStr">
        <is>
          <t/>
        </is>
      </c>
    </row>
    <row r="1119">
      <c r="A1119" t="inlineStr">
        <is>
          <t>听客户说处理虾太烦，连夜改了独立小包装</t>
        </is>
      </c>
      <c r="B1119" t="inlineStr">
        <is>
          <t>6a1c352800000000080276ee</t>
        </is>
      </c>
      <c r="C1119" s="1118" t="n">
        <f>HYPERLINK("https://www.xiaohongshu.com/explore/6a1c352800000000080276ee?xsec_token=TBI-GQfdF0uIK8olRzilz5Gyo0PI_P3UoGS3-C6puCP6Q=&amp;xsec_source=pc_trdark","https://www.xiaohongshu.com/explore/6a1c352800000000080276ee?xsec_token=TBI-GQfdF0uIK8olRzilz5Gyo0PI_P3UoGS3-C6puCP6Q=&amp;xsec_source=pc_trdark")</f>
        <v>0.0</v>
      </c>
      <c r="D1119" t="inlineStr">
        <is>
          <t>鲜水湾</t>
        </is>
      </c>
      <c r="E1119" t="inlineStr">
        <is>
          <t>49316638994</t>
        </is>
      </c>
      <c r="F1119" t="inlineStr">
        <is>
          <t>2026-05-31 21:18:32</t>
        </is>
      </c>
      <c r="G1119" t="inlineStr">
        <is>
          <t>图文</t>
        </is>
      </c>
      <c r="H1119" t="inlineStr">
        <is>
          <t>手剥虾仁 无冰衣无添加 低脂餐一人食 上班带饭 顺丰包邮 5盒装</t>
        </is>
      </c>
      <c r="I1119" t="inlineStr">
        <is>
          <t>694baba01d450d00013662f0</t>
        </is>
      </c>
      <c r="J1119" t="inlineStr">
        <is>
          <t/>
        </is>
      </c>
      <c r="K1119" t="n">
        <v>0.0</v>
      </c>
      <c r="L1119" t="n">
        <v>0.0</v>
      </c>
      <c r="M1119" t="n">
        <v>0.0</v>
      </c>
      <c r="N1119" t="inlineStr">
        <is>
          <t/>
        </is>
      </c>
      <c r="O1119" t="n">
        <v>0.0</v>
      </c>
      <c r="P1119" t="n">
        <v>0.0</v>
      </c>
      <c r="Q1119" t="inlineStr">
        <is>
          <t/>
        </is>
      </c>
      <c r="R1119" t="inlineStr">
        <is>
          <t/>
        </is>
      </c>
      <c r="S1119" t="n">
        <v>0.0</v>
      </c>
      <c r="T1119" t="n">
        <v>0.0</v>
      </c>
      <c r="U1119" t="n">
        <v>0.0</v>
      </c>
      <c r="V1119" t="n">
        <v>0.0</v>
      </c>
      <c r="W1119" t="inlineStr">
        <is>
          <t/>
        </is>
      </c>
      <c r="X1119" t="n">
        <v>0.0</v>
      </c>
      <c r="Y1119" t="n">
        <v>0.0</v>
      </c>
      <c r="Z1119" t="n">
        <v>0.0</v>
      </c>
      <c r="AA1119" t="n">
        <v>0.0</v>
      </c>
      <c r="AB1119" t="n">
        <v>0.0</v>
      </c>
      <c r="AC1119" t="n">
        <v>0.0</v>
      </c>
      <c r="AD1119" t="n">
        <v>0.0</v>
      </c>
      <c r="AE1119" t="n">
        <v>0.0</v>
      </c>
      <c r="AF1119" t="n">
        <v>0.0</v>
      </c>
      <c r="AG1119" t="n">
        <v>0.0</v>
      </c>
      <c r="AH1119" t="n">
        <v>0.0</v>
      </c>
      <c r="AI1119" t="n">
        <v>0.0</v>
      </c>
      <c r="AJ1119" t="n">
        <v>0.0</v>
      </c>
      <c r="AK1119" t="inlineStr">
        <is>
          <t/>
        </is>
      </c>
      <c r="AL1119" t="inlineStr">
        <is>
          <t/>
        </is>
      </c>
    </row>
    <row r="1120">
      <c r="A1120" t="inlineStr">
        <is>
          <t>独居党囤虾仁太香了！！！！！</t>
        </is>
      </c>
      <c r="B1120" t="inlineStr">
        <is>
          <t>6a1b8e26000000000803df95</t>
        </is>
      </c>
      <c r="C1120" s="1119" t="n">
        <f>HYPERLINK("https://www.xiaohongshu.com/explore/6a1b8e26000000000803df95?xsec_token=TBF7t7Ss6PcQwfvVd_HEa4BPRdQl7Ot5Hz_WvQBCdjSNo=&amp;xsec_source=pc_trdark","https://www.xiaohongshu.com/explore/6a1b8e26000000000803df95?xsec_token=TBF7t7Ss6PcQwfvVd_HEa4BPRdQl7Ot5Hz_WvQBCdjSNo=&amp;xsec_source=pc_trdark")</f>
        <v>0.0</v>
      </c>
      <c r="D1120" t="inlineStr">
        <is>
          <t>菲菲上班吃什么</t>
        </is>
      </c>
      <c r="E1120" t="inlineStr">
        <is>
          <t>49936530607</t>
        </is>
      </c>
      <c r="F1120" t="inlineStr">
        <is>
          <t>2026-05-31 18:25:00</t>
        </is>
      </c>
      <c r="G1120" t="inlineStr">
        <is>
          <t>视频</t>
        </is>
      </c>
      <c r="H1120" t="inlineStr">
        <is>
          <t>手剥虾仁 无冰衣无添加 低脂餐一人食 上班带饭 顺丰包邮 5盒装</t>
        </is>
      </c>
      <c r="I1120" t="inlineStr">
        <is>
          <t>694baba01d450d00013662f0</t>
        </is>
      </c>
      <c r="J1120" t="n">
        <v>20.0</v>
      </c>
      <c r="K1120" t="n">
        <v>0.0</v>
      </c>
      <c r="L1120" t="n">
        <v>0.0</v>
      </c>
      <c r="M1120" t="n">
        <v>0.0</v>
      </c>
      <c r="N1120" t="inlineStr">
        <is>
          <t/>
        </is>
      </c>
      <c r="O1120" t="n">
        <v>0.0</v>
      </c>
      <c r="P1120" t="n">
        <v>0.0</v>
      </c>
      <c r="Q1120" t="inlineStr">
        <is>
          <t/>
        </is>
      </c>
      <c r="R1120" t="inlineStr">
        <is>
          <t/>
        </is>
      </c>
      <c r="S1120" t="n">
        <v>0.0</v>
      </c>
      <c r="T1120" t="n">
        <v>0.0</v>
      </c>
      <c r="U1120" t="n">
        <v>0.0</v>
      </c>
      <c r="V1120" t="n">
        <v>0.0</v>
      </c>
      <c r="W1120" t="inlineStr">
        <is>
          <t/>
        </is>
      </c>
      <c r="X1120" t="n">
        <v>0.0</v>
      </c>
      <c r="Y1120" t="n">
        <v>0.0</v>
      </c>
      <c r="Z1120" t="n">
        <v>0.0</v>
      </c>
      <c r="AA1120" t="n">
        <v>0.0</v>
      </c>
      <c r="AB1120" t="n">
        <v>0.0</v>
      </c>
      <c r="AC1120" t="n">
        <v>0.0</v>
      </c>
      <c r="AD1120" t="n">
        <v>0.0</v>
      </c>
      <c r="AE1120" t="n">
        <v>0.0</v>
      </c>
      <c r="AF1120" t="n">
        <v>0.0</v>
      </c>
      <c r="AG1120" t="n">
        <v>0.0</v>
      </c>
      <c r="AH1120" t="n">
        <v>0.0</v>
      </c>
      <c r="AI1120" t="n">
        <v>0.0</v>
      </c>
      <c r="AJ1120" t="n">
        <v>0.0</v>
      </c>
      <c r="AK1120" t="inlineStr">
        <is>
          <t/>
        </is>
      </c>
      <c r="AL1120" t="inlineStr">
        <is>
          <t/>
        </is>
      </c>
    </row>
    <row r="1121">
      <c r="A1121" t="inlineStr">
        <is>
          <t>不敢相信😱100块承包了我十顿轻食餐</t>
        </is>
      </c>
      <c r="B1121" t="inlineStr">
        <is>
          <t>6a1b8ddb0000000007025cc0</t>
        </is>
      </c>
      <c r="C1121" s="1120" t="n">
        <f>HYPERLINK("https://www.xiaohongshu.com/explore/6a1b8ddb0000000007025cc0?xsec_token=TBF7t7Ss6PcQwfvVd_HEa4BAFTpgZhc7NFxVec8aisD88=&amp;xsec_source=pc_trdark","https://www.xiaohongshu.com/explore/6a1b8ddb0000000007025cc0?xsec_token=TBF7t7Ss6PcQwfvVd_HEa4BAFTpgZhc7NFxVec8aisD88=&amp;xsec_source=pc_trdark")</f>
        <v>0.0</v>
      </c>
      <c r="D1121" t="inlineStr">
        <is>
          <t>菲菲上班吃什么</t>
        </is>
      </c>
      <c r="E1121" t="inlineStr">
        <is>
          <t>49936530607</t>
        </is>
      </c>
      <c r="F1121" t="inlineStr">
        <is>
          <t>2026-05-31 14:36:00</t>
        </is>
      </c>
      <c r="G1121" t="inlineStr">
        <is>
          <t>图文</t>
        </is>
      </c>
      <c r="H1121" t="inlineStr">
        <is>
          <t>手剥虾仁 无冰衣无添加 低脂餐一人食 上班带饭 顺丰包邮 5盒装</t>
        </is>
      </c>
      <c r="I1121" t="inlineStr">
        <is>
          <t>694baba01d450d00013662f0</t>
        </is>
      </c>
      <c r="J1121" t="inlineStr">
        <is>
          <t/>
        </is>
      </c>
      <c r="K1121" t="n">
        <v>0.0</v>
      </c>
      <c r="L1121" t="n">
        <v>0.0</v>
      </c>
      <c r="M1121" t="n">
        <v>0.0</v>
      </c>
      <c r="N1121" t="inlineStr">
        <is>
          <t/>
        </is>
      </c>
      <c r="O1121" t="n">
        <v>0.0</v>
      </c>
      <c r="P1121" t="n">
        <v>0.0</v>
      </c>
      <c r="Q1121" t="inlineStr">
        <is>
          <t/>
        </is>
      </c>
      <c r="R1121" t="inlineStr">
        <is>
          <t/>
        </is>
      </c>
      <c r="S1121" t="n">
        <v>0.0</v>
      </c>
      <c r="T1121" t="n">
        <v>0.0</v>
      </c>
      <c r="U1121" t="n">
        <v>0.0</v>
      </c>
      <c r="V1121" t="n">
        <v>0.0</v>
      </c>
      <c r="W1121" t="inlineStr">
        <is>
          <t/>
        </is>
      </c>
      <c r="X1121" t="n">
        <v>0.0</v>
      </c>
      <c r="Y1121" t="n">
        <v>0.0</v>
      </c>
      <c r="Z1121" t="n">
        <v>0.0</v>
      </c>
      <c r="AA1121" t="n">
        <v>0.0</v>
      </c>
      <c r="AB1121" t="n">
        <v>0.0</v>
      </c>
      <c r="AC1121" t="n">
        <v>0.0</v>
      </c>
      <c r="AD1121" t="n">
        <v>0.0</v>
      </c>
      <c r="AE1121" t="n">
        <v>0.0</v>
      </c>
      <c r="AF1121" t="n">
        <v>0.0</v>
      </c>
      <c r="AG1121" t="n">
        <v>0.0</v>
      </c>
      <c r="AH1121" t="n">
        <v>0.0</v>
      </c>
      <c r="AI1121" t="n">
        <v>0.0</v>
      </c>
      <c r="AJ1121" t="n">
        <v>0.0</v>
      </c>
      <c r="AK1121" t="inlineStr">
        <is>
          <t/>
        </is>
      </c>
      <c r="AL1121" t="inlineStr">
        <is>
          <t/>
        </is>
      </c>
    </row>
    <row r="1122">
      <c r="A1122" t="inlineStr">
        <is>
          <t>夏日减脂真不贵，69承包我一周减脂餐！</t>
        </is>
      </c>
      <c r="B1122" t="inlineStr">
        <is>
          <t>6a1b8d8c00000000060320a4</t>
        </is>
      </c>
      <c r="C1122" s="1121" t="n">
        <f>HYPERLINK("https://www.xiaohongshu.com/explore/6a1b8d8c00000000060320a4?xsec_token=TBF7t7Ss6PcQwfvVd_HEa4BM1G_mZ1raoGYFij8d6hdts=&amp;xsec_source=pc_trdark","https://www.xiaohongshu.com/explore/6a1b8d8c00000000060320a4?xsec_token=TBF7t7Ss6PcQwfvVd_HEa4BM1G_mZ1raoGYFij8d6hdts=&amp;xsec_source=pc_trdark")</f>
        <v>0.0</v>
      </c>
      <c r="D1122" t="inlineStr">
        <is>
          <t>菲菲上班吃什么</t>
        </is>
      </c>
      <c r="E1122" t="inlineStr">
        <is>
          <t>49936530607</t>
        </is>
      </c>
      <c r="F1122" t="inlineStr">
        <is>
          <t>2026-05-31 10:23:00</t>
        </is>
      </c>
      <c r="G1122" t="inlineStr">
        <is>
          <t>图文</t>
        </is>
      </c>
      <c r="H1122" t="inlineStr">
        <is>
          <t>手剥虾仁 无冰衣无添加 低脂餐一人食 上班带饭 顺丰包邮 5盒装</t>
        </is>
      </c>
      <c r="I1122" t="inlineStr">
        <is>
          <t>694baba01d450d00013662f0</t>
        </is>
      </c>
      <c r="J1122" t="inlineStr">
        <is>
          <t/>
        </is>
      </c>
      <c r="K1122" t="n">
        <v>0.0</v>
      </c>
      <c r="L1122" t="n">
        <v>0.0</v>
      </c>
      <c r="M1122" t="n">
        <v>0.0</v>
      </c>
      <c r="N1122" t="inlineStr">
        <is>
          <t/>
        </is>
      </c>
      <c r="O1122" t="n">
        <v>0.0</v>
      </c>
      <c r="P1122" t="n">
        <v>0.0</v>
      </c>
      <c r="Q1122" t="inlineStr">
        <is>
          <t/>
        </is>
      </c>
      <c r="R1122" t="inlineStr">
        <is>
          <t/>
        </is>
      </c>
      <c r="S1122" t="n">
        <v>0.0</v>
      </c>
      <c r="T1122" t="n">
        <v>0.0</v>
      </c>
      <c r="U1122" t="n">
        <v>0.0</v>
      </c>
      <c r="V1122" t="n">
        <v>0.0</v>
      </c>
      <c r="W1122" t="inlineStr">
        <is>
          <t/>
        </is>
      </c>
      <c r="X1122" t="n">
        <v>0.0</v>
      </c>
      <c r="Y1122" t="n">
        <v>0.0</v>
      </c>
      <c r="Z1122" t="n">
        <v>0.0</v>
      </c>
      <c r="AA1122" t="n">
        <v>0.0</v>
      </c>
      <c r="AB1122" t="n">
        <v>0.0</v>
      </c>
      <c r="AC1122" t="n">
        <v>0.0</v>
      </c>
      <c r="AD1122" t="n">
        <v>0.0</v>
      </c>
      <c r="AE1122" t="n">
        <v>0.0</v>
      </c>
      <c r="AF1122" t="n">
        <v>0.0</v>
      </c>
      <c r="AG1122" t="n">
        <v>0.0</v>
      </c>
      <c r="AH1122" t="n">
        <v>0.0</v>
      </c>
      <c r="AI1122" t="n">
        <v>0.0</v>
      </c>
      <c r="AJ1122" t="n">
        <v>0.0</v>
      </c>
      <c r="AK1122" t="inlineStr">
        <is>
          <t/>
        </is>
      </c>
      <c r="AL1122" t="inlineStr">
        <is>
          <t/>
        </is>
      </c>
    </row>
    <row r="1123">
      <c r="A1123" t="inlineStr">
        <is>
          <t>早八打工人带饭省太多了😭</t>
        </is>
      </c>
      <c r="B1123" t="inlineStr">
        <is>
          <t>6a1b8c4600000000350278d0</t>
        </is>
      </c>
      <c r="C1123" s="1122" t="n">
        <f>HYPERLINK("https://www.xiaohongshu.com/explore/6a1b8c4600000000350278d0?xsec_token=TBF7t7Ss6PcQwfvVd_HEa4BAxW4jKE2SnzsyaslM9iC2w=&amp;xsec_source=pc_trdark","https://www.xiaohongshu.com/explore/6a1b8c4600000000350278d0?xsec_token=TBF7t7Ss6PcQwfvVd_HEa4BAxW4jKE2SnzsyaslM9iC2w=&amp;xsec_source=pc_trdark")</f>
        <v>0.0</v>
      </c>
      <c r="D1123" t="inlineStr">
        <is>
          <t>鲜水湾甄选</t>
        </is>
      </c>
      <c r="E1123" t="inlineStr">
        <is>
          <t>27401929161</t>
        </is>
      </c>
      <c r="F1123" t="inlineStr">
        <is>
          <t>2026-05-31 11:40:00</t>
        </is>
      </c>
      <c r="G1123" t="inlineStr">
        <is>
          <t>图文</t>
        </is>
      </c>
      <c r="H1123" t="inlineStr">
        <is>
          <t>手剥虾仁 无冰衣无添加 低脂餐一人食 上班带饭 顺丰包邮 5盒装</t>
        </is>
      </c>
      <c r="I1123" t="inlineStr">
        <is>
          <t>694baba01d450d00013662f0</t>
        </is>
      </c>
      <c r="J1123" t="inlineStr">
        <is>
          <t/>
        </is>
      </c>
      <c r="K1123" t="n">
        <v>0.0</v>
      </c>
      <c r="L1123" t="n">
        <v>0.0</v>
      </c>
      <c r="M1123" t="n">
        <v>0.0</v>
      </c>
      <c r="N1123" t="inlineStr">
        <is>
          <t/>
        </is>
      </c>
      <c r="O1123" t="n">
        <v>0.0</v>
      </c>
      <c r="P1123" t="n">
        <v>0.0</v>
      </c>
      <c r="Q1123" t="inlineStr">
        <is>
          <t/>
        </is>
      </c>
      <c r="R1123" t="inlineStr">
        <is>
          <t/>
        </is>
      </c>
      <c r="S1123" t="n">
        <v>0.0</v>
      </c>
      <c r="T1123" t="n">
        <v>0.0</v>
      </c>
      <c r="U1123" t="n">
        <v>0.0</v>
      </c>
      <c r="V1123" t="n">
        <v>0.0</v>
      </c>
      <c r="W1123" t="inlineStr">
        <is>
          <t/>
        </is>
      </c>
      <c r="X1123" t="n">
        <v>0.0</v>
      </c>
      <c r="Y1123" t="n">
        <v>0.0</v>
      </c>
      <c r="Z1123" t="n">
        <v>0.0</v>
      </c>
      <c r="AA1123" t="n">
        <v>0.0</v>
      </c>
      <c r="AB1123" t="n">
        <v>0.0</v>
      </c>
      <c r="AC1123" t="n">
        <v>0.0</v>
      </c>
      <c r="AD1123" t="n">
        <v>0.0</v>
      </c>
      <c r="AE1123" t="n">
        <v>0.0</v>
      </c>
      <c r="AF1123" t="n">
        <v>0.0</v>
      </c>
      <c r="AG1123" t="n">
        <v>0.0</v>
      </c>
      <c r="AH1123" t="n">
        <v>0.0</v>
      </c>
      <c r="AI1123" t="n">
        <v>0.0</v>
      </c>
      <c r="AJ1123" t="n">
        <v>0.0</v>
      </c>
      <c r="AK1123" t="inlineStr">
        <is>
          <t/>
        </is>
      </c>
      <c r="AL1123" t="inlineStr">
        <is>
          <t/>
        </is>
      </c>
    </row>
    <row r="1124">
      <c r="A1124" t="inlineStr">
        <is>
          <t>我宣布这个是减脂期买过最成功的虾仁…</t>
        </is>
      </c>
      <c r="B1124" t="inlineStr">
        <is>
          <t>6a1b8af9000000003502d219</t>
        </is>
      </c>
      <c r="C1124" s="1123" t="n">
        <f>HYPERLINK("https://www.xiaohongshu.com/explore/6a1b8af9000000003502d219?xsec_token=TBF7t7Ss6PcQwfvVd_HEa4BMNWYxeYq5NCnRuz60A04nA=&amp;xsec_source=pc_trdark","https://www.xiaohongshu.com/explore/6a1b8af9000000003502d219?xsec_token=TBF7t7Ss6PcQwfvVd_HEa4BMNWYxeYq5NCnRuz60A04nA=&amp;xsec_source=pc_trdark")</f>
        <v>0.0</v>
      </c>
      <c r="D1124" t="inlineStr">
        <is>
          <t>鲜水湾甄选</t>
        </is>
      </c>
      <c r="E1124" t="inlineStr">
        <is>
          <t>27401929161</t>
        </is>
      </c>
      <c r="F1124" t="inlineStr">
        <is>
          <t>2026-05-31 09:12:25</t>
        </is>
      </c>
      <c r="G1124" t="inlineStr">
        <is>
          <t>图文</t>
        </is>
      </c>
      <c r="H1124" t="inlineStr">
        <is>
          <t>手剥虾仁 无冰衣无添加 低脂餐一人食 上班带饭 顺丰包邮 5盒装</t>
        </is>
      </c>
      <c r="I1124" t="inlineStr">
        <is>
          <t>694baba01d450d00013662f0</t>
        </is>
      </c>
      <c r="J1124" t="inlineStr">
        <is>
          <t/>
        </is>
      </c>
      <c r="K1124" t="n">
        <v>0.0</v>
      </c>
      <c r="L1124" t="n">
        <v>0.0</v>
      </c>
      <c r="M1124" t="n">
        <v>0.0</v>
      </c>
      <c r="N1124" t="inlineStr">
        <is>
          <t/>
        </is>
      </c>
      <c r="O1124" t="n">
        <v>0.0</v>
      </c>
      <c r="P1124" t="n">
        <v>0.0</v>
      </c>
      <c r="Q1124" t="inlineStr">
        <is>
          <t/>
        </is>
      </c>
      <c r="R1124" t="inlineStr">
        <is>
          <t/>
        </is>
      </c>
      <c r="S1124" t="n">
        <v>0.0</v>
      </c>
      <c r="T1124" t="n">
        <v>0.0</v>
      </c>
      <c r="U1124" t="n">
        <v>0.0</v>
      </c>
      <c r="V1124" t="n">
        <v>0.0</v>
      </c>
      <c r="W1124" t="inlineStr">
        <is>
          <t/>
        </is>
      </c>
      <c r="X1124" t="n">
        <v>0.0</v>
      </c>
      <c r="Y1124" t="n">
        <v>0.0</v>
      </c>
      <c r="Z1124" t="n">
        <v>0.0</v>
      </c>
      <c r="AA1124" t="n">
        <v>0.0</v>
      </c>
      <c r="AB1124" t="n">
        <v>0.0</v>
      </c>
      <c r="AC1124" t="n">
        <v>0.0</v>
      </c>
      <c r="AD1124" t="n">
        <v>0.0</v>
      </c>
      <c r="AE1124" t="n">
        <v>0.0</v>
      </c>
      <c r="AF1124" t="n">
        <v>0.0</v>
      </c>
      <c r="AG1124" t="n">
        <v>0.0</v>
      </c>
      <c r="AH1124" t="n">
        <v>0.0</v>
      </c>
      <c r="AI1124" t="n">
        <v>0.0</v>
      </c>
      <c r="AJ1124" t="n">
        <v>0.0</v>
      </c>
      <c r="AK1124" t="inlineStr">
        <is>
          <t/>
        </is>
      </c>
      <c r="AL1124" t="inlineStr">
        <is>
          <t/>
        </is>
      </c>
    </row>
    <row r="1125">
      <c r="A1125" t="inlineStr">
        <is>
          <t>和老爸商量后，推出懒人免处理虾仁</t>
        </is>
      </c>
      <c r="B1125" t="inlineStr">
        <is>
          <t>6a1aa4190000000007028c47</t>
        </is>
      </c>
      <c r="C1125" s="1124" t="n">
        <f>HYPERLINK("https://www.xiaohongshu.com/explore/6a1aa4190000000007028c47?xsec_token=TBPrREsXOIR0i8DR_MKrET0DwfbttbGuXW8vom3dXAQy0=&amp;xsec_source=pc_trdark","https://www.xiaohongshu.com/explore/6a1aa4190000000007028c47?xsec_token=TBPrREsXOIR0i8DR_MKrET0DwfbttbGuXW8vom3dXAQy0=&amp;xsec_source=pc_trdark")</f>
        <v>0.0</v>
      </c>
      <c r="D1125" t="inlineStr">
        <is>
          <t>鲜水湾</t>
        </is>
      </c>
      <c r="E1125" t="inlineStr">
        <is>
          <t>49316638994</t>
        </is>
      </c>
      <c r="F1125" t="inlineStr">
        <is>
          <t>2026-05-30 16:47:21</t>
        </is>
      </c>
      <c r="G1125" t="inlineStr">
        <is>
          <t>图文</t>
        </is>
      </c>
      <c r="H1125" t="inlineStr">
        <is>
          <t>手剥虾仁 无冰衣无添加 低脂餐一人食 上班带饭 顺丰包邮 5盒装</t>
        </is>
      </c>
      <c r="I1125" t="inlineStr">
        <is>
          <t>694baba01d450d00013662f0</t>
        </is>
      </c>
      <c r="J1125" t="inlineStr">
        <is>
          <t/>
        </is>
      </c>
      <c r="K1125" t="n">
        <v>0.0</v>
      </c>
      <c r="L1125" t="n">
        <v>0.0</v>
      </c>
      <c r="M1125" t="n">
        <v>0.0</v>
      </c>
      <c r="N1125" t="inlineStr">
        <is>
          <t/>
        </is>
      </c>
      <c r="O1125" t="n">
        <v>0.0</v>
      </c>
      <c r="P1125" t="n">
        <v>0.0</v>
      </c>
      <c r="Q1125" t="inlineStr">
        <is>
          <t/>
        </is>
      </c>
      <c r="R1125" t="inlineStr">
        <is>
          <t/>
        </is>
      </c>
      <c r="S1125" t="n">
        <v>0.0</v>
      </c>
      <c r="T1125" t="n">
        <v>0.0</v>
      </c>
      <c r="U1125" t="n">
        <v>0.0</v>
      </c>
      <c r="V1125" t="n">
        <v>0.0</v>
      </c>
      <c r="W1125" t="inlineStr">
        <is>
          <t/>
        </is>
      </c>
      <c r="X1125" t="n">
        <v>0.0</v>
      </c>
      <c r="Y1125" t="n">
        <v>0.0</v>
      </c>
      <c r="Z1125" t="n">
        <v>0.0</v>
      </c>
      <c r="AA1125" t="n">
        <v>0.0</v>
      </c>
      <c r="AB1125" t="n">
        <v>0.0</v>
      </c>
      <c r="AC1125" t="n">
        <v>0.0</v>
      </c>
      <c r="AD1125" t="n">
        <v>0.0</v>
      </c>
      <c r="AE1125" t="n">
        <v>0.0</v>
      </c>
      <c r="AF1125" t="n">
        <v>0.0</v>
      </c>
      <c r="AG1125" t="n">
        <v>0.0</v>
      </c>
      <c r="AH1125" t="n">
        <v>0.0</v>
      </c>
      <c r="AI1125" t="n">
        <v>0.0</v>
      </c>
      <c r="AJ1125" t="n">
        <v>0.0</v>
      </c>
      <c r="AK1125" t="inlineStr">
        <is>
          <t/>
        </is>
      </c>
      <c r="AL1125" t="inlineStr">
        <is>
          <t/>
        </is>
      </c>
    </row>
    <row r="1126">
      <c r="A1126" t="inlineStr">
        <is>
          <t>生意惨淡的真相😂是我太老实了</t>
        </is>
      </c>
      <c r="B1126" t="inlineStr">
        <is>
          <t>6a1a4d240000000008026d2e</t>
        </is>
      </c>
      <c r="C1126" s="1125" t="n">
        <f>HYPERLINK("https://www.xiaohongshu.com/explore/6a1a4d240000000008026d2e?xsec_token=TBPrREsXOIR0i8DR_MKrET0OxvWgtBgM_WDLpw6JBVUNc=&amp;xsec_source=pc_trdark","https://www.xiaohongshu.com/explore/6a1a4d240000000008026d2e?xsec_token=TBPrREsXOIR0i8DR_MKrET0OxvWgtBgM_WDLpw6JBVUNc=&amp;xsec_source=pc_trdark")</f>
        <v>0.0</v>
      </c>
      <c r="D1126" t="inlineStr">
        <is>
          <t>鲜水湾</t>
        </is>
      </c>
      <c r="E1126" t="inlineStr">
        <is>
          <t>49316638994</t>
        </is>
      </c>
      <c r="F1126" t="inlineStr">
        <is>
          <t>2026-05-30 10:36:20</t>
        </is>
      </c>
      <c r="G1126" t="inlineStr">
        <is>
          <t>图文</t>
        </is>
      </c>
      <c r="H1126" t="inlineStr">
        <is>
          <t>手剥虾仁 无冰衣无添加 低脂餐一人食 上班带饭 顺丰包邮 5盒装</t>
        </is>
      </c>
      <c r="I1126" t="inlineStr">
        <is>
          <t>694baba01d450d00013662f0</t>
        </is>
      </c>
      <c r="J1126" t="inlineStr">
        <is>
          <t/>
        </is>
      </c>
      <c r="K1126" t="n">
        <v>0.0</v>
      </c>
      <c r="L1126" t="n">
        <v>0.0</v>
      </c>
      <c r="M1126" t="n">
        <v>0.0</v>
      </c>
      <c r="N1126" t="inlineStr">
        <is>
          <t/>
        </is>
      </c>
      <c r="O1126" t="n">
        <v>0.0</v>
      </c>
      <c r="P1126" t="n">
        <v>0.0</v>
      </c>
      <c r="Q1126" t="inlineStr">
        <is>
          <t/>
        </is>
      </c>
      <c r="R1126" t="inlineStr">
        <is>
          <t/>
        </is>
      </c>
      <c r="S1126" t="n">
        <v>0.0</v>
      </c>
      <c r="T1126" t="n">
        <v>0.0</v>
      </c>
      <c r="U1126" t="n">
        <v>0.0</v>
      </c>
      <c r="V1126" t="n">
        <v>0.0</v>
      </c>
      <c r="W1126" t="inlineStr">
        <is>
          <t/>
        </is>
      </c>
      <c r="X1126" t="n">
        <v>0.0</v>
      </c>
      <c r="Y1126" t="n">
        <v>0.0</v>
      </c>
      <c r="Z1126" t="n">
        <v>0.0</v>
      </c>
      <c r="AA1126" t="n">
        <v>0.0</v>
      </c>
      <c r="AB1126" t="n">
        <v>0.0</v>
      </c>
      <c r="AC1126" t="n">
        <v>0.0</v>
      </c>
      <c r="AD1126" t="n">
        <v>0.0</v>
      </c>
      <c r="AE1126" t="n">
        <v>0.0</v>
      </c>
      <c r="AF1126" t="n">
        <v>0.0</v>
      </c>
      <c r="AG1126" t="n">
        <v>0.0</v>
      </c>
      <c r="AH1126" t="n">
        <v>0.0</v>
      </c>
      <c r="AI1126" t="n">
        <v>0.0</v>
      </c>
      <c r="AJ1126" t="n">
        <v>0.0</v>
      </c>
      <c r="AK1126" t="inlineStr">
        <is>
          <t/>
        </is>
      </c>
      <c r="AL1126" t="inlineStr">
        <is>
          <t/>
        </is>
      </c>
    </row>
    <row r="1127">
      <c r="A1127" t="inlineStr">
        <is>
          <t>被办公室同事问爆，69一周的减脂虾仁❗️</t>
        </is>
      </c>
      <c r="B1127" t="inlineStr">
        <is>
          <t>6a1a466e0000000008001622</t>
        </is>
      </c>
      <c r="C1127" s="1126" t="n">
        <f>HYPERLINK("https://www.xiaohongshu.com/explore/6a1a466e0000000008001622?xsec_token=TBPrREsXOIR0i8DR_MKrET0F7soqdwTawfHnnP6JVK7i4=&amp;xsec_source=pc_trdark","https://www.xiaohongshu.com/explore/6a1a466e0000000008001622?xsec_token=TBPrREsXOIR0i8DR_MKrET0F7soqdwTawfHnnP6JVK7i4=&amp;xsec_source=pc_trdark")</f>
        <v>0.0</v>
      </c>
      <c r="D1127" t="inlineStr">
        <is>
          <t>菲菲上班吃什么</t>
        </is>
      </c>
      <c r="E1127" t="inlineStr">
        <is>
          <t>49936530607</t>
        </is>
      </c>
      <c r="F1127" t="inlineStr">
        <is>
          <t>2026-05-30 17:23:00</t>
        </is>
      </c>
      <c r="G1127" t="inlineStr">
        <is>
          <t>图文</t>
        </is>
      </c>
      <c r="H1127" t="inlineStr">
        <is>
          <t>手剥虾仁 无冰衣无添加 低脂餐一人食 上班带饭 顺丰包邮 5盒装</t>
        </is>
      </c>
      <c r="I1127" t="inlineStr">
        <is>
          <t>694baba01d450d00013662f0</t>
        </is>
      </c>
      <c r="J1127" t="inlineStr">
        <is>
          <t/>
        </is>
      </c>
      <c r="K1127" t="n">
        <v>0.0</v>
      </c>
      <c r="L1127" t="n">
        <v>0.0</v>
      </c>
      <c r="M1127" t="n">
        <v>0.0</v>
      </c>
      <c r="N1127" t="inlineStr">
        <is>
          <t/>
        </is>
      </c>
      <c r="O1127" t="n">
        <v>0.0</v>
      </c>
      <c r="P1127" t="n">
        <v>0.0</v>
      </c>
      <c r="Q1127" t="inlineStr">
        <is>
          <t/>
        </is>
      </c>
      <c r="R1127" t="inlineStr">
        <is>
          <t/>
        </is>
      </c>
      <c r="S1127" t="n">
        <v>0.0</v>
      </c>
      <c r="T1127" t="n">
        <v>0.0</v>
      </c>
      <c r="U1127" t="n">
        <v>0.0</v>
      </c>
      <c r="V1127" t="n">
        <v>0.0</v>
      </c>
      <c r="W1127" t="inlineStr">
        <is>
          <t/>
        </is>
      </c>
      <c r="X1127" t="n">
        <v>0.0</v>
      </c>
      <c r="Y1127" t="n">
        <v>0.0</v>
      </c>
      <c r="Z1127" t="n">
        <v>0.0</v>
      </c>
      <c r="AA1127" t="n">
        <v>0.0</v>
      </c>
      <c r="AB1127" t="n">
        <v>0.0</v>
      </c>
      <c r="AC1127" t="n">
        <v>0.0</v>
      </c>
      <c r="AD1127" t="n">
        <v>0.0</v>
      </c>
      <c r="AE1127" t="n">
        <v>0.0</v>
      </c>
      <c r="AF1127" t="n">
        <v>0.0</v>
      </c>
      <c r="AG1127" t="n">
        <v>0.0</v>
      </c>
      <c r="AH1127" t="n">
        <v>0.0</v>
      </c>
      <c r="AI1127" t="n">
        <v>0.0</v>
      </c>
      <c r="AJ1127" t="n">
        <v>0.0</v>
      </c>
      <c r="AK1127" t="inlineStr">
        <is>
          <t/>
        </is>
      </c>
      <c r="AL1127" t="inlineStr">
        <is>
          <t/>
        </is>
      </c>
    </row>
    <row r="1128">
      <c r="A1128" t="inlineStr">
        <is>
          <t>夏天必备的懒人菜搭子✅！！（附调料教程）</t>
        </is>
      </c>
      <c r="B1128" t="inlineStr">
        <is>
          <t>6a1a45d7000000000702dfdf</t>
        </is>
      </c>
      <c r="C1128" s="1127" t="n">
        <f>HYPERLINK("https://www.xiaohongshu.com/explore/6a1a45d7000000000702dfdf?xsec_token=TBPrREsXOIR0i8DR_MKrET0AFfs5kci2N8poRR9AsNhm4=&amp;xsec_source=pc_trdark","https://www.xiaohongshu.com/explore/6a1a45d7000000000702dfdf?xsec_token=TBPrREsXOIR0i8DR_MKrET0AFfs5kci2N8poRR9AsNhm4=&amp;xsec_source=pc_trdark")</f>
        <v>0.0</v>
      </c>
      <c r="D1128" t="inlineStr">
        <is>
          <t>菲菲上班吃什么</t>
        </is>
      </c>
      <c r="E1128" t="inlineStr">
        <is>
          <t>49936530607</t>
        </is>
      </c>
      <c r="F1128" t="inlineStr">
        <is>
          <t>2026-05-30 15:05:00</t>
        </is>
      </c>
      <c r="G1128" t="inlineStr">
        <is>
          <t>图文</t>
        </is>
      </c>
      <c r="H1128" t="inlineStr">
        <is>
          <t>手剥虾仁 无冰衣无添加 低脂餐一人食 上班带饭 顺丰包邮 5盒装</t>
        </is>
      </c>
      <c r="I1128" t="inlineStr">
        <is>
          <t>694baba01d450d00013662f0</t>
        </is>
      </c>
      <c r="J1128" t="inlineStr">
        <is>
          <t/>
        </is>
      </c>
      <c r="K1128" t="n">
        <v>0.0</v>
      </c>
      <c r="L1128" t="n">
        <v>0.0</v>
      </c>
      <c r="M1128" t="n">
        <v>0.0</v>
      </c>
      <c r="N1128" t="inlineStr">
        <is>
          <t/>
        </is>
      </c>
      <c r="O1128" t="n">
        <v>0.0</v>
      </c>
      <c r="P1128" t="n">
        <v>0.0</v>
      </c>
      <c r="Q1128" t="inlineStr">
        <is>
          <t/>
        </is>
      </c>
      <c r="R1128" t="inlineStr">
        <is>
          <t/>
        </is>
      </c>
      <c r="S1128" t="n">
        <v>0.0</v>
      </c>
      <c r="T1128" t="n">
        <v>0.0</v>
      </c>
      <c r="U1128" t="n">
        <v>0.0</v>
      </c>
      <c r="V1128" t="n">
        <v>0.0</v>
      </c>
      <c r="W1128" t="inlineStr">
        <is>
          <t/>
        </is>
      </c>
      <c r="X1128" t="n">
        <v>0.0</v>
      </c>
      <c r="Y1128" t="n">
        <v>0.0</v>
      </c>
      <c r="Z1128" t="n">
        <v>0.0</v>
      </c>
      <c r="AA1128" t="n">
        <v>0.0</v>
      </c>
      <c r="AB1128" t="n">
        <v>0.0</v>
      </c>
      <c r="AC1128" t="n">
        <v>0.0</v>
      </c>
      <c r="AD1128" t="n">
        <v>0.0</v>
      </c>
      <c r="AE1128" t="n">
        <v>0.0</v>
      </c>
      <c r="AF1128" t="n">
        <v>0.0</v>
      </c>
      <c r="AG1128" t="n">
        <v>0.0</v>
      </c>
      <c r="AH1128" t="n">
        <v>0.0</v>
      </c>
      <c r="AI1128" t="n">
        <v>0.0</v>
      </c>
      <c r="AJ1128" t="n">
        <v>0.0</v>
      </c>
      <c r="AK1128" t="inlineStr">
        <is>
          <t/>
        </is>
      </c>
      <c r="AL1128" t="inlineStr">
        <is>
          <t/>
        </is>
      </c>
    </row>
    <row r="1129">
      <c r="A1129" t="inlineStr">
        <is>
          <t>又囤上了....69承包了我一周的减脂餐</t>
        </is>
      </c>
      <c r="B1129" t="inlineStr">
        <is>
          <t>6a1a454500000000060302f5</t>
        </is>
      </c>
      <c r="C1129" s="1128" t="n">
        <f>HYPERLINK("https://www.xiaohongshu.com/explore/6a1a454500000000060302f5?xsec_token=TBPrREsXOIR0i8DR_MKrET0BcXQn2GgclG531R8qZAUvw=&amp;xsec_source=pc_trdark","https://www.xiaohongshu.com/explore/6a1a454500000000060302f5?xsec_token=TBPrREsXOIR0i8DR_MKrET0BcXQn2GgclG531R8qZAUvw=&amp;xsec_source=pc_trdark")</f>
        <v>0.0</v>
      </c>
      <c r="D1129" t="inlineStr">
        <is>
          <t>菲菲上班吃什么</t>
        </is>
      </c>
      <c r="E1129" t="inlineStr">
        <is>
          <t>49936530607</t>
        </is>
      </c>
      <c r="F1129" t="inlineStr">
        <is>
          <t>2026-05-30 13:02:00</t>
        </is>
      </c>
      <c r="G1129" t="inlineStr">
        <is>
          <t>图文</t>
        </is>
      </c>
      <c r="H1129" t="inlineStr">
        <is>
          <t>手剥虾仁 无冰衣无添加 低脂餐一人食 上班带饭 顺丰包邮 5盒装</t>
        </is>
      </c>
      <c r="I1129" t="inlineStr">
        <is>
          <t>694baba01d450d00013662f0</t>
        </is>
      </c>
      <c r="J1129" t="inlineStr">
        <is>
          <t/>
        </is>
      </c>
      <c r="K1129" t="n">
        <v>0.0</v>
      </c>
      <c r="L1129" t="n">
        <v>0.0</v>
      </c>
      <c r="M1129" t="n">
        <v>0.0</v>
      </c>
      <c r="N1129" t="inlineStr">
        <is>
          <t/>
        </is>
      </c>
      <c r="O1129" t="n">
        <v>0.0</v>
      </c>
      <c r="P1129" t="n">
        <v>0.0</v>
      </c>
      <c r="Q1129" t="inlineStr">
        <is>
          <t/>
        </is>
      </c>
      <c r="R1129" t="inlineStr">
        <is>
          <t/>
        </is>
      </c>
      <c r="S1129" t="n">
        <v>0.0</v>
      </c>
      <c r="T1129" t="n">
        <v>0.0</v>
      </c>
      <c r="U1129" t="n">
        <v>0.0</v>
      </c>
      <c r="V1129" t="n">
        <v>0.0</v>
      </c>
      <c r="W1129" t="inlineStr">
        <is>
          <t/>
        </is>
      </c>
      <c r="X1129" t="n">
        <v>0.0</v>
      </c>
      <c r="Y1129" t="n">
        <v>0.0</v>
      </c>
      <c r="Z1129" t="n">
        <v>0.0</v>
      </c>
      <c r="AA1129" t="n">
        <v>0.0</v>
      </c>
      <c r="AB1129" t="n">
        <v>0.0</v>
      </c>
      <c r="AC1129" t="n">
        <v>0.0</v>
      </c>
      <c r="AD1129" t="n">
        <v>0.0</v>
      </c>
      <c r="AE1129" t="n">
        <v>0.0</v>
      </c>
      <c r="AF1129" t="n">
        <v>0.0</v>
      </c>
      <c r="AG1129" t="n">
        <v>0.0</v>
      </c>
      <c r="AH1129" t="n">
        <v>0.0</v>
      </c>
      <c r="AI1129" t="n">
        <v>0.0</v>
      </c>
      <c r="AJ1129" t="n">
        <v>0.0</v>
      </c>
      <c r="AK1129" t="inlineStr">
        <is>
          <t/>
        </is>
      </c>
      <c r="AL1129" t="inlineStr">
        <is>
          <t/>
        </is>
      </c>
    </row>
    <row r="1130">
      <c r="A1130" t="inlineStr">
        <is>
          <t>减脂期被同事说，天天吃虾仁太奢侈！</t>
        </is>
      </c>
      <c r="B1130" t="inlineStr">
        <is>
          <t>6a1a42c10000000036001f32</t>
        </is>
      </c>
      <c r="C1130" s="1129" t="n">
        <f>HYPERLINK("https://www.xiaohongshu.com/explore/6a1a42c10000000036001f32?xsec_token=TBPrREsXOIR0i8DR_MKrET0IDjOqhNG8OfakWzsaReybA=&amp;xsec_source=pc_trdark","https://www.xiaohongshu.com/explore/6a1a42c10000000036001f32?xsec_token=TBPrREsXOIR0i8DR_MKrET0IDjOqhNG8OfakWzsaReybA=&amp;xsec_source=pc_trdark")</f>
        <v>0.0</v>
      </c>
      <c r="D1130" t="inlineStr">
        <is>
          <t>鲜水湾甄选</t>
        </is>
      </c>
      <c r="E1130" t="inlineStr">
        <is>
          <t>27401929161</t>
        </is>
      </c>
      <c r="F1130" t="inlineStr">
        <is>
          <t>2026-05-30 19:51:00</t>
        </is>
      </c>
      <c r="G1130" t="inlineStr">
        <is>
          <t>图文</t>
        </is>
      </c>
      <c r="H1130" t="inlineStr">
        <is>
          <t>手剥虾仁 无冰衣无添加 低脂餐一人食 上班带饭 顺丰包邮 5盒装</t>
        </is>
      </c>
      <c r="I1130" t="inlineStr">
        <is>
          <t>694baba01d450d00013662f0</t>
        </is>
      </c>
      <c r="J1130" t="inlineStr">
        <is>
          <t/>
        </is>
      </c>
      <c r="K1130" t="n">
        <v>0.0</v>
      </c>
      <c r="L1130" t="n">
        <v>0.0</v>
      </c>
      <c r="M1130" t="n">
        <v>0.0</v>
      </c>
      <c r="N1130" t="inlineStr">
        <is>
          <t/>
        </is>
      </c>
      <c r="O1130" t="n">
        <v>0.0</v>
      </c>
      <c r="P1130" t="n">
        <v>0.0</v>
      </c>
      <c r="Q1130" t="inlineStr">
        <is>
          <t/>
        </is>
      </c>
      <c r="R1130" t="inlineStr">
        <is>
          <t/>
        </is>
      </c>
      <c r="S1130" t="n">
        <v>0.0</v>
      </c>
      <c r="T1130" t="n">
        <v>0.0</v>
      </c>
      <c r="U1130" t="n">
        <v>0.0</v>
      </c>
      <c r="V1130" t="n">
        <v>0.0</v>
      </c>
      <c r="W1130" t="inlineStr">
        <is>
          <t/>
        </is>
      </c>
      <c r="X1130" t="n">
        <v>0.0</v>
      </c>
      <c r="Y1130" t="n">
        <v>0.0</v>
      </c>
      <c r="Z1130" t="n">
        <v>0.0</v>
      </c>
      <c r="AA1130" t="n">
        <v>0.0</v>
      </c>
      <c r="AB1130" t="n">
        <v>0.0</v>
      </c>
      <c r="AC1130" t="n">
        <v>0.0</v>
      </c>
      <c r="AD1130" t="n">
        <v>0.0</v>
      </c>
      <c r="AE1130" t="n">
        <v>0.0</v>
      </c>
      <c r="AF1130" t="n">
        <v>0.0</v>
      </c>
      <c r="AG1130" t="n">
        <v>0.0</v>
      </c>
      <c r="AH1130" t="n">
        <v>0.0</v>
      </c>
      <c r="AI1130" t="n">
        <v>0.0</v>
      </c>
      <c r="AJ1130" t="n">
        <v>0.0</v>
      </c>
      <c r="AK1130" t="inlineStr">
        <is>
          <t/>
        </is>
      </c>
      <c r="AL1130" t="inlineStr">
        <is>
          <t/>
        </is>
      </c>
    </row>
    <row r="1131">
      <c r="A1131" t="inlineStr">
        <is>
          <t>健身后最方便带得干净健康餐来了😎</t>
        </is>
      </c>
      <c r="B1131" t="inlineStr">
        <is>
          <t>6a1a41930000000035024ff3</t>
        </is>
      </c>
      <c r="C1131" s="1130" t="n">
        <f>HYPERLINK("https://www.xiaohongshu.com/explore/6a1a41930000000035024ff3?xsec_token=TBPrREsXOIR0i8DR_MKrET0HyOEgQtX49Oq7QuRCm4Z4Q=&amp;xsec_source=pc_trdark","https://www.xiaohongshu.com/explore/6a1a41930000000035024ff3?xsec_token=TBPrREsXOIR0i8DR_MKrET0HyOEgQtX49Oq7QuRCm4Z4Q=&amp;xsec_source=pc_trdark")</f>
        <v>0.0</v>
      </c>
      <c r="D1131" t="inlineStr">
        <is>
          <t>鲜水湾甄选</t>
        </is>
      </c>
      <c r="E1131" t="inlineStr">
        <is>
          <t>27401929161</t>
        </is>
      </c>
      <c r="F1131" t="inlineStr">
        <is>
          <t>2026-05-30 11:46:00</t>
        </is>
      </c>
      <c r="G1131" t="inlineStr">
        <is>
          <t>图文</t>
        </is>
      </c>
      <c r="H1131" t="inlineStr">
        <is>
          <t>手剥虾仁 无冰衣无添加 低脂餐一人食 上班带饭 顺丰包邮 5盒装</t>
        </is>
      </c>
      <c r="I1131" t="inlineStr">
        <is>
          <t>694baba01d450d00013662f0</t>
        </is>
      </c>
      <c r="J1131" t="inlineStr">
        <is>
          <t/>
        </is>
      </c>
      <c r="K1131" t="n">
        <v>0.0</v>
      </c>
      <c r="L1131" t="n">
        <v>0.0</v>
      </c>
      <c r="M1131" t="n">
        <v>0.0</v>
      </c>
      <c r="N1131" t="inlineStr">
        <is>
          <t/>
        </is>
      </c>
      <c r="O1131" t="n">
        <v>0.0</v>
      </c>
      <c r="P1131" t="n">
        <v>0.0</v>
      </c>
      <c r="Q1131" t="inlineStr">
        <is>
          <t/>
        </is>
      </c>
      <c r="R1131" t="inlineStr">
        <is>
          <t/>
        </is>
      </c>
      <c r="S1131" t="n">
        <v>0.0</v>
      </c>
      <c r="T1131" t="n">
        <v>0.0</v>
      </c>
      <c r="U1131" t="n">
        <v>0.0</v>
      </c>
      <c r="V1131" t="n">
        <v>0.0</v>
      </c>
      <c r="W1131" t="inlineStr">
        <is>
          <t/>
        </is>
      </c>
      <c r="X1131" t="n">
        <v>0.0</v>
      </c>
      <c r="Y1131" t="n">
        <v>0.0</v>
      </c>
      <c r="Z1131" t="n">
        <v>0.0</v>
      </c>
      <c r="AA1131" t="n">
        <v>0.0</v>
      </c>
      <c r="AB1131" t="n">
        <v>0.0</v>
      </c>
      <c r="AC1131" t="n">
        <v>0.0</v>
      </c>
      <c r="AD1131" t="n">
        <v>0.0</v>
      </c>
      <c r="AE1131" t="n">
        <v>0.0</v>
      </c>
      <c r="AF1131" t="n">
        <v>0.0</v>
      </c>
      <c r="AG1131" t="n">
        <v>0.0</v>
      </c>
      <c r="AH1131" t="n">
        <v>0.0</v>
      </c>
      <c r="AI1131" t="n">
        <v>0.0</v>
      </c>
      <c r="AJ1131" t="n">
        <v>0.0</v>
      </c>
      <c r="AK1131" t="inlineStr">
        <is>
          <t/>
        </is>
      </c>
      <c r="AL1131" t="inlineStr">
        <is>
          <t/>
        </is>
      </c>
    </row>
    <row r="1132">
      <c r="A1132" t="inlineStr">
        <is>
          <t>只有减脂的姐妹懂这一碗的含金量，不够吃！！</t>
        </is>
      </c>
      <c r="B1132" t="inlineStr">
        <is>
          <t>6a1a40dd00000000350291f4</t>
        </is>
      </c>
      <c r="C1132" s="1131" t="n">
        <f>HYPERLINK("https://www.xiaohongshu.com/explore/6a1a40dd00000000350291f4?xsec_token=TBPrREsXOIR0i8DR_MKrET0Eo5DSytPAByffPyRsHboWg=&amp;xsec_source=pc_trdark","https://www.xiaohongshu.com/explore/6a1a40dd00000000350291f4?xsec_token=TBPrREsXOIR0i8DR_MKrET0Eo5DSytPAByffPyRsHboWg=&amp;xsec_source=pc_trdark")</f>
        <v>0.0</v>
      </c>
      <c r="D1132" t="inlineStr">
        <is>
          <t>鲜水湾甄选</t>
        </is>
      </c>
      <c r="E1132" t="inlineStr">
        <is>
          <t>27401929161</t>
        </is>
      </c>
      <c r="F1132" t="inlineStr">
        <is>
          <t>2026-05-30 09:43:58</t>
        </is>
      </c>
      <c r="G1132" t="inlineStr">
        <is>
          <t>图文</t>
        </is>
      </c>
      <c r="H1132" t="inlineStr">
        <is>
          <t>手剥虾仁 无冰衣无添加 低脂餐一人食 上班带饭 顺丰包邮 5盒装</t>
        </is>
      </c>
      <c r="I1132" t="inlineStr">
        <is>
          <t>694baba01d450d00013662f0</t>
        </is>
      </c>
      <c r="J1132" t="inlineStr">
        <is>
          <t/>
        </is>
      </c>
      <c r="K1132" t="n">
        <v>0.0</v>
      </c>
      <c r="L1132" t="n">
        <v>0.0</v>
      </c>
      <c r="M1132" t="n">
        <v>0.0</v>
      </c>
      <c r="N1132" t="inlineStr">
        <is>
          <t/>
        </is>
      </c>
      <c r="O1132" t="n">
        <v>0.0</v>
      </c>
      <c r="P1132" t="n">
        <v>0.0</v>
      </c>
      <c r="Q1132" t="inlineStr">
        <is>
          <t/>
        </is>
      </c>
      <c r="R1132" t="inlineStr">
        <is>
          <t/>
        </is>
      </c>
      <c r="S1132" t="n">
        <v>0.0</v>
      </c>
      <c r="T1132" t="n">
        <v>0.0</v>
      </c>
      <c r="U1132" t="n">
        <v>0.0</v>
      </c>
      <c r="V1132" t="n">
        <v>0.0</v>
      </c>
      <c r="W1132" t="inlineStr">
        <is>
          <t/>
        </is>
      </c>
      <c r="X1132" t="n">
        <v>0.0</v>
      </c>
      <c r="Y1132" t="n">
        <v>0.0</v>
      </c>
      <c r="Z1132" t="n">
        <v>0.0</v>
      </c>
      <c r="AA1132" t="n">
        <v>0.0</v>
      </c>
      <c r="AB1132" t="n">
        <v>0.0</v>
      </c>
      <c r="AC1132" t="n">
        <v>0.0</v>
      </c>
      <c r="AD1132" t="n">
        <v>0.0</v>
      </c>
      <c r="AE1132" t="n">
        <v>0.0</v>
      </c>
      <c r="AF1132" t="n">
        <v>0.0</v>
      </c>
      <c r="AG1132" t="n">
        <v>0.0</v>
      </c>
      <c r="AH1132" t="n">
        <v>0.0</v>
      </c>
      <c r="AI1132" t="n">
        <v>0.0</v>
      </c>
      <c r="AJ1132" t="n">
        <v>0.0</v>
      </c>
      <c r="AK1132" t="inlineStr">
        <is>
          <t/>
        </is>
      </c>
      <c r="AL1132" t="inlineStr">
        <is>
          <t/>
        </is>
      </c>
    </row>
    <row r="1133">
      <c r="A1133" t="inlineStr">
        <is>
          <t>夏天上班就这么吃，裤子都穿不住了</t>
        </is>
      </c>
      <c r="B1133" t="inlineStr">
        <is>
          <t>6a1993450000000008027bd2</t>
        </is>
      </c>
      <c r="C1133" s="1132" t="n">
        <f>HYPERLINK("https://www.xiaohongshu.com/explore/6a1993450000000008027bd2?xsec_token=TBk6CyYxmYlnK3hnLTdNsVfGbzUT4OaGQ5c9lJUJlE2XQ=&amp;xsec_source=pc_trdark","https://www.xiaohongshu.com/explore/6a1993450000000008027bd2?xsec_token=TBk6CyYxmYlnK3hnLTdNsVfGbzUT4OaGQ5c9lJUJlE2XQ=&amp;xsec_source=pc_trdark")</f>
        <v>0.0</v>
      </c>
      <c r="D1133" t="inlineStr">
        <is>
          <t>鲜水湾</t>
        </is>
      </c>
      <c r="E1133" t="inlineStr">
        <is>
          <t>49316638994</t>
        </is>
      </c>
      <c r="F1133" t="inlineStr">
        <is>
          <t>2026-05-29 21:23:17</t>
        </is>
      </c>
      <c r="G1133" t="inlineStr">
        <is>
          <t>图文</t>
        </is>
      </c>
      <c r="H1133" t="inlineStr">
        <is>
          <t>智利三文鱼切块·整条三文鱼·深海鱼一人食健康饮食</t>
        </is>
      </c>
      <c r="I1133" t="inlineStr">
        <is>
          <t>691ac562a524ee0001b51d7b</t>
        </is>
      </c>
      <c r="J1133" t="inlineStr">
        <is>
          <t/>
        </is>
      </c>
      <c r="K1133" t="n">
        <v>0.0</v>
      </c>
      <c r="L1133" t="n">
        <v>0.0</v>
      </c>
      <c r="M1133" t="n">
        <v>0.0</v>
      </c>
      <c r="N1133" t="inlineStr">
        <is>
          <t/>
        </is>
      </c>
      <c r="O1133" t="n">
        <v>0.0</v>
      </c>
      <c r="P1133" t="n">
        <v>0.0</v>
      </c>
      <c r="Q1133" t="inlineStr">
        <is>
          <t/>
        </is>
      </c>
      <c r="R1133" t="inlineStr">
        <is>
          <t/>
        </is>
      </c>
      <c r="S1133" t="n">
        <v>0.0</v>
      </c>
      <c r="T1133" t="n">
        <v>0.0</v>
      </c>
      <c r="U1133" t="n">
        <v>0.0</v>
      </c>
      <c r="V1133" t="n">
        <v>0.0</v>
      </c>
      <c r="W1133" t="inlineStr">
        <is>
          <t/>
        </is>
      </c>
      <c r="X1133" t="n">
        <v>0.0</v>
      </c>
      <c r="Y1133" t="n">
        <v>0.0</v>
      </c>
      <c r="Z1133" t="n">
        <v>0.0</v>
      </c>
      <c r="AA1133" t="n">
        <v>0.0</v>
      </c>
      <c r="AB1133" t="n">
        <v>0.0</v>
      </c>
      <c r="AC1133" t="n">
        <v>0.0</v>
      </c>
      <c r="AD1133" t="n">
        <v>0.0</v>
      </c>
      <c r="AE1133" t="n">
        <v>0.0</v>
      </c>
      <c r="AF1133" t="n">
        <v>0.0</v>
      </c>
      <c r="AG1133" t="n">
        <v>0.0</v>
      </c>
      <c r="AH1133" t="n">
        <v>0.0</v>
      </c>
      <c r="AI1133" t="n">
        <v>0.0</v>
      </c>
      <c r="AJ1133" t="n">
        <v>0.0</v>
      </c>
      <c r="AK1133" t="inlineStr">
        <is>
          <t/>
        </is>
      </c>
      <c r="AL1133" t="inlineStr">
        <is>
          <t/>
        </is>
      </c>
    </row>
    <row r="1134">
      <c r="A1134" t="inlineStr">
        <is>
          <t>我宣布这个是减脂期买过最成功的虾仁…</t>
        </is>
      </c>
      <c r="B1134" t="inlineStr">
        <is>
          <t>6a195cf8000000000803374e</t>
        </is>
      </c>
      <c r="C1134" s="1133" t="n">
        <f>HYPERLINK("https://www.xiaohongshu.com/explore/6a195cf8000000000803374e?xsec_token=TBk6CyYxmYlnK3hnLTdNsVfJKvJlkvgWQ8gPOujyI0HMo=&amp;xsec_source=pc_trdark","https://www.xiaohongshu.com/explore/6a195cf8000000000803374e?xsec_token=TBk6CyYxmYlnK3hnLTdNsVfJKvJlkvgWQ8gPOujyI0HMo=&amp;xsec_source=pc_trdark")</f>
        <v>0.0</v>
      </c>
      <c r="D1134" t="inlineStr">
        <is>
          <t>菲菲上班吃什么</t>
        </is>
      </c>
      <c r="E1134" t="inlineStr">
        <is>
          <t>49936530607</t>
        </is>
      </c>
      <c r="F1134" t="inlineStr">
        <is>
          <t>2026-05-29 21:27:00</t>
        </is>
      </c>
      <c r="G1134" t="inlineStr">
        <is>
          <t>图文</t>
        </is>
      </c>
      <c r="H1134" t="inlineStr">
        <is>
          <t>手剥虾仁 无冰衣无添加 低脂餐一人食 上班带饭 顺丰包邮 5盒装</t>
        </is>
      </c>
      <c r="I1134" t="inlineStr">
        <is>
          <t>694baba01d450d00013662f0</t>
        </is>
      </c>
      <c r="J1134" t="inlineStr">
        <is>
          <t/>
        </is>
      </c>
      <c r="K1134" t="n">
        <v>0.0</v>
      </c>
      <c r="L1134" t="n">
        <v>0.0</v>
      </c>
      <c r="M1134" t="n">
        <v>0.0</v>
      </c>
      <c r="N1134" t="inlineStr">
        <is>
          <t/>
        </is>
      </c>
      <c r="O1134" t="n">
        <v>0.0</v>
      </c>
      <c r="P1134" t="n">
        <v>0.0</v>
      </c>
      <c r="Q1134" t="inlineStr">
        <is>
          <t/>
        </is>
      </c>
      <c r="R1134" t="inlineStr">
        <is>
          <t/>
        </is>
      </c>
      <c r="S1134" t="n">
        <v>0.0</v>
      </c>
      <c r="T1134" t="n">
        <v>0.0</v>
      </c>
      <c r="U1134" t="n">
        <v>0.0</v>
      </c>
      <c r="V1134" t="n">
        <v>0.0</v>
      </c>
      <c r="W1134" t="inlineStr">
        <is>
          <t/>
        </is>
      </c>
      <c r="X1134" t="n">
        <v>0.0</v>
      </c>
      <c r="Y1134" t="n">
        <v>0.0</v>
      </c>
      <c r="Z1134" t="n">
        <v>0.0</v>
      </c>
      <c r="AA1134" t="n">
        <v>0.0</v>
      </c>
      <c r="AB1134" t="n">
        <v>0.0</v>
      </c>
      <c r="AC1134" t="n">
        <v>0.0</v>
      </c>
      <c r="AD1134" t="n">
        <v>0.0</v>
      </c>
      <c r="AE1134" t="n">
        <v>0.0</v>
      </c>
      <c r="AF1134" t="n">
        <v>0.0</v>
      </c>
      <c r="AG1134" t="n">
        <v>0.0</v>
      </c>
      <c r="AH1134" t="n">
        <v>0.0</v>
      </c>
      <c r="AI1134" t="n">
        <v>0.0</v>
      </c>
      <c r="AJ1134" t="n">
        <v>0.0</v>
      </c>
      <c r="AK1134" t="inlineStr">
        <is>
          <t/>
        </is>
      </c>
      <c r="AL1134" t="inlineStr">
        <is>
          <t/>
        </is>
      </c>
    </row>
    <row r="1135">
      <c r="A1135" t="inlineStr">
        <is>
          <t>和爸妈商量后，推出夏日减脂一人食小包装…</t>
        </is>
      </c>
      <c r="B1135" t="inlineStr">
        <is>
          <t>6a195bbf0000000007027d1a</t>
        </is>
      </c>
      <c r="C1135" s="1134" t="n">
        <f>HYPERLINK("https://www.xiaohongshu.com/explore/6a195bbf0000000007027d1a?xsec_token=TBk6CyYxmYlnK3hnLTdNsVfNPzk4fEqQwq6KivIn1wCCA=&amp;xsec_source=pc_trdark","https://www.xiaohongshu.com/explore/6a195bbf0000000007027d1a?xsec_token=TBk6CyYxmYlnK3hnLTdNsVfNPzk4fEqQwq6KivIn1wCCA=&amp;xsec_source=pc_trdark")</f>
        <v>0.0</v>
      </c>
      <c r="D1135" t="inlineStr">
        <is>
          <t>菲菲上班吃什么</t>
        </is>
      </c>
      <c r="E1135" t="inlineStr">
        <is>
          <t>49936530607</t>
        </is>
      </c>
      <c r="F1135" t="inlineStr">
        <is>
          <t>2026-05-29 18:35:00</t>
        </is>
      </c>
      <c r="G1135" t="inlineStr">
        <is>
          <t>图文</t>
        </is>
      </c>
      <c r="H1135" t="inlineStr">
        <is>
          <t>手剥虾仁 无冰衣无添加 低脂餐一人食 上班带饭 顺丰包邮 5盒装</t>
        </is>
      </c>
      <c r="I1135" t="inlineStr">
        <is>
          <t>694baba01d450d00013662f0</t>
        </is>
      </c>
      <c r="J1135" t="inlineStr">
        <is>
          <t/>
        </is>
      </c>
      <c r="K1135" t="n">
        <v>0.0</v>
      </c>
      <c r="L1135" t="n">
        <v>0.0</v>
      </c>
      <c r="M1135" t="n">
        <v>0.0</v>
      </c>
      <c r="N1135" t="inlineStr">
        <is>
          <t/>
        </is>
      </c>
      <c r="O1135" t="n">
        <v>0.0</v>
      </c>
      <c r="P1135" t="n">
        <v>0.0</v>
      </c>
      <c r="Q1135" t="inlineStr">
        <is>
          <t/>
        </is>
      </c>
      <c r="R1135" t="inlineStr">
        <is>
          <t/>
        </is>
      </c>
      <c r="S1135" t="n">
        <v>0.0</v>
      </c>
      <c r="T1135" t="n">
        <v>0.0</v>
      </c>
      <c r="U1135" t="n">
        <v>0.0</v>
      </c>
      <c r="V1135" t="n">
        <v>0.0</v>
      </c>
      <c r="W1135" t="inlineStr">
        <is>
          <t/>
        </is>
      </c>
      <c r="X1135" t="n">
        <v>0.0</v>
      </c>
      <c r="Y1135" t="n">
        <v>0.0</v>
      </c>
      <c r="Z1135" t="n">
        <v>0.0</v>
      </c>
      <c r="AA1135" t="n">
        <v>0.0</v>
      </c>
      <c r="AB1135" t="n">
        <v>0.0</v>
      </c>
      <c r="AC1135" t="n">
        <v>0.0</v>
      </c>
      <c r="AD1135" t="n">
        <v>0.0</v>
      </c>
      <c r="AE1135" t="n">
        <v>0.0</v>
      </c>
      <c r="AF1135" t="n">
        <v>0.0</v>
      </c>
      <c r="AG1135" t="n">
        <v>0.0</v>
      </c>
      <c r="AH1135" t="n">
        <v>0.0</v>
      </c>
      <c r="AI1135" t="n">
        <v>0.0</v>
      </c>
      <c r="AJ1135" t="n">
        <v>0.0</v>
      </c>
      <c r="AK1135" t="inlineStr">
        <is>
          <t/>
        </is>
      </c>
      <c r="AL1135" t="inlineStr">
        <is>
          <t/>
        </is>
      </c>
    </row>
    <row r="1136">
      <c r="A1136" t="inlineStr">
        <is>
          <t>感谢老板！一人食独立小包装太方便了😉</t>
        </is>
      </c>
      <c r="B1136" t="inlineStr">
        <is>
          <t>6a1956aa0000000008003068</t>
        </is>
      </c>
      <c r="C1136" s="1135" t="n">
        <f>HYPERLINK("https://www.xiaohongshu.com/explore/6a1956aa0000000008003068?xsec_token=TBk6CyYxmYlnK3hnLTdNsVfALlpj8UqHdKNMXME0c1gQE=&amp;xsec_source=pc_trdark","https://www.xiaohongshu.com/explore/6a1956aa0000000008003068?xsec_token=TBk6CyYxmYlnK3hnLTdNsVfALlpj8UqHdKNMXME0c1gQE=&amp;xsec_source=pc_trdark")</f>
        <v>0.0</v>
      </c>
      <c r="D1136" t="inlineStr">
        <is>
          <t>婉婉上班吃什么</t>
        </is>
      </c>
      <c r="E1136" t="inlineStr">
        <is>
          <t>11434449706</t>
        </is>
      </c>
      <c r="F1136" t="inlineStr">
        <is>
          <t>2026-05-29 17:04:42</t>
        </is>
      </c>
      <c r="G1136" t="inlineStr">
        <is>
          <t>图文</t>
        </is>
      </c>
      <c r="H1136" t="inlineStr">
        <is>
          <t>手剥虾仁 无冰衣无添加 低脂餐一人食 上班带饭 顺丰包邮 5盒装</t>
        </is>
      </c>
      <c r="I1136" t="inlineStr">
        <is>
          <t>694baba01d450d00013662f0</t>
        </is>
      </c>
      <c r="J1136" t="inlineStr">
        <is>
          <t/>
        </is>
      </c>
      <c r="K1136" t="n">
        <v>0.0</v>
      </c>
      <c r="L1136" t="n">
        <v>0.0</v>
      </c>
      <c r="M1136" t="n">
        <v>0.0</v>
      </c>
      <c r="N1136" t="inlineStr">
        <is>
          <t/>
        </is>
      </c>
      <c r="O1136" t="n">
        <v>0.0</v>
      </c>
      <c r="P1136" t="n">
        <v>0.0</v>
      </c>
      <c r="Q1136" t="inlineStr">
        <is>
          <t/>
        </is>
      </c>
      <c r="R1136" t="inlineStr">
        <is>
          <t/>
        </is>
      </c>
      <c r="S1136" t="n">
        <v>0.0</v>
      </c>
      <c r="T1136" t="n">
        <v>0.0</v>
      </c>
      <c r="U1136" t="n">
        <v>0.0</v>
      </c>
      <c r="V1136" t="n">
        <v>0.0</v>
      </c>
      <c r="W1136" t="inlineStr">
        <is>
          <t/>
        </is>
      </c>
      <c r="X1136" t="n">
        <v>0.0</v>
      </c>
      <c r="Y1136" t="n">
        <v>0.0</v>
      </c>
      <c r="Z1136" t="n">
        <v>0.0</v>
      </c>
      <c r="AA1136" t="n">
        <v>0.0</v>
      </c>
      <c r="AB1136" t="n">
        <v>0.0</v>
      </c>
      <c r="AC1136" t="n">
        <v>0.0</v>
      </c>
      <c r="AD1136" t="n">
        <v>0.0</v>
      </c>
      <c r="AE1136" t="n">
        <v>0.0</v>
      </c>
      <c r="AF1136" t="n">
        <v>0.0</v>
      </c>
      <c r="AG1136" t="n">
        <v>0.0</v>
      </c>
      <c r="AH1136" t="n">
        <v>0.0</v>
      </c>
      <c r="AI1136" t="n">
        <v>0.0</v>
      </c>
      <c r="AJ1136" t="n">
        <v>0.0</v>
      </c>
      <c r="AK1136" t="inlineStr">
        <is>
          <t/>
        </is>
      </c>
      <c r="AL1136" t="inlineStr">
        <is>
          <t/>
        </is>
      </c>
    </row>
    <row r="1137">
      <c r="A1137" t="inlineStr">
        <is>
          <t>打工人🤔不想再吃科技与狠活外卖？？？</t>
        </is>
      </c>
      <c r="B1137" t="inlineStr">
        <is>
          <t>6a195600000000003503b231</t>
        </is>
      </c>
      <c r="C1137" s="1136" t="n">
        <f>HYPERLINK("https://www.xiaohongshu.com/explore/6a195600000000003503b231?xsec_token=TBk6CyYxmYlnK3hnLTdNsVfJF96wTwJbURNn67a6mG2AA=&amp;xsec_source=pc_trdark","https://www.xiaohongshu.com/explore/6a195600000000003503b231?xsec_token=TBk6CyYxmYlnK3hnLTdNsVfJF96wTwJbURNn67a6mG2AA=&amp;xsec_source=pc_trdark")</f>
        <v>0.0</v>
      </c>
      <c r="D1137" t="inlineStr">
        <is>
          <t>鲜水湾甄选</t>
        </is>
      </c>
      <c r="E1137" t="inlineStr">
        <is>
          <t>27401929161</t>
        </is>
      </c>
      <c r="F1137" t="inlineStr">
        <is>
          <t>2026-05-29 18:16:00</t>
        </is>
      </c>
      <c r="G1137" t="inlineStr">
        <is>
          <t>图文</t>
        </is>
      </c>
      <c r="H1137" t="inlineStr">
        <is>
          <t>手剥虾仁 无冰衣无添加 低脂餐一人食 上班带饭 顺丰包邮 5盒装</t>
        </is>
      </c>
      <c r="I1137" t="inlineStr">
        <is>
          <t>694baba01d450d00013662f0</t>
        </is>
      </c>
      <c r="J1137" t="inlineStr">
        <is>
          <t/>
        </is>
      </c>
      <c r="K1137" t="n">
        <v>0.0</v>
      </c>
      <c r="L1137" t="n">
        <v>0.0</v>
      </c>
      <c r="M1137" t="n">
        <v>0.0</v>
      </c>
      <c r="N1137" t="inlineStr">
        <is>
          <t/>
        </is>
      </c>
      <c r="O1137" t="n">
        <v>0.0</v>
      </c>
      <c r="P1137" t="n">
        <v>0.0</v>
      </c>
      <c r="Q1137" t="inlineStr">
        <is>
          <t/>
        </is>
      </c>
      <c r="R1137" t="inlineStr">
        <is>
          <t/>
        </is>
      </c>
      <c r="S1137" t="n">
        <v>0.0</v>
      </c>
      <c r="T1137" t="n">
        <v>0.0</v>
      </c>
      <c r="U1137" t="n">
        <v>0.0</v>
      </c>
      <c r="V1137" t="n">
        <v>0.0</v>
      </c>
      <c r="W1137" t="inlineStr">
        <is>
          <t/>
        </is>
      </c>
      <c r="X1137" t="n">
        <v>0.0</v>
      </c>
      <c r="Y1137" t="n">
        <v>0.0</v>
      </c>
      <c r="Z1137" t="n">
        <v>0.0</v>
      </c>
      <c r="AA1137" t="n">
        <v>0.0</v>
      </c>
      <c r="AB1137" t="n">
        <v>0.0</v>
      </c>
      <c r="AC1137" t="n">
        <v>0.0</v>
      </c>
      <c r="AD1137" t="n">
        <v>0.0</v>
      </c>
      <c r="AE1137" t="n">
        <v>0.0</v>
      </c>
      <c r="AF1137" t="n">
        <v>0.0</v>
      </c>
      <c r="AG1137" t="n">
        <v>0.0</v>
      </c>
      <c r="AH1137" t="n">
        <v>0.0</v>
      </c>
      <c r="AI1137" t="n">
        <v>0.0</v>
      </c>
      <c r="AJ1137" t="n">
        <v>0.0</v>
      </c>
      <c r="AK1137" t="inlineStr">
        <is>
          <t/>
        </is>
      </c>
      <c r="AL1137" t="inlineStr">
        <is>
          <t/>
        </is>
      </c>
    </row>
    <row r="1138">
      <c r="A1138" t="inlineStr">
        <is>
          <t>打工人午饭被这虾仁承包了……</t>
        </is>
      </c>
      <c r="B1138" t="inlineStr">
        <is>
          <t>6a19506a0000000036000ae3</t>
        </is>
      </c>
      <c r="C1138" s="1137" t="n">
        <f>HYPERLINK("https://www.xiaohongshu.com/explore/6a19506a0000000036000ae3?xsec_token=TBk6CyYxmYlnK3hnLTdNsVfCdkf66vdK7oy6uB7VCpdNM=&amp;xsec_source=pc_trdark","https://www.xiaohongshu.com/explore/6a19506a0000000036000ae3?xsec_token=TBk6CyYxmYlnK3hnLTdNsVfCdkf66vdK7oy6uB7VCpdNM=&amp;xsec_source=pc_trdark")</f>
        <v>0.0</v>
      </c>
      <c r="D1138" t="inlineStr">
        <is>
          <t>鲜水湾甄选</t>
        </is>
      </c>
      <c r="E1138" t="inlineStr">
        <is>
          <t>27401929161</t>
        </is>
      </c>
      <c r="F1138" t="inlineStr">
        <is>
          <t>2026-05-29 16:38:02</t>
        </is>
      </c>
      <c r="G1138" t="inlineStr">
        <is>
          <t>图文</t>
        </is>
      </c>
      <c r="H1138" t="inlineStr">
        <is>
          <t>手剥虾仁 无冰衣无添加 低脂餐一人食 上班带饭 顺丰包邮 5盒装</t>
        </is>
      </c>
      <c r="I1138" t="inlineStr">
        <is>
          <t>694baba01d450d00013662f0</t>
        </is>
      </c>
      <c r="J1138" t="inlineStr">
        <is>
          <t/>
        </is>
      </c>
      <c r="K1138" t="n">
        <v>0.0</v>
      </c>
      <c r="L1138" t="n">
        <v>0.0</v>
      </c>
      <c r="M1138" t="n">
        <v>0.0</v>
      </c>
      <c r="N1138" t="inlineStr">
        <is>
          <t/>
        </is>
      </c>
      <c r="O1138" t="n">
        <v>0.0</v>
      </c>
      <c r="P1138" t="n">
        <v>0.0</v>
      </c>
      <c r="Q1138" t="inlineStr">
        <is>
          <t/>
        </is>
      </c>
      <c r="R1138" t="inlineStr">
        <is>
          <t/>
        </is>
      </c>
      <c r="S1138" t="n">
        <v>0.0</v>
      </c>
      <c r="T1138" t="n">
        <v>0.0</v>
      </c>
      <c r="U1138" t="n">
        <v>0.0</v>
      </c>
      <c r="V1138" t="n">
        <v>0.0</v>
      </c>
      <c r="W1138" t="inlineStr">
        <is>
          <t/>
        </is>
      </c>
      <c r="X1138" t="n">
        <v>0.0</v>
      </c>
      <c r="Y1138" t="n">
        <v>0.0</v>
      </c>
      <c r="Z1138" t="n">
        <v>0.0</v>
      </c>
      <c r="AA1138" t="n">
        <v>0.0</v>
      </c>
      <c r="AB1138" t="n">
        <v>0.0</v>
      </c>
      <c r="AC1138" t="n">
        <v>0.0</v>
      </c>
      <c r="AD1138" t="n">
        <v>0.0</v>
      </c>
      <c r="AE1138" t="n">
        <v>0.0</v>
      </c>
      <c r="AF1138" t="n">
        <v>0.0</v>
      </c>
      <c r="AG1138" t="n">
        <v>0.0</v>
      </c>
      <c r="AH1138" t="n">
        <v>0.0</v>
      </c>
      <c r="AI1138" t="n">
        <v>0.0</v>
      </c>
      <c r="AJ1138" t="n">
        <v>0.0</v>
      </c>
      <c r="AK1138" t="inlineStr">
        <is>
          <t/>
        </is>
      </c>
      <c r="AL1138" t="inlineStr">
        <is>
          <t/>
        </is>
      </c>
    </row>
    <row r="1139">
      <c r="A1139" t="inlineStr">
        <is>
          <t>以为300块没多少，结果够吃一个月了</t>
        </is>
      </c>
      <c r="B1139" t="inlineStr">
        <is>
          <t>6a18fe100000000006034b0a</t>
        </is>
      </c>
      <c r="C1139" s="1138" t="n">
        <f>HYPERLINK("https://www.xiaohongshu.com/explore/6a18fe100000000006034b0a?xsec_token=TBasIynwQ-hL8RTBvPE8YR7gBRvBF35wV8P7EF8bdXnJ0=&amp;xsec_source=pc_trdark","https://www.xiaohongshu.com/explore/6a18fe100000000006034b0a?xsec_token=TBasIynwQ-hL8RTBvPE8YR7gBRvBF35wV8P7EF8bdXnJ0=&amp;xsec_source=pc_trdark")</f>
        <v>0.0</v>
      </c>
      <c r="D1139" t="inlineStr">
        <is>
          <t>婉婉上班吃什么</t>
        </is>
      </c>
      <c r="E1139" t="inlineStr">
        <is>
          <t>11434449706</t>
        </is>
      </c>
      <c r="F1139" t="inlineStr">
        <is>
          <t>2026-05-29 10:46:40</t>
        </is>
      </c>
      <c r="G1139" t="inlineStr">
        <is>
          <t>图文</t>
        </is>
      </c>
      <c r="H1139" t="inlineStr">
        <is>
          <t>智利尾端中段整条三文鱼 8斤深海鱼低脂餐囤货一周备菜顺丰包邮</t>
        </is>
      </c>
      <c r="I1139" t="inlineStr">
        <is>
          <t>69fab80d64eb410001ece0c0</t>
        </is>
      </c>
      <c r="J1139" t="inlineStr">
        <is>
          <t/>
        </is>
      </c>
      <c r="K1139" t="n">
        <v>0.0</v>
      </c>
      <c r="L1139" t="n">
        <v>0.0</v>
      </c>
      <c r="M1139" t="n">
        <v>0.0</v>
      </c>
      <c r="N1139" t="inlineStr">
        <is>
          <t/>
        </is>
      </c>
      <c r="O1139" t="n">
        <v>0.0</v>
      </c>
      <c r="P1139" t="n">
        <v>0.0</v>
      </c>
      <c r="Q1139" t="inlineStr">
        <is>
          <t/>
        </is>
      </c>
      <c r="R1139" t="inlineStr">
        <is>
          <t/>
        </is>
      </c>
      <c r="S1139" t="n">
        <v>0.0</v>
      </c>
      <c r="T1139" t="n">
        <v>0.0</v>
      </c>
      <c r="U1139" t="n">
        <v>0.0</v>
      </c>
      <c r="V1139" t="n">
        <v>0.0</v>
      </c>
      <c r="W1139" t="inlineStr">
        <is>
          <t/>
        </is>
      </c>
      <c r="X1139" t="n">
        <v>0.0</v>
      </c>
      <c r="Y1139" t="n">
        <v>0.0</v>
      </c>
      <c r="Z1139" t="n">
        <v>0.0</v>
      </c>
      <c r="AA1139" t="n">
        <v>0.0</v>
      </c>
      <c r="AB1139" t="n">
        <v>0.0</v>
      </c>
      <c r="AC1139" t="n">
        <v>0.0</v>
      </c>
      <c r="AD1139" t="n">
        <v>0.0</v>
      </c>
      <c r="AE1139" t="n">
        <v>0.0</v>
      </c>
      <c r="AF1139" t="n">
        <v>0.0</v>
      </c>
      <c r="AG1139" t="n">
        <v>0.0</v>
      </c>
      <c r="AH1139" t="n">
        <v>0.0</v>
      </c>
      <c r="AI1139" t="n">
        <v>0.0</v>
      </c>
      <c r="AJ1139" t="n">
        <v>0.0</v>
      </c>
      <c r="AK1139" t="inlineStr">
        <is>
          <t/>
        </is>
      </c>
      <c r="AL1139" t="inlineStr">
        <is>
          <t/>
        </is>
      </c>
    </row>
    <row r="1140">
      <c r="A1140" t="inlineStr">
        <is>
          <t>69块钱虾仁，吃了一周！😭你还说我奢侈…</t>
        </is>
      </c>
      <c r="B1140" t="inlineStr">
        <is>
          <t>6a18f26900000000350209f4</t>
        </is>
      </c>
      <c r="C1140" s="1139" t="n">
        <f>HYPERLINK("https://www.xiaohongshu.com/explore/6a18f26900000000350209f4?xsec_token=TBasIynwQ-hL8RTBvPE8YR7gImyQMGEvGYNTmhlbtUhvo=&amp;xsec_source=pc_trdark","https://www.xiaohongshu.com/explore/6a18f26900000000350209f4?xsec_token=TBasIynwQ-hL8RTBvPE8YR7gImyQMGEvGYNTmhlbtUhvo=&amp;xsec_source=pc_trdark")</f>
        <v>0.0</v>
      </c>
      <c r="D1140" t="inlineStr">
        <is>
          <t>鲜水湾甄选</t>
        </is>
      </c>
      <c r="E1140" t="inlineStr">
        <is>
          <t>27401929161</t>
        </is>
      </c>
      <c r="F1140" t="inlineStr">
        <is>
          <t>2026-05-29 09:56:57</t>
        </is>
      </c>
      <c r="G1140" t="inlineStr">
        <is>
          <t>视频</t>
        </is>
      </c>
      <c r="H1140" t="inlineStr">
        <is>
          <t>手剥虾仁 无冰衣无添加 低脂餐一人食 上班带饭 顺丰包邮 5盒装</t>
        </is>
      </c>
      <c r="I1140" t="inlineStr">
        <is>
          <t>694baba01d450d00013662f0</t>
        </is>
      </c>
      <c r="J1140" t="n">
        <v>16.0</v>
      </c>
      <c r="K1140" t="n">
        <v>0.0</v>
      </c>
      <c r="L1140" t="n">
        <v>0.0</v>
      </c>
      <c r="M1140" t="n">
        <v>0.0</v>
      </c>
      <c r="N1140" t="inlineStr">
        <is>
          <t/>
        </is>
      </c>
      <c r="O1140" t="n">
        <v>0.0</v>
      </c>
      <c r="P1140" t="n">
        <v>0.0</v>
      </c>
      <c r="Q1140" t="inlineStr">
        <is>
          <t/>
        </is>
      </c>
      <c r="R1140" t="inlineStr">
        <is>
          <t/>
        </is>
      </c>
      <c r="S1140" t="n">
        <v>0.0</v>
      </c>
      <c r="T1140" t="n">
        <v>0.0</v>
      </c>
      <c r="U1140" t="n">
        <v>0.0</v>
      </c>
      <c r="V1140" t="n">
        <v>0.0</v>
      </c>
      <c r="W1140" t="inlineStr">
        <is>
          <t/>
        </is>
      </c>
      <c r="X1140" t="n">
        <v>0.0</v>
      </c>
      <c r="Y1140" t="n">
        <v>0.0</v>
      </c>
      <c r="Z1140" t="n">
        <v>0.0</v>
      </c>
      <c r="AA1140" t="n">
        <v>0.0</v>
      </c>
      <c r="AB1140" t="n">
        <v>0.0</v>
      </c>
      <c r="AC1140" t="n">
        <v>0.0</v>
      </c>
      <c r="AD1140" t="n">
        <v>0.0</v>
      </c>
      <c r="AE1140" t="n">
        <v>0.0</v>
      </c>
      <c r="AF1140" t="n">
        <v>0.0</v>
      </c>
      <c r="AG1140" t="n">
        <v>0.0</v>
      </c>
      <c r="AH1140" t="n">
        <v>0.0</v>
      </c>
      <c r="AI1140" t="n">
        <v>0.0</v>
      </c>
      <c r="AJ1140" t="n">
        <v>0.0</v>
      </c>
      <c r="AK1140" t="inlineStr">
        <is>
          <t/>
        </is>
      </c>
      <c r="AL1140" t="inlineStr">
        <is>
          <t/>
        </is>
      </c>
    </row>
    <row r="1141">
      <c r="A1141" t="inlineStr">
        <is>
          <t>听爸妈的话，安排上一人食独立小包装🤩</t>
        </is>
      </c>
      <c r="B1141" t="inlineStr">
        <is>
          <t>6a1841230000000007028ce4</t>
        </is>
      </c>
      <c r="C1141" s="1140" t="n">
        <f>HYPERLINK("https://www.xiaohongshu.com/explore/6a1841230000000007028ce4?xsec_token=TBasIynwQ-hL8RTBvPE8YR7suFKLHoHYP0B-ZvQ9k2uZ4=&amp;xsec_source=pc_trdark","https://www.xiaohongshu.com/explore/6a1841230000000007028ce4?xsec_token=TBasIynwQ-hL8RTBvPE8YR7suFKLHoHYP0B-ZvQ9k2uZ4=&amp;xsec_source=pc_trdark")</f>
        <v>0.0</v>
      </c>
      <c r="D1141" t="inlineStr">
        <is>
          <t>菲菲上班吃什么</t>
        </is>
      </c>
      <c r="E1141" t="inlineStr">
        <is>
          <t>49936530607</t>
        </is>
      </c>
      <c r="F1141" t="inlineStr">
        <is>
          <t>2026-05-28 21:20:35</t>
        </is>
      </c>
      <c r="G1141" t="inlineStr">
        <is>
          <t>图文</t>
        </is>
      </c>
      <c r="H1141" t="inlineStr">
        <is>
          <t>手剥虾仁 无冰衣无添加 低脂餐一人食 上班带饭 顺丰包邮 5盒装</t>
        </is>
      </c>
      <c r="I1141" t="inlineStr">
        <is>
          <t>694baba01d450d00013662f0</t>
        </is>
      </c>
      <c r="J1141" t="inlineStr">
        <is>
          <t/>
        </is>
      </c>
      <c r="K1141" t="n">
        <v>0.0</v>
      </c>
      <c r="L1141" t="n">
        <v>0.0</v>
      </c>
      <c r="M1141" t="n">
        <v>0.0</v>
      </c>
      <c r="N1141" t="inlineStr">
        <is>
          <t/>
        </is>
      </c>
      <c r="O1141" t="n">
        <v>0.0</v>
      </c>
      <c r="P1141" t="n">
        <v>0.0</v>
      </c>
      <c r="Q1141" t="inlineStr">
        <is>
          <t/>
        </is>
      </c>
      <c r="R1141" t="inlineStr">
        <is>
          <t/>
        </is>
      </c>
      <c r="S1141" t="n">
        <v>0.0</v>
      </c>
      <c r="T1141" t="n">
        <v>0.0</v>
      </c>
      <c r="U1141" t="n">
        <v>0.0</v>
      </c>
      <c r="V1141" t="n">
        <v>0.0</v>
      </c>
      <c r="W1141" t="inlineStr">
        <is>
          <t/>
        </is>
      </c>
      <c r="X1141" t="n">
        <v>0.0</v>
      </c>
      <c r="Y1141" t="n">
        <v>0.0</v>
      </c>
      <c r="Z1141" t="n">
        <v>0.0</v>
      </c>
      <c r="AA1141" t="n">
        <v>0.0</v>
      </c>
      <c r="AB1141" t="n">
        <v>0.0</v>
      </c>
      <c r="AC1141" t="n">
        <v>0.0</v>
      </c>
      <c r="AD1141" t="n">
        <v>0.0</v>
      </c>
      <c r="AE1141" t="n">
        <v>0.0</v>
      </c>
      <c r="AF1141" t="n">
        <v>0.0</v>
      </c>
      <c r="AG1141" t="n">
        <v>0.0</v>
      </c>
      <c r="AH1141" t="n">
        <v>0.0</v>
      </c>
      <c r="AI1141" t="n">
        <v>0.0</v>
      </c>
      <c r="AJ1141" t="n">
        <v>0.0</v>
      </c>
      <c r="AK1141" t="inlineStr">
        <is>
          <t/>
        </is>
      </c>
      <c r="AL1141" t="inlineStr">
        <is>
          <t/>
        </is>
      </c>
    </row>
    <row r="1142">
      <c r="A1142" t="inlineStr">
        <is>
          <t>早八人！！吃完直接把奶茶戒掉了😭</t>
        </is>
      </c>
      <c r="B1142" t="inlineStr">
        <is>
          <t>6a183fca000000003501db1e</t>
        </is>
      </c>
      <c r="C1142" s="1141" t="n">
        <f>HYPERLINK("https://www.xiaohongshu.com/explore/6a183fca000000003501db1e?xsec_token=TBasIynwQ-hL8RTBvPE8YR7iK5wYzUaG0qsd6BrcDBn0w=&amp;xsec_source=pc_trdark","https://www.xiaohongshu.com/explore/6a183fca000000003501db1e?xsec_token=TBasIynwQ-hL8RTBvPE8YR7iK5wYzUaG0qsd6BrcDBn0w=&amp;xsec_source=pc_trdark")</f>
        <v>0.0</v>
      </c>
      <c r="D1142" t="inlineStr">
        <is>
          <t>鲜水湾甄选</t>
        </is>
      </c>
      <c r="E1142" t="inlineStr">
        <is>
          <t>27401929161</t>
        </is>
      </c>
      <c r="F1142" t="inlineStr">
        <is>
          <t>2026-05-28 22:09:00</t>
        </is>
      </c>
      <c r="G1142" t="inlineStr">
        <is>
          <t>图文</t>
        </is>
      </c>
      <c r="H1142" t="inlineStr">
        <is>
          <t>手剥虾仁 无冰衣无添加 低脂餐一人食 上班带饭 顺丰包邮 5盒装</t>
        </is>
      </c>
      <c r="I1142" t="inlineStr">
        <is>
          <t>694baba01d450d00013662f0</t>
        </is>
      </c>
      <c r="J1142" t="inlineStr">
        <is>
          <t/>
        </is>
      </c>
      <c r="K1142" t="n">
        <v>0.0</v>
      </c>
      <c r="L1142" t="n">
        <v>0.0</v>
      </c>
      <c r="M1142" t="n">
        <v>0.0</v>
      </c>
      <c r="N1142" t="inlineStr">
        <is>
          <t/>
        </is>
      </c>
      <c r="O1142" t="n">
        <v>0.0</v>
      </c>
      <c r="P1142" t="n">
        <v>0.0</v>
      </c>
      <c r="Q1142" t="inlineStr">
        <is>
          <t/>
        </is>
      </c>
      <c r="R1142" t="inlineStr">
        <is>
          <t/>
        </is>
      </c>
      <c r="S1142" t="n">
        <v>0.0</v>
      </c>
      <c r="T1142" t="n">
        <v>0.0</v>
      </c>
      <c r="U1142" t="n">
        <v>0.0</v>
      </c>
      <c r="V1142" t="n">
        <v>0.0</v>
      </c>
      <c r="W1142" t="inlineStr">
        <is>
          <t/>
        </is>
      </c>
      <c r="X1142" t="n">
        <v>0.0</v>
      </c>
      <c r="Y1142" t="n">
        <v>0.0</v>
      </c>
      <c r="Z1142" t="n">
        <v>0.0</v>
      </c>
      <c r="AA1142" t="n">
        <v>0.0</v>
      </c>
      <c r="AB1142" t="n">
        <v>0.0</v>
      </c>
      <c r="AC1142" t="n">
        <v>0.0</v>
      </c>
      <c r="AD1142" t="n">
        <v>0.0</v>
      </c>
      <c r="AE1142" t="n">
        <v>0.0</v>
      </c>
      <c r="AF1142" t="n">
        <v>0.0</v>
      </c>
      <c r="AG1142" t="n">
        <v>0.0</v>
      </c>
      <c r="AH1142" t="n">
        <v>0.0</v>
      </c>
      <c r="AI1142" t="n">
        <v>0.0</v>
      </c>
      <c r="AJ1142" t="n">
        <v>0.0</v>
      </c>
      <c r="AK1142" t="inlineStr">
        <is>
          <t/>
        </is>
      </c>
      <c r="AL1142" t="inlineStr">
        <is>
          <t/>
        </is>
      </c>
    </row>
    <row r="1143">
      <c r="A1143" t="inlineStr">
        <is>
          <t>和爸妈商量后，推出为早八人设计的小包装</t>
        </is>
      </c>
      <c r="B1143" t="inlineStr">
        <is>
          <t>6a1811010000000035024aa0</t>
        </is>
      </c>
      <c r="C1143" s="1142" t="n">
        <f>HYPERLINK("https://www.xiaohongshu.com/explore/6a1811010000000035024aa0?xsec_token=TBasIynwQ-hL8RTBvPE8YR7qr9G_hFHk4qaOGJrK8yLxk=&amp;xsec_source=pc_trdark","https://www.xiaohongshu.com/explore/6a1811010000000035024aa0?xsec_token=TBasIynwQ-hL8RTBvPE8YR7qr9G_hFHk4qaOGJrK8yLxk=&amp;xsec_source=pc_trdark")</f>
        <v>0.0</v>
      </c>
      <c r="D1143" t="inlineStr">
        <is>
          <t>鲜水湾甄选</t>
        </is>
      </c>
      <c r="E1143" t="inlineStr">
        <is>
          <t>27401929161</t>
        </is>
      </c>
      <c r="F1143" t="inlineStr">
        <is>
          <t>2026-05-28 19:55:00</t>
        </is>
      </c>
      <c r="G1143" t="inlineStr">
        <is>
          <t>图文</t>
        </is>
      </c>
      <c r="H1143" t="inlineStr">
        <is>
          <t>手剥虾仁 无冰衣无添加 低脂餐一人食 上班带饭 顺丰包邮 5盒装</t>
        </is>
      </c>
      <c r="I1143" t="inlineStr">
        <is>
          <t>694baba01d450d00013662f0</t>
        </is>
      </c>
      <c r="J1143" t="inlineStr">
        <is>
          <t/>
        </is>
      </c>
      <c r="K1143" t="n">
        <v>0.0</v>
      </c>
      <c r="L1143" t="n">
        <v>0.0</v>
      </c>
      <c r="M1143" t="n">
        <v>0.0</v>
      </c>
      <c r="N1143" t="inlineStr">
        <is>
          <t/>
        </is>
      </c>
      <c r="O1143" t="n">
        <v>0.0</v>
      </c>
      <c r="P1143" t="n">
        <v>0.0</v>
      </c>
      <c r="Q1143" t="inlineStr">
        <is>
          <t/>
        </is>
      </c>
      <c r="R1143" t="inlineStr">
        <is>
          <t/>
        </is>
      </c>
      <c r="S1143" t="n">
        <v>0.0</v>
      </c>
      <c r="T1143" t="n">
        <v>0.0</v>
      </c>
      <c r="U1143" t="n">
        <v>0.0</v>
      </c>
      <c r="V1143" t="n">
        <v>0.0</v>
      </c>
      <c r="W1143" t="inlineStr">
        <is>
          <t/>
        </is>
      </c>
      <c r="X1143" t="n">
        <v>0.0</v>
      </c>
      <c r="Y1143" t="n">
        <v>0.0</v>
      </c>
      <c r="Z1143" t="n">
        <v>0.0</v>
      </c>
      <c r="AA1143" t="n">
        <v>0.0</v>
      </c>
      <c r="AB1143" t="n">
        <v>0.0</v>
      </c>
      <c r="AC1143" t="n">
        <v>0.0</v>
      </c>
      <c r="AD1143" t="n">
        <v>0.0</v>
      </c>
      <c r="AE1143" t="n">
        <v>0.0</v>
      </c>
      <c r="AF1143" t="n">
        <v>0.0</v>
      </c>
      <c r="AG1143" t="n">
        <v>0.0</v>
      </c>
      <c r="AH1143" t="n">
        <v>0.0</v>
      </c>
      <c r="AI1143" t="n">
        <v>0.0</v>
      </c>
      <c r="AJ1143" t="n">
        <v>0.0</v>
      </c>
      <c r="AK1143" t="inlineStr">
        <is>
          <t/>
        </is>
      </c>
      <c r="AL1143" t="inlineStr">
        <is>
          <t/>
        </is>
      </c>
    </row>
    <row r="1144">
      <c r="A1144" t="inlineStr">
        <is>
          <t>等等！外卖重度患者居然开始自己带饭…</t>
        </is>
      </c>
      <c r="B1144" t="inlineStr">
        <is>
          <t>6a180c79000000003501f0dd</t>
        </is>
      </c>
      <c r="C1144" s="1143" t="n">
        <f>HYPERLINK("https://www.xiaohongshu.com/explore/6a180c79000000003501f0dd?xsec_token=TBasIynwQ-hL8RTBvPE8YR7hueY0LwAkRwnT5G2o1XQ20=&amp;xsec_source=pc_trdark","https://www.xiaohongshu.com/explore/6a180c79000000003501f0dd?xsec_token=TBasIynwQ-hL8RTBvPE8YR7hueY0LwAkRwnT5G2o1XQ20=&amp;xsec_source=pc_trdark")</f>
        <v>0.0</v>
      </c>
      <c r="D1144" t="inlineStr">
        <is>
          <t>鲜水湾甄选</t>
        </is>
      </c>
      <c r="E1144" t="inlineStr">
        <is>
          <t>27401929161</t>
        </is>
      </c>
      <c r="F1144" t="inlineStr">
        <is>
          <t>2026-05-28 17:35:53</t>
        </is>
      </c>
      <c r="G1144" t="inlineStr">
        <is>
          <t>图文</t>
        </is>
      </c>
      <c r="H1144" t="inlineStr">
        <is>
          <t>手剥虾仁 无冰衣无添加 低脂餐一人食 上班带饭 顺丰包邮 5盒装</t>
        </is>
      </c>
      <c r="I1144" t="inlineStr">
        <is>
          <t>694baba01d450d00013662f0</t>
        </is>
      </c>
      <c r="J1144" t="inlineStr">
        <is>
          <t/>
        </is>
      </c>
      <c r="K1144" t="n">
        <v>0.0</v>
      </c>
      <c r="L1144" t="n">
        <v>0.0</v>
      </c>
      <c r="M1144" t="n">
        <v>0.0</v>
      </c>
      <c r="N1144" t="inlineStr">
        <is>
          <t/>
        </is>
      </c>
      <c r="O1144" t="n">
        <v>0.0</v>
      </c>
      <c r="P1144" t="n">
        <v>0.0</v>
      </c>
      <c r="Q1144" t="inlineStr">
        <is>
          <t/>
        </is>
      </c>
      <c r="R1144" t="inlineStr">
        <is>
          <t/>
        </is>
      </c>
      <c r="S1144" t="n">
        <v>0.0</v>
      </c>
      <c r="T1144" t="n">
        <v>0.0</v>
      </c>
      <c r="U1144" t="n">
        <v>0.0</v>
      </c>
      <c r="V1144" t="n">
        <v>0.0</v>
      </c>
      <c r="W1144" t="inlineStr">
        <is>
          <t/>
        </is>
      </c>
      <c r="X1144" t="n">
        <v>0.0</v>
      </c>
      <c r="Y1144" t="n">
        <v>0.0</v>
      </c>
      <c r="Z1144" t="n">
        <v>0.0</v>
      </c>
      <c r="AA1144" t="n">
        <v>0.0</v>
      </c>
      <c r="AB1144" t="n">
        <v>0.0</v>
      </c>
      <c r="AC1144" t="n">
        <v>0.0</v>
      </c>
      <c r="AD1144" t="n">
        <v>0.0</v>
      </c>
      <c r="AE1144" t="n">
        <v>0.0</v>
      </c>
      <c r="AF1144" t="n">
        <v>0.0</v>
      </c>
      <c r="AG1144" t="n">
        <v>0.0</v>
      </c>
      <c r="AH1144" t="n">
        <v>0.0</v>
      </c>
      <c r="AI1144" t="n">
        <v>0.0</v>
      </c>
      <c r="AJ1144" t="n">
        <v>0.0</v>
      </c>
      <c r="AK1144" t="inlineStr">
        <is>
          <t/>
        </is>
      </c>
      <c r="AL1144" t="inlineStr">
        <is>
          <t/>
        </is>
      </c>
    </row>
    <row r="1145">
      <c r="A1145" t="inlineStr">
        <is>
          <t>减脂党吃完直接把奶茶戒掉了😭</t>
        </is>
      </c>
      <c r="B1145" t="inlineStr">
        <is>
          <t>6a180a01000000000602345a</t>
        </is>
      </c>
      <c r="C1145" s="1144" t="n">
        <f>HYPERLINK("https://www.xiaohongshu.com/explore/6a180a01000000000602345a?xsec_token=TBasIynwQ-hL8RTBvPE8YR7i5GR_1wwqhpWFxl5L6Ku1Y=&amp;xsec_source=pc_trdark","https://www.xiaohongshu.com/explore/6a180a01000000000602345a?xsec_token=TBasIynwQ-hL8RTBvPE8YR7i5GR_1wwqhpWFxl5L6Ku1Y=&amp;xsec_source=pc_trdark")</f>
        <v>0.0</v>
      </c>
      <c r="D1145" t="inlineStr">
        <is>
          <t>菲菲上班吃什么</t>
        </is>
      </c>
      <c r="E1145" t="inlineStr">
        <is>
          <t>49936530607</t>
        </is>
      </c>
      <c r="F1145" t="inlineStr">
        <is>
          <t>2026-05-28 17:25:21</t>
        </is>
      </c>
      <c r="G1145" t="inlineStr">
        <is>
          <t>图文</t>
        </is>
      </c>
      <c r="H1145" t="inlineStr">
        <is>
          <t>手剥虾仁 无冰衣无添加 低脂餐一人食 上班带饭 顺丰包邮 5盒装</t>
        </is>
      </c>
      <c r="I1145" t="inlineStr">
        <is>
          <t>694baba01d450d00013662f0</t>
        </is>
      </c>
      <c r="J1145" t="inlineStr">
        <is>
          <t/>
        </is>
      </c>
      <c r="K1145" t="n">
        <v>0.0</v>
      </c>
      <c r="L1145" t="n">
        <v>0.0</v>
      </c>
      <c r="M1145" t="n">
        <v>0.0</v>
      </c>
      <c r="N1145" t="inlineStr">
        <is>
          <t/>
        </is>
      </c>
      <c r="O1145" t="n">
        <v>0.0</v>
      </c>
      <c r="P1145" t="n">
        <v>0.0</v>
      </c>
      <c r="Q1145" t="inlineStr">
        <is>
          <t/>
        </is>
      </c>
      <c r="R1145" t="inlineStr">
        <is>
          <t/>
        </is>
      </c>
      <c r="S1145" t="n">
        <v>0.0</v>
      </c>
      <c r="T1145" t="n">
        <v>0.0</v>
      </c>
      <c r="U1145" t="n">
        <v>0.0</v>
      </c>
      <c r="V1145" t="n">
        <v>0.0</v>
      </c>
      <c r="W1145" t="inlineStr">
        <is>
          <t/>
        </is>
      </c>
      <c r="X1145" t="n">
        <v>0.0</v>
      </c>
      <c r="Y1145" t="n">
        <v>0.0</v>
      </c>
      <c r="Z1145" t="n">
        <v>0.0</v>
      </c>
      <c r="AA1145" t="n">
        <v>0.0</v>
      </c>
      <c r="AB1145" t="n">
        <v>0.0</v>
      </c>
      <c r="AC1145" t="n">
        <v>0.0</v>
      </c>
      <c r="AD1145" t="n">
        <v>0.0</v>
      </c>
      <c r="AE1145" t="n">
        <v>0.0</v>
      </c>
      <c r="AF1145" t="n">
        <v>0.0</v>
      </c>
      <c r="AG1145" t="n">
        <v>0.0</v>
      </c>
      <c r="AH1145" t="n">
        <v>0.0</v>
      </c>
      <c r="AI1145" t="n">
        <v>0.0</v>
      </c>
      <c r="AJ1145" t="n">
        <v>0.0</v>
      </c>
      <c r="AK1145" t="inlineStr">
        <is>
          <t/>
        </is>
      </c>
      <c r="AL1145" t="inlineStr">
        <is>
          <t/>
        </is>
      </c>
    </row>
    <row r="1146">
      <c r="A1146" t="inlineStr">
        <is>
          <t>同事以为我天天吃大餐🤣</t>
        </is>
      </c>
      <c r="B1146" t="inlineStr">
        <is>
          <t>6a17fbe9000000003501c974</t>
        </is>
      </c>
      <c r="C1146" s="1145" t="n">
        <f>HYPERLINK("https://www.xiaohongshu.com/explore/6a17fbe9000000003501c974?xsec_token=TB7ueUkL4gzc_MEFTWIglGNdxR1yabpz3l8OqPLKoVuGM=&amp;xsec_source=pc_trdark","https://www.xiaohongshu.com/explore/6a17fbe9000000003501c974?xsec_token=TB7ueUkL4gzc_MEFTWIglGNdxR1yabpz3l8OqPLKoVuGM=&amp;xsec_source=pc_trdark")</f>
        <v>0.0</v>
      </c>
      <c r="D1146" t="inlineStr">
        <is>
          <t>鲜水湾甄选</t>
        </is>
      </c>
      <c r="E1146" t="inlineStr">
        <is>
          <t>27401929161</t>
        </is>
      </c>
      <c r="F1146" t="inlineStr">
        <is>
          <t>2026-05-28 16:25:13</t>
        </is>
      </c>
      <c r="G1146" t="inlineStr">
        <is>
          <t>图文</t>
        </is>
      </c>
      <c r="H1146" t="inlineStr">
        <is>
          <t>手剥虾仁 无冰衣无添加 低脂餐一人食 上班带饭 顺丰包邮 5盒装</t>
        </is>
      </c>
      <c r="I1146" t="inlineStr">
        <is>
          <t>694baba01d450d00013662f0</t>
        </is>
      </c>
      <c r="J1146" t="inlineStr">
        <is>
          <t/>
        </is>
      </c>
      <c r="K1146" t="n">
        <v>0.0</v>
      </c>
      <c r="L1146" t="n">
        <v>0.0</v>
      </c>
      <c r="M1146" t="n">
        <v>0.0</v>
      </c>
      <c r="N1146" t="inlineStr">
        <is>
          <t/>
        </is>
      </c>
      <c r="O1146" t="n">
        <v>0.0</v>
      </c>
      <c r="P1146" t="n">
        <v>0.0</v>
      </c>
      <c r="Q1146" t="inlineStr">
        <is>
          <t/>
        </is>
      </c>
      <c r="R1146" t="inlineStr">
        <is>
          <t/>
        </is>
      </c>
      <c r="S1146" t="n">
        <v>0.0</v>
      </c>
      <c r="T1146" t="n">
        <v>0.0</v>
      </c>
      <c r="U1146" t="n">
        <v>0.0</v>
      </c>
      <c r="V1146" t="n">
        <v>0.0</v>
      </c>
      <c r="W1146" t="inlineStr">
        <is>
          <t/>
        </is>
      </c>
      <c r="X1146" t="n">
        <v>0.0</v>
      </c>
      <c r="Y1146" t="n">
        <v>0.0</v>
      </c>
      <c r="Z1146" t="n">
        <v>0.0</v>
      </c>
      <c r="AA1146" t="n">
        <v>0.0</v>
      </c>
      <c r="AB1146" t="n">
        <v>0.0</v>
      </c>
      <c r="AC1146" t="n">
        <v>0.0</v>
      </c>
      <c r="AD1146" t="n">
        <v>0.0</v>
      </c>
      <c r="AE1146" t="n">
        <v>0.0</v>
      </c>
      <c r="AF1146" t="n">
        <v>0.0</v>
      </c>
      <c r="AG1146" t="n">
        <v>0.0</v>
      </c>
      <c r="AH1146" t="n">
        <v>0.0</v>
      </c>
      <c r="AI1146" t="n">
        <v>0.0</v>
      </c>
      <c r="AJ1146" t="n">
        <v>0.0</v>
      </c>
      <c r="AK1146" t="inlineStr">
        <is>
          <t/>
        </is>
      </c>
      <c r="AL1146" t="inlineStr">
        <is>
          <t/>
        </is>
      </c>
    </row>
    <row r="1147">
      <c r="A1147" t="inlineStr">
        <is>
          <t>姐妹们别乱买了！69元能吃一周轻食了！！！</t>
        </is>
      </c>
      <c r="B1147" t="inlineStr">
        <is>
          <t>6a17014d0000000035020669</t>
        </is>
      </c>
      <c r="C1147" s="1146" t="n">
        <f>HYPERLINK("https://www.xiaohongshu.com/explore/6a17014d0000000035020669?xsec_token=TB7ueUkL4gzc_MEFTWIglGNQhA3BohVbCmGDHQf7m94q8=&amp;xsec_source=pc_trdark","https://www.xiaohongshu.com/explore/6a17014d0000000035020669?xsec_token=TB7ueUkL4gzc_MEFTWIglGNQhA3BohVbCmGDHQf7m94q8=&amp;xsec_source=pc_trdark")</f>
        <v>0.0</v>
      </c>
      <c r="D1147" t="inlineStr">
        <is>
          <t>鲜水湾甄选</t>
        </is>
      </c>
      <c r="E1147" t="inlineStr">
        <is>
          <t>27401929161</t>
        </is>
      </c>
      <c r="F1147" t="inlineStr">
        <is>
          <t>2026-05-27 22:35:57</t>
        </is>
      </c>
      <c r="G1147" t="inlineStr">
        <is>
          <t>图文</t>
        </is>
      </c>
      <c r="H1147" t="inlineStr">
        <is>
          <t>手剥虾仁 无冰衣无添加 低脂餐一人食 上班带饭 顺丰包邮 5盒装</t>
        </is>
      </c>
      <c r="I1147" t="inlineStr">
        <is>
          <t>694baba01d450d00013662f0</t>
        </is>
      </c>
      <c r="J1147" t="inlineStr">
        <is>
          <t/>
        </is>
      </c>
      <c r="K1147" t="n">
        <v>0.0</v>
      </c>
      <c r="L1147" t="n">
        <v>0.0</v>
      </c>
      <c r="M1147" t="n">
        <v>0.0</v>
      </c>
      <c r="N1147" t="inlineStr">
        <is>
          <t/>
        </is>
      </c>
      <c r="O1147" t="n">
        <v>0.0</v>
      </c>
      <c r="P1147" t="n">
        <v>0.0</v>
      </c>
      <c r="Q1147" t="inlineStr">
        <is>
          <t/>
        </is>
      </c>
      <c r="R1147" t="inlineStr">
        <is>
          <t/>
        </is>
      </c>
      <c r="S1147" t="n">
        <v>0.0</v>
      </c>
      <c r="T1147" t="n">
        <v>0.0</v>
      </c>
      <c r="U1147" t="n">
        <v>0.0</v>
      </c>
      <c r="V1147" t="n">
        <v>0.0</v>
      </c>
      <c r="W1147" t="inlineStr">
        <is>
          <t/>
        </is>
      </c>
      <c r="X1147" t="n">
        <v>0.0</v>
      </c>
      <c r="Y1147" t="n">
        <v>0.0</v>
      </c>
      <c r="Z1147" t="n">
        <v>0.0</v>
      </c>
      <c r="AA1147" t="n">
        <v>0.0</v>
      </c>
      <c r="AB1147" t="n">
        <v>0.0</v>
      </c>
      <c r="AC1147" t="n">
        <v>0.0</v>
      </c>
      <c r="AD1147" t="n">
        <v>0.0</v>
      </c>
      <c r="AE1147" t="n">
        <v>0.0</v>
      </c>
      <c r="AF1147" t="n">
        <v>0.0</v>
      </c>
      <c r="AG1147" t="n">
        <v>0.0</v>
      </c>
      <c r="AH1147" t="n">
        <v>0.0</v>
      </c>
      <c r="AI1147" t="n">
        <v>0.0</v>
      </c>
      <c r="AJ1147" t="n">
        <v>0.0</v>
      </c>
      <c r="AK1147" t="inlineStr">
        <is>
          <t/>
        </is>
      </c>
      <c r="AL1147" t="inlineStr">
        <is>
          <t/>
        </is>
      </c>
    </row>
    <row r="1148">
      <c r="A1148" t="inlineStr">
        <is>
          <t>100块吃不了一顿火锅，但能承包我一周轻食餐</t>
        </is>
      </c>
      <c r="B1148" t="inlineStr">
        <is>
          <t>6a16fe07000000000702cbce</t>
        </is>
      </c>
      <c r="C1148" s="1147" t="n">
        <f>HYPERLINK("https://www.xiaohongshu.com/explore/6a16fe07000000000702cbce?xsec_token=TBTlDyK2vMyPBioInbRWPaPpnWJfhwf7OxswPmshcsQB4=&amp;xsec_source=pc_trdark","https://www.xiaohongshu.com/explore/6a16fe07000000000702cbce?xsec_token=TBTlDyK2vMyPBioInbRWPaPpnWJfhwf7OxswPmshcsQB4=&amp;xsec_source=pc_trdark")</f>
        <v>0.0</v>
      </c>
      <c r="D1148" t="inlineStr">
        <is>
          <t>菲菲上班吃什么</t>
        </is>
      </c>
      <c r="E1148" t="inlineStr">
        <is>
          <t>49936530607</t>
        </is>
      </c>
      <c r="F1148" t="inlineStr">
        <is>
          <t>2026-05-27 22:21:59</t>
        </is>
      </c>
      <c r="G1148" t="inlineStr">
        <is>
          <t>图文</t>
        </is>
      </c>
      <c r="H1148" t="inlineStr">
        <is>
          <t>手剥虾仁 无冰衣无添加 低脂餐一人食 上班带饭 顺丰包邮 5盒装</t>
        </is>
      </c>
      <c r="I1148" t="inlineStr">
        <is>
          <t>694baba01d450d00013662f0</t>
        </is>
      </c>
      <c r="J1148" t="inlineStr">
        <is>
          <t/>
        </is>
      </c>
      <c r="K1148" t="n">
        <v>0.0</v>
      </c>
      <c r="L1148" t="n">
        <v>0.0</v>
      </c>
      <c r="M1148" t="n">
        <v>0.0</v>
      </c>
      <c r="N1148" t="inlineStr">
        <is>
          <t/>
        </is>
      </c>
      <c r="O1148" t="n">
        <v>0.0</v>
      </c>
      <c r="P1148" t="n">
        <v>0.0</v>
      </c>
      <c r="Q1148" t="inlineStr">
        <is>
          <t/>
        </is>
      </c>
      <c r="R1148" t="inlineStr">
        <is>
          <t/>
        </is>
      </c>
      <c r="S1148" t="n">
        <v>0.0</v>
      </c>
      <c r="T1148" t="n">
        <v>0.0</v>
      </c>
      <c r="U1148" t="n">
        <v>0.0</v>
      </c>
      <c r="V1148" t="n">
        <v>0.0</v>
      </c>
      <c r="W1148" t="inlineStr">
        <is>
          <t/>
        </is>
      </c>
      <c r="X1148" t="n">
        <v>0.0</v>
      </c>
      <c r="Y1148" t="n">
        <v>0.0</v>
      </c>
      <c r="Z1148" t="n">
        <v>0.0</v>
      </c>
      <c r="AA1148" t="n">
        <v>0.0</v>
      </c>
      <c r="AB1148" t="n">
        <v>0.0</v>
      </c>
      <c r="AC1148" t="n">
        <v>0.0</v>
      </c>
      <c r="AD1148" t="n">
        <v>0.0</v>
      </c>
      <c r="AE1148" t="n">
        <v>0.0</v>
      </c>
      <c r="AF1148" t="n">
        <v>0.0</v>
      </c>
      <c r="AG1148" t="n">
        <v>0.0</v>
      </c>
      <c r="AH1148" t="n">
        <v>0.0</v>
      </c>
      <c r="AI1148" t="n">
        <v>0.0</v>
      </c>
      <c r="AJ1148" t="n">
        <v>0.0</v>
      </c>
      <c r="AK1148" t="inlineStr">
        <is>
          <t/>
        </is>
      </c>
      <c r="AL1148" t="inlineStr">
        <is>
          <t/>
        </is>
      </c>
    </row>
    <row r="1149">
      <c r="A1149" t="inlineStr">
        <is>
          <t>不到70💰的购买力真的具象化了</t>
        </is>
      </c>
      <c r="B1149" t="inlineStr">
        <is>
          <t>6a16fd6c000000000803ecd0</t>
        </is>
      </c>
      <c r="C1149" s="1148" t="n">
        <f>HYPERLINK("https://www.xiaohongshu.com/explore/6a16fd6c000000000803ecd0?xsec_token=TBTlDyK2vMyPBioInbRWPaPlRPxHp3pblpH0662c5AiIA=&amp;xsec_source=pc_trdark","https://www.xiaohongshu.com/explore/6a16fd6c000000000803ecd0?xsec_token=TBTlDyK2vMyPBioInbRWPaPlRPxHp3pblpH0662c5AiIA=&amp;xsec_source=pc_trdark")</f>
        <v>0.0</v>
      </c>
      <c r="D1149" t="inlineStr">
        <is>
          <t>婉婉上班吃什么</t>
        </is>
      </c>
      <c r="E1149" t="inlineStr">
        <is>
          <t>11434449706</t>
        </is>
      </c>
      <c r="F1149" t="inlineStr">
        <is>
          <t>2026-05-27 22:19:24</t>
        </is>
      </c>
      <c r="G1149" t="inlineStr">
        <is>
          <t>图文</t>
        </is>
      </c>
      <c r="H1149" t="inlineStr">
        <is>
          <t>手剥虾仁 无冰衣无添加 低脂餐一人食 上班带饭 顺丰包邮 5盒装</t>
        </is>
      </c>
      <c r="I1149" t="inlineStr">
        <is>
          <t>694baba01d450d00013662f0</t>
        </is>
      </c>
      <c r="J1149" t="inlineStr">
        <is>
          <t/>
        </is>
      </c>
      <c r="K1149" t="n">
        <v>0.0</v>
      </c>
      <c r="L1149" t="n">
        <v>0.0</v>
      </c>
      <c r="M1149" t="n">
        <v>0.0</v>
      </c>
      <c r="N1149" t="inlineStr">
        <is>
          <t/>
        </is>
      </c>
      <c r="O1149" t="n">
        <v>0.0</v>
      </c>
      <c r="P1149" t="n">
        <v>0.0</v>
      </c>
      <c r="Q1149" t="inlineStr">
        <is>
          <t/>
        </is>
      </c>
      <c r="R1149" t="inlineStr">
        <is>
          <t/>
        </is>
      </c>
      <c r="S1149" t="n">
        <v>0.0</v>
      </c>
      <c r="T1149" t="n">
        <v>0.0</v>
      </c>
      <c r="U1149" t="n">
        <v>0.0</v>
      </c>
      <c r="V1149" t="n">
        <v>0.0</v>
      </c>
      <c r="W1149" t="inlineStr">
        <is>
          <t/>
        </is>
      </c>
      <c r="X1149" t="n">
        <v>0.0</v>
      </c>
      <c r="Y1149" t="n">
        <v>0.0</v>
      </c>
      <c r="Z1149" t="n">
        <v>0.0</v>
      </c>
      <c r="AA1149" t="n">
        <v>0.0</v>
      </c>
      <c r="AB1149" t="n">
        <v>0.0</v>
      </c>
      <c r="AC1149" t="n">
        <v>0.0</v>
      </c>
      <c r="AD1149" t="n">
        <v>0.0</v>
      </c>
      <c r="AE1149" t="n">
        <v>0.0</v>
      </c>
      <c r="AF1149" t="n">
        <v>0.0</v>
      </c>
      <c r="AG1149" t="n">
        <v>0.0</v>
      </c>
      <c r="AH1149" t="n">
        <v>0.0</v>
      </c>
      <c r="AI1149" t="n">
        <v>0.0</v>
      </c>
      <c r="AJ1149" t="n">
        <v>0.0</v>
      </c>
      <c r="AK1149" t="inlineStr">
        <is>
          <t/>
        </is>
      </c>
      <c r="AL1149" t="inlineStr">
        <is>
          <t/>
        </is>
      </c>
    </row>
    <row r="1150">
      <c r="A1150" t="inlineStr">
        <is>
          <t>吃过这个无保水虾仁，再也看不上普通虾仁了</t>
        </is>
      </c>
      <c r="B1150" t="inlineStr">
        <is>
          <t>6a16f5a20000000006022169</t>
        </is>
      </c>
      <c r="C1150" s="1149" t="n">
        <f>HYPERLINK("https://www.xiaohongshu.com/explore/6a16f5a20000000006022169?xsec_token=TBTlDyK2vMyPBioInbRWPaPi14mb29F--gc5M5nrWN1cE=&amp;xsec_source=pc_trdark","https://www.xiaohongshu.com/explore/6a16f5a20000000006022169?xsec_token=TBTlDyK2vMyPBioInbRWPaPi14mb29F--gc5M5nrWN1cE=&amp;xsec_source=pc_trdark")</f>
        <v>0.0</v>
      </c>
      <c r="D1150" t="inlineStr">
        <is>
          <t>鲜水湾</t>
        </is>
      </c>
      <c r="E1150" t="inlineStr">
        <is>
          <t>49316638994</t>
        </is>
      </c>
      <c r="F1150" t="inlineStr">
        <is>
          <t>2026-05-27 21:46:10</t>
        </is>
      </c>
      <c r="G1150" t="inlineStr">
        <is>
          <t>图文</t>
        </is>
      </c>
      <c r="H1150" t="inlineStr">
        <is>
          <t>手剥虾仁 无冰衣无添加 低脂餐一人食 上班带饭 顺丰包邮 5盒装</t>
        </is>
      </c>
      <c r="I1150" t="inlineStr">
        <is>
          <t>694baba01d450d00013662f0</t>
        </is>
      </c>
      <c r="J1150" t="inlineStr">
        <is>
          <t/>
        </is>
      </c>
      <c r="K1150" t="n">
        <v>0.0</v>
      </c>
      <c r="L1150" t="n">
        <v>0.0</v>
      </c>
      <c r="M1150" t="n">
        <v>0.0</v>
      </c>
      <c r="N1150" t="inlineStr">
        <is>
          <t/>
        </is>
      </c>
      <c r="O1150" t="n">
        <v>0.0</v>
      </c>
      <c r="P1150" t="n">
        <v>0.0</v>
      </c>
      <c r="Q1150" t="inlineStr">
        <is>
          <t/>
        </is>
      </c>
      <c r="R1150" t="inlineStr">
        <is>
          <t/>
        </is>
      </c>
      <c r="S1150" t="n">
        <v>0.0</v>
      </c>
      <c r="T1150" t="n">
        <v>0.0</v>
      </c>
      <c r="U1150" t="n">
        <v>0.0</v>
      </c>
      <c r="V1150" t="n">
        <v>0.0</v>
      </c>
      <c r="W1150" t="inlineStr">
        <is>
          <t/>
        </is>
      </c>
      <c r="X1150" t="n">
        <v>0.0</v>
      </c>
      <c r="Y1150" t="n">
        <v>0.0</v>
      </c>
      <c r="Z1150" t="n">
        <v>0.0</v>
      </c>
      <c r="AA1150" t="n">
        <v>0.0</v>
      </c>
      <c r="AB1150" t="n">
        <v>0.0</v>
      </c>
      <c r="AC1150" t="n">
        <v>0.0</v>
      </c>
      <c r="AD1150" t="n">
        <v>0.0</v>
      </c>
      <c r="AE1150" t="n">
        <v>0.0</v>
      </c>
      <c r="AF1150" t="n">
        <v>0.0</v>
      </c>
      <c r="AG1150" t="n">
        <v>0.0</v>
      </c>
      <c r="AH1150" t="n">
        <v>0.0</v>
      </c>
      <c r="AI1150" t="n">
        <v>0.0</v>
      </c>
      <c r="AJ1150" t="n">
        <v>0.0</v>
      </c>
      <c r="AK1150" t="inlineStr">
        <is>
          <t/>
        </is>
      </c>
      <c r="AL1150" t="inlineStr">
        <is>
          <t/>
        </is>
      </c>
    </row>
    <row r="1151">
      <c r="A1151" t="inlineStr">
        <is>
          <t>减脂餐终于不是水煮菜了🤣</t>
        </is>
      </c>
      <c r="B1151" t="inlineStr">
        <is>
          <t>6a16f49100000000350318b3</t>
        </is>
      </c>
      <c r="C1151" s="1150" t="n">
        <f>HYPERLINK("https://www.xiaohongshu.com/explore/6a16f49100000000350318b3?xsec_token=TBTlDyK2vMyPBioInbRWPaPsSYaOJxhI5xcaxvRtrrXbs=&amp;xsec_source=pc_trdark","https://www.xiaohongshu.com/explore/6a16f49100000000350318b3?xsec_token=TBTlDyK2vMyPBioInbRWPaPsSYaOJxhI5xcaxvRtrrXbs=&amp;xsec_source=pc_trdark")</f>
        <v>0.0</v>
      </c>
      <c r="D1151" t="inlineStr">
        <is>
          <t>鲜水湾甄选</t>
        </is>
      </c>
      <c r="E1151" t="inlineStr">
        <is>
          <t>27401929161</t>
        </is>
      </c>
      <c r="F1151" t="inlineStr">
        <is>
          <t>2026-05-27 21:41:37</t>
        </is>
      </c>
      <c r="G1151" t="inlineStr">
        <is>
          <t>图文</t>
        </is>
      </c>
      <c r="H1151" t="inlineStr">
        <is>
          <t>手剥虾仁 无冰衣无添加 低脂餐一人食 上班带饭 顺丰包邮 5盒装</t>
        </is>
      </c>
      <c r="I1151" t="inlineStr">
        <is>
          <t>694baba01d450d00013662f0</t>
        </is>
      </c>
      <c r="J1151" t="inlineStr">
        <is>
          <t/>
        </is>
      </c>
      <c r="K1151" t="n">
        <v>0.0</v>
      </c>
      <c r="L1151" t="n">
        <v>0.0</v>
      </c>
      <c r="M1151" t="n">
        <v>0.0</v>
      </c>
      <c r="N1151" t="inlineStr">
        <is>
          <t/>
        </is>
      </c>
      <c r="O1151" t="n">
        <v>0.0</v>
      </c>
      <c r="P1151" t="n">
        <v>0.0</v>
      </c>
      <c r="Q1151" t="inlineStr">
        <is>
          <t/>
        </is>
      </c>
      <c r="R1151" t="inlineStr">
        <is>
          <t/>
        </is>
      </c>
      <c r="S1151" t="n">
        <v>0.0</v>
      </c>
      <c r="T1151" t="n">
        <v>0.0</v>
      </c>
      <c r="U1151" t="n">
        <v>0.0</v>
      </c>
      <c r="V1151" t="n">
        <v>0.0</v>
      </c>
      <c r="W1151" t="inlineStr">
        <is>
          <t/>
        </is>
      </c>
      <c r="X1151" t="n">
        <v>0.0</v>
      </c>
      <c r="Y1151" t="n">
        <v>0.0</v>
      </c>
      <c r="Z1151" t="n">
        <v>0.0</v>
      </c>
      <c r="AA1151" t="n">
        <v>0.0</v>
      </c>
      <c r="AB1151" t="n">
        <v>0.0</v>
      </c>
      <c r="AC1151" t="n">
        <v>0.0</v>
      </c>
      <c r="AD1151" t="n">
        <v>0.0</v>
      </c>
      <c r="AE1151" t="n">
        <v>0.0</v>
      </c>
      <c r="AF1151" t="n">
        <v>0.0</v>
      </c>
      <c r="AG1151" t="n">
        <v>0.0</v>
      </c>
      <c r="AH1151" t="n">
        <v>0.0</v>
      </c>
      <c r="AI1151" t="n">
        <v>0.0</v>
      </c>
      <c r="AJ1151" t="n">
        <v>0.0</v>
      </c>
      <c r="AK1151" t="inlineStr">
        <is>
          <t/>
        </is>
      </c>
      <c r="AL1151" t="inlineStr">
        <is>
          <t/>
        </is>
      </c>
    </row>
    <row r="1152">
      <c r="A1152" t="inlineStr">
        <is>
          <t>办公室午餐被问爆了😭</t>
        </is>
      </c>
      <c r="B1152" t="inlineStr">
        <is>
          <t>6a16c77f000000003502b329</t>
        </is>
      </c>
      <c r="C1152" s="1151" t="n">
        <f>HYPERLINK("https://www.xiaohongshu.com/explore/6a16c77f000000003502b329?xsec_token=TBTlDyK2vMyPBioInbRWPaPkX7VnbLuP1-GNSzT4g1rhw=&amp;xsec_source=pc_trdark","https://www.xiaohongshu.com/explore/6a16c77f000000003502b329?xsec_token=TBTlDyK2vMyPBioInbRWPaPkX7VnbLuP1-GNSzT4g1rhw=&amp;xsec_source=pc_trdark")</f>
        <v>0.0</v>
      </c>
      <c r="D1152" t="inlineStr">
        <is>
          <t>鲜水湾甄选</t>
        </is>
      </c>
      <c r="E1152" t="inlineStr">
        <is>
          <t>27401929161</t>
        </is>
      </c>
      <c r="F1152" t="inlineStr">
        <is>
          <t>2026-05-27 18:29:20</t>
        </is>
      </c>
      <c r="G1152" t="inlineStr">
        <is>
          <t>图文</t>
        </is>
      </c>
      <c r="H1152" t="inlineStr">
        <is>
          <t>手剥虾仁 无冰衣无添加 低脂餐一人食 上班带饭 顺丰包邮 5盒装</t>
        </is>
      </c>
      <c r="I1152" t="inlineStr">
        <is>
          <t>694baba01d450d00013662f0</t>
        </is>
      </c>
      <c r="J1152" t="inlineStr">
        <is>
          <t/>
        </is>
      </c>
      <c r="K1152" t="n">
        <v>0.0</v>
      </c>
      <c r="L1152" t="n">
        <v>0.0</v>
      </c>
      <c r="M1152" t="n">
        <v>0.0</v>
      </c>
      <c r="N1152" t="inlineStr">
        <is>
          <t/>
        </is>
      </c>
      <c r="O1152" t="n">
        <v>0.0</v>
      </c>
      <c r="P1152" t="n">
        <v>0.0</v>
      </c>
      <c r="Q1152" t="inlineStr">
        <is>
          <t/>
        </is>
      </c>
      <c r="R1152" t="inlineStr">
        <is>
          <t/>
        </is>
      </c>
      <c r="S1152" t="n">
        <v>0.0</v>
      </c>
      <c r="T1152" t="n">
        <v>0.0</v>
      </c>
      <c r="U1152" t="n">
        <v>0.0</v>
      </c>
      <c r="V1152" t="n">
        <v>0.0</v>
      </c>
      <c r="W1152" t="inlineStr">
        <is>
          <t/>
        </is>
      </c>
      <c r="X1152" t="n">
        <v>0.0</v>
      </c>
      <c r="Y1152" t="n">
        <v>0.0</v>
      </c>
      <c r="Z1152" t="n">
        <v>0.0</v>
      </c>
      <c r="AA1152" t="n">
        <v>0.0</v>
      </c>
      <c r="AB1152" t="n">
        <v>0.0</v>
      </c>
      <c r="AC1152" t="n">
        <v>0.0</v>
      </c>
      <c r="AD1152" t="n">
        <v>0.0</v>
      </c>
      <c r="AE1152" t="n">
        <v>0.0</v>
      </c>
      <c r="AF1152" t="n">
        <v>0.0</v>
      </c>
      <c r="AG1152" t="n">
        <v>0.0</v>
      </c>
      <c r="AH1152" t="n">
        <v>0.0</v>
      </c>
      <c r="AI1152" t="n">
        <v>0.0</v>
      </c>
      <c r="AJ1152" t="n">
        <v>0.0</v>
      </c>
      <c r="AK1152" t="inlineStr">
        <is>
          <t/>
        </is>
      </c>
      <c r="AL1152" t="inlineStr">
        <is>
          <t/>
        </is>
      </c>
    </row>
    <row r="1153">
      <c r="A1153" t="inlineStr">
        <is>
          <t>早八打工人终于认真吃饭了😭</t>
        </is>
      </c>
      <c r="B1153" t="inlineStr">
        <is>
          <t>6a16c6f60000000007013189</t>
        </is>
      </c>
      <c r="C1153" s="1152" t="n">
        <f>HYPERLINK("https://www.xiaohongshu.com/explore/6a16c6f60000000007013189?xsec_token=TBTlDyK2vMyPBioInbRWPaPkgRruowYUEqOPtOTrMLqZE=&amp;xsec_source=pc_trdark","https://www.xiaohongshu.com/explore/6a16c6f60000000007013189?xsec_token=TBTlDyK2vMyPBioInbRWPaPkgRruowYUEqOPtOTrMLqZE=&amp;xsec_source=pc_trdark")</f>
        <v>0.0</v>
      </c>
      <c r="D1153" t="inlineStr">
        <is>
          <t>菲菲上班吃什么</t>
        </is>
      </c>
      <c r="E1153" t="inlineStr">
        <is>
          <t>49936530607</t>
        </is>
      </c>
      <c r="F1153" t="inlineStr">
        <is>
          <t>2026-05-27 18:27:02</t>
        </is>
      </c>
      <c r="G1153" t="inlineStr">
        <is>
          <t>图文</t>
        </is>
      </c>
      <c r="H1153" t="inlineStr">
        <is>
          <t>手剥虾仁 无冰衣无添加 低脂餐一人食 上班带饭 顺丰包邮 5盒装</t>
        </is>
      </c>
      <c r="I1153" t="inlineStr">
        <is>
          <t>694baba01d450d00013662f0</t>
        </is>
      </c>
      <c r="J1153" t="inlineStr">
        <is>
          <t/>
        </is>
      </c>
      <c r="K1153" t="n">
        <v>0.0</v>
      </c>
      <c r="L1153" t="n">
        <v>0.0</v>
      </c>
      <c r="M1153" t="n">
        <v>0.0</v>
      </c>
      <c r="N1153" t="inlineStr">
        <is>
          <t/>
        </is>
      </c>
      <c r="O1153" t="n">
        <v>0.0</v>
      </c>
      <c r="P1153" t="n">
        <v>0.0</v>
      </c>
      <c r="Q1153" t="inlineStr">
        <is>
          <t/>
        </is>
      </c>
      <c r="R1153" t="inlineStr">
        <is>
          <t/>
        </is>
      </c>
      <c r="S1153" t="n">
        <v>0.0</v>
      </c>
      <c r="T1153" t="n">
        <v>0.0</v>
      </c>
      <c r="U1153" t="n">
        <v>0.0</v>
      </c>
      <c r="V1153" t="n">
        <v>0.0</v>
      </c>
      <c r="W1153" t="inlineStr">
        <is>
          <t/>
        </is>
      </c>
      <c r="X1153" t="n">
        <v>0.0</v>
      </c>
      <c r="Y1153" t="n">
        <v>0.0</v>
      </c>
      <c r="Z1153" t="n">
        <v>0.0</v>
      </c>
      <c r="AA1153" t="n">
        <v>0.0</v>
      </c>
      <c r="AB1153" t="n">
        <v>0.0</v>
      </c>
      <c r="AC1153" t="n">
        <v>0.0</v>
      </c>
      <c r="AD1153" t="n">
        <v>0.0</v>
      </c>
      <c r="AE1153" t="n">
        <v>0.0</v>
      </c>
      <c r="AF1153" t="n">
        <v>0.0</v>
      </c>
      <c r="AG1153" t="n">
        <v>0.0</v>
      </c>
      <c r="AH1153" t="n">
        <v>0.0</v>
      </c>
      <c r="AI1153" t="n">
        <v>0.0</v>
      </c>
      <c r="AJ1153" t="n">
        <v>0.0</v>
      </c>
      <c r="AK1153" t="inlineStr">
        <is>
          <t/>
        </is>
      </c>
      <c r="AL1153" t="inlineStr">
        <is>
          <t/>
        </is>
      </c>
    </row>
    <row r="1154">
      <c r="A1154" t="inlineStr">
        <is>
          <t>减脂人的冰箱，区区100块搞定半个月减脂餐</t>
        </is>
      </c>
      <c r="B1154" t="inlineStr">
        <is>
          <t>6a16b970000000003502532f</t>
        </is>
      </c>
      <c r="C1154" s="1153" t="n">
        <f>HYPERLINK("https://www.xiaohongshu.com/explore/6a16b970000000003502532f?xsec_token=TBTlDyK2vMyPBioInbRWPaPoNEe33VgTn-yVw3q-MUHPY=&amp;xsec_source=pc_trdark","https://www.xiaohongshu.com/explore/6a16b970000000003502532f?xsec_token=TBTlDyK2vMyPBioInbRWPaPoNEe33VgTn-yVw3q-MUHPY=&amp;xsec_source=pc_trdark")</f>
        <v>0.0</v>
      </c>
      <c r="D1154" t="inlineStr">
        <is>
          <t>鲜水湾甄选</t>
        </is>
      </c>
      <c r="E1154" t="inlineStr">
        <is>
          <t>27401929161</t>
        </is>
      </c>
      <c r="F1154" t="inlineStr">
        <is>
          <t>2026-05-27 19:32:00</t>
        </is>
      </c>
      <c r="G1154" t="inlineStr">
        <is>
          <t>图文</t>
        </is>
      </c>
      <c r="H1154" t="inlineStr">
        <is>
          <t>手剥虾仁 无冰衣无添加 低脂餐一人食 上班带饭 顺丰包邮 5盒装</t>
        </is>
      </c>
      <c r="I1154" t="inlineStr">
        <is>
          <t>694baba01d450d00013662f0</t>
        </is>
      </c>
      <c r="J1154" t="inlineStr">
        <is>
          <t/>
        </is>
      </c>
      <c r="K1154" t="n">
        <v>0.0</v>
      </c>
      <c r="L1154" t="n">
        <v>0.0</v>
      </c>
      <c r="M1154" t="n">
        <v>0.0</v>
      </c>
      <c r="N1154" t="inlineStr">
        <is>
          <t/>
        </is>
      </c>
      <c r="O1154" t="n">
        <v>0.0</v>
      </c>
      <c r="P1154" t="n">
        <v>0.0</v>
      </c>
      <c r="Q1154" t="inlineStr">
        <is>
          <t/>
        </is>
      </c>
      <c r="R1154" t="inlineStr">
        <is>
          <t/>
        </is>
      </c>
      <c r="S1154" t="n">
        <v>0.0</v>
      </c>
      <c r="T1154" t="n">
        <v>0.0</v>
      </c>
      <c r="U1154" t="n">
        <v>0.0</v>
      </c>
      <c r="V1154" t="n">
        <v>0.0</v>
      </c>
      <c r="W1154" t="inlineStr">
        <is>
          <t/>
        </is>
      </c>
      <c r="X1154" t="n">
        <v>0.0</v>
      </c>
      <c r="Y1154" t="n">
        <v>0.0</v>
      </c>
      <c r="Z1154" t="n">
        <v>0.0</v>
      </c>
      <c r="AA1154" t="n">
        <v>0.0</v>
      </c>
      <c r="AB1154" t="n">
        <v>0.0</v>
      </c>
      <c r="AC1154" t="n">
        <v>0.0</v>
      </c>
      <c r="AD1154" t="n">
        <v>0.0</v>
      </c>
      <c r="AE1154" t="n">
        <v>0.0</v>
      </c>
      <c r="AF1154" t="n">
        <v>0.0</v>
      </c>
      <c r="AG1154" t="n">
        <v>0.0</v>
      </c>
      <c r="AH1154" t="n">
        <v>0.0</v>
      </c>
      <c r="AI1154" t="n">
        <v>0.0</v>
      </c>
      <c r="AJ1154" t="n">
        <v>0.0</v>
      </c>
      <c r="AK1154" t="inlineStr">
        <is>
          <t/>
        </is>
      </c>
      <c r="AL1154" t="inlineStr">
        <is>
          <t/>
        </is>
      </c>
    </row>
    <row r="1155">
      <c r="A1155" t="inlineStr">
        <is>
          <t>比轻食外卖划算太多了🥹</t>
        </is>
      </c>
      <c r="B1155" t="inlineStr">
        <is>
          <t>6a16a411000000003502eee4</t>
        </is>
      </c>
      <c r="C1155" s="1154" t="n">
        <f>HYPERLINK("https://www.xiaohongshu.com/explore/6a16a411000000003502eee4?xsec_token=TBTlDyK2vMyPBioInbRWPaPu5VIwpGLOiQQWN-0cfsKAY=&amp;xsec_source=pc_trdark","https://www.xiaohongshu.com/explore/6a16a411000000003502eee4?xsec_token=TBTlDyK2vMyPBioInbRWPaPu5VIwpGLOiQQWN-0cfsKAY=&amp;xsec_source=pc_trdark")</f>
        <v>0.0</v>
      </c>
      <c r="D1155" t="inlineStr">
        <is>
          <t>鲜水湾甄选</t>
        </is>
      </c>
      <c r="E1155" t="inlineStr">
        <is>
          <t>27401929161</t>
        </is>
      </c>
      <c r="F1155" t="inlineStr">
        <is>
          <t>2026-05-27 15:58:09</t>
        </is>
      </c>
      <c r="G1155" t="inlineStr">
        <is>
          <t>图文</t>
        </is>
      </c>
      <c r="H1155" t="inlineStr">
        <is>
          <t>手剥虾仁 无冰衣无添加 低脂餐一人食 上班带饭 顺丰包邮 5盒装</t>
        </is>
      </c>
      <c r="I1155" t="inlineStr">
        <is>
          <t>694baba01d450d00013662f0</t>
        </is>
      </c>
      <c r="J1155" t="inlineStr">
        <is>
          <t/>
        </is>
      </c>
      <c r="K1155" t="n">
        <v>0.0</v>
      </c>
      <c r="L1155" t="n">
        <v>0.0</v>
      </c>
      <c r="M1155" t="n">
        <v>0.0</v>
      </c>
      <c r="N1155" t="inlineStr">
        <is>
          <t/>
        </is>
      </c>
      <c r="O1155" t="n">
        <v>0.0</v>
      </c>
      <c r="P1155" t="n">
        <v>0.0</v>
      </c>
      <c r="Q1155" t="inlineStr">
        <is>
          <t/>
        </is>
      </c>
      <c r="R1155" t="inlineStr">
        <is>
          <t/>
        </is>
      </c>
      <c r="S1155" t="n">
        <v>0.0</v>
      </c>
      <c r="T1155" t="n">
        <v>0.0</v>
      </c>
      <c r="U1155" t="n">
        <v>0.0</v>
      </c>
      <c r="V1155" t="n">
        <v>0.0</v>
      </c>
      <c r="W1155" t="inlineStr">
        <is>
          <t/>
        </is>
      </c>
      <c r="X1155" t="n">
        <v>0.0</v>
      </c>
      <c r="Y1155" t="n">
        <v>0.0</v>
      </c>
      <c r="Z1155" t="n">
        <v>0.0</v>
      </c>
      <c r="AA1155" t="n">
        <v>0.0</v>
      </c>
      <c r="AB1155" t="n">
        <v>0.0</v>
      </c>
      <c r="AC1155" t="n">
        <v>0.0</v>
      </c>
      <c r="AD1155" t="n">
        <v>0.0</v>
      </c>
      <c r="AE1155" t="n">
        <v>0.0</v>
      </c>
      <c r="AF1155" t="n">
        <v>0.0</v>
      </c>
      <c r="AG1155" t="n">
        <v>0.0</v>
      </c>
      <c r="AH1155" t="n">
        <v>0.0</v>
      </c>
      <c r="AI1155" t="n">
        <v>0.0</v>
      </c>
      <c r="AJ1155" t="n">
        <v>0.0</v>
      </c>
      <c r="AK1155" t="inlineStr">
        <is>
          <t/>
        </is>
      </c>
      <c r="AL1155" t="inlineStr">
        <is>
          <t/>
        </is>
      </c>
    </row>
    <row r="1156">
      <c r="A1156" t="inlineStr">
        <is>
          <t>跟老爸商量后，决定推出独居姐妹小包装虾仁</t>
        </is>
      </c>
      <c r="B1156" t="inlineStr">
        <is>
          <t>6a16a0ab000000000803fcfe</t>
        </is>
      </c>
      <c r="C1156" s="1155" t="n">
        <f>HYPERLINK("https://www.xiaohongshu.com/explore/6a16a0ab000000000803fcfe?xsec_token=TBTlDyK2vMyPBioInbRWPaPlUbLNJ76-_WXQPs_-kogTU=&amp;xsec_source=pc_trdark","https://www.xiaohongshu.com/explore/6a16a0ab000000000803fcfe?xsec_token=TBTlDyK2vMyPBioInbRWPaPlUbLNJ76-_WXQPs_-kogTU=&amp;xsec_source=pc_trdark")</f>
        <v>0.0</v>
      </c>
      <c r="D1156" t="inlineStr">
        <is>
          <t>菲菲上班吃什么</t>
        </is>
      </c>
      <c r="E1156" t="inlineStr">
        <is>
          <t>49936530607</t>
        </is>
      </c>
      <c r="F1156" t="inlineStr">
        <is>
          <t>2026-05-27 15:43:39</t>
        </is>
      </c>
      <c r="G1156" t="inlineStr">
        <is>
          <t>图文</t>
        </is>
      </c>
      <c r="H1156" t="inlineStr">
        <is>
          <t>手剥虾仁 无冰衣无添加 低脂餐一人食 上班带饭 顺丰包邮 5盒装</t>
        </is>
      </c>
      <c r="I1156" t="inlineStr">
        <is>
          <t>694baba01d450d00013662f0</t>
        </is>
      </c>
      <c r="J1156" t="inlineStr">
        <is>
          <t/>
        </is>
      </c>
      <c r="K1156" t="n">
        <v>0.0</v>
      </c>
      <c r="L1156" t="n">
        <v>0.0</v>
      </c>
      <c r="M1156" t="n">
        <v>0.0</v>
      </c>
      <c r="N1156" t="inlineStr">
        <is>
          <t/>
        </is>
      </c>
      <c r="O1156" t="n">
        <v>0.0</v>
      </c>
      <c r="P1156" t="n">
        <v>0.0</v>
      </c>
      <c r="Q1156" t="inlineStr">
        <is>
          <t/>
        </is>
      </c>
      <c r="R1156" t="inlineStr">
        <is>
          <t/>
        </is>
      </c>
      <c r="S1156" t="n">
        <v>0.0</v>
      </c>
      <c r="T1156" t="n">
        <v>0.0</v>
      </c>
      <c r="U1156" t="n">
        <v>0.0</v>
      </c>
      <c r="V1156" t="n">
        <v>0.0</v>
      </c>
      <c r="W1156" t="inlineStr">
        <is>
          <t/>
        </is>
      </c>
      <c r="X1156" t="n">
        <v>0.0</v>
      </c>
      <c r="Y1156" t="n">
        <v>0.0</v>
      </c>
      <c r="Z1156" t="n">
        <v>0.0</v>
      </c>
      <c r="AA1156" t="n">
        <v>0.0</v>
      </c>
      <c r="AB1156" t="n">
        <v>0.0</v>
      </c>
      <c r="AC1156" t="n">
        <v>0.0</v>
      </c>
      <c r="AD1156" t="n">
        <v>0.0</v>
      </c>
      <c r="AE1156" t="n">
        <v>0.0</v>
      </c>
      <c r="AF1156" t="n">
        <v>0.0</v>
      </c>
      <c r="AG1156" t="n">
        <v>0.0</v>
      </c>
      <c r="AH1156" t="n">
        <v>0.0</v>
      </c>
      <c r="AI1156" t="n">
        <v>0.0</v>
      </c>
      <c r="AJ1156" t="n">
        <v>0.0</v>
      </c>
      <c r="AK1156" t="inlineStr">
        <is>
          <t/>
        </is>
      </c>
      <c r="AL1156" t="inlineStr">
        <is>
          <t/>
        </is>
      </c>
    </row>
    <row r="1157">
      <c r="A1157" t="inlineStr">
        <is>
          <t>可惜你没吃过手剥虾仁，又怎知道虾仁有多香</t>
        </is>
      </c>
      <c r="B1157" t="inlineStr">
        <is>
          <t>6a169fbd000000000802441b</t>
        </is>
      </c>
      <c r="C1157" s="1156" t="n">
        <f>HYPERLINK("https://www.xiaohongshu.com/explore/6a169fbd000000000802441b?xsec_token=TBTlDyK2vMyPBioInbRWPaPsLp7pVeUTK_VArIBMfhrjw=&amp;xsec_source=pc_trdark","https://www.xiaohongshu.com/explore/6a169fbd000000000802441b?xsec_token=TBTlDyK2vMyPBioInbRWPaPsLp7pVeUTK_VArIBMfhrjw=&amp;xsec_source=pc_trdark")</f>
        <v>0.0</v>
      </c>
      <c r="D1157" t="inlineStr">
        <is>
          <t>菲菲上班吃什么</t>
        </is>
      </c>
      <c r="E1157" t="inlineStr">
        <is>
          <t>49936530607</t>
        </is>
      </c>
      <c r="F1157" t="inlineStr">
        <is>
          <t>2026-05-27 20:36:00</t>
        </is>
      </c>
      <c r="G1157" t="inlineStr">
        <is>
          <t>图文</t>
        </is>
      </c>
      <c r="H1157" t="inlineStr">
        <is>
          <t>手剥虾仁 无冰衣无添加 低脂餐一人食 上班带饭 顺丰包邮 5盒装</t>
        </is>
      </c>
      <c r="I1157" t="inlineStr">
        <is>
          <t>694baba01d450d00013662f0</t>
        </is>
      </c>
      <c r="J1157" t="inlineStr">
        <is>
          <t/>
        </is>
      </c>
      <c r="K1157" t="n">
        <v>0.0</v>
      </c>
      <c r="L1157" t="n">
        <v>0.0</v>
      </c>
      <c r="M1157" t="n">
        <v>0.0</v>
      </c>
      <c r="N1157" t="inlineStr">
        <is>
          <t/>
        </is>
      </c>
      <c r="O1157" t="n">
        <v>0.0</v>
      </c>
      <c r="P1157" t="n">
        <v>0.0</v>
      </c>
      <c r="Q1157" t="inlineStr">
        <is>
          <t/>
        </is>
      </c>
      <c r="R1157" t="inlineStr">
        <is>
          <t/>
        </is>
      </c>
      <c r="S1157" t="n">
        <v>0.0</v>
      </c>
      <c r="T1157" t="n">
        <v>0.0</v>
      </c>
      <c r="U1157" t="n">
        <v>0.0</v>
      </c>
      <c r="V1157" t="n">
        <v>0.0</v>
      </c>
      <c r="W1157" t="inlineStr">
        <is>
          <t/>
        </is>
      </c>
      <c r="X1157" t="n">
        <v>0.0</v>
      </c>
      <c r="Y1157" t="n">
        <v>0.0</v>
      </c>
      <c r="Z1157" t="n">
        <v>0.0</v>
      </c>
      <c r="AA1157" t="n">
        <v>0.0</v>
      </c>
      <c r="AB1157" t="n">
        <v>0.0</v>
      </c>
      <c r="AC1157" t="n">
        <v>0.0</v>
      </c>
      <c r="AD1157" t="n">
        <v>0.0</v>
      </c>
      <c r="AE1157" t="n">
        <v>0.0</v>
      </c>
      <c r="AF1157" t="n">
        <v>0.0</v>
      </c>
      <c r="AG1157" t="n">
        <v>0.0</v>
      </c>
      <c r="AH1157" t="n">
        <v>0.0</v>
      </c>
      <c r="AI1157" t="n">
        <v>0.0</v>
      </c>
      <c r="AJ1157" t="n">
        <v>0.0</v>
      </c>
      <c r="AK1157" t="inlineStr">
        <is>
          <t/>
        </is>
      </c>
      <c r="AL1157" t="inlineStr">
        <is>
          <t/>
        </is>
      </c>
    </row>
    <row r="1158">
      <c r="A1158" t="inlineStr">
        <is>
          <t>说一个饱腹感强但巨低脂的吃法！自律没负担</t>
        </is>
      </c>
      <c r="B1158" t="inlineStr">
        <is>
          <t>6a1693fc0000000035031e5f</t>
        </is>
      </c>
      <c r="C1158" s="1157" t="n">
        <f>HYPERLINK("https://www.xiaohongshu.com/explore/6a1693fc0000000035031e5f?xsec_token=TBTlDyK2vMyPBioInbRWPaPoqyg2iJPdhq6CGG3gi4oBA=&amp;xsec_source=pc_trdark","https://www.xiaohongshu.com/explore/6a1693fc0000000035031e5f?xsec_token=TBTlDyK2vMyPBioInbRWPaPoqyg2iJPdhq6CGG3gi4oBA=&amp;xsec_source=pc_trdark")</f>
        <v>0.0</v>
      </c>
      <c r="D1158" t="inlineStr">
        <is>
          <t>鲜水湾甄选</t>
        </is>
      </c>
      <c r="E1158" t="inlineStr">
        <is>
          <t>27401929161</t>
        </is>
      </c>
      <c r="F1158" t="inlineStr">
        <is>
          <t>2026-05-27 14:49:33</t>
        </is>
      </c>
      <c r="G1158" t="inlineStr">
        <is>
          <t>图文</t>
        </is>
      </c>
      <c r="H1158" t="inlineStr">
        <is>
          <t>手剥虾仁 无冰衣无添加 低脂餐一人食 上班带饭 顺丰包邮 5盒装</t>
        </is>
      </c>
      <c r="I1158" t="inlineStr">
        <is>
          <t>694baba01d450d00013662f0</t>
        </is>
      </c>
      <c r="J1158" t="inlineStr">
        <is>
          <t/>
        </is>
      </c>
      <c r="K1158" t="n">
        <v>0.0</v>
      </c>
      <c r="L1158" t="n">
        <v>0.0</v>
      </c>
      <c r="M1158" t="n">
        <v>0.0</v>
      </c>
      <c r="N1158" t="inlineStr">
        <is>
          <t/>
        </is>
      </c>
      <c r="O1158" t="n">
        <v>0.0</v>
      </c>
      <c r="P1158" t="n">
        <v>0.0</v>
      </c>
      <c r="Q1158" t="inlineStr">
        <is>
          <t/>
        </is>
      </c>
      <c r="R1158" t="inlineStr">
        <is>
          <t/>
        </is>
      </c>
      <c r="S1158" t="n">
        <v>0.0</v>
      </c>
      <c r="T1158" t="n">
        <v>0.0</v>
      </c>
      <c r="U1158" t="n">
        <v>0.0</v>
      </c>
      <c r="V1158" t="n">
        <v>0.0</v>
      </c>
      <c r="W1158" t="inlineStr">
        <is>
          <t/>
        </is>
      </c>
      <c r="X1158" t="n">
        <v>0.0</v>
      </c>
      <c r="Y1158" t="n">
        <v>0.0</v>
      </c>
      <c r="Z1158" t="n">
        <v>0.0</v>
      </c>
      <c r="AA1158" t="n">
        <v>0.0</v>
      </c>
      <c r="AB1158" t="n">
        <v>0.0</v>
      </c>
      <c r="AC1158" t="n">
        <v>0.0</v>
      </c>
      <c r="AD1158" t="n">
        <v>0.0</v>
      </c>
      <c r="AE1158" t="n">
        <v>0.0</v>
      </c>
      <c r="AF1158" t="n">
        <v>0.0</v>
      </c>
      <c r="AG1158" t="n">
        <v>0.0</v>
      </c>
      <c r="AH1158" t="n">
        <v>0.0</v>
      </c>
      <c r="AI1158" t="n">
        <v>0.0</v>
      </c>
      <c r="AJ1158" t="n">
        <v>0.0</v>
      </c>
      <c r="AK1158" t="inlineStr">
        <is>
          <t/>
        </is>
      </c>
      <c r="AL1158" t="inlineStr">
        <is>
          <t/>
        </is>
      </c>
    </row>
    <row r="1159">
      <c r="A1159" t="inlineStr">
        <is>
          <t>算了一下，自己带饭一周能省300块</t>
        </is>
      </c>
      <c r="B1159" t="inlineStr">
        <is>
          <t>6a1655680000000007013a35</t>
        </is>
      </c>
      <c r="C1159" s="1158" t="n">
        <f>HYPERLINK("https://www.xiaohongshu.com/explore/6a1655680000000007013a35?xsec_token=TBTlDyK2vMyPBioInbRWPaPk0vu3cNj6saXySvsFF9NwM=&amp;xsec_source=pc_trdark","https://www.xiaohongshu.com/explore/6a1655680000000007013a35?xsec_token=TBTlDyK2vMyPBioInbRWPaPk0vu3cNj6saXySvsFF9NwM=&amp;xsec_source=pc_trdark")</f>
        <v>0.0</v>
      </c>
      <c r="D1159" t="inlineStr">
        <is>
          <t>婉婉上班吃什么</t>
        </is>
      </c>
      <c r="E1159" t="inlineStr">
        <is>
          <t>11434449706</t>
        </is>
      </c>
      <c r="F1159" t="inlineStr">
        <is>
          <t>2026-05-27 10:22:32</t>
        </is>
      </c>
      <c r="G1159" t="inlineStr">
        <is>
          <t>图文</t>
        </is>
      </c>
      <c r="H1159" t="inlineStr">
        <is>
          <t>手剥虾仁 无冰衣无添加 低脂餐一人食 上班带饭 顺丰包邮 5盒装</t>
        </is>
      </c>
      <c r="I1159" t="inlineStr">
        <is>
          <t>694baba01d450d00013662f0</t>
        </is>
      </c>
      <c r="J1159" t="inlineStr">
        <is>
          <t/>
        </is>
      </c>
      <c r="K1159" t="n">
        <v>0.0</v>
      </c>
      <c r="L1159" t="n">
        <v>0.0</v>
      </c>
      <c r="M1159" t="n">
        <v>0.0</v>
      </c>
      <c r="N1159" t="inlineStr">
        <is>
          <t/>
        </is>
      </c>
      <c r="O1159" t="n">
        <v>0.0</v>
      </c>
      <c r="P1159" t="n">
        <v>0.0</v>
      </c>
      <c r="Q1159" t="inlineStr">
        <is>
          <t/>
        </is>
      </c>
      <c r="R1159" t="inlineStr">
        <is>
          <t/>
        </is>
      </c>
      <c r="S1159" t="n">
        <v>0.0</v>
      </c>
      <c r="T1159" t="n">
        <v>0.0</v>
      </c>
      <c r="U1159" t="n">
        <v>0.0</v>
      </c>
      <c r="V1159" t="n">
        <v>0.0</v>
      </c>
      <c r="W1159" t="inlineStr">
        <is>
          <t/>
        </is>
      </c>
      <c r="X1159" t="n">
        <v>0.0</v>
      </c>
      <c r="Y1159" t="n">
        <v>0.0</v>
      </c>
      <c r="Z1159" t="n">
        <v>0.0</v>
      </c>
      <c r="AA1159" t="n">
        <v>0.0</v>
      </c>
      <c r="AB1159" t="n">
        <v>0.0</v>
      </c>
      <c r="AC1159" t="n">
        <v>0.0</v>
      </c>
      <c r="AD1159" t="n">
        <v>0.0</v>
      </c>
      <c r="AE1159" t="n">
        <v>0.0</v>
      </c>
      <c r="AF1159" t="n">
        <v>0.0</v>
      </c>
      <c r="AG1159" t="n">
        <v>0.0</v>
      </c>
      <c r="AH1159" t="n">
        <v>0.0</v>
      </c>
      <c r="AI1159" t="n">
        <v>0.0</v>
      </c>
      <c r="AJ1159" t="n">
        <v>0.0</v>
      </c>
      <c r="AK1159" t="inlineStr">
        <is>
          <t/>
        </is>
      </c>
      <c r="AL1159" t="inlineStr">
        <is>
          <t/>
        </is>
      </c>
    </row>
    <row r="1160">
      <c r="A1160" t="inlineStr">
        <is>
          <t>我也不想吃啊，可它69够我吃一周了😂</t>
        </is>
      </c>
      <c r="B1160" t="inlineStr">
        <is>
          <t>6a1552480000000007027e62</t>
        </is>
      </c>
      <c r="C1160" s="1159" t="n">
        <f>HYPERLINK("https://www.xiaohongshu.com/explore/6a1552480000000007027e62?xsec_token=TB-9iWPr9Mx2NrjMC4lGPdgEqwx_KyjW1jJBhf9bMCZHU=&amp;xsec_source=pc_trdark","https://www.xiaohongshu.com/explore/6a1552480000000007027e62?xsec_token=TB-9iWPr9Mx2NrjMC4lGPdgEqwx_KyjW1jJBhf9bMCZHU=&amp;xsec_source=pc_trdark")</f>
        <v>0.0</v>
      </c>
      <c r="D1160" t="inlineStr">
        <is>
          <t>菲菲上班吃什么</t>
        </is>
      </c>
      <c r="E1160" t="inlineStr">
        <is>
          <t>49936530607</t>
        </is>
      </c>
      <c r="F1160" t="inlineStr">
        <is>
          <t>2026-05-26 19:31:00</t>
        </is>
      </c>
      <c r="G1160" t="inlineStr">
        <is>
          <t>图文</t>
        </is>
      </c>
      <c r="H1160" t="inlineStr">
        <is>
          <t>手剥虾仁 无冰衣无添加 低脂餐一人食 上班带饭 顺丰包邮 5盒装</t>
        </is>
      </c>
      <c r="I1160" t="inlineStr">
        <is>
          <t>694baba01d450d00013662f0</t>
        </is>
      </c>
      <c r="J1160" t="inlineStr">
        <is>
          <t/>
        </is>
      </c>
      <c r="K1160" t="n">
        <v>0.0</v>
      </c>
      <c r="L1160" t="n">
        <v>0.0</v>
      </c>
      <c r="M1160" t="n">
        <v>0.0</v>
      </c>
      <c r="N1160" t="inlineStr">
        <is>
          <t/>
        </is>
      </c>
      <c r="O1160" t="n">
        <v>0.0</v>
      </c>
      <c r="P1160" t="n">
        <v>0.0</v>
      </c>
      <c r="Q1160" t="inlineStr">
        <is>
          <t/>
        </is>
      </c>
      <c r="R1160" t="inlineStr">
        <is>
          <t/>
        </is>
      </c>
      <c r="S1160" t="n">
        <v>0.0</v>
      </c>
      <c r="T1160" t="n">
        <v>0.0</v>
      </c>
      <c r="U1160" t="n">
        <v>0.0</v>
      </c>
      <c r="V1160" t="n">
        <v>0.0</v>
      </c>
      <c r="W1160" t="inlineStr">
        <is>
          <t/>
        </is>
      </c>
      <c r="X1160" t="n">
        <v>0.0</v>
      </c>
      <c r="Y1160" t="n">
        <v>0.0</v>
      </c>
      <c r="Z1160" t="n">
        <v>0.0</v>
      </c>
      <c r="AA1160" t="n">
        <v>0.0</v>
      </c>
      <c r="AB1160" t="n">
        <v>0.0</v>
      </c>
      <c r="AC1160" t="n">
        <v>0.0</v>
      </c>
      <c r="AD1160" t="n">
        <v>0.0</v>
      </c>
      <c r="AE1160" t="n">
        <v>0.0</v>
      </c>
      <c r="AF1160" t="n">
        <v>0.0</v>
      </c>
      <c r="AG1160" t="n">
        <v>0.0</v>
      </c>
      <c r="AH1160" t="n">
        <v>0.0</v>
      </c>
      <c r="AI1160" t="n">
        <v>0.0</v>
      </c>
      <c r="AJ1160" t="n">
        <v>0.0</v>
      </c>
      <c r="AK1160" t="inlineStr">
        <is>
          <t/>
        </is>
      </c>
      <c r="AL1160" t="inlineStr">
        <is>
          <t/>
        </is>
      </c>
    </row>
    <row r="1161">
      <c r="A1161" t="inlineStr">
        <is>
          <t>说一个饱腹感强但巨低脂的吃法！！！</t>
        </is>
      </c>
      <c r="B1161" t="inlineStr">
        <is>
          <t>6a15516900000000070291ac</t>
        </is>
      </c>
      <c r="C1161" s="1160" t="n">
        <f>HYPERLINK("https://www.xiaohongshu.com/explore/6a15516900000000070291ac?xsec_token=TB-9iWPr9Mx2NrjMC4lGPdgECvCw3fnvVxf1Wa1gqtet4=&amp;xsec_source=pc_trdark","https://www.xiaohongshu.com/explore/6a15516900000000070291ac?xsec_token=TB-9iWPr9Mx2NrjMC4lGPdgECvCw3fnvVxf1Wa1gqtet4=&amp;xsec_source=pc_trdark")</f>
        <v>0.0</v>
      </c>
      <c r="D1161" t="inlineStr">
        <is>
          <t>菲菲上班吃什么</t>
        </is>
      </c>
      <c r="E1161" t="inlineStr">
        <is>
          <t>49936530607</t>
        </is>
      </c>
      <c r="F1161" t="inlineStr">
        <is>
          <t>2026-05-26 21:23:00</t>
        </is>
      </c>
      <c r="G1161" t="inlineStr">
        <is>
          <t>图文</t>
        </is>
      </c>
      <c r="H1161" t="inlineStr">
        <is>
          <t>手剥虾仁 无冰衣无添加 低脂餐一人食 上班带饭 顺丰包邮 5盒装</t>
        </is>
      </c>
      <c r="I1161" t="inlineStr">
        <is>
          <t>694baba01d450d00013662f0</t>
        </is>
      </c>
      <c r="J1161" t="inlineStr">
        <is>
          <t/>
        </is>
      </c>
      <c r="K1161" t="n">
        <v>0.0</v>
      </c>
      <c r="L1161" t="n">
        <v>0.0</v>
      </c>
      <c r="M1161" t="n">
        <v>0.0</v>
      </c>
      <c r="N1161" t="inlineStr">
        <is>
          <t/>
        </is>
      </c>
      <c r="O1161" t="n">
        <v>0.0</v>
      </c>
      <c r="P1161" t="n">
        <v>0.0</v>
      </c>
      <c r="Q1161" t="inlineStr">
        <is>
          <t/>
        </is>
      </c>
      <c r="R1161" t="inlineStr">
        <is>
          <t/>
        </is>
      </c>
      <c r="S1161" t="n">
        <v>0.0</v>
      </c>
      <c r="T1161" t="n">
        <v>0.0</v>
      </c>
      <c r="U1161" t="n">
        <v>0.0</v>
      </c>
      <c r="V1161" t="n">
        <v>0.0</v>
      </c>
      <c r="W1161" t="inlineStr">
        <is>
          <t/>
        </is>
      </c>
      <c r="X1161" t="n">
        <v>0.0</v>
      </c>
      <c r="Y1161" t="n">
        <v>0.0</v>
      </c>
      <c r="Z1161" t="n">
        <v>0.0</v>
      </c>
      <c r="AA1161" t="n">
        <v>0.0</v>
      </c>
      <c r="AB1161" t="n">
        <v>0.0</v>
      </c>
      <c r="AC1161" t="n">
        <v>0.0</v>
      </c>
      <c r="AD1161" t="n">
        <v>0.0</v>
      </c>
      <c r="AE1161" t="n">
        <v>0.0</v>
      </c>
      <c r="AF1161" t="n">
        <v>0.0</v>
      </c>
      <c r="AG1161" t="n">
        <v>0.0</v>
      </c>
      <c r="AH1161" t="n">
        <v>0.0</v>
      </c>
      <c r="AI1161" t="n">
        <v>0.0</v>
      </c>
      <c r="AJ1161" t="n">
        <v>0.0</v>
      </c>
      <c r="AK1161" t="inlineStr">
        <is>
          <t/>
        </is>
      </c>
      <c r="AL1161" t="inlineStr">
        <is>
          <t/>
        </is>
      </c>
    </row>
    <row r="1162">
      <c r="A1162" t="inlineStr">
        <is>
          <t>减脂人的冰箱，区区100块搞定半个月减脂餐</t>
        </is>
      </c>
      <c r="B1162" t="inlineStr">
        <is>
          <t>6a1550250000000007028b1a</t>
        </is>
      </c>
      <c r="C1162" s="1161" t="n">
        <f>HYPERLINK("https://www.xiaohongshu.com/explore/6a1550250000000007028b1a?xsec_token=TB-9iWPr9Mx2NrjMC4lGPdgDOF57Mqd4VmGGG1CBjnpnE=&amp;xsec_source=pc_trdark","https://www.xiaohongshu.com/explore/6a1550250000000007028b1a?xsec_token=TB-9iWPr9Mx2NrjMC4lGPdgDOF57Mqd4VmGGG1CBjnpnE=&amp;xsec_source=pc_trdark")</f>
        <v>0.0</v>
      </c>
      <c r="D1162" t="inlineStr">
        <is>
          <t>菲菲上班吃什么</t>
        </is>
      </c>
      <c r="E1162" t="inlineStr">
        <is>
          <t>49936530607</t>
        </is>
      </c>
      <c r="F1162" t="inlineStr">
        <is>
          <t>2026-05-26 20:32:00</t>
        </is>
      </c>
      <c r="G1162" t="inlineStr">
        <is>
          <t>图文</t>
        </is>
      </c>
      <c r="H1162" t="inlineStr">
        <is>
          <t>手剥虾仁 无冰衣无添加 低脂餐一人食 上班带饭 顺丰包邮 5盒装</t>
        </is>
      </c>
      <c r="I1162" t="inlineStr">
        <is>
          <t>694baba01d450d00013662f0</t>
        </is>
      </c>
      <c r="J1162" t="inlineStr">
        <is>
          <t/>
        </is>
      </c>
      <c r="K1162" t="n">
        <v>0.0</v>
      </c>
      <c r="L1162" t="n">
        <v>0.0</v>
      </c>
      <c r="M1162" t="n">
        <v>0.0</v>
      </c>
      <c r="N1162" t="inlineStr">
        <is>
          <t/>
        </is>
      </c>
      <c r="O1162" t="n">
        <v>0.0</v>
      </c>
      <c r="P1162" t="n">
        <v>0.0</v>
      </c>
      <c r="Q1162" t="inlineStr">
        <is>
          <t/>
        </is>
      </c>
      <c r="R1162" t="inlineStr">
        <is>
          <t/>
        </is>
      </c>
      <c r="S1162" t="n">
        <v>0.0</v>
      </c>
      <c r="T1162" t="n">
        <v>0.0</v>
      </c>
      <c r="U1162" t="n">
        <v>0.0</v>
      </c>
      <c r="V1162" t="n">
        <v>0.0</v>
      </c>
      <c r="W1162" t="inlineStr">
        <is>
          <t/>
        </is>
      </c>
      <c r="X1162" t="n">
        <v>0.0</v>
      </c>
      <c r="Y1162" t="n">
        <v>0.0</v>
      </c>
      <c r="Z1162" t="n">
        <v>0.0</v>
      </c>
      <c r="AA1162" t="n">
        <v>0.0</v>
      </c>
      <c r="AB1162" t="n">
        <v>0.0</v>
      </c>
      <c r="AC1162" t="n">
        <v>0.0</v>
      </c>
      <c r="AD1162" t="n">
        <v>0.0</v>
      </c>
      <c r="AE1162" t="n">
        <v>0.0</v>
      </c>
      <c r="AF1162" t="n">
        <v>0.0</v>
      </c>
      <c r="AG1162" t="n">
        <v>0.0</v>
      </c>
      <c r="AH1162" t="n">
        <v>0.0</v>
      </c>
      <c r="AI1162" t="n">
        <v>0.0</v>
      </c>
      <c r="AJ1162" t="n">
        <v>0.0</v>
      </c>
      <c r="AK1162" t="inlineStr">
        <is>
          <t/>
        </is>
      </c>
      <c r="AL1162" t="inlineStr">
        <is>
          <t/>
        </is>
      </c>
    </row>
    <row r="1163">
      <c r="A1163" t="inlineStr">
        <is>
          <t>公司微波炉坏了第三天，我反而吃得更开心</t>
        </is>
      </c>
      <c r="B1163" t="inlineStr">
        <is>
          <t>6a154c15000000003501e5aa</t>
        </is>
      </c>
      <c r="C1163" s="1162" t="n">
        <f>HYPERLINK("https://www.xiaohongshu.com/explore/6a154c15000000003501e5aa?xsec_token=TB-9iWPr9Mx2NrjMC4lGPdgOvHbhJBxO1O5-xQXR7kVZk=&amp;xsec_source=pc_trdark","https://www.xiaohongshu.com/explore/6a154c15000000003501e5aa?xsec_token=TB-9iWPr9Mx2NrjMC4lGPdgOvHbhJBxO1O5-xQXR7kVZk=&amp;xsec_source=pc_trdark")</f>
        <v>0.0</v>
      </c>
      <c r="D1163" t="inlineStr">
        <is>
          <t>鲜水湾甄选</t>
        </is>
      </c>
      <c r="E1163" t="inlineStr">
        <is>
          <t>27401929161</t>
        </is>
      </c>
      <c r="F1163" t="inlineStr">
        <is>
          <t>2026-05-26 18:46:00</t>
        </is>
      </c>
      <c r="G1163" t="inlineStr">
        <is>
          <t>图文</t>
        </is>
      </c>
      <c r="H1163" t="inlineStr">
        <is>
          <t>手剥虾仁 无冰衣无添加 低脂餐一人食 上班带饭 顺丰包邮 5盒装</t>
        </is>
      </c>
      <c r="I1163" t="inlineStr">
        <is>
          <t>694baba01d450d00013662f0</t>
        </is>
      </c>
      <c r="J1163" t="inlineStr">
        <is>
          <t/>
        </is>
      </c>
      <c r="K1163" t="n">
        <v>0.0</v>
      </c>
      <c r="L1163" t="n">
        <v>0.0</v>
      </c>
      <c r="M1163" t="n">
        <v>0.0</v>
      </c>
      <c r="N1163" t="inlineStr">
        <is>
          <t/>
        </is>
      </c>
      <c r="O1163" t="n">
        <v>0.0</v>
      </c>
      <c r="P1163" t="n">
        <v>0.0</v>
      </c>
      <c r="Q1163" t="inlineStr">
        <is>
          <t/>
        </is>
      </c>
      <c r="R1163" t="inlineStr">
        <is>
          <t/>
        </is>
      </c>
      <c r="S1163" t="n">
        <v>0.0</v>
      </c>
      <c r="T1163" t="n">
        <v>0.0</v>
      </c>
      <c r="U1163" t="n">
        <v>0.0</v>
      </c>
      <c r="V1163" t="n">
        <v>0.0</v>
      </c>
      <c r="W1163" t="inlineStr">
        <is>
          <t/>
        </is>
      </c>
      <c r="X1163" t="n">
        <v>0.0</v>
      </c>
      <c r="Y1163" t="n">
        <v>0.0</v>
      </c>
      <c r="Z1163" t="n">
        <v>0.0</v>
      </c>
      <c r="AA1163" t="n">
        <v>0.0</v>
      </c>
      <c r="AB1163" t="n">
        <v>0.0</v>
      </c>
      <c r="AC1163" t="n">
        <v>0.0</v>
      </c>
      <c r="AD1163" t="n">
        <v>0.0</v>
      </c>
      <c r="AE1163" t="n">
        <v>0.0</v>
      </c>
      <c r="AF1163" t="n">
        <v>0.0</v>
      </c>
      <c r="AG1163" t="n">
        <v>0.0</v>
      </c>
      <c r="AH1163" t="n">
        <v>0.0</v>
      </c>
      <c r="AI1163" t="n">
        <v>0.0</v>
      </c>
      <c r="AJ1163" t="n">
        <v>0.0</v>
      </c>
      <c r="AK1163" t="inlineStr">
        <is>
          <t/>
        </is>
      </c>
      <c r="AL1163" t="inlineStr">
        <is>
          <t/>
        </is>
      </c>
    </row>
    <row r="1164">
      <c r="A1164" t="inlineStr">
        <is>
          <t>跟老爸商量后，决定推出独居姐妹小包装虾仁</t>
        </is>
      </c>
      <c r="B1164" t="inlineStr">
        <is>
          <t>6a154b300000000035025a23</t>
        </is>
      </c>
      <c r="C1164" s="1163" t="n">
        <f>HYPERLINK("https://www.xiaohongshu.com/explore/6a154b300000000035025a23?xsec_token=TB-9iWPr9Mx2NrjMC4lGPdgK9uc5l4Val0tVlTvmpwZY4=&amp;xsec_source=pc_trdark","https://www.xiaohongshu.com/explore/6a154b300000000035025a23?xsec_token=TB-9iWPr9Mx2NrjMC4lGPdgK9uc5l4Val0tVlTvmpwZY4=&amp;xsec_source=pc_trdark")</f>
        <v>0.0</v>
      </c>
      <c r="D1164" t="inlineStr">
        <is>
          <t>鲜水湾甄选</t>
        </is>
      </c>
      <c r="E1164" t="inlineStr">
        <is>
          <t>27401929161</t>
        </is>
      </c>
      <c r="F1164" t="inlineStr">
        <is>
          <t>2026-05-26 21:44:00</t>
        </is>
      </c>
      <c r="G1164" t="inlineStr">
        <is>
          <t>图文</t>
        </is>
      </c>
      <c r="H1164" t="inlineStr">
        <is>
          <t>手剥虾仁 无冰衣无添加 低脂餐一人食 上班带饭 顺丰包邮 5盒装</t>
        </is>
      </c>
      <c r="I1164" t="inlineStr">
        <is>
          <t>694baba01d450d00013662f0</t>
        </is>
      </c>
      <c r="J1164" t="inlineStr">
        <is>
          <t/>
        </is>
      </c>
      <c r="K1164" t="n">
        <v>0.0</v>
      </c>
      <c r="L1164" t="n">
        <v>0.0</v>
      </c>
      <c r="M1164" t="n">
        <v>0.0</v>
      </c>
      <c r="N1164" t="inlineStr">
        <is>
          <t/>
        </is>
      </c>
      <c r="O1164" t="n">
        <v>0.0</v>
      </c>
      <c r="P1164" t="n">
        <v>0.0</v>
      </c>
      <c r="Q1164" t="inlineStr">
        <is>
          <t/>
        </is>
      </c>
      <c r="R1164" t="inlineStr">
        <is>
          <t/>
        </is>
      </c>
      <c r="S1164" t="n">
        <v>0.0</v>
      </c>
      <c r="T1164" t="n">
        <v>0.0</v>
      </c>
      <c r="U1164" t="n">
        <v>0.0</v>
      </c>
      <c r="V1164" t="n">
        <v>0.0</v>
      </c>
      <c r="W1164" t="inlineStr">
        <is>
          <t/>
        </is>
      </c>
      <c r="X1164" t="n">
        <v>0.0</v>
      </c>
      <c r="Y1164" t="n">
        <v>0.0</v>
      </c>
      <c r="Z1164" t="n">
        <v>0.0</v>
      </c>
      <c r="AA1164" t="n">
        <v>0.0</v>
      </c>
      <c r="AB1164" t="n">
        <v>0.0</v>
      </c>
      <c r="AC1164" t="n">
        <v>0.0</v>
      </c>
      <c r="AD1164" t="n">
        <v>0.0</v>
      </c>
      <c r="AE1164" t="n">
        <v>0.0</v>
      </c>
      <c r="AF1164" t="n">
        <v>0.0</v>
      </c>
      <c r="AG1164" t="n">
        <v>0.0</v>
      </c>
      <c r="AH1164" t="n">
        <v>0.0</v>
      </c>
      <c r="AI1164" t="n">
        <v>0.0</v>
      </c>
      <c r="AJ1164" t="n">
        <v>0.0</v>
      </c>
      <c r="AK1164" t="inlineStr">
        <is>
          <t/>
        </is>
      </c>
      <c r="AL1164" t="inlineStr">
        <is>
          <t/>
        </is>
      </c>
    </row>
    <row r="1165">
      <c r="A1165" t="inlineStr">
        <is>
          <t>夏天快来了，我决定花69吃一周轻食餐！</t>
        </is>
      </c>
      <c r="B1165" t="inlineStr">
        <is>
          <t>6a15497c0000000035029c31</t>
        </is>
      </c>
      <c r="C1165" s="1164" t="n">
        <f>HYPERLINK("https://www.xiaohongshu.com/explore/6a15497c0000000035029c31?xsec_token=TB-9iWPr9Mx2NrjMC4lGPdgA2Q8MzAg8_rbodGM3NKdnQ=&amp;xsec_source=pc_trdark","https://www.xiaohongshu.com/explore/6a15497c0000000035029c31?xsec_token=TB-9iWPr9Mx2NrjMC4lGPdgA2Q8MzAg8_rbodGM3NKdnQ=&amp;xsec_source=pc_trdark")</f>
        <v>0.0</v>
      </c>
      <c r="D1165" t="inlineStr">
        <is>
          <t>鲜水湾甄选</t>
        </is>
      </c>
      <c r="E1165" t="inlineStr">
        <is>
          <t>27401929161</t>
        </is>
      </c>
      <c r="F1165" t="inlineStr">
        <is>
          <t>2026-05-26 20:32:00</t>
        </is>
      </c>
      <c r="G1165" t="inlineStr">
        <is>
          <t>图文</t>
        </is>
      </c>
      <c r="H1165" t="inlineStr">
        <is>
          <t>手剥虾仁 无冰衣无添加 低脂餐一人食 上班带饭 顺丰包邮 5盒装</t>
        </is>
      </c>
      <c r="I1165" t="inlineStr">
        <is>
          <t>694baba01d450d00013662f0</t>
        </is>
      </c>
      <c r="J1165" t="inlineStr">
        <is>
          <t/>
        </is>
      </c>
      <c r="K1165" t="n">
        <v>0.0</v>
      </c>
      <c r="L1165" t="n">
        <v>0.0</v>
      </c>
      <c r="M1165" t="n">
        <v>0.0</v>
      </c>
      <c r="N1165" t="inlineStr">
        <is>
          <t/>
        </is>
      </c>
      <c r="O1165" t="n">
        <v>0.0</v>
      </c>
      <c r="P1165" t="n">
        <v>0.0</v>
      </c>
      <c r="Q1165" t="inlineStr">
        <is>
          <t/>
        </is>
      </c>
      <c r="R1165" t="inlineStr">
        <is>
          <t/>
        </is>
      </c>
      <c r="S1165" t="n">
        <v>0.0</v>
      </c>
      <c r="T1165" t="n">
        <v>0.0</v>
      </c>
      <c r="U1165" t="n">
        <v>0.0</v>
      </c>
      <c r="V1165" t="n">
        <v>0.0</v>
      </c>
      <c r="W1165" t="inlineStr">
        <is>
          <t/>
        </is>
      </c>
      <c r="X1165" t="n">
        <v>0.0</v>
      </c>
      <c r="Y1165" t="n">
        <v>0.0</v>
      </c>
      <c r="Z1165" t="n">
        <v>0.0</v>
      </c>
      <c r="AA1165" t="n">
        <v>0.0</v>
      </c>
      <c r="AB1165" t="n">
        <v>0.0</v>
      </c>
      <c r="AC1165" t="n">
        <v>0.0</v>
      </c>
      <c r="AD1165" t="n">
        <v>0.0</v>
      </c>
      <c r="AE1165" t="n">
        <v>0.0</v>
      </c>
      <c r="AF1165" t="n">
        <v>0.0</v>
      </c>
      <c r="AG1165" t="n">
        <v>0.0</v>
      </c>
      <c r="AH1165" t="n">
        <v>0.0</v>
      </c>
      <c r="AI1165" t="n">
        <v>0.0</v>
      </c>
      <c r="AJ1165" t="n">
        <v>0.0</v>
      </c>
      <c r="AK1165" t="inlineStr">
        <is>
          <t/>
        </is>
      </c>
      <c r="AL1165" t="inlineStr">
        <is>
          <t/>
        </is>
      </c>
    </row>
    <row r="1166">
      <c r="A1166" t="inlineStr">
        <is>
          <t>打工人冰箱里必须有它的位置！！！！</t>
        </is>
      </c>
      <c r="B1166" t="inlineStr">
        <is>
          <t>6a1539bb00000000080258a9</t>
        </is>
      </c>
      <c r="C1166" s="1165" t="n">
        <f>HYPERLINK("https://www.xiaohongshu.com/explore/6a1539bb00000000080258a9?xsec_token=TB-9iWPr9Mx2NrjMC4lGPdgI_bpdT3sUvmdCIwipDF5XY=&amp;xsec_source=pc_trdark","https://www.xiaohongshu.com/explore/6a1539bb00000000080258a9?xsec_token=TB-9iWPr9Mx2NrjMC4lGPdgI_bpdT3sUvmdCIwipDF5XY=&amp;xsec_source=pc_trdark")</f>
        <v>0.0</v>
      </c>
      <c r="D1166" t="inlineStr">
        <is>
          <t>菲菲上班吃什么</t>
        </is>
      </c>
      <c r="E1166" t="inlineStr">
        <is>
          <t>49936530607</t>
        </is>
      </c>
      <c r="F1166" t="inlineStr">
        <is>
          <t>2026-05-26 14:12:11</t>
        </is>
      </c>
      <c r="G1166" t="inlineStr">
        <is>
          <t>图文</t>
        </is>
      </c>
      <c r="H1166" t="inlineStr">
        <is>
          <t>手剥虾仁 无冰衣无添加 低脂餐一人食 上班带饭 顺丰包邮 5盒装</t>
        </is>
      </c>
      <c r="I1166" t="inlineStr">
        <is>
          <t>694baba01d450d00013662f0</t>
        </is>
      </c>
      <c r="J1166" t="inlineStr">
        <is>
          <t/>
        </is>
      </c>
      <c r="K1166" t="n">
        <v>0.0</v>
      </c>
      <c r="L1166" t="n">
        <v>0.0</v>
      </c>
      <c r="M1166" t="n">
        <v>0.0</v>
      </c>
      <c r="N1166" t="inlineStr">
        <is>
          <t/>
        </is>
      </c>
      <c r="O1166" t="n">
        <v>0.0</v>
      </c>
      <c r="P1166" t="n">
        <v>0.0</v>
      </c>
      <c r="Q1166" t="inlineStr">
        <is>
          <t/>
        </is>
      </c>
      <c r="R1166" t="inlineStr">
        <is>
          <t/>
        </is>
      </c>
      <c r="S1166" t="n">
        <v>0.0</v>
      </c>
      <c r="T1166" t="n">
        <v>0.0</v>
      </c>
      <c r="U1166" t="n">
        <v>0.0</v>
      </c>
      <c r="V1166" t="n">
        <v>0.0</v>
      </c>
      <c r="W1166" t="inlineStr">
        <is>
          <t/>
        </is>
      </c>
      <c r="X1166" t="n">
        <v>0.0</v>
      </c>
      <c r="Y1166" t="n">
        <v>0.0</v>
      </c>
      <c r="Z1166" t="n">
        <v>0.0</v>
      </c>
      <c r="AA1166" t="n">
        <v>0.0</v>
      </c>
      <c r="AB1166" t="n">
        <v>0.0</v>
      </c>
      <c r="AC1166" t="n">
        <v>0.0</v>
      </c>
      <c r="AD1166" t="n">
        <v>0.0</v>
      </c>
      <c r="AE1166" t="n">
        <v>0.0</v>
      </c>
      <c r="AF1166" t="n">
        <v>0.0</v>
      </c>
      <c r="AG1166" t="n">
        <v>0.0</v>
      </c>
      <c r="AH1166" t="n">
        <v>0.0</v>
      </c>
      <c r="AI1166" t="n">
        <v>0.0</v>
      </c>
      <c r="AJ1166" t="n">
        <v>0.0</v>
      </c>
      <c r="AK1166" t="inlineStr">
        <is>
          <t/>
        </is>
      </c>
      <c r="AL1166" t="inlineStr">
        <is>
          <t/>
        </is>
      </c>
    </row>
    <row r="1167">
      <c r="A1167" t="inlineStr">
        <is>
          <t>可惜你没吃过手剥虾仁，又怎知道虾仁有多香</t>
        </is>
      </c>
      <c r="B1167" t="inlineStr">
        <is>
          <t>6a152e0f000000003501c8e0</t>
        </is>
      </c>
      <c r="C1167" s="1166" t="n">
        <f>HYPERLINK("https://www.xiaohongshu.com/explore/6a152e0f000000003501c8e0?xsec_token=TB-9iWPr9Mx2NrjMC4lGPdgGNkNrBS-nO3eBVMQaXCuXA=&amp;xsec_source=pc_trdark","https://www.xiaohongshu.com/explore/6a152e0f000000003501c8e0?xsec_token=TB-9iWPr9Mx2NrjMC4lGPdgGNkNrBS-nO3eBVMQaXCuXA=&amp;xsec_source=pc_trdark")</f>
        <v>0.0</v>
      </c>
      <c r="D1167" t="inlineStr">
        <is>
          <t>鲜水湾甄选</t>
        </is>
      </c>
      <c r="E1167" t="inlineStr">
        <is>
          <t>27401929161</t>
        </is>
      </c>
      <c r="F1167" t="inlineStr">
        <is>
          <t>2026-05-26 13:44:00</t>
        </is>
      </c>
      <c r="G1167" t="inlineStr">
        <is>
          <t>图文</t>
        </is>
      </c>
      <c r="H1167" t="inlineStr">
        <is>
          <t>手剥虾仁 无冰衣无添加 低脂餐一人食 上班带饭 顺丰包邮 5盒装</t>
        </is>
      </c>
      <c r="I1167" t="inlineStr">
        <is>
          <t>694baba01d450d00013662f0</t>
        </is>
      </c>
      <c r="J1167" t="inlineStr">
        <is>
          <t/>
        </is>
      </c>
      <c r="K1167" t="n">
        <v>0.0</v>
      </c>
      <c r="L1167" t="n">
        <v>0.0</v>
      </c>
      <c r="M1167" t="n">
        <v>0.0</v>
      </c>
      <c r="N1167" t="inlineStr">
        <is>
          <t/>
        </is>
      </c>
      <c r="O1167" t="n">
        <v>0.0</v>
      </c>
      <c r="P1167" t="n">
        <v>0.0</v>
      </c>
      <c r="Q1167" t="inlineStr">
        <is>
          <t/>
        </is>
      </c>
      <c r="R1167" t="inlineStr">
        <is>
          <t/>
        </is>
      </c>
      <c r="S1167" t="n">
        <v>0.0</v>
      </c>
      <c r="T1167" t="n">
        <v>0.0</v>
      </c>
      <c r="U1167" t="n">
        <v>0.0</v>
      </c>
      <c r="V1167" t="n">
        <v>0.0</v>
      </c>
      <c r="W1167" t="inlineStr">
        <is>
          <t/>
        </is>
      </c>
      <c r="X1167" t="n">
        <v>0.0</v>
      </c>
      <c r="Y1167" t="n">
        <v>0.0</v>
      </c>
      <c r="Z1167" t="n">
        <v>0.0</v>
      </c>
      <c r="AA1167" t="n">
        <v>0.0</v>
      </c>
      <c r="AB1167" t="n">
        <v>0.0</v>
      </c>
      <c r="AC1167" t="n">
        <v>0.0</v>
      </c>
      <c r="AD1167" t="n">
        <v>0.0</v>
      </c>
      <c r="AE1167" t="n">
        <v>0.0</v>
      </c>
      <c r="AF1167" t="n">
        <v>0.0</v>
      </c>
      <c r="AG1167" t="n">
        <v>0.0</v>
      </c>
      <c r="AH1167" t="n">
        <v>0.0</v>
      </c>
      <c r="AI1167" t="n">
        <v>0.0</v>
      </c>
      <c r="AJ1167" t="n">
        <v>0.0</v>
      </c>
      <c r="AK1167" t="inlineStr">
        <is>
          <t/>
        </is>
      </c>
      <c r="AL1167" t="inlineStr">
        <is>
          <t/>
        </is>
      </c>
    </row>
    <row r="1168">
      <c r="A1168" t="inlineStr">
        <is>
          <t>上班带减脂餐不到一周8️⃣斤..好可怕！</t>
        </is>
      </c>
      <c r="B1168" t="inlineStr">
        <is>
          <t>6a15057e0000000007025af4</t>
        </is>
      </c>
      <c r="C1168" s="1167" t="n">
        <f>HYPERLINK("https://www.xiaohongshu.com/explore/6a15057e0000000007025af4?xsec_token=TB-9iWPr9Mx2NrjMC4lGPdgO7kJCDJ_6WEA5RBeBPDPxI=&amp;xsec_source=pc_trdark","https://www.xiaohongshu.com/explore/6a15057e0000000007025af4?xsec_token=TB-9iWPr9Mx2NrjMC4lGPdgO7kJCDJ_6WEA5RBeBPDPxI=&amp;xsec_source=pc_trdark")</f>
        <v>0.0</v>
      </c>
      <c r="D1168" t="inlineStr">
        <is>
          <t>菲菲上班吃什么</t>
        </is>
      </c>
      <c r="E1168" t="inlineStr">
        <is>
          <t>49936530607</t>
        </is>
      </c>
      <c r="F1168" t="inlineStr">
        <is>
          <t>2026-05-26 10:29:18</t>
        </is>
      </c>
      <c r="G1168" t="inlineStr">
        <is>
          <t>图文</t>
        </is>
      </c>
      <c r="H1168" t="inlineStr">
        <is>
          <t>手剥虾仁 无冰衣无添加 低脂餐一人食 上班带饭 顺丰包邮 5盒装</t>
        </is>
      </c>
      <c r="I1168" t="inlineStr">
        <is>
          <t>694baba01d450d00013662f0</t>
        </is>
      </c>
      <c r="J1168" t="inlineStr">
        <is>
          <t/>
        </is>
      </c>
      <c r="K1168" t="n">
        <v>0.0</v>
      </c>
      <c r="L1168" t="n">
        <v>0.0</v>
      </c>
      <c r="M1168" t="n">
        <v>0.0</v>
      </c>
      <c r="N1168" t="inlineStr">
        <is>
          <t/>
        </is>
      </c>
      <c r="O1168" t="n">
        <v>0.0</v>
      </c>
      <c r="P1168" t="n">
        <v>0.0</v>
      </c>
      <c r="Q1168" t="inlineStr">
        <is>
          <t/>
        </is>
      </c>
      <c r="R1168" t="inlineStr">
        <is>
          <t/>
        </is>
      </c>
      <c r="S1168" t="n">
        <v>0.0</v>
      </c>
      <c r="T1168" t="n">
        <v>0.0</v>
      </c>
      <c r="U1168" t="n">
        <v>0.0</v>
      </c>
      <c r="V1168" t="n">
        <v>0.0</v>
      </c>
      <c r="W1168" t="inlineStr">
        <is>
          <t/>
        </is>
      </c>
      <c r="X1168" t="n">
        <v>0.0</v>
      </c>
      <c r="Y1168" t="n">
        <v>0.0</v>
      </c>
      <c r="Z1168" t="n">
        <v>0.0</v>
      </c>
      <c r="AA1168" t="n">
        <v>0.0</v>
      </c>
      <c r="AB1168" t="n">
        <v>0.0</v>
      </c>
      <c r="AC1168" t="n">
        <v>0.0</v>
      </c>
      <c r="AD1168" t="n">
        <v>0.0</v>
      </c>
      <c r="AE1168" t="n">
        <v>0.0</v>
      </c>
      <c r="AF1168" t="n">
        <v>0.0</v>
      </c>
      <c r="AG1168" t="n">
        <v>0.0</v>
      </c>
      <c r="AH1168" t="n">
        <v>0.0</v>
      </c>
      <c r="AI1168" t="n">
        <v>0.0</v>
      </c>
      <c r="AJ1168" t="n">
        <v>0.0</v>
      </c>
      <c r="AK1168" t="inlineStr">
        <is>
          <t/>
        </is>
      </c>
      <c r="AL1168" t="inlineStr">
        <is>
          <t/>
        </is>
      </c>
    </row>
    <row r="1169">
      <c r="A1169" t="inlineStr">
        <is>
          <t>以为300块没多少，结果够我吃一个月了</t>
        </is>
      </c>
      <c r="B1169" t="inlineStr">
        <is>
          <t>6a143e160000000007024664</t>
        </is>
      </c>
      <c r="C1169" s="1168" t="n">
        <f>HYPERLINK("https://www.xiaohongshu.com/explore/6a143e160000000007024664?xsec_token=TBdfojEJvP070MP2_Av4MrTMoDCWMatYscTfkrIiMFZ8U=&amp;xsec_source=pc_trdark","https://www.xiaohongshu.com/explore/6a143e160000000007024664?xsec_token=TBdfojEJvP070MP2_Av4MrTMoDCWMatYscTfkrIiMFZ8U=&amp;xsec_source=pc_trdark")</f>
        <v>0.0</v>
      </c>
      <c r="D1169" t="inlineStr">
        <is>
          <t>鲜水湾</t>
        </is>
      </c>
      <c r="E1169" t="inlineStr">
        <is>
          <t>49316638994</t>
        </is>
      </c>
      <c r="F1169" t="inlineStr">
        <is>
          <t>2026-05-25 20:18:30</t>
        </is>
      </c>
      <c r="G1169" t="inlineStr">
        <is>
          <t>图文</t>
        </is>
      </c>
      <c r="H1169" t="inlineStr">
        <is>
          <t>智利尾端中段整条三文鱼 8斤深海鱼低脂餐囤货一周备菜顺丰包邮</t>
        </is>
      </c>
      <c r="I1169" t="inlineStr">
        <is>
          <t>69fab80d64eb410001ece0c0</t>
        </is>
      </c>
      <c r="J1169" t="inlineStr">
        <is>
          <t/>
        </is>
      </c>
      <c r="K1169" t="n">
        <v>0.0</v>
      </c>
      <c r="L1169" t="n">
        <v>0.0</v>
      </c>
      <c r="M1169" t="n">
        <v>0.0</v>
      </c>
      <c r="N1169" t="inlineStr">
        <is>
          <t/>
        </is>
      </c>
      <c r="O1169" t="n">
        <v>0.0</v>
      </c>
      <c r="P1169" t="n">
        <v>0.0</v>
      </c>
      <c r="Q1169" t="inlineStr">
        <is>
          <t/>
        </is>
      </c>
      <c r="R1169" t="inlineStr">
        <is>
          <t/>
        </is>
      </c>
      <c r="S1169" t="n">
        <v>0.0</v>
      </c>
      <c r="T1169" t="n">
        <v>0.0</v>
      </c>
      <c r="U1169" t="n">
        <v>0.0</v>
      </c>
      <c r="V1169" t="n">
        <v>0.0</v>
      </c>
      <c r="W1169" t="inlineStr">
        <is>
          <t/>
        </is>
      </c>
      <c r="X1169" t="n">
        <v>0.0</v>
      </c>
      <c r="Y1169" t="n">
        <v>0.0</v>
      </c>
      <c r="Z1169" t="n">
        <v>0.0</v>
      </c>
      <c r="AA1169" t="n">
        <v>0.0</v>
      </c>
      <c r="AB1169" t="n">
        <v>0.0</v>
      </c>
      <c r="AC1169" t="n">
        <v>0.0</v>
      </c>
      <c r="AD1169" t="n">
        <v>0.0</v>
      </c>
      <c r="AE1169" t="n">
        <v>0.0</v>
      </c>
      <c r="AF1169" t="n">
        <v>0.0</v>
      </c>
      <c r="AG1169" t="n">
        <v>0.0</v>
      </c>
      <c r="AH1169" t="n">
        <v>0.0</v>
      </c>
      <c r="AI1169" t="n">
        <v>0.0</v>
      </c>
      <c r="AJ1169" t="n">
        <v>0.0</v>
      </c>
      <c r="AK1169" t="inlineStr">
        <is>
          <t/>
        </is>
      </c>
      <c r="AL1169" t="inlineStr">
        <is>
          <t/>
        </is>
      </c>
    </row>
    <row r="1170">
      <c r="A1170" t="inlineStr">
        <is>
          <t>奉劝大家不要低估69块的购买力！ ！！</t>
        </is>
      </c>
      <c r="B1170" t="inlineStr">
        <is>
          <t>6a1412c3000000003502af83</t>
        </is>
      </c>
      <c r="C1170" s="1169" t="n">
        <f>HYPERLINK("https://www.xiaohongshu.com/explore/6a1412c3000000003502af83?xsec_token=TBdfojEJvP070MP2_Av4MrTMTlIZgYJMGHNXovcIsYFHA=&amp;xsec_source=pc_trdark","https://www.xiaohongshu.com/explore/6a1412c3000000003502af83?xsec_token=TBdfojEJvP070MP2_Av4MrTMTlIZgYJMGHNXovcIsYFHA=&amp;xsec_source=pc_trdark")</f>
        <v>0.0</v>
      </c>
      <c r="D1170" t="inlineStr">
        <is>
          <t>鲜水湾甄选</t>
        </is>
      </c>
      <c r="E1170" t="inlineStr">
        <is>
          <t>27401929161</t>
        </is>
      </c>
      <c r="F1170" t="inlineStr">
        <is>
          <t>2026-05-25 22:10:00</t>
        </is>
      </c>
      <c r="G1170" t="inlineStr">
        <is>
          <t>图文</t>
        </is>
      </c>
      <c r="H1170" t="inlineStr">
        <is>
          <t>手剥虾仁 无冰衣无添加 低脂餐一人食 上班带饭 顺丰包邮 5盒装</t>
        </is>
      </c>
      <c r="I1170" t="inlineStr">
        <is>
          <t>694baba01d450d00013662f0</t>
        </is>
      </c>
      <c r="J1170" t="inlineStr">
        <is>
          <t/>
        </is>
      </c>
      <c r="K1170" t="n">
        <v>0.0</v>
      </c>
      <c r="L1170" t="n">
        <v>0.0</v>
      </c>
      <c r="M1170" t="n">
        <v>0.0</v>
      </c>
      <c r="N1170" t="inlineStr">
        <is>
          <t/>
        </is>
      </c>
      <c r="O1170" t="n">
        <v>0.0</v>
      </c>
      <c r="P1170" t="n">
        <v>0.0</v>
      </c>
      <c r="Q1170" t="inlineStr">
        <is>
          <t/>
        </is>
      </c>
      <c r="R1170" t="inlineStr">
        <is>
          <t/>
        </is>
      </c>
      <c r="S1170" t="n">
        <v>0.0</v>
      </c>
      <c r="T1170" t="n">
        <v>0.0</v>
      </c>
      <c r="U1170" t="n">
        <v>0.0</v>
      </c>
      <c r="V1170" t="n">
        <v>0.0</v>
      </c>
      <c r="W1170" t="inlineStr">
        <is>
          <t/>
        </is>
      </c>
      <c r="X1170" t="n">
        <v>0.0</v>
      </c>
      <c r="Y1170" t="n">
        <v>0.0</v>
      </c>
      <c r="Z1170" t="n">
        <v>0.0</v>
      </c>
      <c r="AA1170" t="n">
        <v>0.0</v>
      </c>
      <c r="AB1170" t="n">
        <v>0.0</v>
      </c>
      <c r="AC1170" t="n">
        <v>0.0</v>
      </c>
      <c r="AD1170" t="n">
        <v>0.0</v>
      </c>
      <c r="AE1170" t="n">
        <v>0.0</v>
      </c>
      <c r="AF1170" t="n">
        <v>0.0</v>
      </c>
      <c r="AG1170" t="n">
        <v>0.0</v>
      </c>
      <c r="AH1170" t="n">
        <v>0.0</v>
      </c>
      <c r="AI1170" t="n">
        <v>0.0</v>
      </c>
      <c r="AJ1170" t="n">
        <v>0.0</v>
      </c>
      <c r="AK1170" t="inlineStr">
        <is>
          <t/>
        </is>
      </c>
      <c r="AL1170" t="inlineStr">
        <is>
          <t/>
        </is>
      </c>
    </row>
    <row r="1171">
      <c r="A1171" t="inlineStr">
        <is>
          <t>你永远可以相信一个减脂人的选择！！</t>
        </is>
      </c>
      <c r="B1171" t="inlineStr">
        <is>
          <t>6a141185000000003501e2ac</t>
        </is>
      </c>
      <c r="C1171" s="1170" t="n">
        <f>HYPERLINK("https://www.xiaohongshu.com/explore/6a141185000000003501e2ac?xsec_token=TBdfojEJvP070MP2_Av4MrTMu3krLN7sjRXEHa6aAsw38=&amp;xsec_source=pc_trdark","https://www.xiaohongshu.com/explore/6a141185000000003501e2ac?xsec_token=TBdfojEJvP070MP2_Av4MrTMu3krLN7sjRXEHa6aAsw38=&amp;xsec_source=pc_trdark")</f>
        <v>0.0</v>
      </c>
      <c r="D1171" t="inlineStr">
        <is>
          <t>鲜水湾甄选</t>
        </is>
      </c>
      <c r="E1171" t="inlineStr">
        <is>
          <t>27401929161</t>
        </is>
      </c>
      <c r="F1171" t="inlineStr">
        <is>
          <t>2026-05-25 21:44:00</t>
        </is>
      </c>
      <c r="G1171" t="inlineStr">
        <is>
          <t>图文</t>
        </is>
      </c>
      <c r="H1171" t="inlineStr">
        <is>
          <t>手剥虾仁 无冰衣无添加 低脂餐一人食 上班带饭 顺丰包邮 5盒装</t>
        </is>
      </c>
      <c r="I1171" t="inlineStr">
        <is>
          <t>694baba01d450d00013662f0</t>
        </is>
      </c>
      <c r="J1171" t="inlineStr">
        <is>
          <t/>
        </is>
      </c>
      <c r="K1171" t="n">
        <v>0.0</v>
      </c>
      <c r="L1171" t="n">
        <v>0.0</v>
      </c>
      <c r="M1171" t="n">
        <v>0.0</v>
      </c>
      <c r="N1171" t="inlineStr">
        <is>
          <t/>
        </is>
      </c>
      <c r="O1171" t="n">
        <v>0.0</v>
      </c>
      <c r="P1171" t="n">
        <v>0.0</v>
      </c>
      <c r="Q1171" t="inlineStr">
        <is>
          <t/>
        </is>
      </c>
      <c r="R1171" t="inlineStr">
        <is>
          <t/>
        </is>
      </c>
      <c r="S1171" t="n">
        <v>0.0</v>
      </c>
      <c r="T1171" t="n">
        <v>0.0</v>
      </c>
      <c r="U1171" t="n">
        <v>0.0</v>
      </c>
      <c r="V1171" t="n">
        <v>0.0</v>
      </c>
      <c r="W1171" t="inlineStr">
        <is>
          <t/>
        </is>
      </c>
      <c r="X1171" t="n">
        <v>0.0</v>
      </c>
      <c r="Y1171" t="n">
        <v>0.0</v>
      </c>
      <c r="Z1171" t="n">
        <v>0.0</v>
      </c>
      <c r="AA1171" t="n">
        <v>0.0</v>
      </c>
      <c r="AB1171" t="n">
        <v>0.0</v>
      </c>
      <c r="AC1171" t="n">
        <v>0.0</v>
      </c>
      <c r="AD1171" t="n">
        <v>0.0</v>
      </c>
      <c r="AE1171" t="n">
        <v>0.0</v>
      </c>
      <c r="AF1171" t="n">
        <v>0.0</v>
      </c>
      <c r="AG1171" t="n">
        <v>0.0</v>
      </c>
      <c r="AH1171" t="n">
        <v>0.0</v>
      </c>
      <c r="AI1171" t="n">
        <v>0.0</v>
      </c>
      <c r="AJ1171" t="n">
        <v>0.0</v>
      </c>
      <c r="AK1171" t="inlineStr">
        <is>
          <t/>
        </is>
      </c>
      <c r="AL1171" t="inlineStr">
        <is>
          <t/>
        </is>
      </c>
    </row>
    <row r="1172">
      <c r="A1172" t="inlineStr">
        <is>
          <t>只有减脂的姐妹懂这一碗的含金量，不够吃</t>
        </is>
      </c>
      <c r="B1172" t="inlineStr">
        <is>
          <t>6a141096000000003502a1c0</t>
        </is>
      </c>
      <c r="C1172" s="1171" t="n">
        <f>HYPERLINK("https://www.xiaohongshu.com/explore/6a141096000000003502a1c0?xsec_token=TBdfojEJvP070MP2_Av4MrTMocFDIFV436BHUkT8AFnF4=&amp;xsec_source=pc_trdark","https://www.xiaohongshu.com/explore/6a141096000000003502a1c0?xsec_token=TBdfojEJvP070MP2_Av4MrTMocFDIFV436BHUkT8AFnF4=&amp;xsec_source=pc_trdark")</f>
        <v>0.0</v>
      </c>
      <c r="D1172" t="inlineStr">
        <is>
          <t>鲜水湾甄选</t>
        </is>
      </c>
      <c r="E1172" t="inlineStr">
        <is>
          <t>27401929161</t>
        </is>
      </c>
      <c r="F1172" t="inlineStr">
        <is>
          <t>2026-05-25 17:44:00</t>
        </is>
      </c>
      <c r="G1172" t="inlineStr">
        <is>
          <t>图文</t>
        </is>
      </c>
      <c r="H1172" t="inlineStr">
        <is>
          <t>手剥虾仁 无冰衣无添加 低脂餐一人食 上班带饭 顺丰包邮 5盒装</t>
        </is>
      </c>
      <c r="I1172" t="inlineStr">
        <is>
          <t>694baba01d450d00013662f0</t>
        </is>
      </c>
      <c r="J1172" t="inlineStr">
        <is>
          <t/>
        </is>
      </c>
      <c r="K1172" t="n">
        <v>0.0</v>
      </c>
      <c r="L1172" t="n">
        <v>0.0</v>
      </c>
      <c r="M1172" t="n">
        <v>0.0</v>
      </c>
      <c r="N1172" t="inlineStr">
        <is>
          <t/>
        </is>
      </c>
      <c r="O1172" t="n">
        <v>0.0</v>
      </c>
      <c r="P1172" t="n">
        <v>0.0</v>
      </c>
      <c r="Q1172" t="inlineStr">
        <is>
          <t/>
        </is>
      </c>
      <c r="R1172" t="inlineStr">
        <is>
          <t/>
        </is>
      </c>
      <c r="S1172" t="n">
        <v>0.0</v>
      </c>
      <c r="T1172" t="n">
        <v>0.0</v>
      </c>
      <c r="U1172" t="n">
        <v>0.0</v>
      </c>
      <c r="V1172" t="n">
        <v>0.0</v>
      </c>
      <c r="W1172" t="inlineStr">
        <is>
          <t/>
        </is>
      </c>
      <c r="X1172" t="n">
        <v>0.0</v>
      </c>
      <c r="Y1172" t="n">
        <v>0.0</v>
      </c>
      <c r="Z1172" t="n">
        <v>0.0</v>
      </c>
      <c r="AA1172" t="n">
        <v>0.0</v>
      </c>
      <c r="AB1172" t="n">
        <v>0.0</v>
      </c>
      <c r="AC1172" t="n">
        <v>0.0</v>
      </c>
      <c r="AD1172" t="n">
        <v>0.0</v>
      </c>
      <c r="AE1172" t="n">
        <v>0.0</v>
      </c>
      <c r="AF1172" t="n">
        <v>0.0</v>
      </c>
      <c r="AG1172" t="n">
        <v>0.0</v>
      </c>
      <c r="AH1172" t="n">
        <v>0.0</v>
      </c>
      <c r="AI1172" t="n">
        <v>0.0</v>
      </c>
      <c r="AJ1172" t="n">
        <v>0.0</v>
      </c>
      <c r="AK1172" t="inlineStr">
        <is>
          <t/>
        </is>
      </c>
      <c r="AL1172" t="inlineStr">
        <is>
          <t/>
        </is>
      </c>
    </row>
    <row r="1173">
      <c r="A1173" t="inlineStr">
        <is>
          <t>老板都说“奢侈”其实真不贵！！🥹</t>
        </is>
      </c>
      <c r="B1173" t="inlineStr">
        <is>
          <t>6a140fff0000000035039d24</t>
        </is>
      </c>
      <c r="C1173" s="1172" t="n">
        <f>HYPERLINK("https://www.xiaohongshu.com/explore/6a140fff0000000035039d24?xsec_token=TBdfojEJvP070MP2_Av4MrTGqDzvC26CuNo2RRiVjoUn8=&amp;xsec_source=pc_trdark","https://www.xiaohongshu.com/explore/6a140fff0000000035039d24?xsec_token=TBdfojEJvP070MP2_Av4MrTGqDzvC26CuNo2RRiVjoUn8=&amp;xsec_source=pc_trdark")</f>
        <v>0.0</v>
      </c>
      <c r="D1173" t="inlineStr">
        <is>
          <t>鲜水湾甄选</t>
        </is>
      </c>
      <c r="E1173" t="inlineStr">
        <is>
          <t>27401929161</t>
        </is>
      </c>
      <c r="F1173" t="inlineStr">
        <is>
          <t>2026-05-25 19:10:00</t>
        </is>
      </c>
      <c r="G1173" t="inlineStr">
        <is>
          <t>图文</t>
        </is>
      </c>
      <c r="H1173" t="inlineStr">
        <is>
          <t>手剥虾仁 无冰衣无添加 低脂餐一人食 上班带饭 顺丰包邮 5盒装</t>
        </is>
      </c>
      <c r="I1173" t="inlineStr">
        <is>
          <t>694baba01d450d00013662f0</t>
        </is>
      </c>
      <c r="J1173" t="inlineStr">
        <is>
          <t/>
        </is>
      </c>
      <c r="K1173" t="n">
        <v>0.0</v>
      </c>
      <c r="L1173" t="n">
        <v>0.0</v>
      </c>
      <c r="M1173" t="n">
        <v>0.0</v>
      </c>
      <c r="N1173" t="inlineStr">
        <is>
          <t/>
        </is>
      </c>
      <c r="O1173" t="n">
        <v>0.0</v>
      </c>
      <c r="P1173" t="n">
        <v>0.0</v>
      </c>
      <c r="Q1173" t="inlineStr">
        <is>
          <t/>
        </is>
      </c>
      <c r="R1173" t="inlineStr">
        <is>
          <t/>
        </is>
      </c>
      <c r="S1173" t="n">
        <v>0.0</v>
      </c>
      <c r="T1173" t="n">
        <v>0.0</v>
      </c>
      <c r="U1173" t="n">
        <v>0.0</v>
      </c>
      <c r="V1173" t="n">
        <v>0.0</v>
      </c>
      <c r="W1173" t="inlineStr">
        <is>
          <t/>
        </is>
      </c>
      <c r="X1173" t="n">
        <v>0.0</v>
      </c>
      <c r="Y1173" t="n">
        <v>0.0</v>
      </c>
      <c r="Z1173" t="n">
        <v>0.0</v>
      </c>
      <c r="AA1173" t="n">
        <v>0.0</v>
      </c>
      <c r="AB1173" t="n">
        <v>0.0</v>
      </c>
      <c r="AC1173" t="n">
        <v>0.0</v>
      </c>
      <c r="AD1173" t="n">
        <v>0.0</v>
      </c>
      <c r="AE1173" t="n">
        <v>0.0</v>
      </c>
      <c r="AF1173" t="n">
        <v>0.0</v>
      </c>
      <c r="AG1173" t="n">
        <v>0.0</v>
      </c>
      <c r="AH1173" t="n">
        <v>0.0</v>
      </c>
      <c r="AI1173" t="n">
        <v>0.0</v>
      </c>
      <c r="AJ1173" t="n">
        <v>0.0</v>
      </c>
      <c r="AK1173" t="inlineStr">
        <is>
          <t/>
        </is>
      </c>
      <c r="AL1173" t="inlineStr">
        <is>
          <t/>
        </is>
      </c>
    </row>
    <row r="1174">
      <c r="A1174" t="inlineStr">
        <is>
          <t>直观展示一下100元的购买力！</t>
        </is>
      </c>
      <c r="B1174" t="inlineStr">
        <is>
          <t>6a140dbc0000000036000d14</t>
        </is>
      </c>
      <c r="C1174" s="1173" t="n">
        <f>HYPERLINK("https://www.xiaohongshu.com/explore/6a140dbc0000000036000d14?xsec_token=TBdfojEJvP070MP2_Av4MrTBTXi2NdgxaGCdhK_xbdy6U=&amp;xsec_source=pc_trdark","https://www.xiaohongshu.com/explore/6a140dbc0000000036000d14?xsec_token=TBdfojEJvP070MP2_Av4MrTBTXi2NdgxaGCdhK_xbdy6U=&amp;xsec_source=pc_trdark")</f>
        <v>0.0</v>
      </c>
      <c r="D1174" t="inlineStr">
        <is>
          <t>鲜水湾甄选</t>
        </is>
      </c>
      <c r="E1174" t="inlineStr">
        <is>
          <t>27401929161</t>
        </is>
      </c>
      <c r="F1174" t="inlineStr">
        <is>
          <t>2026-05-25 16:52:12</t>
        </is>
      </c>
      <c r="G1174" t="inlineStr">
        <is>
          <t>图文</t>
        </is>
      </c>
      <c r="H1174" t="inlineStr">
        <is>
          <t>手剥虾仁 无冰衣无添加 低脂餐一人食 上班带饭 顺丰包邮 5盒装</t>
        </is>
      </c>
      <c r="I1174" t="inlineStr">
        <is>
          <t>694baba01d450d00013662f0</t>
        </is>
      </c>
      <c r="J1174" t="inlineStr">
        <is>
          <t/>
        </is>
      </c>
      <c r="K1174" t="n">
        <v>0.0</v>
      </c>
      <c r="L1174" t="n">
        <v>0.0</v>
      </c>
      <c r="M1174" t="n">
        <v>0.0</v>
      </c>
      <c r="N1174" t="inlineStr">
        <is>
          <t/>
        </is>
      </c>
      <c r="O1174" t="n">
        <v>0.0</v>
      </c>
      <c r="P1174" t="n">
        <v>0.0</v>
      </c>
      <c r="Q1174" t="inlineStr">
        <is>
          <t/>
        </is>
      </c>
      <c r="R1174" t="inlineStr">
        <is>
          <t/>
        </is>
      </c>
      <c r="S1174" t="n">
        <v>0.0</v>
      </c>
      <c r="T1174" t="n">
        <v>0.0</v>
      </c>
      <c r="U1174" t="n">
        <v>0.0</v>
      </c>
      <c r="V1174" t="n">
        <v>0.0</v>
      </c>
      <c r="W1174" t="inlineStr">
        <is>
          <t/>
        </is>
      </c>
      <c r="X1174" t="n">
        <v>0.0</v>
      </c>
      <c r="Y1174" t="n">
        <v>0.0</v>
      </c>
      <c r="Z1174" t="n">
        <v>0.0</v>
      </c>
      <c r="AA1174" t="n">
        <v>0.0</v>
      </c>
      <c r="AB1174" t="n">
        <v>0.0</v>
      </c>
      <c r="AC1174" t="n">
        <v>0.0</v>
      </c>
      <c r="AD1174" t="n">
        <v>0.0</v>
      </c>
      <c r="AE1174" t="n">
        <v>0.0</v>
      </c>
      <c r="AF1174" t="n">
        <v>0.0</v>
      </c>
      <c r="AG1174" t="n">
        <v>0.0</v>
      </c>
      <c r="AH1174" t="n">
        <v>0.0</v>
      </c>
      <c r="AI1174" t="n">
        <v>0.0</v>
      </c>
      <c r="AJ1174" t="n">
        <v>0.0</v>
      </c>
      <c r="AK1174" t="inlineStr">
        <is>
          <t/>
        </is>
      </c>
      <c r="AL1174" t="inlineStr">
        <is>
          <t/>
        </is>
      </c>
    </row>
    <row r="1175">
      <c r="A1175" t="inlineStr">
        <is>
          <t>管理期必囤！多少个晚上靠它</t>
        </is>
      </c>
      <c r="B1175" t="inlineStr">
        <is>
          <t>6a140ba00000000008024cb9</t>
        </is>
      </c>
      <c r="C1175" s="1174" t="n">
        <f>HYPERLINK("https://www.xiaohongshu.com/explore/6a140ba00000000008024cb9?xsec_token=TBdfojEJvP070MP2_Av4MrTDGtdRylHQ-EX3q3RfY7yOE=&amp;xsec_source=pc_trdark","https://www.xiaohongshu.com/explore/6a140ba00000000008024cb9?xsec_token=TBdfojEJvP070MP2_Av4MrTDGtdRylHQ-EX3q3RfY7yOE=&amp;xsec_source=pc_trdark")</f>
        <v>0.0</v>
      </c>
      <c r="D1175" t="inlineStr">
        <is>
          <t>菲菲上班吃什么</t>
        </is>
      </c>
      <c r="E1175" t="inlineStr">
        <is>
          <t>49936530607</t>
        </is>
      </c>
      <c r="F1175" t="inlineStr">
        <is>
          <t>2026-05-25 20:09:00</t>
        </is>
      </c>
      <c r="G1175" t="inlineStr">
        <is>
          <t>图文</t>
        </is>
      </c>
      <c r="H1175" t="inlineStr">
        <is>
          <t>手剥虾仁 无冰衣无添加 低脂餐一人食 上班带饭 顺丰包邮 5盒装</t>
        </is>
      </c>
      <c r="I1175" t="inlineStr">
        <is>
          <t>694baba01d450d00013662f0</t>
        </is>
      </c>
      <c r="J1175" t="inlineStr">
        <is>
          <t/>
        </is>
      </c>
      <c r="K1175" t="n">
        <v>0.0</v>
      </c>
      <c r="L1175" t="n">
        <v>0.0</v>
      </c>
      <c r="M1175" t="n">
        <v>0.0</v>
      </c>
      <c r="N1175" t="inlineStr">
        <is>
          <t/>
        </is>
      </c>
      <c r="O1175" t="n">
        <v>0.0</v>
      </c>
      <c r="P1175" t="n">
        <v>0.0</v>
      </c>
      <c r="Q1175" t="inlineStr">
        <is>
          <t/>
        </is>
      </c>
      <c r="R1175" t="inlineStr">
        <is>
          <t/>
        </is>
      </c>
      <c r="S1175" t="n">
        <v>0.0</v>
      </c>
      <c r="T1175" t="n">
        <v>0.0</v>
      </c>
      <c r="U1175" t="n">
        <v>0.0</v>
      </c>
      <c r="V1175" t="n">
        <v>0.0</v>
      </c>
      <c r="W1175" t="inlineStr">
        <is>
          <t/>
        </is>
      </c>
      <c r="X1175" t="n">
        <v>0.0</v>
      </c>
      <c r="Y1175" t="n">
        <v>0.0</v>
      </c>
      <c r="Z1175" t="n">
        <v>0.0</v>
      </c>
      <c r="AA1175" t="n">
        <v>0.0</v>
      </c>
      <c r="AB1175" t="n">
        <v>0.0</v>
      </c>
      <c r="AC1175" t="n">
        <v>0.0</v>
      </c>
      <c r="AD1175" t="n">
        <v>0.0</v>
      </c>
      <c r="AE1175" t="n">
        <v>0.0</v>
      </c>
      <c r="AF1175" t="n">
        <v>0.0</v>
      </c>
      <c r="AG1175" t="n">
        <v>0.0</v>
      </c>
      <c r="AH1175" t="n">
        <v>0.0</v>
      </c>
      <c r="AI1175" t="n">
        <v>0.0</v>
      </c>
      <c r="AJ1175" t="n">
        <v>0.0</v>
      </c>
      <c r="AK1175" t="inlineStr">
        <is>
          <t/>
        </is>
      </c>
      <c r="AL1175" t="inlineStr">
        <is>
          <t/>
        </is>
      </c>
    </row>
    <row r="1176">
      <c r="A1176" t="inlineStr">
        <is>
          <t>第一次对爬坡后虾仁起了敬意……</t>
        </is>
      </c>
      <c r="B1176" t="inlineStr">
        <is>
          <t>6a140ade0000000007028919</t>
        </is>
      </c>
      <c r="C1176" s="1175" t="n">
        <f>HYPERLINK("https://www.xiaohongshu.com/explore/6a140ade0000000007028919?xsec_token=TBdfojEJvP070MP2_Av4MrTNlyHjaSnrs3Cow8LfmMM6M=&amp;xsec_source=pc_trdark","https://www.xiaohongshu.com/explore/6a140ade0000000007028919?xsec_token=TBdfojEJvP070MP2_Av4MrTNlyHjaSnrs3Cow8LfmMM6M=&amp;xsec_source=pc_trdark")</f>
        <v>0.0</v>
      </c>
      <c r="D1176" t="inlineStr">
        <is>
          <t>菲菲上班吃什么</t>
        </is>
      </c>
      <c r="E1176" t="inlineStr">
        <is>
          <t>49936530607</t>
        </is>
      </c>
      <c r="F1176" t="inlineStr">
        <is>
          <t>2026-05-25 19:04:00</t>
        </is>
      </c>
      <c r="G1176" t="inlineStr">
        <is>
          <t>图文</t>
        </is>
      </c>
      <c r="H1176" t="inlineStr">
        <is>
          <t>手剥虾仁 无冰衣无添加 低脂餐一人食 上班带饭 顺丰包邮 5盒装</t>
        </is>
      </c>
      <c r="I1176" t="inlineStr">
        <is>
          <t>694baba01d450d00013662f0</t>
        </is>
      </c>
      <c r="J1176" t="inlineStr">
        <is>
          <t/>
        </is>
      </c>
      <c r="K1176" t="n">
        <v>0.0</v>
      </c>
      <c r="L1176" t="n">
        <v>0.0</v>
      </c>
      <c r="M1176" t="n">
        <v>0.0</v>
      </c>
      <c r="N1176" t="inlineStr">
        <is>
          <t/>
        </is>
      </c>
      <c r="O1176" t="n">
        <v>0.0</v>
      </c>
      <c r="P1176" t="n">
        <v>0.0</v>
      </c>
      <c r="Q1176" t="inlineStr">
        <is>
          <t/>
        </is>
      </c>
      <c r="R1176" t="inlineStr">
        <is>
          <t/>
        </is>
      </c>
      <c r="S1176" t="n">
        <v>0.0</v>
      </c>
      <c r="T1176" t="n">
        <v>0.0</v>
      </c>
      <c r="U1176" t="n">
        <v>0.0</v>
      </c>
      <c r="V1176" t="n">
        <v>0.0</v>
      </c>
      <c r="W1176" t="inlineStr">
        <is>
          <t/>
        </is>
      </c>
      <c r="X1176" t="n">
        <v>0.0</v>
      </c>
      <c r="Y1176" t="n">
        <v>0.0</v>
      </c>
      <c r="Z1176" t="n">
        <v>0.0</v>
      </c>
      <c r="AA1176" t="n">
        <v>0.0</v>
      </c>
      <c r="AB1176" t="n">
        <v>0.0</v>
      </c>
      <c r="AC1176" t="n">
        <v>0.0</v>
      </c>
      <c r="AD1176" t="n">
        <v>0.0</v>
      </c>
      <c r="AE1176" t="n">
        <v>0.0</v>
      </c>
      <c r="AF1176" t="n">
        <v>0.0</v>
      </c>
      <c r="AG1176" t="n">
        <v>0.0</v>
      </c>
      <c r="AH1176" t="n">
        <v>0.0</v>
      </c>
      <c r="AI1176" t="n">
        <v>0.0</v>
      </c>
      <c r="AJ1176" t="n">
        <v>0.0</v>
      </c>
      <c r="AK1176" t="inlineStr">
        <is>
          <t/>
        </is>
      </c>
      <c r="AL1176" t="inlineStr">
        <is>
          <t/>
        </is>
      </c>
    </row>
    <row r="1177">
      <c r="A1177" t="inlineStr">
        <is>
          <t>早八打工人建议：管理期被拿捏…</t>
        </is>
      </c>
      <c r="B1177" t="inlineStr">
        <is>
          <t>6a1408cf0000000006032ff9</t>
        </is>
      </c>
      <c r="C1177" s="1176" t="n">
        <f>HYPERLINK("https://www.xiaohongshu.com/explore/6a1408cf0000000006032ff9?xsec_token=TBdfojEJvP070MP2_Av4MrTBtsE3MN5uUhWbVS0sGPn_M=&amp;xsec_source=pc_trdark","https://www.xiaohongshu.com/explore/6a1408cf0000000006032ff9?xsec_token=TBdfojEJvP070MP2_Av4MrTBtsE3MN5uUhWbVS0sGPn_M=&amp;xsec_source=pc_trdark")</f>
        <v>0.0</v>
      </c>
      <c r="D1177" t="inlineStr">
        <is>
          <t>菲菲上班吃什么</t>
        </is>
      </c>
      <c r="E1177" t="inlineStr">
        <is>
          <t>49936530607</t>
        </is>
      </c>
      <c r="F1177" t="inlineStr">
        <is>
          <t>2026-05-25 16:31:11</t>
        </is>
      </c>
      <c r="G1177" t="inlineStr">
        <is>
          <t>图文</t>
        </is>
      </c>
      <c r="H1177" t="inlineStr">
        <is>
          <t>手剥虾仁 无冰衣无添加 低脂餐一人食 上班带饭 顺丰包邮 5盒装</t>
        </is>
      </c>
      <c r="I1177" t="inlineStr">
        <is>
          <t>694baba01d450d00013662f0</t>
        </is>
      </c>
      <c r="J1177" t="inlineStr">
        <is>
          <t/>
        </is>
      </c>
      <c r="K1177" t="n">
        <v>0.0</v>
      </c>
      <c r="L1177" t="n">
        <v>0.0</v>
      </c>
      <c r="M1177" t="n">
        <v>0.0</v>
      </c>
      <c r="N1177" t="inlineStr">
        <is>
          <t/>
        </is>
      </c>
      <c r="O1177" t="n">
        <v>0.0</v>
      </c>
      <c r="P1177" t="n">
        <v>0.0</v>
      </c>
      <c r="Q1177" t="inlineStr">
        <is>
          <t/>
        </is>
      </c>
      <c r="R1177" t="inlineStr">
        <is>
          <t/>
        </is>
      </c>
      <c r="S1177" t="n">
        <v>0.0</v>
      </c>
      <c r="T1177" t="n">
        <v>0.0</v>
      </c>
      <c r="U1177" t="n">
        <v>0.0</v>
      </c>
      <c r="V1177" t="n">
        <v>0.0</v>
      </c>
      <c r="W1177" t="inlineStr">
        <is>
          <t/>
        </is>
      </c>
      <c r="X1177" t="n">
        <v>0.0</v>
      </c>
      <c r="Y1177" t="n">
        <v>0.0</v>
      </c>
      <c r="Z1177" t="n">
        <v>0.0</v>
      </c>
      <c r="AA1177" t="n">
        <v>0.0</v>
      </c>
      <c r="AB1177" t="n">
        <v>0.0</v>
      </c>
      <c r="AC1177" t="n">
        <v>0.0</v>
      </c>
      <c r="AD1177" t="n">
        <v>0.0</v>
      </c>
      <c r="AE1177" t="n">
        <v>0.0</v>
      </c>
      <c r="AF1177" t="n">
        <v>0.0</v>
      </c>
      <c r="AG1177" t="n">
        <v>0.0</v>
      </c>
      <c r="AH1177" t="n">
        <v>0.0</v>
      </c>
      <c r="AI1177" t="n">
        <v>0.0</v>
      </c>
      <c r="AJ1177" t="n">
        <v>0.0</v>
      </c>
      <c r="AK1177" t="inlineStr">
        <is>
          <t/>
        </is>
      </c>
      <c r="AL1177" t="inlineStr">
        <is>
          <t/>
        </is>
      </c>
    </row>
    <row r="1178">
      <c r="A1178" t="inlineStr">
        <is>
          <t>夏日减脂真不多，区区300块够吃一个月了😆</t>
        </is>
      </c>
      <c r="B1178" t="inlineStr">
        <is>
          <t>6a13e164000000000602051a</t>
        </is>
      </c>
      <c r="C1178" s="1177" t="n">
        <f>HYPERLINK("https://www.xiaohongshu.com/explore/6a13e164000000000602051a?xsec_token=TB04NcT0cPW_kW7z5uadRbwoF_XODdVPWYZApNIx9owwo=&amp;xsec_source=pc_trdark","https://www.xiaohongshu.com/explore/6a13e164000000000602051a?xsec_token=TB04NcT0cPW_kW7z5uadRbwoF_XODdVPWYZApNIx9owwo=&amp;xsec_source=pc_trdark")</f>
        <v>0.0</v>
      </c>
      <c r="D1178" t="inlineStr">
        <is>
          <t>婉婉上班吃什么</t>
        </is>
      </c>
      <c r="E1178" t="inlineStr">
        <is>
          <t>11434449706</t>
        </is>
      </c>
      <c r="F1178" t="inlineStr">
        <is>
          <t>2026-05-25 13:43:00</t>
        </is>
      </c>
      <c r="G1178" t="inlineStr">
        <is>
          <t>图文</t>
        </is>
      </c>
      <c r="H1178" t="inlineStr">
        <is>
          <t>智利尾端中段整条三文鱼 8斤深海鱼低脂餐囤货一周备菜顺丰包邮</t>
        </is>
      </c>
      <c r="I1178" t="inlineStr">
        <is>
          <t>69fab80d64eb410001ece0c0</t>
        </is>
      </c>
      <c r="J1178" t="inlineStr">
        <is>
          <t/>
        </is>
      </c>
      <c r="K1178" t="n">
        <v>0.0</v>
      </c>
      <c r="L1178" t="n">
        <v>0.0</v>
      </c>
      <c r="M1178" t="n">
        <v>0.0</v>
      </c>
      <c r="N1178" t="inlineStr">
        <is>
          <t/>
        </is>
      </c>
      <c r="O1178" t="n">
        <v>0.0</v>
      </c>
      <c r="P1178" t="n">
        <v>0.0</v>
      </c>
      <c r="Q1178" t="inlineStr">
        <is>
          <t/>
        </is>
      </c>
      <c r="R1178" t="inlineStr">
        <is>
          <t/>
        </is>
      </c>
      <c r="S1178" t="n">
        <v>0.0</v>
      </c>
      <c r="T1178" t="n">
        <v>0.0</v>
      </c>
      <c r="U1178" t="n">
        <v>0.0</v>
      </c>
      <c r="V1178" t="n">
        <v>0.0</v>
      </c>
      <c r="W1178" t="inlineStr">
        <is>
          <t/>
        </is>
      </c>
      <c r="X1178" t="n">
        <v>0.0</v>
      </c>
      <c r="Y1178" t="n">
        <v>0.0</v>
      </c>
      <c r="Z1178" t="n">
        <v>0.0</v>
      </c>
      <c r="AA1178" t="n">
        <v>0.0</v>
      </c>
      <c r="AB1178" t="n">
        <v>0.0</v>
      </c>
      <c r="AC1178" t="n">
        <v>0.0</v>
      </c>
      <c r="AD1178" t="n">
        <v>0.0</v>
      </c>
      <c r="AE1178" t="n">
        <v>0.0</v>
      </c>
      <c r="AF1178" t="n">
        <v>0.0</v>
      </c>
      <c r="AG1178" t="n">
        <v>0.0</v>
      </c>
      <c r="AH1178" t="n">
        <v>0.0</v>
      </c>
      <c r="AI1178" t="n">
        <v>0.0</v>
      </c>
      <c r="AJ1178" t="n">
        <v>0.0</v>
      </c>
      <c r="AK1178" t="inlineStr">
        <is>
          <t/>
        </is>
      </c>
      <c r="AL1178" t="inlineStr">
        <is>
          <t/>
        </is>
      </c>
    </row>
    <row r="1179">
      <c r="A1179" t="inlineStr">
        <is>
          <t>和老爸商量了，推出打工人带饭小包装虾仁</t>
        </is>
      </c>
      <c r="B1179" t="inlineStr">
        <is>
          <t>6a13dd8b000000000702aade</t>
        </is>
      </c>
      <c r="C1179" s="1178" t="n">
        <f>HYPERLINK("https://www.xiaohongshu.com/explore/6a13dd8b000000000702aade?xsec_token=TB04NcT0cPW_kW7z5uadRbwvmJzAhtRazKbaVvEi9UE6M=&amp;xsec_source=pc_trdark","https://www.xiaohongshu.com/explore/6a13dd8b000000000702aade?xsec_token=TB04NcT0cPW_kW7z5uadRbwvmJzAhtRazKbaVvEi9UE6M=&amp;xsec_source=pc_trdark")</f>
        <v>0.0</v>
      </c>
      <c r="D1179" t="inlineStr">
        <is>
          <t>鲜水湾</t>
        </is>
      </c>
      <c r="E1179" t="inlineStr">
        <is>
          <t>49316638994</t>
        </is>
      </c>
      <c r="F1179" t="inlineStr">
        <is>
          <t>2026-05-25 13:26:35</t>
        </is>
      </c>
      <c r="G1179" t="inlineStr">
        <is>
          <t>图文</t>
        </is>
      </c>
      <c r="H1179" t="inlineStr">
        <is>
          <t>手剥虾仁 无冰衣无添加 低脂餐一人食 上班带饭 顺丰包邮 5盒装</t>
        </is>
      </c>
      <c r="I1179" t="inlineStr">
        <is>
          <t>694baba01d450d00013662f0</t>
        </is>
      </c>
      <c r="J1179" t="inlineStr">
        <is>
          <t/>
        </is>
      </c>
      <c r="K1179" t="n">
        <v>0.0</v>
      </c>
      <c r="L1179" t="n">
        <v>0.0</v>
      </c>
      <c r="M1179" t="n">
        <v>0.0</v>
      </c>
      <c r="N1179" t="inlineStr">
        <is>
          <t/>
        </is>
      </c>
      <c r="O1179" t="n">
        <v>0.0</v>
      </c>
      <c r="P1179" t="n">
        <v>0.0</v>
      </c>
      <c r="Q1179" t="inlineStr">
        <is>
          <t/>
        </is>
      </c>
      <c r="R1179" t="inlineStr">
        <is>
          <t/>
        </is>
      </c>
      <c r="S1179" t="n">
        <v>0.0</v>
      </c>
      <c r="T1179" t="n">
        <v>0.0</v>
      </c>
      <c r="U1179" t="n">
        <v>0.0</v>
      </c>
      <c r="V1179" t="n">
        <v>0.0</v>
      </c>
      <c r="W1179" t="inlineStr">
        <is>
          <t/>
        </is>
      </c>
      <c r="X1179" t="n">
        <v>0.0</v>
      </c>
      <c r="Y1179" t="n">
        <v>0.0</v>
      </c>
      <c r="Z1179" t="n">
        <v>0.0</v>
      </c>
      <c r="AA1179" t="n">
        <v>0.0</v>
      </c>
      <c r="AB1179" t="n">
        <v>0.0</v>
      </c>
      <c r="AC1179" t="n">
        <v>0.0</v>
      </c>
      <c r="AD1179" t="n">
        <v>0.0</v>
      </c>
      <c r="AE1179" t="n">
        <v>0.0</v>
      </c>
      <c r="AF1179" t="n">
        <v>0.0</v>
      </c>
      <c r="AG1179" t="n">
        <v>0.0</v>
      </c>
      <c r="AH1179" t="n">
        <v>0.0</v>
      </c>
      <c r="AI1179" t="n">
        <v>0.0</v>
      </c>
      <c r="AJ1179" t="n">
        <v>0.0</v>
      </c>
      <c r="AK1179" t="inlineStr">
        <is>
          <t/>
        </is>
      </c>
      <c r="AL1179" t="inlineStr">
        <is>
          <t/>
        </is>
      </c>
    </row>
    <row r="1180">
      <c r="A1180" t="inlineStr">
        <is>
          <t>奉劝大家不要低估69块的购买力！</t>
        </is>
      </c>
      <c r="B1180" t="inlineStr">
        <is>
          <t>6a12642700000000060362a6</t>
        </is>
      </c>
      <c r="C1180" s="1179" t="n">
        <f>HYPERLINK("https://www.xiaohongshu.com/explore/6a12642700000000060362a6?xsec_token=TBjOQMNWrfI7QtCl9AycQu11D3JYJI3ysE6rvwIuyW9Ac=&amp;xsec_source=pc_trdark","https://www.xiaohongshu.com/explore/6a12642700000000060362a6?xsec_token=TBjOQMNWrfI7QtCl9AycQu11D3JYJI3ysE6rvwIuyW9Ac=&amp;xsec_source=pc_trdark")</f>
        <v>0.0</v>
      </c>
      <c r="D1180" t="inlineStr">
        <is>
          <t>菲菲上班吃什么</t>
        </is>
      </c>
      <c r="E1180" t="inlineStr">
        <is>
          <t>49936530607</t>
        </is>
      </c>
      <c r="F1180" t="inlineStr">
        <is>
          <t>2026-05-24 20:36:00</t>
        </is>
      </c>
      <c r="G1180" t="inlineStr">
        <is>
          <t>图文</t>
        </is>
      </c>
      <c r="H1180" t="inlineStr">
        <is>
          <t>手剥虾仁 无冰衣无添加 低脂餐一人食 上班带饭 顺丰包邮 5盒装</t>
        </is>
      </c>
      <c r="I1180" t="inlineStr">
        <is>
          <t>694baba01d450d00013662f0</t>
        </is>
      </c>
      <c r="J1180" t="inlineStr">
        <is>
          <t/>
        </is>
      </c>
      <c r="K1180" t="n">
        <v>0.0</v>
      </c>
      <c r="L1180" t="n">
        <v>0.0</v>
      </c>
      <c r="M1180" t="n">
        <v>0.0</v>
      </c>
      <c r="N1180" t="inlineStr">
        <is>
          <t/>
        </is>
      </c>
      <c r="O1180" t="n">
        <v>0.0</v>
      </c>
      <c r="P1180" t="n">
        <v>0.0</v>
      </c>
      <c r="Q1180" t="inlineStr">
        <is>
          <t/>
        </is>
      </c>
      <c r="R1180" t="inlineStr">
        <is>
          <t/>
        </is>
      </c>
      <c r="S1180" t="n">
        <v>0.0</v>
      </c>
      <c r="T1180" t="n">
        <v>0.0</v>
      </c>
      <c r="U1180" t="n">
        <v>0.0</v>
      </c>
      <c r="V1180" t="n">
        <v>0.0</v>
      </c>
      <c r="W1180" t="inlineStr">
        <is>
          <t/>
        </is>
      </c>
      <c r="X1180" t="n">
        <v>0.0</v>
      </c>
      <c r="Y1180" t="n">
        <v>0.0</v>
      </c>
      <c r="Z1180" t="n">
        <v>0.0</v>
      </c>
      <c r="AA1180" t="n">
        <v>0.0</v>
      </c>
      <c r="AB1180" t="n">
        <v>0.0</v>
      </c>
      <c r="AC1180" t="n">
        <v>0.0</v>
      </c>
      <c r="AD1180" t="n">
        <v>0.0</v>
      </c>
      <c r="AE1180" t="n">
        <v>0.0</v>
      </c>
      <c r="AF1180" t="n">
        <v>0.0</v>
      </c>
      <c r="AG1180" t="n">
        <v>0.0</v>
      </c>
      <c r="AH1180" t="n">
        <v>0.0</v>
      </c>
      <c r="AI1180" t="n">
        <v>0.0</v>
      </c>
      <c r="AJ1180" t="n">
        <v>0.0</v>
      </c>
      <c r="AK1180" t="inlineStr">
        <is>
          <t/>
        </is>
      </c>
      <c r="AL1180" t="inlineStr">
        <is>
          <t/>
        </is>
      </c>
    </row>
    <row r="1181">
      <c r="A1181" t="inlineStr">
        <is>
          <t>你永远可以相信一个减脂人的选择！！</t>
        </is>
      </c>
      <c r="B1181" t="inlineStr">
        <is>
          <t>6a126398000000000702895f</t>
        </is>
      </c>
      <c r="C1181" s="1180" t="n">
        <f>HYPERLINK("https://www.xiaohongshu.com/explore/6a126398000000000702895f?xsec_token=TBjOQMNWrfI7QtCl9AycQu10-MYDQ5zrP_GfGowQ3QR1U=&amp;xsec_source=pc_trdark","https://www.xiaohongshu.com/explore/6a126398000000000702895f?xsec_token=TBjOQMNWrfI7QtCl9AycQu10-MYDQ5zrP_GfGowQ3QR1U=&amp;xsec_source=pc_trdark")</f>
        <v>0.0</v>
      </c>
      <c r="D1181" t="inlineStr">
        <is>
          <t>菲菲上班吃什么</t>
        </is>
      </c>
      <c r="E1181" t="inlineStr">
        <is>
          <t>49936530607</t>
        </is>
      </c>
      <c r="F1181" t="inlineStr">
        <is>
          <t>2026-05-24 19:33:00</t>
        </is>
      </c>
      <c r="G1181" t="inlineStr">
        <is>
          <t>图文</t>
        </is>
      </c>
      <c r="H1181" t="inlineStr">
        <is>
          <t>手剥虾仁 无冰衣无添加 低脂餐一人食 上班带饭 顺丰包邮 5盒装</t>
        </is>
      </c>
      <c r="I1181" t="inlineStr">
        <is>
          <t>694baba01d450d00013662f0</t>
        </is>
      </c>
      <c r="J1181" t="inlineStr">
        <is>
          <t/>
        </is>
      </c>
      <c r="K1181" t="n">
        <v>0.0</v>
      </c>
      <c r="L1181" t="n">
        <v>0.0</v>
      </c>
      <c r="M1181" t="n">
        <v>0.0</v>
      </c>
      <c r="N1181" t="inlineStr">
        <is>
          <t/>
        </is>
      </c>
      <c r="O1181" t="n">
        <v>0.0</v>
      </c>
      <c r="P1181" t="n">
        <v>0.0</v>
      </c>
      <c r="Q1181" t="inlineStr">
        <is>
          <t/>
        </is>
      </c>
      <c r="R1181" t="inlineStr">
        <is>
          <t/>
        </is>
      </c>
      <c r="S1181" t="n">
        <v>0.0</v>
      </c>
      <c r="T1181" t="n">
        <v>0.0</v>
      </c>
      <c r="U1181" t="n">
        <v>0.0</v>
      </c>
      <c r="V1181" t="n">
        <v>0.0</v>
      </c>
      <c r="W1181" t="inlineStr">
        <is>
          <t/>
        </is>
      </c>
      <c r="X1181" t="n">
        <v>0.0</v>
      </c>
      <c r="Y1181" t="n">
        <v>0.0</v>
      </c>
      <c r="Z1181" t="n">
        <v>0.0</v>
      </c>
      <c r="AA1181" t="n">
        <v>0.0</v>
      </c>
      <c r="AB1181" t="n">
        <v>0.0</v>
      </c>
      <c r="AC1181" t="n">
        <v>0.0</v>
      </c>
      <c r="AD1181" t="n">
        <v>0.0</v>
      </c>
      <c r="AE1181" t="n">
        <v>0.0</v>
      </c>
      <c r="AF1181" t="n">
        <v>0.0</v>
      </c>
      <c r="AG1181" t="n">
        <v>0.0</v>
      </c>
      <c r="AH1181" t="n">
        <v>0.0</v>
      </c>
      <c r="AI1181" t="n">
        <v>0.0</v>
      </c>
      <c r="AJ1181" t="n">
        <v>0.0</v>
      </c>
      <c r="AK1181" t="inlineStr">
        <is>
          <t/>
        </is>
      </c>
      <c r="AL1181" t="inlineStr">
        <is>
          <t/>
        </is>
      </c>
    </row>
    <row r="1182">
      <c r="A1182" t="inlineStr">
        <is>
          <t>老板都说“奢侈”其实真不贵！！</t>
        </is>
      </c>
      <c r="B1182" t="inlineStr">
        <is>
          <t>6a1262a00000000008032928</t>
        </is>
      </c>
      <c r="C1182" s="1181" t="n">
        <f>HYPERLINK("https://www.xiaohongshu.com/explore/6a1262a00000000008032928?xsec_token=TBjOQMNWrfI7QtCl9AycQu157sCKauntV1YhrBluX7kvo=&amp;xsec_source=pc_trdark","https://www.xiaohongshu.com/explore/6a1262a00000000008032928?xsec_token=TBjOQMNWrfI7QtCl9AycQu157sCKauntV1YhrBluX7kvo=&amp;xsec_source=pc_trdark")</f>
        <v>0.0</v>
      </c>
      <c r="D1182" t="inlineStr">
        <is>
          <t>菲菲上班吃什么</t>
        </is>
      </c>
      <c r="E1182" t="inlineStr">
        <is>
          <t>49936530607</t>
        </is>
      </c>
      <c r="F1182" t="inlineStr">
        <is>
          <t>2026-05-24 15:49:00</t>
        </is>
      </c>
      <c r="G1182" t="inlineStr">
        <is>
          <t>图文</t>
        </is>
      </c>
      <c r="H1182" t="inlineStr">
        <is>
          <t>手剥虾仁 无冰衣无添加 低脂餐一人食 上班带饭 顺丰包邮 5盒装</t>
        </is>
      </c>
      <c r="I1182" t="inlineStr">
        <is>
          <t>694baba01d450d00013662f0</t>
        </is>
      </c>
      <c r="J1182" t="inlineStr">
        <is>
          <t/>
        </is>
      </c>
      <c r="K1182" t="n">
        <v>0.0</v>
      </c>
      <c r="L1182" t="n">
        <v>0.0</v>
      </c>
      <c r="M1182" t="n">
        <v>0.0</v>
      </c>
      <c r="N1182" t="inlineStr">
        <is>
          <t/>
        </is>
      </c>
      <c r="O1182" t="n">
        <v>0.0</v>
      </c>
      <c r="P1182" t="n">
        <v>0.0</v>
      </c>
      <c r="Q1182" t="inlineStr">
        <is>
          <t/>
        </is>
      </c>
      <c r="R1182" t="inlineStr">
        <is>
          <t/>
        </is>
      </c>
      <c r="S1182" t="n">
        <v>0.0</v>
      </c>
      <c r="T1182" t="n">
        <v>0.0</v>
      </c>
      <c r="U1182" t="n">
        <v>0.0</v>
      </c>
      <c r="V1182" t="n">
        <v>0.0</v>
      </c>
      <c r="W1182" t="inlineStr">
        <is>
          <t/>
        </is>
      </c>
      <c r="X1182" t="n">
        <v>0.0</v>
      </c>
      <c r="Y1182" t="n">
        <v>0.0</v>
      </c>
      <c r="Z1182" t="n">
        <v>0.0</v>
      </c>
      <c r="AA1182" t="n">
        <v>0.0</v>
      </c>
      <c r="AB1182" t="n">
        <v>0.0</v>
      </c>
      <c r="AC1182" t="n">
        <v>0.0</v>
      </c>
      <c r="AD1182" t="n">
        <v>0.0</v>
      </c>
      <c r="AE1182" t="n">
        <v>0.0</v>
      </c>
      <c r="AF1182" t="n">
        <v>0.0</v>
      </c>
      <c r="AG1182" t="n">
        <v>0.0</v>
      </c>
      <c r="AH1182" t="n">
        <v>0.0</v>
      </c>
      <c r="AI1182" t="n">
        <v>0.0</v>
      </c>
      <c r="AJ1182" t="n">
        <v>0.0</v>
      </c>
      <c r="AK1182" t="inlineStr">
        <is>
          <t/>
        </is>
      </c>
      <c r="AL1182" t="inlineStr">
        <is>
          <t/>
        </is>
      </c>
    </row>
    <row r="1183">
      <c r="A1183" t="inlineStr">
        <is>
          <t>315过后，每天300斤虾仁不够卖的</t>
        </is>
      </c>
      <c r="B1183" t="inlineStr">
        <is>
          <t>6a1262490000000006035a2f</t>
        </is>
      </c>
      <c r="C1183" s="1182" t="n">
        <f>HYPERLINK("https://www.xiaohongshu.com/explore/6a1262490000000006035a2f?xsec_token=TBjOQMNWrfI7QtCl9AycQu11Q5dTFBod-bpvoKie0gC5s=&amp;xsec_source=pc_trdark","https://www.xiaohongshu.com/explore/6a1262490000000006035a2f?xsec_token=TBjOQMNWrfI7QtCl9AycQu11Q5dTFBod-bpvoKie0gC5s=&amp;xsec_source=pc_trdark")</f>
        <v>0.0</v>
      </c>
      <c r="D1183" t="inlineStr">
        <is>
          <t>菲菲上班吃什么</t>
        </is>
      </c>
      <c r="E1183" t="inlineStr">
        <is>
          <t>49936530607</t>
        </is>
      </c>
      <c r="F1183" t="inlineStr">
        <is>
          <t>2026-05-24 13:28:00</t>
        </is>
      </c>
      <c r="G1183" t="inlineStr">
        <is>
          <t>图文</t>
        </is>
      </c>
      <c r="H1183" t="inlineStr">
        <is>
          <t>手剥虾仁 无冰衣无添加 低脂餐一人食 上班带饭 顺丰包邮 5盒装</t>
        </is>
      </c>
      <c r="I1183" t="inlineStr">
        <is>
          <t>694baba01d450d00013662f0</t>
        </is>
      </c>
      <c r="J1183" t="inlineStr">
        <is>
          <t/>
        </is>
      </c>
      <c r="K1183" t="n">
        <v>0.0</v>
      </c>
      <c r="L1183" t="n">
        <v>0.0</v>
      </c>
      <c r="M1183" t="n">
        <v>0.0</v>
      </c>
      <c r="N1183" t="inlineStr">
        <is>
          <t/>
        </is>
      </c>
      <c r="O1183" t="n">
        <v>0.0</v>
      </c>
      <c r="P1183" t="n">
        <v>0.0</v>
      </c>
      <c r="Q1183" t="inlineStr">
        <is>
          <t/>
        </is>
      </c>
      <c r="R1183" t="inlineStr">
        <is>
          <t/>
        </is>
      </c>
      <c r="S1183" t="n">
        <v>0.0</v>
      </c>
      <c r="T1183" t="n">
        <v>0.0</v>
      </c>
      <c r="U1183" t="n">
        <v>0.0</v>
      </c>
      <c r="V1183" t="n">
        <v>0.0</v>
      </c>
      <c r="W1183" t="inlineStr">
        <is>
          <t/>
        </is>
      </c>
      <c r="X1183" t="n">
        <v>0.0</v>
      </c>
      <c r="Y1183" t="n">
        <v>0.0</v>
      </c>
      <c r="Z1183" t="n">
        <v>0.0</v>
      </c>
      <c r="AA1183" t="n">
        <v>0.0</v>
      </c>
      <c r="AB1183" t="n">
        <v>0.0</v>
      </c>
      <c r="AC1183" t="n">
        <v>0.0</v>
      </c>
      <c r="AD1183" t="n">
        <v>0.0</v>
      </c>
      <c r="AE1183" t="n">
        <v>0.0</v>
      </c>
      <c r="AF1183" t="n">
        <v>0.0</v>
      </c>
      <c r="AG1183" t="n">
        <v>0.0</v>
      </c>
      <c r="AH1183" t="n">
        <v>0.0</v>
      </c>
      <c r="AI1183" t="n">
        <v>0.0</v>
      </c>
      <c r="AJ1183" t="n">
        <v>0.0</v>
      </c>
      <c r="AK1183" t="inlineStr">
        <is>
          <t/>
        </is>
      </c>
      <c r="AL1183" t="inlineStr">
        <is>
          <t/>
        </is>
      </c>
    </row>
    <row r="1184">
      <c r="A1184" t="inlineStr">
        <is>
          <t>直观展示一下100元的购买力！</t>
        </is>
      </c>
      <c r="B1184" t="inlineStr">
        <is>
          <t>6a12616800000000070105a5</t>
        </is>
      </c>
      <c r="C1184" s="1183" t="n">
        <f>HYPERLINK("https://www.xiaohongshu.com/explore/6a12616800000000070105a5?xsec_token=TBjOQMNWrfI7QtCl9AycQu14duhE_LVnKa2WcAf58KHtc=&amp;xsec_source=pc_trdark","https://www.xiaohongshu.com/explore/6a12616800000000070105a5?xsec_token=TBjOQMNWrfI7QtCl9AycQu14duhE_LVnKa2WcAf58KHtc=&amp;xsec_source=pc_trdark")</f>
        <v>0.0</v>
      </c>
      <c r="D1184" t="inlineStr">
        <is>
          <t>菲菲上班吃什么</t>
        </is>
      </c>
      <c r="E1184" t="inlineStr">
        <is>
          <t>49936530607</t>
        </is>
      </c>
      <c r="F1184" t="inlineStr">
        <is>
          <t>2026-05-24 10:24:40</t>
        </is>
      </c>
      <c r="G1184" t="inlineStr">
        <is>
          <t>图文</t>
        </is>
      </c>
      <c r="H1184" t="inlineStr">
        <is>
          <t>手剥虾仁 无冰衣无添加 低脂餐一人食 上班带饭 顺丰包邮 5盒装</t>
        </is>
      </c>
      <c r="I1184" t="inlineStr">
        <is>
          <t>694baba01d450d00013662f0</t>
        </is>
      </c>
      <c r="J1184" t="inlineStr">
        <is>
          <t/>
        </is>
      </c>
      <c r="K1184" t="n">
        <v>0.0</v>
      </c>
      <c r="L1184" t="n">
        <v>0.0</v>
      </c>
      <c r="M1184" t="n">
        <v>0.0</v>
      </c>
      <c r="N1184" t="inlineStr">
        <is>
          <t/>
        </is>
      </c>
      <c r="O1184" t="n">
        <v>0.0</v>
      </c>
      <c r="P1184" t="n">
        <v>0.0</v>
      </c>
      <c r="Q1184" t="inlineStr">
        <is>
          <t/>
        </is>
      </c>
      <c r="R1184" t="inlineStr">
        <is>
          <t/>
        </is>
      </c>
      <c r="S1184" t="n">
        <v>0.0</v>
      </c>
      <c r="T1184" t="n">
        <v>0.0</v>
      </c>
      <c r="U1184" t="n">
        <v>0.0</v>
      </c>
      <c r="V1184" t="n">
        <v>0.0</v>
      </c>
      <c r="W1184" t="inlineStr">
        <is>
          <t/>
        </is>
      </c>
      <c r="X1184" t="n">
        <v>0.0</v>
      </c>
      <c r="Y1184" t="n">
        <v>0.0</v>
      </c>
      <c r="Z1184" t="n">
        <v>0.0</v>
      </c>
      <c r="AA1184" t="n">
        <v>0.0</v>
      </c>
      <c r="AB1184" t="n">
        <v>0.0</v>
      </c>
      <c r="AC1184" t="n">
        <v>0.0</v>
      </c>
      <c r="AD1184" t="n">
        <v>0.0</v>
      </c>
      <c r="AE1184" t="n">
        <v>0.0</v>
      </c>
      <c r="AF1184" t="n">
        <v>0.0</v>
      </c>
      <c r="AG1184" t="n">
        <v>0.0</v>
      </c>
      <c r="AH1184" t="n">
        <v>0.0</v>
      </c>
      <c r="AI1184" t="n">
        <v>0.0</v>
      </c>
      <c r="AJ1184" t="n">
        <v>0.0</v>
      </c>
      <c r="AK1184" t="inlineStr">
        <is>
          <t/>
        </is>
      </c>
      <c r="AL1184" t="inlineStr">
        <is>
          <t/>
        </is>
      </c>
    </row>
    <row r="1185">
      <c r="A1185" t="inlineStr">
        <is>
          <t>我宣布这是我减脂期买过的zui好的虾仁</t>
        </is>
      </c>
      <c r="B1185" t="inlineStr">
        <is>
          <t>6a12607d0000000035026a45</t>
        </is>
      </c>
      <c r="C1185" s="1184" t="n">
        <f>HYPERLINK("https://www.xiaohongshu.com/explore/6a12607d0000000035026a45?xsec_token=TBjOQMNWrfI7QtCl9AycQu1yfNJ19-rNUqJhu9Q9JKztY=&amp;xsec_source=pc_trdark","https://www.xiaohongshu.com/explore/6a12607d0000000035026a45?xsec_token=TBjOQMNWrfI7QtCl9AycQu1yfNJ19-rNUqJhu9Q9JKztY=&amp;xsec_source=pc_trdark")</f>
        <v>0.0</v>
      </c>
      <c r="D1185" t="inlineStr">
        <is>
          <t>鲜水湾甄选</t>
        </is>
      </c>
      <c r="E1185" t="inlineStr">
        <is>
          <t>27401929161</t>
        </is>
      </c>
      <c r="F1185" t="inlineStr">
        <is>
          <t>2026-05-24 19:37:00</t>
        </is>
      </c>
      <c r="G1185" t="inlineStr">
        <is>
          <t>图文</t>
        </is>
      </c>
      <c r="H1185" t="inlineStr">
        <is>
          <t>手剥虾仁 无冰衣无添加 低脂餐一人食 上班带饭 顺丰包邮 5盒装</t>
        </is>
      </c>
      <c r="I1185" t="inlineStr">
        <is>
          <t>694baba01d450d00013662f0</t>
        </is>
      </c>
      <c r="J1185" t="inlineStr">
        <is>
          <t/>
        </is>
      </c>
      <c r="K1185" t="n">
        <v>0.0</v>
      </c>
      <c r="L1185" t="n">
        <v>0.0</v>
      </c>
      <c r="M1185" t="n">
        <v>0.0</v>
      </c>
      <c r="N1185" t="inlineStr">
        <is>
          <t/>
        </is>
      </c>
      <c r="O1185" t="n">
        <v>0.0</v>
      </c>
      <c r="P1185" t="n">
        <v>0.0</v>
      </c>
      <c r="Q1185" t="inlineStr">
        <is>
          <t/>
        </is>
      </c>
      <c r="R1185" t="inlineStr">
        <is>
          <t/>
        </is>
      </c>
      <c r="S1185" t="n">
        <v>0.0</v>
      </c>
      <c r="T1185" t="n">
        <v>0.0</v>
      </c>
      <c r="U1185" t="n">
        <v>0.0</v>
      </c>
      <c r="V1185" t="n">
        <v>0.0</v>
      </c>
      <c r="W1185" t="inlineStr">
        <is>
          <t/>
        </is>
      </c>
      <c r="X1185" t="n">
        <v>0.0</v>
      </c>
      <c r="Y1185" t="n">
        <v>0.0</v>
      </c>
      <c r="Z1185" t="n">
        <v>0.0</v>
      </c>
      <c r="AA1185" t="n">
        <v>0.0</v>
      </c>
      <c r="AB1185" t="n">
        <v>0.0</v>
      </c>
      <c r="AC1185" t="n">
        <v>0.0</v>
      </c>
      <c r="AD1185" t="n">
        <v>0.0</v>
      </c>
      <c r="AE1185" t="n">
        <v>0.0</v>
      </c>
      <c r="AF1185" t="n">
        <v>0.0</v>
      </c>
      <c r="AG1185" t="n">
        <v>0.0</v>
      </c>
      <c r="AH1185" t="n">
        <v>0.0</v>
      </c>
      <c r="AI1185" t="n">
        <v>0.0</v>
      </c>
      <c r="AJ1185" t="n">
        <v>0.0</v>
      </c>
      <c r="AK1185" t="inlineStr">
        <is>
          <t/>
        </is>
      </c>
      <c r="AL1185" t="inlineStr">
        <is>
          <t/>
        </is>
      </c>
    </row>
    <row r="1186">
      <c r="A1186" t="inlineStr">
        <is>
          <t>管理期必囤！多少个晚上靠它🍤</t>
        </is>
      </c>
      <c r="B1186" t="inlineStr">
        <is>
          <t>6a125fba0000000035023662</t>
        </is>
      </c>
      <c r="C1186" s="1185" t="n">
        <f>HYPERLINK("https://www.xiaohongshu.com/explore/6a125fba0000000035023662?xsec_token=TBjOQMNWrfI7QtCl9AycQu12CJwNs6OQUc2e14Hsh-To0=&amp;xsec_source=pc_trdark","https://www.xiaohongshu.com/explore/6a125fba0000000035023662?xsec_token=TBjOQMNWrfI7QtCl9AycQu12CJwNs6OQUc2e14Hsh-To0=&amp;xsec_source=pc_trdark")</f>
        <v>0.0</v>
      </c>
      <c r="D1186" t="inlineStr">
        <is>
          <t>鲜水湾甄选</t>
        </is>
      </c>
      <c r="E1186" t="inlineStr">
        <is>
          <t>27401929161</t>
        </is>
      </c>
      <c r="F1186" t="inlineStr">
        <is>
          <t>2026-05-24 17:35:00</t>
        </is>
      </c>
      <c r="G1186" t="inlineStr">
        <is>
          <t>图文</t>
        </is>
      </c>
      <c r="H1186" t="inlineStr">
        <is>
          <t>手剥虾仁 无冰衣无添加 低脂餐一人食 上班带饭 顺丰包邮 5盒装</t>
        </is>
      </c>
      <c r="I1186" t="inlineStr">
        <is>
          <t>694baba01d450d00013662f0</t>
        </is>
      </c>
      <c r="J1186" t="inlineStr">
        <is>
          <t/>
        </is>
      </c>
      <c r="K1186" t="n">
        <v>0.0</v>
      </c>
      <c r="L1186" t="n">
        <v>0.0</v>
      </c>
      <c r="M1186" t="n">
        <v>0.0</v>
      </c>
      <c r="N1186" t="inlineStr">
        <is>
          <t/>
        </is>
      </c>
      <c r="O1186" t="n">
        <v>0.0</v>
      </c>
      <c r="P1186" t="n">
        <v>0.0</v>
      </c>
      <c r="Q1186" t="inlineStr">
        <is>
          <t/>
        </is>
      </c>
      <c r="R1186" t="inlineStr">
        <is>
          <t/>
        </is>
      </c>
      <c r="S1186" t="n">
        <v>0.0</v>
      </c>
      <c r="T1186" t="n">
        <v>0.0</v>
      </c>
      <c r="U1186" t="n">
        <v>0.0</v>
      </c>
      <c r="V1186" t="n">
        <v>0.0</v>
      </c>
      <c r="W1186" t="inlineStr">
        <is>
          <t/>
        </is>
      </c>
      <c r="X1186" t="n">
        <v>0.0</v>
      </c>
      <c r="Y1186" t="n">
        <v>0.0</v>
      </c>
      <c r="Z1186" t="n">
        <v>0.0</v>
      </c>
      <c r="AA1186" t="n">
        <v>0.0</v>
      </c>
      <c r="AB1186" t="n">
        <v>0.0</v>
      </c>
      <c r="AC1186" t="n">
        <v>0.0</v>
      </c>
      <c r="AD1186" t="n">
        <v>0.0</v>
      </c>
      <c r="AE1186" t="n">
        <v>0.0</v>
      </c>
      <c r="AF1186" t="n">
        <v>0.0</v>
      </c>
      <c r="AG1186" t="n">
        <v>0.0</v>
      </c>
      <c r="AH1186" t="n">
        <v>0.0</v>
      </c>
      <c r="AI1186" t="n">
        <v>0.0</v>
      </c>
      <c r="AJ1186" t="n">
        <v>0.0</v>
      </c>
      <c r="AK1186" t="inlineStr">
        <is>
          <t/>
        </is>
      </c>
      <c r="AL1186" t="inlineStr">
        <is>
          <t/>
        </is>
      </c>
    </row>
    <row r="1187">
      <c r="A1187" t="inlineStr">
        <is>
          <t>第一次对爬坡后虾仁起了敬意……</t>
        </is>
      </c>
      <c r="B1187" t="inlineStr">
        <is>
          <t>6a125f1b00000000350263b6</t>
        </is>
      </c>
      <c r="C1187" s="1186" t="n">
        <f>HYPERLINK("https://www.xiaohongshu.com/explore/6a125f1b00000000350263b6?xsec_token=TBjOQMNWrfI7QtCl9AycQu1y-i4ELVQ5I4sepvUo6Kf_g=&amp;xsec_source=pc_trdark","https://www.xiaohongshu.com/explore/6a125f1b00000000350263b6?xsec_token=TBjOQMNWrfI7QtCl9AycQu1y-i4ELVQ5I4sepvUo6Kf_g=&amp;xsec_source=pc_trdark")</f>
        <v>0.0</v>
      </c>
      <c r="D1187" t="inlineStr">
        <is>
          <t>鲜水湾甄选</t>
        </is>
      </c>
      <c r="E1187" t="inlineStr">
        <is>
          <t>27401929161</t>
        </is>
      </c>
      <c r="F1187" t="inlineStr">
        <is>
          <t>2026-05-24 15:36:00</t>
        </is>
      </c>
      <c r="G1187" t="inlineStr">
        <is>
          <t>图文</t>
        </is>
      </c>
      <c r="H1187" t="inlineStr">
        <is>
          <t>手剥虾仁 无冰衣无添加 低脂餐一人食 上班带饭 顺丰包邮 5盒装</t>
        </is>
      </c>
      <c r="I1187" t="inlineStr">
        <is>
          <t>694baba01d450d00013662f0</t>
        </is>
      </c>
      <c r="J1187" t="inlineStr">
        <is>
          <t/>
        </is>
      </c>
      <c r="K1187" t="n">
        <v>0.0</v>
      </c>
      <c r="L1187" t="n">
        <v>0.0</v>
      </c>
      <c r="M1187" t="n">
        <v>0.0</v>
      </c>
      <c r="N1187" t="inlineStr">
        <is>
          <t/>
        </is>
      </c>
      <c r="O1187" t="n">
        <v>0.0</v>
      </c>
      <c r="P1187" t="n">
        <v>0.0</v>
      </c>
      <c r="Q1187" t="inlineStr">
        <is>
          <t/>
        </is>
      </c>
      <c r="R1187" t="inlineStr">
        <is>
          <t/>
        </is>
      </c>
      <c r="S1187" t="n">
        <v>0.0</v>
      </c>
      <c r="T1187" t="n">
        <v>0.0</v>
      </c>
      <c r="U1187" t="n">
        <v>0.0</v>
      </c>
      <c r="V1187" t="n">
        <v>0.0</v>
      </c>
      <c r="W1187" t="inlineStr">
        <is>
          <t/>
        </is>
      </c>
      <c r="X1187" t="n">
        <v>0.0</v>
      </c>
      <c r="Y1187" t="n">
        <v>0.0</v>
      </c>
      <c r="Z1187" t="n">
        <v>0.0</v>
      </c>
      <c r="AA1187" t="n">
        <v>0.0</v>
      </c>
      <c r="AB1187" t="n">
        <v>0.0</v>
      </c>
      <c r="AC1187" t="n">
        <v>0.0</v>
      </c>
      <c r="AD1187" t="n">
        <v>0.0</v>
      </c>
      <c r="AE1187" t="n">
        <v>0.0</v>
      </c>
      <c r="AF1187" t="n">
        <v>0.0</v>
      </c>
      <c r="AG1187" t="n">
        <v>0.0</v>
      </c>
      <c r="AH1187" t="n">
        <v>0.0</v>
      </c>
      <c r="AI1187" t="n">
        <v>0.0</v>
      </c>
      <c r="AJ1187" t="n">
        <v>0.0</v>
      </c>
      <c r="AK1187" t="inlineStr">
        <is>
          <t/>
        </is>
      </c>
      <c r="AL1187" t="inlineStr">
        <is>
          <t/>
        </is>
      </c>
    </row>
    <row r="1188">
      <c r="A1188" t="inlineStr">
        <is>
          <t>上班族午餐省钱秘诀😭比外卖便宜多了</t>
        </is>
      </c>
      <c r="B1188" t="inlineStr">
        <is>
          <t>6a125e8a000000003501e773</t>
        </is>
      </c>
      <c r="C1188" s="1187" t="n">
        <f>HYPERLINK("https://www.xiaohongshu.com/explore/6a125e8a000000003501e773?xsec_token=TBjOQMNWrfI7QtCl9AycQu17l9aV_0Ex9SskGeZaO2ckM=&amp;xsec_source=pc_trdark","https://www.xiaohongshu.com/explore/6a125e8a000000003501e773?xsec_token=TBjOQMNWrfI7QtCl9AycQu17l9aV_0Ex9SskGeZaO2ckM=&amp;xsec_source=pc_trdark")</f>
        <v>0.0</v>
      </c>
      <c r="D1188" t="inlineStr">
        <is>
          <t>鲜水湾甄选</t>
        </is>
      </c>
      <c r="E1188" t="inlineStr">
        <is>
          <t>27401929161</t>
        </is>
      </c>
      <c r="F1188" t="inlineStr">
        <is>
          <t>2026-05-24 13:28:00</t>
        </is>
      </c>
      <c r="G1188" t="inlineStr">
        <is>
          <t>图文</t>
        </is>
      </c>
      <c r="H1188" t="inlineStr">
        <is>
          <t>手剥虾仁 无冰衣无添加 低脂餐一人食 上班带饭 顺丰包邮 5盒装</t>
        </is>
      </c>
      <c r="I1188" t="inlineStr">
        <is>
          <t>694baba01d450d00013662f0</t>
        </is>
      </c>
      <c r="J1188" t="inlineStr">
        <is>
          <t/>
        </is>
      </c>
      <c r="K1188" t="n">
        <v>0.0</v>
      </c>
      <c r="L1188" t="n">
        <v>0.0</v>
      </c>
      <c r="M1188" t="n">
        <v>0.0</v>
      </c>
      <c r="N1188" t="inlineStr">
        <is>
          <t/>
        </is>
      </c>
      <c r="O1188" t="n">
        <v>0.0</v>
      </c>
      <c r="P1188" t="n">
        <v>0.0</v>
      </c>
      <c r="Q1188" t="inlineStr">
        <is>
          <t/>
        </is>
      </c>
      <c r="R1188" t="inlineStr">
        <is>
          <t/>
        </is>
      </c>
      <c r="S1188" t="n">
        <v>0.0</v>
      </c>
      <c r="T1188" t="n">
        <v>0.0</v>
      </c>
      <c r="U1188" t="n">
        <v>0.0</v>
      </c>
      <c r="V1188" t="n">
        <v>0.0</v>
      </c>
      <c r="W1188" t="inlineStr">
        <is>
          <t/>
        </is>
      </c>
      <c r="X1188" t="n">
        <v>0.0</v>
      </c>
      <c r="Y1188" t="n">
        <v>0.0</v>
      </c>
      <c r="Z1188" t="n">
        <v>0.0</v>
      </c>
      <c r="AA1188" t="n">
        <v>0.0</v>
      </c>
      <c r="AB1188" t="n">
        <v>0.0</v>
      </c>
      <c r="AC1188" t="n">
        <v>0.0</v>
      </c>
      <c r="AD1188" t="n">
        <v>0.0</v>
      </c>
      <c r="AE1188" t="n">
        <v>0.0</v>
      </c>
      <c r="AF1188" t="n">
        <v>0.0</v>
      </c>
      <c r="AG1188" t="n">
        <v>0.0</v>
      </c>
      <c r="AH1188" t="n">
        <v>0.0</v>
      </c>
      <c r="AI1188" t="n">
        <v>0.0</v>
      </c>
      <c r="AJ1188" t="n">
        <v>0.0</v>
      </c>
      <c r="AK1188" t="inlineStr">
        <is>
          <t/>
        </is>
      </c>
      <c r="AL1188" t="inlineStr">
        <is>
          <t/>
        </is>
      </c>
    </row>
    <row r="1189">
      <c r="A1189" t="inlineStr">
        <is>
          <t>早八打工人建议：减脂虾仁不要随便买 ！！！</t>
        </is>
      </c>
      <c r="B1189" t="inlineStr">
        <is>
          <t>6a125d81000000003502a962</t>
        </is>
      </c>
      <c r="C1189" s="1188" t="n">
        <f>HYPERLINK("https://www.xiaohongshu.com/explore/6a125d81000000003502a962?xsec_token=TBjOQMNWrfI7QtCl9AycQu17k-iDTObRltC9LJ5OreX3w=&amp;xsec_source=pc_trdark","https://www.xiaohongshu.com/explore/6a125d81000000003502a962?xsec_token=TBjOQMNWrfI7QtCl9AycQu17k-iDTObRltC9LJ5OreX3w=&amp;xsec_source=pc_trdark")</f>
        <v>0.0</v>
      </c>
      <c r="D1189" t="inlineStr">
        <is>
          <t>鲜水湾甄选</t>
        </is>
      </c>
      <c r="E1189" t="inlineStr">
        <is>
          <t>27401929161</t>
        </is>
      </c>
      <c r="F1189" t="inlineStr">
        <is>
          <t>2026-05-24 10:08:01</t>
        </is>
      </c>
      <c r="G1189" t="inlineStr">
        <is>
          <t>图文</t>
        </is>
      </c>
      <c r="H1189" t="inlineStr">
        <is>
          <t>手剥虾仁 无冰衣无添加 低脂餐一人食 上班带饭 顺丰包邮 5盒装</t>
        </is>
      </c>
      <c r="I1189" t="inlineStr">
        <is>
          <t>694baba01d450d00013662f0</t>
        </is>
      </c>
      <c r="J1189" t="inlineStr">
        <is>
          <t/>
        </is>
      </c>
      <c r="K1189" t="n">
        <v>0.0</v>
      </c>
      <c r="L1189" t="n">
        <v>0.0</v>
      </c>
      <c r="M1189" t="n">
        <v>0.0</v>
      </c>
      <c r="N1189" t="inlineStr">
        <is>
          <t/>
        </is>
      </c>
      <c r="O1189" t="n">
        <v>0.0</v>
      </c>
      <c r="P1189" t="n">
        <v>0.0</v>
      </c>
      <c r="Q1189" t="inlineStr">
        <is>
          <t/>
        </is>
      </c>
      <c r="R1189" t="inlineStr">
        <is>
          <t/>
        </is>
      </c>
      <c r="S1189" t="n">
        <v>0.0</v>
      </c>
      <c r="T1189" t="n">
        <v>0.0</v>
      </c>
      <c r="U1189" t="n">
        <v>0.0</v>
      </c>
      <c r="V1189" t="n">
        <v>0.0</v>
      </c>
      <c r="W1189" t="inlineStr">
        <is>
          <t/>
        </is>
      </c>
      <c r="X1189" t="n">
        <v>0.0</v>
      </c>
      <c r="Y1189" t="n">
        <v>0.0</v>
      </c>
      <c r="Z1189" t="n">
        <v>0.0</v>
      </c>
      <c r="AA1189" t="n">
        <v>0.0</v>
      </c>
      <c r="AB1189" t="n">
        <v>0.0</v>
      </c>
      <c r="AC1189" t="n">
        <v>0.0</v>
      </c>
      <c r="AD1189" t="n">
        <v>0.0</v>
      </c>
      <c r="AE1189" t="n">
        <v>0.0</v>
      </c>
      <c r="AF1189" t="n">
        <v>0.0</v>
      </c>
      <c r="AG1189" t="n">
        <v>0.0</v>
      </c>
      <c r="AH1189" t="n">
        <v>0.0</v>
      </c>
      <c r="AI1189" t="n">
        <v>0.0</v>
      </c>
      <c r="AJ1189" t="n">
        <v>0.0</v>
      </c>
      <c r="AK1189" t="inlineStr">
        <is>
          <t/>
        </is>
      </c>
      <c r="AL1189" t="inlineStr">
        <is>
          <t/>
        </is>
      </c>
    </row>
    <row r="1190">
      <c r="A1190" t="inlineStr">
        <is>
          <t>sam对不起，还是小包装更有幸福感✌️</t>
        </is>
      </c>
      <c r="B1190" t="inlineStr">
        <is>
          <t>6a11b27c00000000070109ee</t>
        </is>
      </c>
      <c r="C1190" s="1189" t="n">
        <f>HYPERLINK("https://www.xiaohongshu.com/explore/6a11b27c00000000070109ee?xsec_token=TB-gytXmUM8EaC3dkg0qkvTgGmB6GIIx4QqLvayKbu7yI=&amp;xsec_source=pc_trdark","https://www.xiaohongshu.com/explore/6a11b27c00000000070109ee?xsec_token=TB-gytXmUM8EaC3dkg0qkvTgGmB6GIIx4QqLvayKbu7yI=&amp;xsec_source=pc_trdark")</f>
        <v>0.0</v>
      </c>
      <c r="D1190" t="inlineStr">
        <is>
          <t>鲜水湾</t>
        </is>
      </c>
      <c r="E1190" t="inlineStr">
        <is>
          <t>49316638994</t>
        </is>
      </c>
      <c r="F1190" t="inlineStr">
        <is>
          <t>2026-05-23 21:58:20</t>
        </is>
      </c>
      <c r="G1190" t="inlineStr">
        <is>
          <t>图文</t>
        </is>
      </c>
      <c r="H1190" t="inlineStr">
        <is>
          <t>手剥虾仁 无冰衣无添加 低脂餐一人食 上班带饭 顺丰包邮 5盒装</t>
        </is>
      </c>
      <c r="I1190" t="inlineStr">
        <is>
          <t>694baba01d450d00013662f0</t>
        </is>
      </c>
      <c r="J1190" t="inlineStr">
        <is>
          <t/>
        </is>
      </c>
      <c r="K1190" t="n">
        <v>0.0</v>
      </c>
      <c r="L1190" t="n">
        <v>0.0</v>
      </c>
      <c r="M1190" t="n">
        <v>0.0</v>
      </c>
      <c r="N1190" t="inlineStr">
        <is>
          <t/>
        </is>
      </c>
      <c r="O1190" t="n">
        <v>0.0</v>
      </c>
      <c r="P1190" t="n">
        <v>0.0</v>
      </c>
      <c r="Q1190" t="inlineStr">
        <is>
          <t/>
        </is>
      </c>
      <c r="R1190" t="inlineStr">
        <is>
          <t/>
        </is>
      </c>
      <c r="S1190" t="n">
        <v>0.0</v>
      </c>
      <c r="T1190" t="n">
        <v>0.0</v>
      </c>
      <c r="U1190" t="n">
        <v>0.0</v>
      </c>
      <c r="V1190" t="n">
        <v>0.0</v>
      </c>
      <c r="W1190" t="inlineStr">
        <is>
          <t/>
        </is>
      </c>
      <c r="X1190" t="n">
        <v>0.0</v>
      </c>
      <c r="Y1190" t="n">
        <v>0.0</v>
      </c>
      <c r="Z1190" t="n">
        <v>0.0</v>
      </c>
      <c r="AA1190" t="n">
        <v>0.0</v>
      </c>
      <c r="AB1190" t="n">
        <v>0.0</v>
      </c>
      <c r="AC1190" t="n">
        <v>0.0</v>
      </c>
      <c r="AD1190" t="n">
        <v>0.0</v>
      </c>
      <c r="AE1190" t="n">
        <v>0.0</v>
      </c>
      <c r="AF1190" t="n">
        <v>0.0</v>
      </c>
      <c r="AG1190" t="n">
        <v>0.0</v>
      </c>
      <c r="AH1190" t="n">
        <v>0.0</v>
      </c>
      <c r="AI1190" t="n">
        <v>0.0</v>
      </c>
      <c r="AJ1190" t="n">
        <v>0.0</v>
      </c>
      <c r="AK1190" t="inlineStr">
        <is>
          <t/>
        </is>
      </c>
      <c r="AL1190" t="inlineStr">
        <is>
          <t/>
        </is>
      </c>
    </row>
    <row r="1191">
      <c r="A1191" t="inlineStr">
        <is>
          <t>算了不劝了…69元5袋已经是虾仁的底线了</t>
        </is>
      </c>
      <c r="B1191" t="inlineStr">
        <is>
          <t>6a119cd50000000006035f02</t>
        </is>
      </c>
      <c r="C1191" s="1190" t="n">
        <f>HYPERLINK("https://www.xiaohongshu.com/explore/6a119cd50000000006035f02?xsec_token=TB-gytXmUM8EaC3dkg0qkvToHoxIvBJQqfBm452qnXmg0=&amp;xsec_source=pc_trdark","https://www.xiaohongshu.com/explore/6a119cd50000000006035f02?xsec_token=TB-gytXmUM8EaC3dkg0qkvToHoxIvBJQqfBm452qnXmg0=&amp;xsec_source=pc_trdark")</f>
        <v>0.0</v>
      </c>
      <c r="D1191" t="inlineStr">
        <is>
          <t>鲜水湾</t>
        </is>
      </c>
      <c r="E1191" t="inlineStr">
        <is>
          <t>49316638994</t>
        </is>
      </c>
      <c r="F1191" t="inlineStr">
        <is>
          <t>2026-05-23 20:25:57</t>
        </is>
      </c>
      <c r="G1191" t="inlineStr">
        <is>
          <t>图文</t>
        </is>
      </c>
      <c r="H1191" t="inlineStr">
        <is>
          <t>手剥虾仁 无冰衣无添加 低脂餐一人食 上班带饭 顺丰包邮 5盒装</t>
        </is>
      </c>
      <c r="I1191" t="inlineStr">
        <is>
          <t>694baba01d450d00013662f0</t>
        </is>
      </c>
      <c r="J1191" t="inlineStr">
        <is>
          <t/>
        </is>
      </c>
      <c r="K1191" t="n">
        <v>0.0</v>
      </c>
      <c r="L1191" t="n">
        <v>0.0</v>
      </c>
      <c r="M1191" t="n">
        <v>0.0</v>
      </c>
      <c r="N1191" t="inlineStr">
        <is>
          <t/>
        </is>
      </c>
      <c r="O1191" t="n">
        <v>0.0</v>
      </c>
      <c r="P1191" t="n">
        <v>0.0</v>
      </c>
      <c r="Q1191" t="inlineStr">
        <is>
          <t/>
        </is>
      </c>
      <c r="R1191" t="inlineStr">
        <is>
          <t/>
        </is>
      </c>
      <c r="S1191" t="n">
        <v>0.0</v>
      </c>
      <c r="T1191" t="n">
        <v>0.0</v>
      </c>
      <c r="U1191" t="n">
        <v>0.0</v>
      </c>
      <c r="V1191" t="n">
        <v>0.0</v>
      </c>
      <c r="W1191" t="inlineStr">
        <is>
          <t/>
        </is>
      </c>
      <c r="X1191" t="n">
        <v>0.0</v>
      </c>
      <c r="Y1191" t="n">
        <v>0.0</v>
      </c>
      <c r="Z1191" t="n">
        <v>0.0</v>
      </c>
      <c r="AA1191" t="n">
        <v>0.0</v>
      </c>
      <c r="AB1191" t="n">
        <v>0.0</v>
      </c>
      <c r="AC1191" t="n">
        <v>0.0</v>
      </c>
      <c r="AD1191" t="n">
        <v>0.0</v>
      </c>
      <c r="AE1191" t="n">
        <v>0.0</v>
      </c>
      <c r="AF1191" t="n">
        <v>0.0</v>
      </c>
      <c r="AG1191" t="n">
        <v>0.0</v>
      </c>
      <c r="AH1191" t="n">
        <v>0.0</v>
      </c>
      <c r="AI1191" t="n">
        <v>0.0</v>
      </c>
      <c r="AJ1191" t="n">
        <v>0.0</v>
      </c>
      <c r="AK1191" t="inlineStr">
        <is>
          <t/>
        </is>
      </c>
      <c r="AL1191" t="inlineStr">
        <is>
          <t/>
        </is>
      </c>
    </row>
    <row r="1192">
      <c r="A1192" t="inlineStr">
        <is>
          <t>减脂人冰箱里一定要有虾仁😭</t>
        </is>
      </c>
      <c r="B1192" t="inlineStr">
        <is>
          <t>6a11225a000000003502c503</t>
        </is>
      </c>
      <c r="C1192" s="1191" t="n">
        <f>HYPERLINK("https://www.xiaohongshu.com/explore/6a11225a000000003502c503?xsec_token=TB-gytXmUM8EaC3dkg0qkvTjJUR5Ch4dQecUcR46N3abA=&amp;xsec_source=pc_trdark","https://www.xiaohongshu.com/explore/6a11225a000000003502c503?xsec_token=TB-gytXmUM8EaC3dkg0qkvTjJUR5Ch4dQecUcR46N3abA=&amp;xsec_source=pc_trdark")</f>
        <v>0.0</v>
      </c>
      <c r="D1192" t="inlineStr">
        <is>
          <t>鲜水湾甄选</t>
        </is>
      </c>
      <c r="E1192" t="inlineStr">
        <is>
          <t>27401929161</t>
        </is>
      </c>
      <c r="F1192" t="inlineStr">
        <is>
          <t>2026-05-23 11:43:22</t>
        </is>
      </c>
      <c r="G1192" t="inlineStr">
        <is>
          <t>图文</t>
        </is>
      </c>
      <c r="H1192" t="inlineStr">
        <is>
          <t>手剥虾仁 无冰衣无添加 低脂餐一人食 上班带饭 顺丰包邮 5盒装</t>
        </is>
      </c>
      <c r="I1192" t="inlineStr">
        <is>
          <t>694baba01d450d00013662f0</t>
        </is>
      </c>
      <c r="J1192" t="inlineStr">
        <is>
          <t/>
        </is>
      </c>
      <c r="K1192" t="n">
        <v>0.0</v>
      </c>
      <c r="L1192" t="n">
        <v>0.0</v>
      </c>
      <c r="M1192" t="n">
        <v>0.0</v>
      </c>
      <c r="N1192" t="inlineStr">
        <is>
          <t/>
        </is>
      </c>
      <c r="O1192" t="n">
        <v>0.0</v>
      </c>
      <c r="P1192" t="n">
        <v>0.0</v>
      </c>
      <c r="Q1192" t="inlineStr">
        <is>
          <t/>
        </is>
      </c>
      <c r="R1192" t="inlineStr">
        <is>
          <t/>
        </is>
      </c>
      <c r="S1192" t="n">
        <v>0.0</v>
      </c>
      <c r="T1192" t="n">
        <v>0.0</v>
      </c>
      <c r="U1192" t="n">
        <v>0.0</v>
      </c>
      <c r="V1192" t="n">
        <v>0.0</v>
      </c>
      <c r="W1192" t="inlineStr">
        <is>
          <t/>
        </is>
      </c>
      <c r="X1192" t="n">
        <v>0.0</v>
      </c>
      <c r="Y1192" t="n">
        <v>0.0</v>
      </c>
      <c r="Z1192" t="n">
        <v>0.0</v>
      </c>
      <c r="AA1192" t="n">
        <v>0.0</v>
      </c>
      <c r="AB1192" t="n">
        <v>0.0</v>
      </c>
      <c r="AC1192" t="n">
        <v>0.0</v>
      </c>
      <c r="AD1192" t="n">
        <v>0.0</v>
      </c>
      <c r="AE1192" t="n">
        <v>0.0</v>
      </c>
      <c r="AF1192" t="n">
        <v>0.0</v>
      </c>
      <c r="AG1192" t="n">
        <v>0.0</v>
      </c>
      <c r="AH1192" t="n">
        <v>0.0</v>
      </c>
      <c r="AI1192" t="n">
        <v>0.0</v>
      </c>
      <c r="AJ1192" t="n">
        <v>0.0</v>
      </c>
      <c r="AK1192" t="inlineStr">
        <is>
          <t/>
        </is>
      </c>
      <c r="AL1192" t="inlineStr">
        <is>
          <t/>
        </is>
      </c>
    </row>
    <row r="1193">
      <c r="A1193" t="inlineStr">
        <is>
          <t>懒人带饭真的需要这种开袋就能煮的虾仁</t>
        </is>
      </c>
      <c r="B1193" t="inlineStr">
        <is>
          <t>6a111897000000000702bf53</t>
        </is>
      </c>
      <c r="C1193" s="1192" t="n">
        <f>HYPERLINK("https://www.xiaohongshu.com/explore/6a111897000000000702bf53?xsec_token=TB-gytXmUM8EaC3dkg0qkvTm4Ae9f-ona06s8LwuVReMY=&amp;xsec_source=pc_trdark","https://www.xiaohongshu.com/explore/6a111897000000000702bf53?xsec_token=TB-gytXmUM8EaC3dkg0qkvTm4Ae9f-ona06s8LwuVReMY=&amp;xsec_source=pc_trdark")</f>
        <v>0.0</v>
      </c>
      <c r="D1193" t="inlineStr">
        <is>
          <t>婉婉上班吃什么</t>
        </is>
      </c>
      <c r="E1193" t="inlineStr">
        <is>
          <t>11434449706</t>
        </is>
      </c>
      <c r="F1193" t="inlineStr">
        <is>
          <t>2026-05-23 11:01:44</t>
        </is>
      </c>
      <c r="G1193" t="inlineStr">
        <is>
          <t>图文</t>
        </is>
      </c>
      <c r="H1193" t="inlineStr">
        <is>
          <t>手剥虾仁 无冰衣无添加 低脂餐一人食 上班带饭 顺丰包邮 5盒装</t>
        </is>
      </c>
      <c r="I1193" t="inlineStr">
        <is>
          <t>694baba01d450d00013662f0</t>
        </is>
      </c>
      <c r="J1193" t="inlineStr">
        <is>
          <t/>
        </is>
      </c>
      <c r="K1193" t="n">
        <v>0.0</v>
      </c>
      <c r="L1193" t="n">
        <v>0.0</v>
      </c>
      <c r="M1193" t="n">
        <v>0.0</v>
      </c>
      <c r="N1193" t="inlineStr">
        <is>
          <t/>
        </is>
      </c>
      <c r="O1193" t="n">
        <v>0.0</v>
      </c>
      <c r="P1193" t="n">
        <v>0.0</v>
      </c>
      <c r="Q1193" t="inlineStr">
        <is>
          <t/>
        </is>
      </c>
      <c r="R1193" t="inlineStr">
        <is>
          <t/>
        </is>
      </c>
      <c r="S1193" t="n">
        <v>0.0</v>
      </c>
      <c r="T1193" t="n">
        <v>0.0</v>
      </c>
      <c r="U1193" t="n">
        <v>0.0</v>
      </c>
      <c r="V1193" t="n">
        <v>0.0</v>
      </c>
      <c r="W1193" t="inlineStr">
        <is>
          <t/>
        </is>
      </c>
      <c r="X1193" t="n">
        <v>0.0</v>
      </c>
      <c r="Y1193" t="n">
        <v>0.0</v>
      </c>
      <c r="Z1193" t="n">
        <v>0.0</v>
      </c>
      <c r="AA1193" t="n">
        <v>0.0</v>
      </c>
      <c r="AB1193" t="n">
        <v>0.0</v>
      </c>
      <c r="AC1193" t="n">
        <v>0.0</v>
      </c>
      <c r="AD1193" t="n">
        <v>0.0</v>
      </c>
      <c r="AE1193" t="n">
        <v>0.0</v>
      </c>
      <c r="AF1193" t="n">
        <v>0.0</v>
      </c>
      <c r="AG1193" t="n">
        <v>0.0</v>
      </c>
      <c r="AH1193" t="n">
        <v>0.0</v>
      </c>
      <c r="AI1193" t="n">
        <v>0.0</v>
      </c>
      <c r="AJ1193" t="n">
        <v>0.0</v>
      </c>
      <c r="AK1193" t="inlineStr">
        <is>
          <t/>
        </is>
      </c>
      <c r="AL1193" t="inlineStr">
        <is>
          <t/>
        </is>
      </c>
    </row>
    <row r="1194">
      <c r="A1194" t="inlineStr">
        <is>
          <t>69块承包一周减脂餐，真真真香⚠️</t>
        </is>
      </c>
      <c r="B1194" t="inlineStr">
        <is>
          <t>6a110a4400000000070262fe</t>
        </is>
      </c>
      <c r="C1194" s="1193" t="n">
        <f>HYPERLINK("https://www.xiaohongshu.com/explore/6a110a4400000000070262fe?xsec_token=TB-gytXmUM8EaC3dkg0qkvTg1Tbm-kBmsfJyZTq5cNc-0=&amp;xsec_source=pc_trdark","https://www.xiaohongshu.com/explore/6a110a4400000000070262fe?xsec_token=TB-gytXmUM8EaC3dkg0qkvTg1Tbm-kBmsfJyZTq5cNc-0=&amp;xsec_source=pc_trdark")</f>
        <v>0.0</v>
      </c>
      <c r="D1194" t="inlineStr">
        <is>
          <t>菲菲上班吃什么</t>
        </is>
      </c>
      <c r="E1194" t="inlineStr">
        <is>
          <t>49936530607</t>
        </is>
      </c>
      <c r="F1194" t="inlineStr">
        <is>
          <t>2026-05-23 18:50:00</t>
        </is>
      </c>
      <c r="G1194" t="inlineStr">
        <is>
          <t>图文</t>
        </is>
      </c>
      <c r="H1194" t="inlineStr">
        <is>
          <t>手剥虾仁 无冰衣无添加 低脂餐一人食 上班带饭 顺丰包邮 5盒装</t>
        </is>
      </c>
      <c r="I1194" t="inlineStr">
        <is>
          <t>694baba01d450d00013662f0</t>
        </is>
      </c>
      <c r="J1194" t="inlineStr">
        <is>
          <t/>
        </is>
      </c>
      <c r="K1194" t="n">
        <v>0.0</v>
      </c>
      <c r="L1194" t="n">
        <v>0.0</v>
      </c>
      <c r="M1194" t="n">
        <v>0.0</v>
      </c>
      <c r="N1194" t="inlineStr">
        <is>
          <t/>
        </is>
      </c>
      <c r="O1194" t="n">
        <v>0.0</v>
      </c>
      <c r="P1194" t="n">
        <v>0.0</v>
      </c>
      <c r="Q1194" t="inlineStr">
        <is>
          <t/>
        </is>
      </c>
      <c r="R1194" t="inlineStr">
        <is>
          <t/>
        </is>
      </c>
      <c r="S1194" t="n">
        <v>0.0</v>
      </c>
      <c r="T1194" t="n">
        <v>0.0</v>
      </c>
      <c r="U1194" t="n">
        <v>0.0</v>
      </c>
      <c r="V1194" t="n">
        <v>0.0</v>
      </c>
      <c r="W1194" t="inlineStr">
        <is>
          <t/>
        </is>
      </c>
      <c r="X1194" t="n">
        <v>0.0</v>
      </c>
      <c r="Y1194" t="n">
        <v>0.0</v>
      </c>
      <c r="Z1194" t="n">
        <v>0.0</v>
      </c>
      <c r="AA1194" t="n">
        <v>0.0</v>
      </c>
      <c r="AB1194" t="n">
        <v>0.0</v>
      </c>
      <c r="AC1194" t="n">
        <v>0.0</v>
      </c>
      <c r="AD1194" t="n">
        <v>0.0</v>
      </c>
      <c r="AE1194" t="n">
        <v>0.0</v>
      </c>
      <c r="AF1194" t="n">
        <v>0.0</v>
      </c>
      <c r="AG1194" t="n">
        <v>0.0</v>
      </c>
      <c r="AH1194" t="n">
        <v>0.0</v>
      </c>
      <c r="AI1194" t="n">
        <v>0.0</v>
      </c>
      <c r="AJ1194" t="n">
        <v>0.0</v>
      </c>
      <c r="AK1194" t="inlineStr">
        <is>
          <t/>
        </is>
      </c>
      <c r="AL1194" t="inlineStr">
        <is>
          <t/>
        </is>
      </c>
    </row>
    <row r="1195">
      <c r="A1195" t="inlineStr">
        <is>
          <t>我妈：终于不天天吃外卖了🤣</t>
        </is>
      </c>
      <c r="B1195" t="inlineStr">
        <is>
          <t>6a1109c40000000006034e11</t>
        </is>
      </c>
      <c r="C1195" s="1194" t="n">
        <f>HYPERLINK("https://www.xiaohongshu.com/explore/6a1109c40000000006034e11?xsec_token=TB-gytXmUM8EaC3dkg0qkvTpYvyFRresEVeH0C-bEQ7rs=&amp;xsec_source=pc_trdark","https://www.xiaohongshu.com/explore/6a1109c40000000006034e11?xsec_token=TB-gytXmUM8EaC3dkg0qkvTpYvyFRresEVeH0C-bEQ7rs=&amp;xsec_source=pc_trdark")</f>
        <v>0.0</v>
      </c>
      <c r="D1195" t="inlineStr">
        <is>
          <t>菲菲上班吃什么</t>
        </is>
      </c>
      <c r="E1195" t="inlineStr">
        <is>
          <t>49936530607</t>
        </is>
      </c>
      <c r="F1195" t="inlineStr">
        <is>
          <t>2026-05-23 16:58:00</t>
        </is>
      </c>
      <c r="G1195" t="inlineStr">
        <is>
          <t>图文</t>
        </is>
      </c>
      <c r="H1195" t="inlineStr">
        <is>
          <t>手剥虾仁 无冰衣无添加 低脂餐一人食 上班带饭 顺丰包邮 5盒装</t>
        </is>
      </c>
      <c r="I1195" t="inlineStr">
        <is>
          <t>694baba01d450d00013662f0</t>
        </is>
      </c>
      <c r="J1195" t="inlineStr">
        <is>
          <t/>
        </is>
      </c>
      <c r="K1195" t="n">
        <v>0.0</v>
      </c>
      <c r="L1195" t="n">
        <v>0.0</v>
      </c>
      <c r="M1195" t="n">
        <v>0.0</v>
      </c>
      <c r="N1195" t="inlineStr">
        <is>
          <t/>
        </is>
      </c>
      <c r="O1195" t="n">
        <v>0.0</v>
      </c>
      <c r="P1195" t="n">
        <v>0.0</v>
      </c>
      <c r="Q1195" t="inlineStr">
        <is>
          <t/>
        </is>
      </c>
      <c r="R1195" t="inlineStr">
        <is>
          <t/>
        </is>
      </c>
      <c r="S1195" t="n">
        <v>0.0</v>
      </c>
      <c r="T1195" t="n">
        <v>0.0</v>
      </c>
      <c r="U1195" t="n">
        <v>0.0</v>
      </c>
      <c r="V1195" t="n">
        <v>0.0</v>
      </c>
      <c r="W1195" t="inlineStr">
        <is>
          <t/>
        </is>
      </c>
      <c r="X1195" t="n">
        <v>0.0</v>
      </c>
      <c r="Y1195" t="n">
        <v>0.0</v>
      </c>
      <c r="Z1195" t="n">
        <v>0.0</v>
      </c>
      <c r="AA1195" t="n">
        <v>0.0</v>
      </c>
      <c r="AB1195" t="n">
        <v>0.0</v>
      </c>
      <c r="AC1195" t="n">
        <v>0.0</v>
      </c>
      <c r="AD1195" t="n">
        <v>0.0</v>
      </c>
      <c r="AE1195" t="n">
        <v>0.0</v>
      </c>
      <c r="AF1195" t="n">
        <v>0.0</v>
      </c>
      <c r="AG1195" t="n">
        <v>0.0</v>
      </c>
      <c r="AH1195" t="n">
        <v>0.0</v>
      </c>
      <c r="AI1195" t="n">
        <v>0.0</v>
      </c>
      <c r="AJ1195" t="n">
        <v>0.0</v>
      </c>
      <c r="AK1195" t="inlineStr">
        <is>
          <t/>
        </is>
      </c>
      <c r="AL1195" t="inlineStr">
        <is>
          <t/>
        </is>
      </c>
    </row>
    <row r="1196">
      <c r="A1196" t="inlineStr">
        <is>
          <t>带饭被同事围观：你也吃太好了吧🍤</t>
        </is>
      </c>
      <c r="B1196" t="inlineStr">
        <is>
          <t>6a1109370000000007025e8b</t>
        </is>
      </c>
      <c r="C1196" s="1195" t="n">
        <f>HYPERLINK("https://www.xiaohongshu.com/explore/6a1109370000000007025e8b?xsec_token=TB-gytXmUM8EaC3dkg0qkvTlxE78jcEDscj_hblbKz-j8=&amp;xsec_source=pc_trdark","https://www.xiaohongshu.com/explore/6a1109370000000007025e8b?xsec_token=TB-gytXmUM8EaC3dkg0qkvTlxE78jcEDscj_hblbKz-j8=&amp;xsec_source=pc_trdark")</f>
        <v>0.0</v>
      </c>
      <c r="D1196" t="inlineStr">
        <is>
          <t>菲菲上班吃什么</t>
        </is>
      </c>
      <c r="E1196" t="inlineStr">
        <is>
          <t>49936530607</t>
        </is>
      </c>
      <c r="F1196" t="inlineStr">
        <is>
          <t>2026-05-23 14:55:00</t>
        </is>
      </c>
      <c r="G1196" t="inlineStr">
        <is>
          <t>图文</t>
        </is>
      </c>
      <c r="H1196" t="inlineStr">
        <is>
          <t>手剥虾仁 无冰衣无添加 低脂餐一人食 上班带饭 顺丰包邮 5盒装</t>
        </is>
      </c>
      <c r="I1196" t="inlineStr">
        <is>
          <t>694baba01d450d00013662f0</t>
        </is>
      </c>
      <c r="J1196" t="inlineStr">
        <is>
          <t/>
        </is>
      </c>
      <c r="K1196" t="n">
        <v>0.0</v>
      </c>
      <c r="L1196" t="n">
        <v>0.0</v>
      </c>
      <c r="M1196" t="n">
        <v>0.0</v>
      </c>
      <c r="N1196" t="inlineStr">
        <is>
          <t/>
        </is>
      </c>
      <c r="O1196" t="n">
        <v>0.0</v>
      </c>
      <c r="P1196" t="n">
        <v>0.0</v>
      </c>
      <c r="Q1196" t="inlineStr">
        <is>
          <t/>
        </is>
      </c>
      <c r="R1196" t="inlineStr">
        <is>
          <t/>
        </is>
      </c>
      <c r="S1196" t="n">
        <v>0.0</v>
      </c>
      <c r="T1196" t="n">
        <v>0.0</v>
      </c>
      <c r="U1196" t="n">
        <v>0.0</v>
      </c>
      <c r="V1196" t="n">
        <v>0.0</v>
      </c>
      <c r="W1196" t="inlineStr">
        <is>
          <t/>
        </is>
      </c>
      <c r="X1196" t="n">
        <v>0.0</v>
      </c>
      <c r="Y1196" t="n">
        <v>0.0</v>
      </c>
      <c r="Z1196" t="n">
        <v>0.0</v>
      </c>
      <c r="AA1196" t="n">
        <v>0.0</v>
      </c>
      <c r="AB1196" t="n">
        <v>0.0</v>
      </c>
      <c r="AC1196" t="n">
        <v>0.0</v>
      </c>
      <c r="AD1196" t="n">
        <v>0.0</v>
      </c>
      <c r="AE1196" t="n">
        <v>0.0</v>
      </c>
      <c r="AF1196" t="n">
        <v>0.0</v>
      </c>
      <c r="AG1196" t="n">
        <v>0.0</v>
      </c>
      <c r="AH1196" t="n">
        <v>0.0</v>
      </c>
      <c r="AI1196" t="n">
        <v>0.0</v>
      </c>
      <c r="AJ1196" t="n">
        <v>0.0</v>
      </c>
      <c r="AK1196" t="inlineStr">
        <is>
          <t/>
        </is>
      </c>
      <c r="AL1196" t="inlineStr">
        <is>
          <t/>
        </is>
      </c>
    </row>
    <row r="1197">
      <c r="A1197" t="inlineStr">
        <is>
          <t>真听劝，推出不到100卡一人食小包装</t>
        </is>
      </c>
      <c r="B1197" t="inlineStr">
        <is>
          <t>6a11075b0000000035022562</t>
        </is>
      </c>
      <c r="C1197" s="1196" t="n">
        <f>HYPERLINK("https://www.xiaohongshu.com/explore/6a11075b0000000035022562?xsec_token=TB-gytXmUM8EaC3dkg0qkvTj8Ne5B0dJovjPvTb0ellHA=&amp;xsec_source=pc_trdark","https://www.xiaohongshu.com/explore/6a11075b0000000035022562?xsec_token=TB-gytXmUM8EaC3dkg0qkvTj8Ne5B0dJovjPvTb0ellHA=&amp;xsec_source=pc_trdark")</f>
        <v>0.0</v>
      </c>
      <c r="D1197" t="inlineStr">
        <is>
          <t>鲜水湾甄选</t>
        </is>
      </c>
      <c r="E1197" t="inlineStr">
        <is>
          <t>27401929161</t>
        </is>
      </c>
      <c r="F1197" t="inlineStr">
        <is>
          <t>2026-05-23 20:27:00</t>
        </is>
      </c>
      <c r="G1197" t="inlineStr">
        <is>
          <t>图文</t>
        </is>
      </c>
      <c r="H1197" t="inlineStr">
        <is>
          <t>手剥虾仁 无冰衣无添加 低脂餐一人食 上班带饭 顺丰包邮 5盒装</t>
        </is>
      </c>
      <c r="I1197" t="inlineStr">
        <is>
          <t>694baba01d450d00013662f0</t>
        </is>
      </c>
      <c r="J1197" t="inlineStr">
        <is>
          <t/>
        </is>
      </c>
      <c r="K1197" t="n">
        <v>0.0</v>
      </c>
      <c r="L1197" t="n">
        <v>0.0</v>
      </c>
      <c r="M1197" t="n">
        <v>0.0</v>
      </c>
      <c r="N1197" t="inlineStr">
        <is>
          <t/>
        </is>
      </c>
      <c r="O1197" t="n">
        <v>0.0</v>
      </c>
      <c r="P1197" t="n">
        <v>0.0</v>
      </c>
      <c r="Q1197" t="inlineStr">
        <is>
          <t/>
        </is>
      </c>
      <c r="R1197" t="inlineStr">
        <is>
          <t/>
        </is>
      </c>
      <c r="S1197" t="n">
        <v>0.0</v>
      </c>
      <c r="T1197" t="n">
        <v>0.0</v>
      </c>
      <c r="U1197" t="n">
        <v>0.0</v>
      </c>
      <c r="V1197" t="n">
        <v>0.0</v>
      </c>
      <c r="W1197" t="inlineStr">
        <is>
          <t/>
        </is>
      </c>
      <c r="X1197" t="n">
        <v>0.0</v>
      </c>
      <c r="Y1197" t="n">
        <v>0.0</v>
      </c>
      <c r="Z1197" t="n">
        <v>0.0</v>
      </c>
      <c r="AA1197" t="n">
        <v>0.0</v>
      </c>
      <c r="AB1197" t="n">
        <v>0.0</v>
      </c>
      <c r="AC1197" t="n">
        <v>0.0</v>
      </c>
      <c r="AD1197" t="n">
        <v>0.0</v>
      </c>
      <c r="AE1197" t="n">
        <v>0.0</v>
      </c>
      <c r="AF1197" t="n">
        <v>0.0</v>
      </c>
      <c r="AG1197" t="n">
        <v>0.0</v>
      </c>
      <c r="AH1197" t="n">
        <v>0.0</v>
      </c>
      <c r="AI1197" t="n">
        <v>0.0</v>
      </c>
      <c r="AJ1197" t="n">
        <v>0.0</v>
      </c>
      <c r="AK1197" t="inlineStr">
        <is>
          <t/>
        </is>
      </c>
      <c r="AL1197" t="inlineStr">
        <is>
          <t/>
        </is>
      </c>
    </row>
    <row r="1198">
      <c r="A1198" t="inlineStr">
        <is>
          <t>手剥虾仁69管一周？一人食减脂餐</t>
        </is>
      </c>
      <c r="B1198" t="inlineStr">
        <is>
          <t>6a1106bb000000003502229f</t>
        </is>
      </c>
      <c r="C1198" s="1197" t="n">
        <f>HYPERLINK("https://www.xiaohongshu.com/explore/6a1106bb000000003502229f?xsec_token=TB-gytXmUM8EaC3dkg0qkvTtck4fywuOp3zokZyfywDiU=&amp;xsec_source=pc_trdark","https://www.xiaohongshu.com/explore/6a1106bb000000003502229f?xsec_token=TB-gytXmUM8EaC3dkg0qkvTtck4fywuOp3zokZyfywDiU=&amp;xsec_source=pc_trdark")</f>
        <v>0.0</v>
      </c>
      <c r="D1198" t="inlineStr">
        <is>
          <t>鲜水湾甄选</t>
        </is>
      </c>
      <c r="E1198" t="inlineStr">
        <is>
          <t>27401929161</t>
        </is>
      </c>
      <c r="F1198" t="inlineStr">
        <is>
          <t>2026-05-23 19:09:00</t>
        </is>
      </c>
      <c r="G1198" t="inlineStr">
        <is>
          <t>图文</t>
        </is>
      </c>
      <c r="H1198" t="inlineStr">
        <is>
          <t>手剥虾仁 无冰衣无添加 低脂餐一人食 上班带饭 顺丰包邮 5盒装</t>
        </is>
      </c>
      <c r="I1198" t="inlineStr">
        <is>
          <t>694baba01d450d00013662f0</t>
        </is>
      </c>
      <c r="J1198" t="inlineStr">
        <is>
          <t/>
        </is>
      </c>
      <c r="K1198" t="n">
        <v>0.0</v>
      </c>
      <c r="L1198" t="n">
        <v>0.0</v>
      </c>
      <c r="M1198" t="n">
        <v>0.0</v>
      </c>
      <c r="N1198" t="inlineStr">
        <is>
          <t/>
        </is>
      </c>
      <c r="O1198" t="n">
        <v>0.0</v>
      </c>
      <c r="P1198" t="n">
        <v>0.0</v>
      </c>
      <c r="Q1198" t="inlineStr">
        <is>
          <t/>
        </is>
      </c>
      <c r="R1198" t="inlineStr">
        <is>
          <t/>
        </is>
      </c>
      <c r="S1198" t="n">
        <v>0.0</v>
      </c>
      <c r="T1198" t="n">
        <v>0.0</v>
      </c>
      <c r="U1198" t="n">
        <v>0.0</v>
      </c>
      <c r="V1198" t="n">
        <v>0.0</v>
      </c>
      <c r="W1198" t="inlineStr">
        <is>
          <t/>
        </is>
      </c>
      <c r="X1198" t="n">
        <v>0.0</v>
      </c>
      <c r="Y1198" t="n">
        <v>0.0</v>
      </c>
      <c r="Z1198" t="n">
        <v>0.0</v>
      </c>
      <c r="AA1198" t="n">
        <v>0.0</v>
      </c>
      <c r="AB1198" t="n">
        <v>0.0</v>
      </c>
      <c r="AC1198" t="n">
        <v>0.0</v>
      </c>
      <c r="AD1198" t="n">
        <v>0.0</v>
      </c>
      <c r="AE1198" t="n">
        <v>0.0</v>
      </c>
      <c r="AF1198" t="n">
        <v>0.0</v>
      </c>
      <c r="AG1198" t="n">
        <v>0.0</v>
      </c>
      <c r="AH1198" t="n">
        <v>0.0</v>
      </c>
      <c r="AI1198" t="n">
        <v>0.0</v>
      </c>
      <c r="AJ1198" t="n">
        <v>0.0</v>
      </c>
      <c r="AK1198" t="inlineStr">
        <is>
          <t/>
        </is>
      </c>
      <c r="AL1198" t="inlineStr">
        <is>
          <t/>
        </is>
      </c>
    </row>
    <row r="1199">
      <c r="A1199" t="inlineStr">
        <is>
          <t>69元让我戒掉轻食外卖😭 一餐一包真的顶！</t>
        </is>
      </c>
      <c r="B1199" t="inlineStr">
        <is>
          <t>6a1106a50000000035039b13</t>
        </is>
      </c>
      <c r="C1199" s="1198" t="n">
        <f>HYPERLINK("https://www.xiaohongshu.com/explore/6a1106a50000000035039b13?xsec_token=TB-gytXmUM8EaC3dkg0qkvTmoVlFtRw9UxfERTEUotGF0=&amp;xsec_source=pc_trdark","https://www.xiaohongshu.com/explore/6a1106a50000000035039b13?xsec_token=TB-gytXmUM8EaC3dkg0qkvTmoVlFtRw9UxfERTEUotGF0=&amp;xsec_source=pc_trdark")</f>
        <v>0.0</v>
      </c>
      <c r="D1199" t="inlineStr">
        <is>
          <t>鲜水湾甄选</t>
        </is>
      </c>
      <c r="E1199" t="inlineStr">
        <is>
          <t>27401929161</t>
        </is>
      </c>
      <c r="F1199" t="inlineStr">
        <is>
          <t>2026-05-23 17:45:00</t>
        </is>
      </c>
      <c r="G1199" t="inlineStr">
        <is>
          <t>图文</t>
        </is>
      </c>
      <c r="H1199" t="inlineStr">
        <is>
          <t>手剥虾仁 无冰衣无添加 低脂餐一人食 上班带饭 顺丰包邮 5盒装</t>
        </is>
      </c>
      <c r="I1199" t="inlineStr">
        <is>
          <t>694baba01d450d00013662f0</t>
        </is>
      </c>
      <c r="J1199" t="inlineStr">
        <is>
          <t/>
        </is>
      </c>
      <c r="K1199" t="n">
        <v>0.0</v>
      </c>
      <c r="L1199" t="n">
        <v>0.0</v>
      </c>
      <c r="M1199" t="n">
        <v>0.0</v>
      </c>
      <c r="N1199" t="inlineStr">
        <is>
          <t/>
        </is>
      </c>
      <c r="O1199" t="n">
        <v>0.0</v>
      </c>
      <c r="P1199" t="n">
        <v>0.0</v>
      </c>
      <c r="Q1199" t="inlineStr">
        <is>
          <t/>
        </is>
      </c>
      <c r="R1199" t="inlineStr">
        <is>
          <t/>
        </is>
      </c>
      <c r="S1199" t="n">
        <v>0.0</v>
      </c>
      <c r="T1199" t="n">
        <v>0.0</v>
      </c>
      <c r="U1199" t="n">
        <v>0.0</v>
      </c>
      <c r="V1199" t="n">
        <v>0.0</v>
      </c>
      <c r="W1199" t="inlineStr">
        <is>
          <t/>
        </is>
      </c>
      <c r="X1199" t="n">
        <v>0.0</v>
      </c>
      <c r="Y1199" t="n">
        <v>0.0</v>
      </c>
      <c r="Z1199" t="n">
        <v>0.0</v>
      </c>
      <c r="AA1199" t="n">
        <v>0.0</v>
      </c>
      <c r="AB1199" t="n">
        <v>0.0</v>
      </c>
      <c r="AC1199" t="n">
        <v>0.0</v>
      </c>
      <c r="AD1199" t="n">
        <v>0.0</v>
      </c>
      <c r="AE1199" t="n">
        <v>0.0</v>
      </c>
      <c r="AF1199" t="n">
        <v>0.0</v>
      </c>
      <c r="AG1199" t="n">
        <v>0.0</v>
      </c>
      <c r="AH1199" t="n">
        <v>0.0</v>
      </c>
      <c r="AI1199" t="n">
        <v>0.0</v>
      </c>
      <c r="AJ1199" t="n">
        <v>0.0</v>
      </c>
      <c r="AK1199" t="inlineStr">
        <is>
          <t/>
        </is>
      </c>
      <c r="AL1199" t="inlineStr">
        <is>
          <t/>
        </is>
      </c>
    </row>
    <row r="1200">
      <c r="A1200" t="inlineStr">
        <is>
          <t>办公室午餐被问爆了😭 谁天天吃虾仁！！！</t>
        </is>
      </c>
      <c r="B1200" t="inlineStr">
        <is>
          <t>6a1103e600000000350329fb</t>
        </is>
      </c>
      <c r="C1200" s="1199" t="n">
        <f>HYPERLINK("https://www.xiaohongshu.com/explore/6a1103e600000000350329fb?xsec_token=TB-gytXmUM8EaC3dkg0qkvTkvlenF9nUGJHP_Oy74WtYA=&amp;xsec_source=pc_trdark","https://www.xiaohongshu.com/explore/6a1103e600000000350329fb?xsec_token=TB-gytXmUM8EaC3dkg0qkvTkvlenF9nUGJHP_Oy74WtYA=&amp;xsec_source=pc_trdark")</f>
        <v>0.0</v>
      </c>
      <c r="D1200" t="inlineStr">
        <is>
          <t>鲜水湾甄选</t>
        </is>
      </c>
      <c r="E1200" t="inlineStr">
        <is>
          <t>27401929161</t>
        </is>
      </c>
      <c r="F1200" t="inlineStr">
        <is>
          <t>2026-05-23 15:33:00</t>
        </is>
      </c>
      <c r="G1200" t="inlineStr">
        <is>
          <t>图文</t>
        </is>
      </c>
      <c r="H1200" t="inlineStr">
        <is>
          <t>手剥虾仁 无冰衣无添加 低脂餐一人食 上班带饭 顺丰包邮 5盒装</t>
        </is>
      </c>
      <c r="I1200" t="inlineStr">
        <is>
          <t>694baba01d450d00013662f0</t>
        </is>
      </c>
      <c r="J1200" t="inlineStr">
        <is>
          <t/>
        </is>
      </c>
      <c r="K1200" t="n">
        <v>0.0</v>
      </c>
      <c r="L1200" t="n">
        <v>0.0</v>
      </c>
      <c r="M1200" t="n">
        <v>0.0</v>
      </c>
      <c r="N1200" t="inlineStr">
        <is>
          <t/>
        </is>
      </c>
      <c r="O1200" t="n">
        <v>0.0</v>
      </c>
      <c r="P1200" t="n">
        <v>0.0</v>
      </c>
      <c r="Q1200" t="inlineStr">
        <is>
          <t/>
        </is>
      </c>
      <c r="R1200" t="inlineStr">
        <is>
          <t/>
        </is>
      </c>
      <c r="S1200" t="n">
        <v>0.0</v>
      </c>
      <c r="T1200" t="n">
        <v>0.0</v>
      </c>
      <c r="U1200" t="n">
        <v>0.0</v>
      </c>
      <c r="V1200" t="n">
        <v>0.0</v>
      </c>
      <c r="W1200" t="inlineStr">
        <is>
          <t/>
        </is>
      </c>
      <c r="X1200" t="n">
        <v>0.0</v>
      </c>
      <c r="Y1200" t="n">
        <v>0.0</v>
      </c>
      <c r="Z1200" t="n">
        <v>0.0</v>
      </c>
      <c r="AA1200" t="n">
        <v>0.0</v>
      </c>
      <c r="AB1200" t="n">
        <v>0.0</v>
      </c>
      <c r="AC1200" t="n">
        <v>0.0</v>
      </c>
      <c r="AD1200" t="n">
        <v>0.0</v>
      </c>
      <c r="AE1200" t="n">
        <v>0.0</v>
      </c>
      <c r="AF1200" t="n">
        <v>0.0</v>
      </c>
      <c r="AG1200" t="n">
        <v>0.0</v>
      </c>
      <c r="AH1200" t="n">
        <v>0.0</v>
      </c>
      <c r="AI1200" t="n">
        <v>0.0</v>
      </c>
      <c r="AJ1200" t="n">
        <v>0.0</v>
      </c>
      <c r="AK1200" t="inlineStr">
        <is>
          <t/>
        </is>
      </c>
      <c r="AL1200" t="inlineStr">
        <is>
          <t/>
        </is>
      </c>
    </row>
    <row r="1201">
      <c r="A1201" t="inlineStr">
        <is>
          <t>感谢赵露S…虾仁真的太顶了😭</t>
        </is>
      </c>
      <c r="B1201" t="inlineStr">
        <is>
          <t>6a110319000000003502e07f</t>
        </is>
      </c>
      <c r="C1201" s="1200" t="n">
        <f>HYPERLINK("https://www.xiaohongshu.com/explore/6a110319000000003502e07f?xsec_token=TB-gytXmUM8EaC3dkg0qkvTvBSJtLjv_fcBKibT7vSgkI=&amp;xsec_source=pc_trdark","https://www.xiaohongshu.com/explore/6a110319000000003502e07f?xsec_token=TB-gytXmUM8EaC3dkg0qkvTvBSJtLjv_fcBKibT7vSgkI=&amp;xsec_source=pc_trdark")</f>
        <v>0.0</v>
      </c>
      <c r="D1201" t="inlineStr">
        <is>
          <t>鲜水湾甄选</t>
        </is>
      </c>
      <c r="E1201" t="inlineStr">
        <is>
          <t>27401929161</t>
        </is>
      </c>
      <c r="F1201" t="inlineStr">
        <is>
          <t>2026-05-23 13:35:00</t>
        </is>
      </c>
      <c r="G1201" t="inlineStr">
        <is>
          <t>图文</t>
        </is>
      </c>
      <c r="H1201" t="inlineStr">
        <is>
          <t>手剥虾仁 无冰衣无添加 低脂餐一人食 上班带饭 顺丰包邮 5盒装</t>
        </is>
      </c>
      <c r="I1201" t="inlineStr">
        <is>
          <t>694baba01d450d00013662f0</t>
        </is>
      </c>
      <c r="J1201" t="inlineStr">
        <is>
          <t/>
        </is>
      </c>
      <c r="K1201" t="n">
        <v>0.0</v>
      </c>
      <c r="L1201" t="n">
        <v>0.0</v>
      </c>
      <c r="M1201" t="n">
        <v>0.0</v>
      </c>
      <c r="N1201" t="inlineStr">
        <is>
          <t/>
        </is>
      </c>
      <c r="O1201" t="n">
        <v>0.0</v>
      </c>
      <c r="P1201" t="n">
        <v>0.0</v>
      </c>
      <c r="Q1201" t="inlineStr">
        <is>
          <t/>
        </is>
      </c>
      <c r="R1201" t="inlineStr">
        <is>
          <t/>
        </is>
      </c>
      <c r="S1201" t="n">
        <v>0.0</v>
      </c>
      <c r="T1201" t="n">
        <v>0.0</v>
      </c>
      <c r="U1201" t="n">
        <v>0.0</v>
      </c>
      <c r="V1201" t="n">
        <v>0.0</v>
      </c>
      <c r="W1201" t="inlineStr">
        <is>
          <t/>
        </is>
      </c>
      <c r="X1201" t="n">
        <v>0.0</v>
      </c>
      <c r="Y1201" t="n">
        <v>0.0</v>
      </c>
      <c r="Z1201" t="n">
        <v>0.0</v>
      </c>
      <c r="AA1201" t="n">
        <v>0.0</v>
      </c>
      <c r="AB1201" t="n">
        <v>0.0</v>
      </c>
      <c r="AC1201" t="n">
        <v>0.0</v>
      </c>
      <c r="AD1201" t="n">
        <v>0.0</v>
      </c>
      <c r="AE1201" t="n">
        <v>0.0</v>
      </c>
      <c r="AF1201" t="n">
        <v>0.0</v>
      </c>
      <c r="AG1201" t="n">
        <v>0.0</v>
      </c>
      <c r="AH1201" t="n">
        <v>0.0</v>
      </c>
      <c r="AI1201" t="n">
        <v>0.0</v>
      </c>
      <c r="AJ1201" t="n">
        <v>0.0</v>
      </c>
      <c r="AK1201" t="inlineStr">
        <is>
          <t/>
        </is>
      </c>
      <c r="AL1201" t="inlineStr">
        <is>
          <t/>
        </is>
      </c>
    </row>
    <row r="1202">
      <c r="A1202" t="inlineStr">
        <is>
          <t>‼️瘦干螂饮食法真的有点东西</t>
        </is>
      </c>
      <c r="B1202" t="inlineStr">
        <is>
          <t>6a11022e000000003502dce2</t>
        </is>
      </c>
      <c r="C1202" s="1201" t="n">
        <f>HYPERLINK("https://www.xiaohongshu.com/explore/6a11022e000000003502dce2?xsec_token=TB-gytXmUM8EaC3dkg0qkvTm0aRW7JPcckibQIUmAcES4=&amp;xsec_source=pc_trdark","https://www.xiaohongshu.com/explore/6a11022e000000003502dce2?xsec_token=TB-gytXmUM8EaC3dkg0qkvTm0aRW7JPcckibQIUmAcES4=&amp;xsec_source=pc_trdark")</f>
        <v>0.0</v>
      </c>
      <c r="D1202" t="inlineStr">
        <is>
          <t>鲜水湾甄选</t>
        </is>
      </c>
      <c r="E1202" t="inlineStr">
        <is>
          <t>27401929161</t>
        </is>
      </c>
      <c r="F1202" t="inlineStr">
        <is>
          <t>2026-05-23 11:25:00</t>
        </is>
      </c>
      <c r="G1202" t="inlineStr">
        <is>
          <t>图文</t>
        </is>
      </c>
      <c r="H1202" t="inlineStr">
        <is>
          <t>手剥虾仁 无冰衣无添加 低脂餐一人食 上班带饭 顺丰包邮 5盒装</t>
        </is>
      </c>
      <c r="I1202" t="inlineStr">
        <is>
          <t>694baba01d450d00013662f0</t>
        </is>
      </c>
      <c r="J1202" t="inlineStr">
        <is>
          <t/>
        </is>
      </c>
      <c r="K1202" t="n">
        <v>0.0</v>
      </c>
      <c r="L1202" t="n">
        <v>0.0</v>
      </c>
      <c r="M1202" t="n">
        <v>0.0</v>
      </c>
      <c r="N1202" t="inlineStr">
        <is>
          <t/>
        </is>
      </c>
      <c r="O1202" t="n">
        <v>0.0</v>
      </c>
      <c r="P1202" t="n">
        <v>0.0</v>
      </c>
      <c r="Q1202" t="inlineStr">
        <is>
          <t/>
        </is>
      </c>
      <c r="R1202" t="inlineStr">
        <is>
          <t/>
        </is>
      </c>
      <c r="S1202" t="n">
        <v>0.0</v>
      </c>
      <c r="T1202" t="n">
        <v>0.0</v>
      </c>
      <c r="U1202" t="n">
        <v>0.0</v>
      </c>
      <c r="V1202" t="n">
        <v>0.0</v>
      </c>
      <c r="W1202" t="inlineStr">
        <is>
          <t/>
        </is>
      </c>
      <c r="X1202" t="n">
        <v>0.0</v>
      </c>
      <c r="Y1202" t="n">
        <v>0.0</v>
      </c>
      <c r="Z1202" t="n">
        <v>0.0</v>
      </c>
      <c r="AA1202" t="n">
        <v>0.0</v>
      </c>
      <c r="AB1202" t="n">
        <v>0.0</v>
      </c>
      <c r="AC1202" t="n">
        <v>0.0</v>
      </c>
      <c r="AD1202" t="n">
        <v>0.0</v>
      </c>
      <c r="AE1202" t="n">
        <v>0.0</v>
      </c>
      <c r="AF1202" t="n">
        <v>0.0</v>
      </c>
      <c r="AG1202" t="n">
        <v>0.0</v>
      </c>
      <c r="AH1202" t="n">
        <v>0.0</v>
      </c>
      <c r="AI1202" t="n">
        <v>0.0</v>
      </c>
      <c r="AJ1202" t="n">
        <v>0.0</v>
      </c>
      <c r="AK1202" t="inlineStr">
        <is>
          <t/>
        </is>
      </c>
      <c r="AL1202" t="inlineStr">
        <is>
          <t/>
        </is>
      </c>
    </row>
    <row r="1203">
      <c r="A1203" t="inlineStr">
        <is>
          <t>带饭三个月，存了一万二</t>
        </is>
      </c>
      <c r="B1203" t="inlineStr">
        <is>
          <t>6a1071980000000006032bc8</t>
        </is>
      </c>
      <c r="C1203" s="1202" t="n">
        <f>HYPERLINK("https://www.xiaohongshu.com/explore/6a1071980000000006032bc8?xsec_token=TB7sem-CvPGayaJut4jTEfsHooUdLyUtSL2JvDkPpD-jk=&amp;xsec_source=pc_trdark","https://www.xiaohongshu.com/explore/6a1071980000000006032bc8?xsec_token=TB7sem-CvPGayaJut4jTEfsHooUdLyUtSL2JvDkPpD-jk=&amp;xsec_source=pc_trdark")</f>
        <v>0.0</v>
      </c>
      <c r="D1203" t="inlineStr">
        <is>
          <t>婉婉上班吃什么</t>
        </is>
      </c>
      <c r="E1203" t="inlineStr">
        <is>
          <t>11434449706</t>
        </is>
      </c>
      <c r="F1203" t="inlineStr">
        <is>
          <t>2026-05-22 23:09:12</t>
        </is>
      </c>
      <c r="G1203" t="inlineStr">
        <is>
          <t>图文</t>
        </is>
      </c>
      <c r="H1203" t="inlineStr">
        <is>
          <t>手剥虾仁 无冰衣无添加 低脂餐一人食 上班带饭 顺丰包邮 5盒装</t>
        </is>
      </c>
      <c r="I1203" t="inlineStr">
        <is>
          <t>694baba01d450d00013662f0</t>
        </is>
      </c>
      <c r="J1203" t="inlineStr">
        <is>
          <t/>
        </is>
      </c>
      <c r="K1203" t="n">
        <v>0.0</v>
      </c>
      <c r="L1203" t="n">
        <v>0.0</v>
      </c>
      <c r="M1203" t="n">
        <v>0.0</v>
      </c>
      <c r="N1203" t="inlineStr">
        <is>
          <t/>
        </is>
      </c>
      <c r="O1203" t="n">
        <v>0.0</v>
      </c>
      <c r="P1203" t="n">
        <v>0.0</v>
      </c>
      <c r="Q1203" t="inlineStr">
        <is>
          <t/>
        </is>
      </c>
      <c r="R1203" t="inlineStr">
        <is>
          <t/>
        </is>
      </c>
      <c r="S1203" t="n">
        <v>0.0</v>
      </c>
      <c r="T1203" t="n">
        <v>0.0</v>
      </c>
      <c r="U1203" t="n">
        <v>0.0</v>
      </c>
      <c r="V1203" t="n">
        <v>0.0</v>
      </c>
      <c r="W1203" t="inlineStr">
        <is>
          <t/>
        </is>
      </c>
      <c r="X1203" t="n">
        <v>0.0</v>
      </c>
      <c r="Y1203" t="n">
        <v>0.0</v>
      </c>
      <c r="Z1203" t="n">
        <v>0.0</v>
      </c>
      <c r="AA1203" t="n">
        <v>0.0</v>
      </c>
      <c r="AB1203" t="n">
        <v>0.0</v>
      </c>
      <c r="AC1203" t="n">
        <v>0.0</v>
      </c>
      <c r="AD1203" t="n">
        <v>0.0</v>
      </c>
      <c r="AE1203" t="n">
        <v>0.0</v>
      </c>
      <c r="AF1203" t="n">
        <v>0.0</v>
      </c>
      <c r="AG1203" t="n">
        <v>0.0</v>
      </c>
      <c r="AH1203" t="n">
        <v>0.0</v>
      </c>
      <c r="AI1203" t="n">
        <v>0.0</v>
      </c>
      <c r="AJ1203" t="n">
        <v>0.0</v>
      </c>
      <c r="AK1203" t="inlineStr">
        <is>
          <t/>
        </is>
      </c>
      <c r="AL1203" t="inlineStr">
        <is>
          <t/>
        </is>
      </c>
    </row>
    <row r="1204">
      <c r="A1204" t="inlineStr">
        <is>
          <t>69元让我戒掉轻食外卖😭</t>
        </is>
      </c>
      <c r="B1204" t="inlineStr">
        <is>
          <t>6a1011600000000008002423</t>
        </is>
      </c>
      <c r="C1204" s="1203" t="n">
        <f>HYPERLINK("https://www.xiaohongshu.com/explore/6a1011600000000008002423?xsec_token=TB7sem-CvPGayaJut4jTEfsJRuM44aPZTYI8aeZhDoPbo=&amp;xsec_source=pc_trdark","https://www.xiaohongshu.com/explore/6a1011600000000008002423?xsec_token=TB7sem-CvPGayaJut4jTEfsJRuM44aPZTYI8aeZhDoPbo=&amp;xsec_source=pc_trdark")</f>
        <v>0.0</v>
      </c>
      <c r="D1204" t="inlineStr">
        <is>
          <t>菲菲上班吃什么</t>
        </is>
      </c>
      <c r="E1204" t="inlineStr">
        <is>
          <t>49936530607</t>
        </is>
      </c>
      <c r="F1204" t="inlineStr">
        <is>
          <t>2026-05-22 19:19:00</t>
        </is>
      </c>
      <c r="G1204" t="inlineStr">
        <is>
          <t>图文</t>
        </is>
      </c>
      <c r="H1204" t="inlineStr">
        <is>
          <t>手剥虾仁 无冰衣无添加 低脂餐一人食 上班带饭 顺丰包邮 5盒装</t>
        </is>
      </c>
      <c r="I1204" t="inlineStr">
        <is>
          <t>694baba01d450d00013662f0</t>
        </is>
      </c>
      <c r="J1204" t="inlineStr">
        <is>
          <t/>
        </is>
      </c>
      <c r="K1204" t="n">
        <v>0.0</v>
      </c>
      <c r="L1204" t="n">
        <v>0.0</v>
      </c>
      <c r="M1204" t="n">
        <v>0.0</v>
      </c>
      <c r="N1204" t="inlineStr">
        <is>
          <t/>
        </is>
      </c>
      <c r="O1204" t="n">
        <v>0.0</v>
      </c>
      <c r="P1204" t="n">
        <v>0.0</v>
      </c>
      <c r="Q1204" t="inlineStr">
        <is>
          <t/>
        </is>
      </c>
      <c r="R1204" t="inlineStr">
        <is>
          <t/>
        </is>
      </c>
      <c r="S1204" t="n">
        <v>0.0</v>
      </c>
      <c r="T1204" t="n">
        <v>0.0</v>
      </c>
      <c r="U1204" t="n">
        <v>0.0</v>
      </c>
      <c r="V1204" t="n">
        <v>0.0</v>
      </c>
      <c r="W1204" t="inlineStr">
        <is>
          <t/>
        </is>
      </c>
      <c r="X1204" t="n">
        <v>0.0</v>
      </c>
      <c r="Y1204" t="n">
        <v>0.0</v>
      </c>
      <c r="Z1204" t="n">
        <v>0.0</v>
      </c>
      <c r="AA1204" t="n">
        <v>0.0</v>
      </c>
      <c r="AB1204" t="n">
        <v>0.0</v>
      </c>
      <c r="AC1204" t="n">
        <v>0.0</v>
      </c>
      <c r="AD1204" t="n">
        <v>0.0</v>
      </c>
      <c r="AE1204" t="n">
        <v>0.0</v>
      </c>
      <c r="AF1204" t="n">
        <v>0.0</v>
      </c>
      <c r="AG1204" t="n">
        <v>0.0</v>
      </c>
      <c r="AH1204" t="n">
        <v>0.0</v>
      </c>
      <c r="AI1204" t="n">
        <v>0.0</v>
      </c>
      <c r="AJ1204" t="n">
        <v>0.0</v>
      </c>
      <c r="AK1204" t="inlineStr">
        <is>
          <t/>
        </is>
      </c>
      <c r="AL1204" t="inlineStr">
        <is>
          <t/>
        </is>
      </c>
    </row>
    <row r="1205">
      <c r="A1205" t="inlineStr">
        <is>
          <t>减脂期同事带的饭，真的好离谱…</t>
        </is>
      </c>
      <c r="B1205" t="inlineStr">
        <is>
          <t>6a10104400000000350317c4</t>
        </is>
      </c>
      <c r="C1205" s="1204" t="n">
        <f>HYPERLINK("https://www.xiaohongshu.com/explore/6a10104400000000350317c4?xsec_token=TB7sem-CvPGayaJut4jTEfsPx0F1nfYKW5uucSaoI6FKQ=&amp;xsec_source=pc_trdark","https://www.xiaohongshu.com/explore/6a10104400000000350317c4?xsec_token=TB7sem-CvPGayaJut4jTEfsPx0F1nfYKW5uucSaoI6FKQ=&amp;xsec_source=pc_trdark")</f>
        <v>0.0</v>
      </c>
      <c r="D1205" t="inlineStr">
        <is>
          <t>鲜水湾甄选</t>
        </is>
      </c>
      <c r="E1205" t="inlineStr">
        <is>
          <t>27401929161</t>
        </is>
      </c>
      <c r="F1205" t="inlineStr">
        <is>
          <t>2026-05-22 18:37:00</t>
        </is>
      </c>
      <c r="G1205" t="inlineStr">
        <is>
          <t>图文</t>
        </is>
      </c>
      <c r="H1205" t="inlineStr">
        <is>
          <t>手剥虾仁 无冰衣无添加 低脂餐一人食 上班带饭 顺丰包邮 5盒装</t>
        </is>
      </c>
      <c r="I1205" t="inlineStr">
        <is>
          <t>694baba01d450d00013662f0</t>
        </is>
      </c>
      <c r="J1205" t="inlineStr">
        <is>
          <t/>
        </is>
      </c>
      <c r="K1205" t="n">
        <v>0.0</v>
      </c>
      <c r="L1205" t="n">
        <v>0.0</v>
      </c>
      <c r="M1205" t="n">
        <v>0.0</v>
      </c>
      <c r="N1205" t="inlineStr">
        <is>
          <t/>
        </is>
      </c>
      <c r="O1205" t="n">
        <v>0.0</v>
      </c>
      <c r="P1205" t="n">
        <v>0.0</v>
      </c>
      <c r="Q1205" t="inlineStr">
        <is>
          <t/>
        </is>
      </c>
      <c r="R1205" t="inlineStr">
        <is>
          <t/>
        </is>
      </c>
      <c r="S1205" t="n">
        <v>0.0</v>
      </c>
      <c r="T1205" t="n">
        <v>0.0</v>
      </c>
      <c r="U1205" t="n">
        <v>0.0</v>
      </c>
      <c r="V1205" t="n">
        <v>0.0</v>
      </c>
      <c r="W1205" t="inlineStr">
        <is>
          <t/>
        </is>
      </c>
      <c r="X1205" t="n">
        <v>0.0</v>
      </c>
      <c r="Y1205" t="n">
        <v>0.0</v>
      </c>
      <c r="Z1205" t="n">
        <v>0.0</v>
      </c>
      <c r="AA1205" t="n">
        <v>0.0</v>
      </c>
      <c r="AB1205" t="n">
        <v>0.0</v>
      </c>
      <c r="AC1205" t="n">
        <v>0.0</v>
      </c>
      <c r="AD1205" t="n">
        <v>0.0</v>
      </c>
      <c r="AE1205" t="n">
        <v>0.0</v>
      </c>
      <c r="AF1205" t="n">
        <v>0.0</v>
      </c>
      <c r="AG1205" t="n">
        <v>0.0</v>
      </c>
      <c r="AH1205" t="n">
        <v>0.0</v>
      </c>
      <c r="AI1205" t="n">
        <v>0.0</v>
      </c>
      <c r="AJ1205" t="n">
        <v>0.0</v>
      </c>
      <c r="AK1205" t="inlineStr">
        <is>
          <t/>
        </is>
      </c>
      <c r="AL1205" t="inlineStr">
        <is>
          <t/>
        </is>
      </c>
    </row>
    <row r="1206">
      <c r="A1206" t="inlineStr">
        <is>
          <t>我勒个豆！原来大家都有干净饮食的习惯！！！</t>
        </is>
      </c>
      <c r="B1206" t="inlineStr">
        <is>
          <t>6a100faf0000000036003639</t>
        </is>
      </c>
      <c r="C1206" s="1205" t="n">
        <f>HYPERLINK("https://www.xiaohongshu.com/explore/6a100faf0000000036003639?xsec_token=TB7sem-CvPGayaJut4jTEfsHRiaJCcfbs_bNatMQCTqrY=&amp;xsec_source=pc_trdark","https://www.xiaohongshu.com/explore/6a100faf0000000036003639?xsec_token=TB7sem-CvPGayaJut4jTEfsHRiaJCcfbs_bNatMQCTqrY=&amp;xsec_source=pc_trdark")</f>
        <v>0.0</v>
      </c>
      <c r="D1206" t="inlineStr">
        <is>
          <t>鲜水湾甄选</t>
        </is>
      </c>
      <c r="E1206" t="inlineStr">
        <is>
          <t>27401929161</t>
        </is>
      </c>
      <c r="F1206" t="inlineStr">
        <is>
          <t>2026-05-22 21:15:00</t>
        </is>
      </c>
      <c r="G1206" t="inlineStr">
        <is>
          <t>图文</t>
        </is>
      </c>
      <c r="H1206" t="inlineStr">
        <is>
          <t>手剥虾仁 无冰衣无添加 低脂餐一人食 上班带饭 顺丰包邮 5盒装</t>
        </is>
      </c>
      <c r="I1206" t="inlineStr">
        <is>
          <t>694baba01d450d00013662f0</t>
        </is>
      </c>
      <c r="J1206" t="inlineStr">
        <is>
          <t/>
        </is>
      </c>
      <c r="K1206" t="n">
        <v>0.0</v>
      </c>
      <c r="L1206" t="n">
        <v>0.0</v>
      </c>
      <c r="M1206" t="n">
        <v>0.0</v>
      </c>
      <c r="N1206" t="inlineStr">
        <is>
          <t/>
        </is>
      </c>
      <c r="O1206" t="n">
        <v>0.0</v>
      </c>
      <c r="P1206" t="n">
        <v>0.0</v>
      </c>
      <c r="Q1206" t="inlineStr">
        <is>
          <t/>
        </is>
      </c>
      <c r="R1206" t="inlineStr">
        <is>
          <t/>
        </is>
      </c>
      <c r="S1206" t="n">
        <v>0.0</v>
      </c>
      <c r="T1206" t="n">
        <v>0.0</v>
      </c>
      <c r="U1206" t="n">
        <v>0.0</v>
      </c>
      <c r="V1206" t="n">
        <v>0.0</v>
      </c>
      <c r="W1206" t="inlineStr">
        <is>
          <t/>
        </is>
      </c>
      <c r="X1206" t="n">
        <v>0.0</v>
      </c>
      <c r="Y1206" t="n">
        <v>0.0</v>
      </c>
      <c r="Z1206" t="n">
        <v>0.0</v>
      </c>
      <c r="AA1206" t="n">
        <v>0.0</v>
      </c>
      <c r="AB1206" t="n">
        <v>0.0</v>
      </c>
      <c r="AC1206" t="n">
        <v>0.0</v>
      </c>
      <c r="AD1206" t="n">
        <v>0.0</v>
      </c>
      <c r="AE1206" t="n">
        <v>0.0</v>
      </c>
      <c r="AF1206" t="n">
        <v>0.0</v>
      </c>
      <c r="AG1206" t="n">
        <v>0.0</v>
      </c>
      <c r="AH1206" t="n">
        <v>0.0</v>
      </c>
      <c r="AI1206" t="n">
        <v>0.0</v>
      </c>
      <c r="AJ1206" t="n">
        <v>0.0</v>
      </c>
      <c r="AK1206" t="inlineStr">
        <is>
          <t/>
        </is>
      </c>
      <c r="AL1206" t="inlineStr">
        <is>
          <t/>
        </is>
      </c>
    </row>
    <row r="1207">
      <c r="A1207" t="inlineStr">
        <is>
          <t>感谢赵露s…虾仁真的太顶了😭</t>
        </is>
      </c>
      <c r="B1207" t="inlineStr">
        <is>
          <t>6a0ffdd80000000008027174</t>
        </is>
      </c>
      <c r="C1207" s="1206" t="n">
        <f>HYPERLINK("https://www.xiaohongshu.com/explore/6a0ffdd80000000008027174?xsec_token=TBd_B63JN0tjdtncBm9C_uklC5fEAR-xDDL_Xmjy_Vk-U=&amp;xsec_source=pc_trdark","https://www.xiaohongshu.com/explore/6a0ffdd80000000008027174?xsec_token=TBd_B63JN0tjdtncBm9C_uklC5fEAR-xDDL_Xmjy_Vk-U=&amp;xsec_source=pc_trdark")</f>
        <v>0.0</v>
      </c>
      <c r="D1207" t="inlineStr">
        <is>
          <t>菲菲上班吃什么</t>
        </is>
      </c>
      <c r="E1207" t="inlineStr">
        <is>
          <t>49936530607</t>
        </is>
      </c>
      <c r="F1207" t="inlineStr">
        <is>
          <t>2026-05-22 14:55:20</t>
        </is>
      </c>
      <c r="G1207" t="inlineStr">
        <is>
          <t>图文</t>
        </is>
      </c>
      <c r="H1207" t="inlineStr">
        <is>
          <t>手剥虾仁 无冰衣无添加 低脂餐一人食 上班带饭 顺丰包邮 5盒装</t>
        </is>
      </c>
      <c r="I1207" t="inlineStr">
        <is>
          <t>694baba01d450d00013662f0</t>
        </is>
      </c>
      <c r="J1207" t="inlineStr">
        <is>
          <t/>
        </is>
      </c>
      <c r="K1207" t="n">
        <v>0.0</v>
      </c>
      <c r="L1207" t="n">
        <v>0.0</v>
      </c>
      <c r="M1207" t="n">
        <v>0.0</v>
      </c>
      <c r="N1207" t="inlineStr">
        <is>
          <t/>
        </is>
      </c>
      <c r="O1207" t="n">
        <v>0.0</v>
      </c>
      <c r="P1207" t="n">
        <v>0.0</v>
      </c>
      <c r="Q1207" t="inlineStr">
        <is>
          <t/>
        </is>
      </c>
      <c r="R1207" t="inlineStr">
        <is>
          <t/>
        </is>
      </c>
      <c r="S1207" t="n">
        <v>0.0</v>
      </c>
      <c r="T1207" t="n">
        <v>0.0</v>
      </c>
      <c r="U1207" t="n">
        <v>0.0</v>
      </c>
      <c r="V1207" t="n">
        <v>0.0</v>
      </c>
      <c r="W1207" t="inlineStr">
        <is>
          <t/>
        </is>
      </c>
      <c r="X1207" t="n">
        <v>0.0</v>
      </c>
      <c r="Y1207" t="n">
        <v>0.0</v>
      </c>
      <c r="Z1207" t="n">
        <v>0.0</v>
      </c>
      <c r="AA1207" t="n">
        <v>0.0</v>
      </c>
      <c r="AB1207" t="n">
        <v>0.0</v>
      </c>
      <c r="AC1207" t="n">
        <v>0.0</v>
      </c>
      <c r="AD1207" t="n">
        <v>0.0</v>
      </c>
      <c r="AE1207" t="n">
        <v>0.0</v>
      </c>
      <c r="AF1207" t="n">
        <v>0.0</v>
      </c>
      <c r="AG1207" t="n">
        <v>0.0</v>
      </c>
      <c r="AH1207" t="n">
        <v>0.0</v>
      </c>
      <c r="AI1207" t="n">
        <v>0.0</v>
      </c>
      <c r="AJ1207" t="n">
        <v>0.0</v>
      </c>
      <c r="AK1207" t="inlineStr">
        <is>
          <t/>
        </is>
      </c>
      <c r="AL1207" t="inlineStr">
        <is>
          <t/>
        </is>
      </c>
    </row>
    <row r="1208">
      <c r="A1208" t="inlineStr">
        <is>
          <t>我妈对我吃虾仁，表示震惊…</t>
        </is>
      </c>
      <c r="B1208" t="inlineStr">
        <is>
          <t>6a0ff035000000003502d98d</t>
        </is>
      </c>
      <c r="C1208" s="1207" t="n">
        <f>HYPERLINK("https://www.xiaohongshu.com/explore/6a0ff035000000003502d98d?xsec_token=TBd_B63JN0tjdtncBm9C_ukkQtLsxU4u4O5V1yeGq_94w=&amp;xsec_source=pc_trdark","https://www.xiaohongshu.com/explore/6a0ff035000000003502d98d?xsec_token=TBd_B63JN0tjdtncBm9C_ukkQtLsxU4u4O5V1yeGq_94w=&amp;xsec_source=pc_trdark")</f>
        <v>0.0</v>
      </c>
      <c r="D1208" t="inlineStr">
        <is>
          <t>鲜水湾甄选</t>
        </is>
      </c>
      <c r="E1208" t="inlineStr">
        <is>
          <t>27401929161</t>
        </is>
      </c>
      <c r="F1208" t="inlineStr">
        <is>
          <t>2026-05-22 13:57:09</t>
        </is>
      </c>
      <c r="G1208" t="inlineStr">
        <is>
          <t>图文</t>
        </is>
      </c>
      <c r="H1208" t="inlineStr">
        <is>
          <t>手剥虾仁 无冰衣无添加 低脂餐一人食 上班带饭 顺丰包邮 5盒装</t>
        </is>
      </c>
      <c r="I1208" t="inlineStr">
        <is>
          <t>694baba01d450d00013662f0</t>
        </is>
      </c>
      <c r="J1208" t="inlineStr">
        <is>
          <t/>
        </is>
      </c>
      <c r="K1208" t="n">
        <v>0.0</v>
      </c>
      <c r="L1208" t="n">
        <v>0.0</v>
      </c>
      <c r="M1208" t="n">
        <v>0.0</v>
      </c>
      <c r="N1208" t="inlineStr">
        <is>
          <t/>
        </is>
      </c>
      <c r="O1208" t="n">
        <v>0.0</v>
      </c>
      <c r="P1208" t="n">
        <v>0.0</v>
      </c>
      <c r="Q1208" t="inlineStr">
        <is>
          <t/>
        </is>
      </c>
      <c r="R1208" t="inlineStr">
        <is>
          <t/>
        </is>
      </c>
      <c r="S1208" t="n">
        <v>0.0</v>
      </c>
      <c r="T1208" t="n">
        <v>0.0</v>
      </c>
      <c r="U1208" t="n">
        <v>0.0</v>
      </c>
      <c r="V1208" t="n">
        <v>0.0</v>
      </c>
      <c r="W1208" t="inlineStr">
        <is>
          <t/>
        </is>
      </c>
      <c r="X1208" t="n">
        <v>0.0</v>
      </c>
      <c r="Y1208" t="n">
        <v>0.0</v>
      </c>
      <c r="Z1208" t="n">
        <v>0.0</v>
      </c>
      <c r="AA1208" t="n">
        <v>0.0</v>
      </c>
      <c r="AB1208" t="n">
        <v>0.0</v>
      </c>
      <c r="AC1208" t="n">
        <v>0.0</v>
      </c>
      <c r="AD1208" t="n">
        <v>0.0</v>
      </c>
      <c r="AE1208" t="n">
        <v>0.0</v>
      </c>
      <c r="AF1208" t="n">
        <v>0.0</v>
      </c>
      <c r="AG1208" t="n">
        <v>0.0</v>
      </c>
      <c r="AH1208" t="n">
        <v>0.0</v>
      </c>
      <c r="AI1208" t="n">
        <v>0.0</v>
      </c>
      <c r="AJ1208" t="n">
        <v>0.0</v>
      </c>
      <c r="AK1208" t="inlineStr">
        <is>
          <t/>
        </is>
      </c>
      <c r="AL1208" t="inlineStr">
        <is>
          <t/>
        </is>
      </c>
    </row>
    <row r="1209">
      <c r="A1209" t="inlineStr">
        <is>
          <t>瘦干螂饮食法真的有点东西 亲测有效的…</t>
        </is>
      </c>
      <c r="B1209" t="inlineStr">
        <is>
          <t>6a0fc631000000000702b352</t>
        </is>
      </c>
      <c r="C1209" s="1208" t="n">
        <f>HYPERLINK("https://www.xiaohongshu.com/explore/6a0fc631000000000702b352?xsec_token=TBd_B63JN0tjdtncBm9C_ukgGs4k4MfM34fUHMc1CW0E8=&amp;xsec_source=pc_trdark","https://www.xiaohongshu.com/explore/6a0fc631000000000702b352?xsec_token=TBd_B63JN0tjdtncBm9C_ukgGs4k4MfM34fUHMc1CW0E8=&amp;xsec_source=pc_trdark")</f>
        <v>0.0</v>
      </c>
      <c r="D1209" t="inlineStr">
        <is>
          <t>菲菲上班吃什么</t>
        </is>
      </c>
      <c r="E1209" t="inlineStr">
        <is>
          <t>49936530607</t>
        </is>
      </c>
      <c r="F1209" t="inlineStr">
        <is>
          <t>2026-05-22 11:57:00</t>
        </is>
      </c>
      <c r="G1209" t="inlineStr">
        <is>
          <t>图文</t>
        </is>
      </c>
      <c r="H1209" t="inlineStr">
        <is>
          <t>手剥虾仁 无冰衣无添加 低脂餐一人食 上班带饭 顺丰包邮 5盒装</t>
        </is>
      </c>
      <c r="I1209" t="inlineStr">
        <is>
          <t>694baba01d450d00013662f0</t>
        </is>
      </c>
      <c r="J1209" t="inlineStr">
        <is>
          <t/>
        </is>
      </c>
      <c r="K1209" t="n">
        <v>0.0</v>
      </c>
      <c r="L1209" t="n">
        <v>0.0</v>
      </c>
      <c r="M1209" t="n">
        <v>0.0</v>
      </c>
      <c r="N1209" t="inlineStr">
        <is>
          <t/>
        </is>
      </c>
      <c r="O1209" t="n">
        <v>0.0</v>
      </c>
      <c r="P1209" t="n">
        <v>0.0</v>
      </c>
      <c r="Q1209" t="inlineStr">
        <is>
          <t/>
        </is>
      </c>
      <c r="R1209" t="inlineStr">
        <is>
          <t/>
        </is>
      </c>
      <c r="S1209" t="n">
        <v>0.0</v>
      </c>
      <c r="T1209" t="n">
        <v>0.0</v>
      </c>
      <c r="U1209" t="n">
        <v>0.0</v>
      </c>
      <c r="V1209" t="n">
        <v>0.0</v>
      </c>
      <c r="W1209" t="inlineStr">
        <is>
          <t/>
        </is>
      </c>
      <c r="X1209" t="n">
        <v>0.0</v>
      </c>
      <c r="Y1209" t="n">
        <v>0.0</v>
      </c>
      <c r="Z1209" t="n">
        <v>0.0</v>
      </c>
      <c r="AA1209" t="n">
        <v>0.0</v>
      </c>
      <c r="AB1209" t="n">
        <v>0.0</v>
      </c>
      <c r="AC1209" t="n">
        <v>0.0</v>
      </c>
      <c r="AD1209" t="n">
        <v>0.0</v>
      </c>
      <c r="AE1209" t="n">
        <v>0.0</v>
      </c>
      <c r="AF1209" t="n">
        <v>0.0</v>
      </c>
      <c r="AG1209" t="n">
        <v>0.0</v>
      </c>
      <c r="AH1209" t="n">
        <v>0.0</v>
      </c>
      <c r="AI1209" t="n">
        <v>0.0</v>
      </c>
      <c r="AJ1209" t="n">
        <v>0.0</v>
      </c>
      <c r="AK1209" t="inlineStr">
        <is>
          <t/>
        </is>
      </c>
      <c r="AL1209" t="inlineStr">
        <is>
          <t/>
        </is>
      </c>
    </row>
    <row r="1210">
      <c r="A1210" t="inlineStr">
        <is>
          <t>为啥要点外卖？没人觉得上班带饭很省钱吗😅</t>
        </is>
      </c>
      <c r="B1210" t="inlineStr">
        <is>
          <t>6a0fc0660000000007029671</t>
        </is>
      </c>
      <c r="C1210" s="1209" t="n">
        <f>HYPERLINK("https://www.xiaohongshu.com/explore/6a0fc0660000000007029671?xsec_token=TBd_B63JN0tjdtncBm9C_uki7IV4pkhFOO7XNhIRTup28=&amp;xsec_source=pc_trdark","https://www.xiaohongshu.com/explore/6a0fc0660000000007029671?xsec_token=TBd_B63JN0tjdtncBm9C_uki7IV4pkhFOO7XNhIRTup28=&amp;xsec_source=pc_trdark")</f>
        <v>0.0</v>
      </c>
      <c r="D1210" t="inlineStr">
        <is>
          <t>婉婉上班吃什么</t>
        </is>
      </c>
      <c r="E1210" t="inlineStr">
        <is>
          <t>11434449706</t>
        </is>
      </c>
      <c r="F1210" t="inlineStr">
        <is>
          <t>2026-05-22 10:33:10</t>
        </is>
      </c>
      <c r="G1210" t="inlineStr">
        <is>
          <t>视频</t>
        </is>
      </c>
      <c r="H1210" t="inlineStr">
        <is>
          <t>手剥虾仁 无冰衣无添加 低脂餐一人食 上班带饭 顺丰包邮 5盒装</t>
        </is>
      </c>
      <c r="I1210" t="inlineStr">
        <is>
          <t>694baba01d450d00013662f0</t>
        </is>
      </c>
      <c r="J1210" t="n">
        <v>26.0</v>
      </c>
      <c r="K1210" t="n">
        <v>0.0</v>
      </c>
      <c r="L1210" t="n">
        <v>0.0</v>
      </c>
      <c r="M1210" t="n">
        <v>0.0</v>
      </c>
      <c r="N1210" t="inlineStr">
        <is>
          <t/>
        </is>
      </c>
      <c r="O1210" t="n">
        <v>0.0</v>
      </c>
      <c r="P1210" t="n">
        <v>0.0</v>
      </c>
      <c r="Q1210" t="inlineStr">
        <is>
          <t/>
        </is>
      </c>
      <c r="R1210" t="inlineStr">
        <is>
          <t/>
        </is>
      </c>
      <c r="S1210" t="n">
        <v>0.0</v>
      </c>
      <c r="T1210" t="n">
        <v>0.0</v>
      </c>
      <c r="U1210" t="n">
        <v>0.0</v>
      </c>
      <c r="V1210" t="n">
        <v>0.0</v>
      </c>
      <c r="W1210" t="inlineStr">
        <is>
          <t/>
        </is>
      </c>
      <c r="X1210" t="n">
        <v>0.0</v>
      </c>
      <c r="Y1210" t="n">
        <v>0.0</v>
      </c>
      <c r="Z1210" t="n">
        <v>0.0</v>
      </c>
      <c r="AA1210" t="n">
        <v>0.0</v>
      </c>
      <c r="AB1210" t="n">
        <v>0.0</v>
      </c>
      <c r="AC1210" t="n">
        <v>0.0</v>
      </c>
      <c r="AD1210" t="n">
        <v>0.0</v>
      </c>
      <c r="AE1210" t="n">
        <v>0.0</v>
      </c>
      <c r="AF1210" t="n">
        <v>0.0</v>
      </c>
      <c r="AG1210" t="n">
        <v>0.0</v>
      </c>
      <c r="AH1210" t="n">
        <v>0.0</v>
      </c>
      <c r="AI1210" t="n">
        <v>0.0</v>
      </c>
      <c r="AJ1210" t="n">
        <v>0.0</v>
      </c>
      <c r="AK1210" t="inlineStr">
        <is>
          <t/>
        </is>
      </c>
      <c r="AL1210" t="inlineStr">
        <is>
          <t/>
        </is>
      </c>
    </row>
    <row r="1211">
      <c r="A1211" t="inlineStr">
        <is>
          <t>爸妈觉得我每天吃一包虾仁很奢侈……</t>
        </is>
      </c>
      <c r="B1211" t="inlineStr">
        <is>
          <t>6a0ecbe8000000000803e491</t>
        </is>
      </c>
      <c r="C1211" s="1210" t="n">
        <f>HYPERLINK("https://www.xiaohongshu.com/explore/6a0ecbe8000000000803e491?xsec_token=TBPYckZc_Zeu4ZPU768x1mBg65yreMhkdZ7swV1EzMvjg=&amp;xsec_source=pc_trdark","https://www.xiaohongshu.com/explore/6a0ecbe8000000000803e491?xsec_token=TBPYckZc_Zeu4ZPU768x1mBg65yreMhkdZ7swV1EzMvjg=&amp;xsec_source=pc_trdark")</f>
        <v>0.0</v>
      </c>
      <c r="D1211" t="inlineStr">
        <is>
          <t>婉婉上班吃什么</t>
        </is>
      </c>
      <c r="E1211" t="inlineStr">
        <is>
          <t>11434449706</t>
        </is>
      </c>
      <c r="F1211" t="inlineStr">
        <is>
          <t>2026-05-21 17:10:00</t>
        </is>
      </c>
      <c r="G1211" t="inlineStr">
        <is>
          <t>视频</t>
        </is>
      </c>
      <c r="H1211" t="inlineStr">
        <is>
          <t>手剥虾仁 无冰衣无添加 低脂餐一人食 上班带饭 顺丰包邮 5盒装</t>
        </is>
      </c>
      <c r="I1211" t="inlineStr">
        <is>
          <t>694baba01d450d00013662f0</t>
        </is>
      </c>
      <c r="J1211" t="n">
        <v>27.0</v>
      </c>
      <c r="K1211" t="n">
        <v>0.0</v>
      </c>
      <c r="L1211" t="n">
        <v>0.0</v>
      </c>
      <c r="M1211" t="n">
        <v>0.0</v>
      </c>
      <c r="N1211" t="inlineStr">
        <is>
          <t/>
        </is>
      </c>
      <c r="O1211" t="n">
        <v>0.0</v>
      </c>
      <c r="P1211" t="n">
        <v>0.0</v>
      </c>
      <c r="Q1211" t="inlineStr">
        <is>
          <t/>
        </is>
      </c>
      <c r="R1211" t="inlineStr">
        <is>
          <t/>
        </is>
      </c>
      <c r="S1211" t="n">
        <v>0.0</v>
      </c>
      <c r="T1211" t="n">
        <v>0.0</v>
      </c>
      <c r="U1211" t="n">
        <v>0.0</v>
      </c>
      <c r="V1211" t="n">
        <v>0.0</v>
      </c>
      <c r="W1211" t="inlineStr">
        <is>
          <t/>
        </is>
      </c>
      <c r="X1211" t="n">
        <v>0.0</v>
      </c>
      <c r="Y1211" t="n">
        <v>0.0</v>
      </c>
      <c r="Z1211" t="n">
        <v>0.0</v>
      </c>
      <c r="AA1211" t="n">
        <v>0.0</v>
      </c>
      <c r="AB1211" t="n">
        <v>0.0</v>
      </c>
      <c r="AC1211" t="n">
        <v>0.0</v>
      </c>
      <c r="AD1211" t="n">
        <v>0.0</v>
      </c>
      <c r="AE1211" t="n">
        <v>0.0</v>
      </c>
      <c r="AF1211" t="n">
        <v>0.0</v>
      </c>
      <c r="AG1211" t="n">
        <v>0.0</v>
      </c>
      <c r="AH1211" t="n">
        <v>0.0</v>
      </c>
      <c r="AI1211" t="n">
        <v>0.0</v>
      </c>
      <c r="AJ1211" t="n">
        <v>0.0</v>
      </c>
      <c r="AK1211" t="inlineStr">
        <is>
          <t/>
        </is>
      </c>
      <c r="AL1211" t="inlineStr">
        <is>
          <t/>
        </is>
      </c>
    </row>
    <row r="1212">
      <c r="A1212" t="inlineStr">
        <is>
          <t>以为69没多少，结果又够一周带饭了🤭</t>
        </is>
      </c>
      <c r="B1212" t="inlineStr">
        <is>
          <t>6a0ec133000000003503371b</t>
        </is>
      </c>
      <c r="C1212" s="1211" t="n">
        <f>HYPERLINK("https://www.xiaohongshu.com/explore/6a0ec133000000003503371b?xsec_token=TBPYckZc_Zeu4ZPU768x1mBiIgS9EFPTtcSFFqhWlQWXk=&amp;xsec_source=pc_trdark","https://www.xiaohongshu.com/explore/6a0ec133000000003503371b?xsec_token=TBPYckZc_Zeu4ZPU768x1mBiIgS9EFPTtcSFFqhWlQWXk=&amp;xsec_source=pc_trdark")</f>
        <v>0.0</v>
      </c>
      <c r="D1212" t="inlineStr">
        <is>
          <t>鲜水湾甄选</t>
        </is>
      </c>
      <c r="E1212" t="inlineStr">
        <is>
          <t>27401929161</t>
        </is>
      </c>
      <c r="F1212" t="inlineStr">
        <is>
          <t>2026-05-21 19:41:00</t>
        </is>
      </c>
      <c r="G1212" t="inlineStr">
        <is>
          <t>图文</t>
        </is>
      </c>
      <c r="H1212" t="inlineStr">
        <is>
          <t>手剥虾仁 无冰衣无添加 低脂餐一人食 上班带饭 顺丰包邮 5盒装</t>
        </is>
      </c>
      <c r="I1212" t="inlineStr">
        <is>
          <t>694baba01d450d00013662f0</t>
        </is>
      </c>
      <c r="J1212" t="inlineStr">
        <is>
          <t/>
        </is>
      </c>
      <c r="K1212" t="n">
        <v>0.0</v>
      </c>
      <c r="L1212" t="n">
        <v>0.0</v>
      </c>
      <c r="M1212" t="n">
        <v>0.0</v>
      </c>
      <c r="N1212" t="inlineStr">
        <is>
          <t/>
        </is>
      </c>
      <c r="O1212" t="n">
        <v>0.0</v>
      </c>
      <c r="P1212" t="n">
        <v>0.0</v>
      </c>
      <c r="Q1212" t="inlineStr">
        <is>
          <t/>
        </is>
      </c>
      <c r="R1212" t="inlineStr">
        <is>
          <t/>
        </is>
      </c>
      <c r="S1212" t="n">
        <v>0.0</v>
      </c>
      <c r="T1212" t="n">
        <v>0.0</v>
      </c>
      <c r="U1212" t="n">
        <v>0.0</v>
      </c>
      <c r="V1212" t="n">
        <v>0.0</v>
      </c>
      <c r="W1212" t="inlineStr">
        <is>
          <t/>
        </is>
      </c>
      <c r="X1212" t="n">
        <v>0.0</v>
      </c>
      <c r="Y1212" t="n">
        <v>0.0</v>
      </c>
      <c r="Z1212" t="n">
        <v>0.0</v>
      </c>
      <c r="AA1212" t="n">
        <v>0.0</v>
      </c>
      <c r="AB1212" t="n">
        <v>0.0</v>
      </c>
      <c r="AC1212" t="n">
        <v>0.0</v>
      </c>
      <c r="AD1212" t="n">
        <v>0.0</v>
      </c>
      <c r="AE1212" t="n">
        <v>0.0</v>
      </c>
      <c r="AF1212" t="n">
        <v>0.0</v>
      </c>
      <c r="AG1212" t="n">
        <v>0.0</v>
      </c>
      <c r="AH1212" t="n">
        <v>0.0</v>
      </c>
      <c r="AI1212" t="n">
        <v>0.0</v>
      </c>
      <c r="AJ1212" t="n">
        <v>0.0</v>
      </c>
      <c r="AK1212" t="inlineStr">
        <is>
          <t/>
        </is>
      </c>
      <c r="AL1212" t="inlineStr">
        <is>
          <t/>
        </is>
      </c>
    </row>
    <row r="1213">
      <c r="A1213" t="inlineStr">
        <is>
          <t>现在年轻人，严重低估了70块的购买力</t>
        </is>
      </c>
      <c r="B1213" t="inlineStr">
        <is>
          <t>6a0ebe8b0000000007020cbb</t>
        </is>
      </c>
      <c r="C1213" s="1212" t="n">
        <f>HYPERLINK("https://www.xiaohongshu.com/explore/6a0ebe8b0000000007020cbb?xsec_token=TBPYckZc_Zeu4ZPU768x1mBh7iFxvkvWH6bdga4FlXk4s=&amp;xsec_source=pc_trdark","https://www.xiaohongshu.com/explore/6a0ebe8b0000000007020cbb?xsec_token=TBPYckZc_Zeu4ZPU768x1mBh7iFxvkvWH6bdga4FlXk4s=&amp;xsec_source=pc_trdark")</f>
        <v>0.0</v>
      </c>
      <c r="D1213" t="inlineStr">
        <is>
          <t>菲菲上班吃什么</t>
        </is>
      </c>
      <c r="E1213" t="inlineStr">
        <is>
          <t>49936530607</t>
        </is>
      </c>
      <c r="F1213" t="inlineStr">
        <is>
          <t>2026-05-21 19:48:00</t>
        </is>
      </c>
      <c r="G1213" t="inlineStr">
        <is>
          <t>图文</t>
        </is>
      </c>
      <c r="H1213" t="inlineStr">
        <is>
          <t>手剥虾仁 无冰衣无添加 低脂餐一人食 上班带饭 顺丰包邮 5盒装</t>
        </is>
      </c>
      <c r="I1213" t="inlineStr">
        <is>
          <t>694baba01d450d00013662f0</t>
        </is>
      </c>
      <c r="J1213" t="inlineStr">
        <is>
          <t/>
        </is>
      </c>
      <c r="K1213" t="n">
        <v>0.0</v>
      </c>
      <c r="L1213" t="n">
        <v>0.0</v>
      </c>
      <c r="M1213" t="n">
        <v>0.0</v>
      </c>
      <c r="N1213" t="inlineStr">
        <is>
          <t/>
        </is>
      </c>
      <c r="O1213" t="n">
        <v>0.0</v>
      </c>
      <c r="P1213" t="n">
        <v>0.0</v>
      </c>
      <c r="Q1213" t="inlineStr">
        <is>
          <t/>
        </is>
      </c>
      <c r="R1213" t="inlineStr">
        <is>
          <t/>
        </is>
      </c>
      <c r="S1213" t="n">
        <v>0.0</v>
      </c>
      <c r="T1213" t="n">
        <v>0.0</v>
      </c>
      <c r="U1213" t="n">
        <v>0.0</v>
      </c>
      <c r="V1213" t="n">
        <v>0.0</v>
      </c>
      <c r="W1213" t="inlineStr">
        <is>
          <t/>
        </is>
      </c>
      <c r="X1213" t="n">
        <v>0.0</v>
      </c>
      <c r="Y1213" t="n">
        <v>0.0</v>
      </c>
      <c r="Z1213" t="n">
        <v>0.0</v>
      </c>
      <c r="AA1213" t="n">
        <v>0.0</v>
      </c>
      <c r="AB1213" t="n">
        <v>0.0</v>
      </c>
      <c r="AC1213" t="n">
        <v>0.0</v>
      </c>
      <c r="AD1213" t="n">
        <v>0.0</v>
      </c>
      <c r="AE1213" t="n">
        <v>0.0</v>
      </c>
      <c r="AF1213" t="n">
        <v>0.0</v>
      </c>
      <c r="AG1213" t="n">
        <v>0.0</v>
      </c>
      <c r="AH1213" t="n">
        <v>0.0</v>
      </c>
      <c r="AI1213" t="n">
        <v>0.0</v>
      </c>
      <c r="AJ1213" t="n">
        <v>0.0</v>
      </c>
      <c r="AK1213" t="inlineStr">
        <is>
          <t/>
        </is>
      </c>
      <c r="AL1213" t="inlineStr">
        <is>
          <t/>
        </is>
      </c>
    </row>
    <row r="1214">
      <c r="A1214" t="inlineStr">
        <is>
          <t>真听劝，推出减脂期一人食小包装！！！</t>
        </is>
      </c>
      <c r="B1214" t="inlineStr">
        <is>
          <t>6a0eb3c30000000008031691</t>
        </is>
      </c>
      <c r="C1214" s="1213" t="n">
        <f>HYPERLINK("https://www.xiaohongshu.com/explore/6a0eb3c30000000008031691?xsec_token=TBPYckZc_Zeu4ZPU768x1mBjdvkTIp3txC5GPizu6M6Mc=&amp;xsec_source=pc_trdark","https://www.xiaohongshu.com/explore/6a0eb3c30000000008031691?xsec_token=TBPYckZc_Zeu4ZPU768x1mBjdvkTIp3txC5GPizu6M6Mc=&amp;xsec_source=pc_trdark")</f>
        <v>0.0</v>
      </c>
      <c r="D1214" t="inlineStr">
        <is>
          <t>菲菲上班吃什么</t>
        </is>
      </c>
      <c r="E1214" t="inlineStr">
        <is>
          <t>49936530607</t>
        </is>
      </c>
      <c r="F1214" t="inlineStr">
        <is>
          <t>2026-05-21 15:26:59</t>
        </is>
      </c>
      <c r="G1214" t="inlineStr">
        <is>
          <t>图文</t>
        </is>
      </c>
      <c r="H1214" t="inlineStr">
        <is>
          <t>手剥虾仁 无冰衣无添加 低脂餐一人食 上班带饭 顺丰包邮 5盒装</t>
        </is>
      </c>
      <c r="I1214" t="inlineStr">
        <is>
          <t>694baba01d450d00013662f0</t>
        </is>
      </c>
      <c r="J1214" t="inlineStr">
        <is>
          <t/>
        </is>
      </c>
      <c r="K1214" t="n">
        <v>0.0</v>
      </c>
      <c r="L1214" t="n">
        <v>0.0</v>
      </c>
      <c r="M1214" t="n">
        <v>0.0</v>
      </c>
      <c r="N1214" t="inlineStr">
        <is>
          <t/>
        </is>
      </c>
      <c r="O1214" t="n">
        <v>0.0</v>
      </c>
      <c r="P1214" t="n">
        <v>0.0</v>
      </c>
      <c r="Q1214" t="inlineStr">
        <is>
          <t/>
        </is>
      </c>
      <c r="R1214" t="inlineStr">
        <is>
          <t/>
        </is>
      </c>
      <c r="S1214" t="n">
        <v>0.0</v>
      </c>
      <c r="T1214" t="n">
        <v>0.0</v>
      </c>
      <c r="U1214" t="n">
        <v>0.0</v>
      </c>
      <c r="V1214" t="n">
        <v>0.0</v>
      </c>
      <c r="W1214" t="inlineStr">
        <is>
          <t/>
        </is>
      </c>
      <c r="X1214" t="n">
        <v>0.0</v>
      </c>
      <c r="Y1214" t="n">
        <v>0.0</v>
      </c>
      <c r="Z1214" t="n">
        <v>0.0</v>
      </c>
      <c r="AA1214" t="n">
        <v>0.0</v>
      </c>
      <c r="AB1214" t="n">
        <v>0.0</v>
      </c>
      <c r="AC1214" t="n">
        <v>0.0</v>
      </c>
      <c r="AD1214" t="n">
        <v>0.0</v>
      </c>
      <c r="AE1214" t="n">
        <v>0.0</v>
      </c>
      <c r="AF1214" t="n">
        <v>0.0</v>
      </c>
      <c r="AG1214" t="n">
        <v>0.0</v>
      </c>
      <c r="AH1214" t="n">
        <v>0.0</v>
      </c>
      <c r="AI1214" t="n">
        <v>0.0</v>
      </c>
      <c r="AJ1214" t="n">
        <v>0.0</v>
      </c>
      <c r="AK1214" t="inlineStr">
        <is>
          <t/>
        </is>
      </c>
      <c r="AL1214" t="inlineStr">
        <is>
          <t/>
        </is>
      </c>
    </row>
    <row r="1215">
      <c r="A1215" t="inlineStr">
        <is>
          <t>夏天减脂真不贵，69块钱够我吃一周了！！！</t>
        </is>
      </c>
      <c r="B1215" t="inlineStr">
        <is>
          <t>6a0eb27a000000003503807e</t>
        </is>
      </c>
      <c r="C1215" s="1214" t="n">
        <f>HYPERLINK("https://www.xiaohongshu.com/explore/6a0eb27a000000003503807e?xsec_token=TBPYckZc_Zeu4ZPU768x1mBmwlUed3QHlCidoFnTjFRwo=&amp;xsec_source=pc_trdark","https://www.xiaohongshu.com/explore/6a0eb27a000000003503807e?xsec_token=TBPYckZc_Zeu4ZPU768x1mBmwlUed3QHlCidoFnTjFRwo=&amp;xsec_source=pc_trdark")</f>
        <v>0.0</v>
      </c>
      <c r="D1215" t="inlineStr">
        <is>
          <t>鲜水湾甄选</t>
        </is>
      </c>
      <c r="E1215" t="inlineStr">
        <is>
          <t>27401929161</t>
        </is>
      </c>
      <c r="F1215" t="inlineStr">
        <is>
          <t>2026-05-21 16:03:00</t>
        </is>
      </c>
      <c r="G1215" t="inlineStr">
        <is>
          <t>图文</t>
        </is>
      </c>
      <c r="H1215" t="inlineStr">
        <is>
          <t>手剥虾仁 无冰衣无添加 低脂餐一人食 上班带饭 顺丰包邮 5盒装</t>
        </is>
      </c>
      <c r="I1215" t="inlineStr">
        <is>
          <t>694baba01d450d00013662f0</t>
        </is>
      </c>
      <c r="J1215" t="inlineStr">
        <is>
          <t/>
        </is>
      </c>
      <c r="K1215" t="n">
        <v>0.0</v>
      </c>
      <c r="L1215" t="n">
        <v>0.0</v>
      </c>
      <c r="M1215" t="n">
        <v>0.0</v>
      </c>
      <c r="N1215" t="inlineStr">
        <is>
          <t/>
        </is>
      </c>
      <c r="O1215" t="n">
        <v>0.0</v>
      </c>
      <c r="P1215" t="n">
        <v>0.0</v>
      </c>
      <c r="Q1215" t="inlineStr">
        <is>
          <t/>
        </is>
      </c>
      <c r="R1215" t="inlineStr">
        <is>
          <t/>
        </is>
      </c>
      <c r="S1215" t="n">
        <v>0.0</v>
      </c>
      <c r="T1215" t="n">
        <v>0.0</v>
      </c>
      <c r="U1215" t="n">
        <v>0.0</v>
      </c>
      <c r="V1215" t="n">
        <v>0.0</v>
      </c>
      <c r="W1215" t="inlineStr">
        <is>
          <t/>
        </is>
      </c>
      <c r="X1215" t="n">
        <v>0.0</v>
      </c>
      <c r="Y1215" t="n">
        <v>0.0</v>
      </c>
      <c r="Z1215" t="n">
        <v>0.0</v>
      </c>
      <c r="AA1215" t="n">
        <v>0.0</v>
      </c>
      <c r="AB1215" t="n">
        <v>0.0</v>
      </c>
      <c r="AC1215" t="n">
        <v>0.0</v>
      </c>
      <c r="AD1215" t="n">
        <v>0.0</v>
      </c>
      <c r="AE1215" t="n">
        <v>0.0</v>
      </c>
      <c r="AF1215" t="n">
        <v>0.0</v>
      </c>
      <c r="AG1215" t="n">
        <v>0.0</v>
      </c>
      <c r="AH1215" t="n">
        <v>0.0</v>
      </c>
      <c r="AI1215" t="n">
        <v>0.0</v>
      </c>
      <c r="AJ1215" t="n">
        <v>0.0</v>
      </c>
      <c r="AK1215" t="inlineStr">
        <is>
          <t/>
        </is>
      </c>
      <c r="AL1215" t="inlineStr">
        <is>
          <t/>
        </is>
      </c>
    </row>
    <row r="1216">
      <c r="A1216" t="inlineStr">
        <is>
          <t>和老爸商量后，推出独居姐妹专属一人食</t>
        </is>
      </c>
      <c r="B1216" t="inlineStr">
        <is>
          <t>6a0e7b66000000003501e0a2</t>
        </is>
      </c>
      <c r="C1216" s="1215" t="n">
        <f>HYPERLINK("https://www.xiaohongshu.com/explore/6a0e7b66000000003501e0a2?xsec_token=TBPYckZc_Zeu4ZPU768x1mBhLzPbqoR3qdjoB-nqS6C0U=&amp;xsec_source=pc_trdark","https://www.xiaohongshu.com/explore/6a0e7b66000000003501e0a2?xsec_token=TBPYckZc_Zeu4ZPU768x1mBhLzPbqoR3qdjoB-nqS6C0U=&amp;xsec_source=pc_trdark")</f>
        <v>0.0</v>
      </c>
      <c r="D1216" t="inlineStr">
        <is>
          <t>鲜水湾甄选</t>
        </is>
      </c>
      <c r="E1216" t="inlineStr">
        <is>
          <t>27401929161</t>
        </is>
      </c>
      <c r="F1216" t="inlineStr">
        <is>
          <t>2026-05-21 11:52:00</t>
        </is>
      </c>
      <c r="G1216" t="inlineStr">
        <is>
          <t>图文</t>
        </is>
      </c>
      <c r="H1216" t="inlineStr">
        <is>
          <t>手剥虾仁 无冰衣无添加 低脂餐一人食 上班带饭 顺丰包邮 5盒装</t>
        </is>
      </c>
      <c r="I1216" t="inlineStr">
        <is>
          <t>694baba01d450d00013662f0</t>
        </is>
      </c>
      <c r="J1216" t="inlineStr">
        <is>
          <t/>
        </is>
      </c>
      <c r="K1216" t="n">
        <v>0.0</v>
      </c>
      <c r="L1216" t="n">
        <v>0.0</v>
      </c>
      <c r="M1216" t="n">
        <v>0.0</v>
      </c>
      <c r="N1216" t="inlineStr">
        <is>
          <t/>
        </is>
      </c>
      <c r="O1216" t="n">
        <v>0.0</v>
      </c>
      <c r="P1216" t="n">
        <v>0.0</v>
      </c>
      <c r="Q1216" t="inlineStr">
        <is>
          <t/>
        </is>
      </c>
      <c r="R1216" t="inlineStr">
        <is>
          <t/>
        </is>
      </c>
      <c r="S1216" t="n">
        <v>0.0</v>
      </c>
      <c r="T1216" t="n">
        <v>0.0</v>
      </c>
      <c r="U1216" t="n">
        <v>0.0</v>
      </c>
      <c r="V1216" t="n">
        <v>0.0</v>
      </c>
      <c r="W1216" t="inlineStr">
        <is>
          <t/>
        </is>
      </c>
      <c r="X1216" t="n">
        <v>0.0</v>
      </c>
      <c r="Y1216" t="n">
        <v>0.0</v>
      </c>
      <c r="Z1216" t="n">
        <v>0.0</v>
      </c>
      <c r="AA1216" t="n">
        <v>0.0</v>
      </c>
      <c r="AB1216" t="n">
        <v>0.0</v>
      </c>
      <c r="AC1216" t="n">
        <v>0.0</v>
      </c>
      <c r="AD1216" t="n">
        <v>0.0</v>
      </c>
      <c r="AE1216" t="n">
        <v>0.0</v>
      </c>
      <c r="AF1216" t="n">
        <v>0.0</v>
      </c>
      <c r="AG1216" t="n">
        <v>0.0</v>
      </c>
      <c r="AH1216" t="n">
        <v>0.0</v>
      </c>
      <c r="AI1216" t="n">
        <v>0.0</v>
      </c>
      <c r="AJ1216" t="n">
        <v>0.0</v>
      </c>
      <c r="AK1216" t="inlineStr">
        <is>
          <t/>
        </is>
      </c>
      <c r="AL1216" t="inlineStr">
        <is>
          <t/>
        </is>
      </c>
    </row>
    <row r="1217">
      <c r="A1217" t="inlineStr">
        <is>
          <t>奉劝健身房爬坡的姐妹！！！都听劝！！！</t>
        </is>
      </c>
      <c r="B1217" t="inlineStr">
        <is>
          <t>6a0e79c00000000007024b85</t>
        </is>
      </c>
      <c r="C1217" s="1216" t="n">
        <f>HYPERLINK("https://www.xiaohongshu.com/explore/6a0e79c00000000007024b85?xsec_token=TBPYckZc_Zeu4ZPU768x1mBrTwVBFcrAbGufz4IBByVDE=&amp;xsec_source=pc_trdark","https://www.xiaohongshu.com/explore/6a0e79c00000000007024b85?xsec_token=TBPYckZc_Zeu4ZPU768x1mBrTwVBFcrAbGufz4IBByVDE=&amp;xsec_source=pc_trdark")</f>
        <v>0.0</v>
      </c>
      <c r="D1217" t="inlineStr">
        <is>
          <t>菲菲上班吃什么</t>
        </is>
      </c>
      <c r="E1217" t="inlineStr">
        <is>
          <t>49936530607</t>
        </is>
      </c>
      <c r="F1217" t="inlineStr">
        <is>
          <t>2026-05-21 11:40:00</t>
        </is>
      </c>
      <c r="G1217" t="inlineStr">
        <is>
          <t>图文</t>
        </is>
      </c>
      <c r="H1217" t="inlineStr">
        <is>
          <t>手剥虾仁 无冰衣无添加 低脂餐一人食 上班带饭 顺丰包邮 5盒装</t>
        </is>
      </c>
      <c r="I1217" t="inlineStr">
        <is>
          <t>694baba01d450d00013662f0</t>
        </is>
      </c>
      <c r="J1217" t="inlineStr">
        <is>
          <t/>
        </is>
      </c>
      <c r="K1217" t="n">
        <v>0.0</v>
      </c>
      <c r="L1217" t="n">
        <v>0.0</v>
      </c>
      <c r="M1217" t="n">
        <v>0.0</v>
      </c>
      <c r="N1217" t="inlineStr">
        <is>
          <t/>
        </is>
      </c>
      <c r="O1217" t="n">
        <v>0.0</v>
      </c>
      <c r="P1217" t="n">
        <v>0.0</v>
      </c>
      <c r="Q1217" t="inlineStr">
        <is>
          <t/>
        </is>
      </c>
      <c r="R1217" t="inlineStr">
        <is>
          <t/>
        </is>
      </c>
      <c r="S1217" t="n">
        <v>0.0</v>
      </c>
      <c r="T1217" t="n">
        <v>0.0</v>
      </c>
      <c r="U1217" t="n">
        <v>0.0</v>
      </c>
      <c r="V1217" t="n">
        <v>0.0</v>
      </c>
      <c r="W1217" t="inlineStr">
        <is>
          <t/>
        </is>
      </c>
      <c r="X1217" t="n">
        <v>0.0</v>
      </c>
      <c r="Y1217" t="n">
        <v>0.0</v>
      </c>
      <c r="Z1217" t="n">
        <v>0.0</v>
      </c>
      <c r="AA1217" t="n">
        <v>0.0</v>
      </c>
      <c r="AB1217" t="n">
        <v>0.0</v>
      </c>
      <c r="AC1217" t="n">
        <v>0.0</v>
      </c>
      <c r="AD1217" t="n">
        <v>0.0</v>
      </c>
      <c r="AE1217" t="n">
        <v>0.0</v>
      </c>
      <c r="AF1217" t="n">
        <v>0.0</v>
      </c>
      <c r="AG1217" t="n">
        <v>0.0</v>
      </c>
      <c r="AH1217" t="n">
        <v>0.0</v>
      </c>
      <c r="AI1217" t="n">
        <v>0.0</v>
      </c>
      <c r="AJ1217" t="n">
        <v>0.0</v>
      </c>
      <c r="AK1217" t="inlineStr">
        <is>
          <t/>
        </is>
      </c>
      <c r="AL1217" t="inlineStr">
        <is>
          <t/>
        </is>
      </c>
    </row>
    <row r="1218">
      <c r="A1218" t="inlineStr">
        <is>
          <t>邪修减肥法！我就说网上能学到好东西…</t>
        </is>
      </c>
      <c r="B1218" t="inlineStr">
        <is>
          <t>6a0e635700000000060238f6</t>
        </is>
      </c>
      <c r="C1218" s="1217" t="n">
        <f>HYPERLINK("https://www.xiaohongshu.com/explore/6a0e635700000000060238f6?xsec_token=TBPYckZc_Zeu4ZPU768x1mBjfMPQtrCOP6gCVC7Q47hq0=&amp;xsec_source=pc_trdark","https://www.xiaohongshu.com/explore/6a0e635700000000060238f6?xsec_token=TBPYckZc_Zeu4ZPU768x1mBjfMPQtrCOP6gCVC7Q47hq0=&amp;xsec_source=pc_trdark")</f>
        <v>0.0</v>
      </c>
      <c r="D1218" t="inlineStr">
        <is>
          <t>菲菲上班吃什么</t>
        </is>
      </c>
      <c r="E1218" t="inlineStr">
        <is>
          <t>49936530607</t>
        </is>
      </c>
      <c r="F1218" t="inlineStr">
        <is>
          <t>2026-05-21 09:43:51</t>
        </is>
      </c>
      <c r="G1218" t="inlineStr">
        <is>
          <t>图文</t>
        </is>
      </c>
      <c r="H1218" t="inlineStr">
        <is>
          <t>手剥虾仁 无冰衣无添加 低脂餐一人食 上班带饭 顺丰包邮 5盒装</t>
        </is>
      </c>
      <c r="I1218" t="inlineStr">
        <is>
          <t>694baba01d450d00013662f0</t>
        </is>
      </c>
      <c r="J1218" t="inlineStr">
        <is>
          <t/>
        </is>
      </c>
      <c r="K1218" t="n">
        <v>0.0</v>
      </c>
      <c r="L1218" t="n">
        <v>0.0</v>
      </c>
      <c r="M1218" t="n">
        <v>0.0</v>
      </c>
      <c r="N1218" t="inlineStr">
        <is>
          <t/>
        </is>
      </c>
      <c r="O1218" t="n">
        <v>0.0</v>
      </c>
      <c r="P1218" t="n">
        <v>0.0</v>
      </c>
      <c r="Q1218" t="inlineStr">
        <is>
          <t/>
        </is>
      </c>
      <c r="R1218" t="inlineStr">
        <is>
          <t/>
        </is>
      </c>
      <c r="S1218" t="n">
        <v>0.0</v>
      </c>
      <c r="T1218" t="n">
        <v>0.0</v>
      </c>
      <c r="U1218" t="n">
        <v>0.0</v>
      </c>
      <c r="V1218" t="n">
        <v>0.0</v>
      </c>
      <c r="W1218" t="inlineStr">
        <is>
          <t/>
        </is>
      </c>
      <c r="X1218" t="n">
        <v>0.0</v>
      </c>
      <c r="Y1218" t="n">
        <v>0.0</v>
      </c>
      <c r="Z1218" t="n">
        <v>0.0</v>
      </c>
      <c r="AA1218" t="n">
        <v>0.0</v>
      </c>
      <c r="AB1218" t="n">
        <v>0.0</v>
      </c>
      <c r="AC1218" t="n">
        <v>0.0</v>
      </c>
      <c r="AD1218" t="n">
        <v>0.0</v>
      </c>
      <c r="AE1218" t="n">
        <v>0.0</v>
      </c>
      <c r="AF1218" t="n">
        <v>0.0</v>
      </c>
      <c r="AG1218" t="n">
        <v>0.0</v>
      </c>
      <c r="AH1218" t="n">
        <v>0.0</v>
      </c>
      <c r="AI1218" t="n">
        <v>0.0</v>
      </c>
      <c r="AJ1218" t="n">
        <v>0.0</v>
      </c>
      <c r="AK1218" t="inlineStr">
        <is>
          <t/>
        </is>
      </c>
      <c r="AL1218" t="inlineStr">
        <is>
          <t/>
        </is>
      </c>
    </row>
    <row r="1219">
      <c r="A1219" t="inlineStr">
        <is>
          <t>以为69没多少，结果又够一周带饭了🤭</t>
        </is>
      </c>
      <c r="B1219" t="inlineStr">
        <is>
          <t>6a0d8e830000000008002c05</t>
        </is>
      </c>
      <c r="C1219" s="1218" t="n">
        <f>HYPERLINK("https://www.xiaohongshu.com/explore/6a0d8e830000000008002c05?xsec_token=TBDdsXyCcn-sb0LuI71w4OtzsqUulTUGMmUGez8glhrgA=&amp;xsec_source=pc_trdark","https://www.xiaohongshu.com/explore/6a0d8e830000000008002c05?xsec_token=TBDdsXyCcn-sb0LuI71w4OtzsqUulTUGMmUGez8glhrgA=&amp;xsec_source=pc_trdark")</f>
        <v>0.0</v>
      </c>
      <c r="D1219" t="inlineStr">
        <is>
          <t>菲菲上班吃什么</t>
        </is>
      </c>
      <c r="E1219" t="inlineStr">
        <is>
          <t>49936530607</t>
        </is>
      </c>
      <c r="F1219" t="inlineStr">
        <is>
          <t>2026-05-20 20:30:00</t>
        </is>
      </c>
      <c r="G1219" t="inlineStr">
        <is>
          <t>图文</t>
        </is>
      </c>
      <c r="H1219" t="inlineStr">
        <is>
          <t>手剥虾仁 无冰衣无添加 低脂餐一人食 上班带饭 顺丰包邮 5盒装</t>
        </is>
      </c>
      <c r="I1219" t="inlineStr">
        <is>
          <t>694baba01d450d00013662f0</t>
        </is>
      </c>
      <c r="J1219" t="inlineStr">
        <is>
          <t/>
        </is>
      </c>
      <c r="K1219" t="n">
        <v>0.0</v>
      </c>
      <c r="L1219" t="n">
        <v>0.0</v>
      </c>
      <c r="M1219" t="n">
        <v>0.0</v>
      </c>
      <c r="N1219" t="inlineStr">
        <is>
          <t/>
        </is>
      </c>
      <c r="O1219" t="n">
        <v>0.0</v>
      </c>
      <c r="P1219" t="n">
        <v>0.0</v>
      </c>
      <c r="Q1219" t="inlineStr">
        <is>
          <t/>
        </is>
      </c>
      <c r="R1219" t="inlineStr">
        <is>
          <t/>
        </is>
      </c>
      <c r="S1219" t="n">
        <v>0.0</v>
      </c>
      <c r="T1219" t="n">
        <v>0.0</v>
      </c>
      <c r="U1219" t="n">
        <v>0.0</v>
      </c>
      <c r="V1219" t="n">
        <v>0.0</v>
      </c>
      <c r="W1219" t="inlineStr">
        <is>
          <t/>
        </is>
      </c>
      <c r="X1219" t="n">
        <v>0.0</v>
      </c>
      <c r="Y1219" t="n">
        <v>0.0</v>
      </c>
      <c r="Z1219" t="n">
        <v>0.0</v>
      </c>
      <c r="AA1219" t="n">
        <v>0.0</v>
      </c>
      <c r="AB1219" t="n">
        <v>0.0</v>
      </c>
      <c r="AC1219" t="n">
        <v>0.0</v>
      </c>
      <c r="AD1219" t="n">
        <v>0.0</v>
      </c>
      <c r="AE1219" t="n">
        <v>0.0</v>
      </c>
      <c r="AF1219" t="n">
        <v>0.0</v>
      </c>
      <c r="AG1219" t="n">
        <v>0.0</v>
      </c>
      <c r="AH1219" t="n">
        <v>0.0</v>
      </c>
      <c r="AI1219" t="n">
        <v>0.0</v>
      </c>
      <c r="AJ1219" t="n">
        <v>0.0</v>
      </c>
      <c r="AK1219" t="inlineStr">
        <is>
          <t/>
        </is>
      </c>
      <c r="AL1219" t="inlineStr">
        <is>
          <t/>
        </is>
      </c>
    </row>
    <row r="1220">
      <c r="A1220" t="inlineStr">
        <is>
          <t>打工人带饭省太多了😭 比外卖省多了！！</t>
        </is>
      </c>
      <c r="B1220" t="inlineStr">
        <is>
          <t>6a0d8e7e0000000006023417</t>
        </is>
      </c>
      <c r="C1220" s="1219" t="n">
        <f>HYPERLINK("https://www.xiaohongshu.com/explore/6a0d8e7e0000000006023417?xsec_token=TBDdsXyCcn-sb0LuI71w4Ot919x0mkdKIp3Y8Th-D1sFw=&amp;xsec_source=pc_trdark","https://www.xiaohongshu.com/explore/6a0d8e7e0000000006023417?xsec_token=TBDdsXyCcn-sb0LuI71w4Ot919x0mkdKIp3Y8Th-D1sFw=&amp;xsec_source=pc_trdark")</f>
        <v>0.0</v>
      </c>
      <c r="D1220" t="inlineStr">
        <is>
          <t>菲菲上班吃什么</t>
        </is>
      </c>
      <c r="E1220" t="inlineStr">
        <is>
          <t>49936530607</t>
        </is>
      </c>
      <c r="F1220" t="inlineStr">
        <is>
          <t>2026-05-20 21:31:00</t>
        </is>
      </c>
      <c r="G1220" t="inlineStr">
        <is>
          <t>图文</t>
        </is>
      </c>
      <c r="H1220" t="inlineStr">
        <is>
          <t>手剥虾仁 无冰衣无添加 低脂餐一人食 上班带饭 顺丰包邮 5盒装</t>
        </is>
      </c>
      <c r="I1220" t="inlineStr">
        <is>
          <t>694baba01d450d00013662f0</t>
        </is>
      </c>
      <c r="J1220" t="inlineStr">
        <is>
          <t/>
        </is>
      </c>
      <c r="K1220" t="n">
        <v>0.0</v>
      </c>
      <c r="L1220" t="n">
        <v>0.0</v>
      </c>
      <c r="M1220" t="n">
        <v>0.0</v>
      </c>
      <c r="N1220" t="inlineStr">
        <is>
          <t/>
        </is>
      </c>
      <c r="O1220" t="n">
        <v>0.0</v>
      </c>
      <c r="P1220" t="n">
        <v>0.0</v>
      </c>
      <c r="Q1220" t="inlineStr">
        <is>
          <t/>
        </is>
      </c>
      <c r="R1220" t="inlineStr">
        <is>
          <t/>
        </is>
      </c>
      <c r="S1220" t="n">
        <v>0.0</v>
      </c>
      <c r="T1220" t="n">
        <v>0.0</v>
      </c>
      <c r="U1220" t="n">
        <v>0.0</v>
      </c>
      <c r="V1220" t="n">
        <v>0.0</v>
      </c>
      <c r="W1220" t="inlineStr">
        <is>
          <t/>
        </is>
      </c>
      <c r="X1220" t="n">
        <v>0.0</v>
      </c>
      <c r="Y1220" t="n">
        <v>0.0</v>
      </c>
      <c r="Z1220" t="n">
        <v>0.0</v>
      </c>
      <c r="AA1220" t="n">
        <v>0.0</v>
      </c>
      <c r="AB1220" t="n">
        <v>0.0</v>
      </c>
      <c r="AC1220" t="n">
        <v>0.0</v>
      </c>
      <c r="AD1220" t="n">
        <v>0.0</v>
      </c>
      <c r="AE1220" t="n">
        <v>0.0</v>
      </c>
      <c r="AF1220" t="n">
        <v>0.0</v>
      </c>
      <c r="AG1220" t="n">
        <v>0.0</v>
      </c>
      <c r="AH1220" t="n">
        <v>0.0</v>
      </c>
      <c r="AI1220" t="n">
        <v>0.0</v>
      </c>
      <c r="AJ1220" t="n">
        <v>0.0</v>
      </c>
      <c r="AK1220" t="inlineStr">
        <is>
          <t/>
        </is>
      </c>
      <c r="AL1220" t="inlineStr">
        <is>
          <t/>
        </is>
      </c>
    </row>
    <row r="1221">
      <c r="A1221" t="inlineStr">
        <is>
          <t>100块吃不了一顿火锅，但承包我一周减脂餐！</t>
        </is>
      </c>
      <c r="B1221" t="inlineStr">
        <is>
          <t>6a0d864100000000070263d3</t>
        </is>
      </c>
      <c r="C1221" s="1220" t="n">
        <f>HYPERLINK("https://www.xiaohongshu.com/explore/6a0d864100000000070263d3?xsec_token=TBDdsXyCcn-sb0LuI71w4OtzI1kQ8ga9geZIoMkrGUffo=&amp;xsec_source=pc_trdark","https://www.xiaohongshu.com/explore/6a0d864100000000070263d3?xsec_token=TBDdsXyCcn-sb0LuI71w4OtzI1kQ8ga9geZIoMkrGUffo=&amp;xsec_source=pc_trdark")</f>
        <v>0.0</v>
      </c>
      <c r="D1221" t="inlineStr">
        <is>
          <t>菲菲上班吃什么</t>
        </is>
      </c>
      <c r="E1221" t="inlineStr">
        <is>
          <t>49936530607</t>
        </is>
      </c>
      <c r="F1221" t="inlineStr">
        <is>
          <t>2026-05-20 18:48:00</t>
        </is>
      </c>
      <c r="G1221" t="inlineStr">
        <is>
          <t>图文</t>
        </is>
      </c>
      <c r="H1221" t="inlineStr">
        <is>
          <t>手剥虾仁 无冰衣无添加 低脂餐一人食 上班带饭 顺丰包邮 5盒装</t>
        </is>
      </c>
      <c r="I1221" t="inlineStr">
        <is>
          <t>694baba01d450d00013662f0</t>
        </is>
      </c>
      <c r="J1221" t="inlineStr">
        <is>
          <t/>
        </is>
      </c>
      <c r="K1221" t="n">
        <v>0.0</v>
      </c>
      <c r="L1221" t="n">
        <v>0.0</v>
      </c>
      <c r="M1221" t="n">
        <v>0.0</v>
      </c>
      <c r="N1221" t="inlineStr">
        <is>
          <t/>
        </is>
      </c>
      <c r="O1221" t="n">
        <v>0.0</v>
      </c>
      <c r="P1221" t="n">
        <v>0.0</v>
      </c>
      <c r="Q1221" t="inlineStr">
        <is>
          <t/>
        </is>
      </c>
      <c r="R1221" t="inlineStr">
        <is>
          <t/>
        </is>
      </c>
      <c r="S1221" t="n">
        <v>0.0</v>
      </c>
      <c r="T1221" t="n">
        <v>0.0</v>
      </c>
      <c r="U1221" t="n">
        <v>0.0</v>
      </c>
      <c r="V1221" t="n">
        <v>0.0</v>
      </c>
      <c r="W1221" t="inlineStr">
        <is>
          <t/>
        </is>
      </c>
      <c r="X1221" t="n">
        <v>0.0</v>
      </c>
      <c r="Y1221" t="n">
        <v>0.0</v>
      </c>
      <c r="Z1221" t="n">
        <v>0.0</v>
      </c>
      <c r="AA1221" t="n">
        <v>0.0</v>
      </c>
      <c r="AB1221" t="n">
        <v>0.0</v>
      </c>
      <c r="AC1221" t="n">
        <v>0.0</v>
      </c>
      <c r="AD1221" t="n">
        <v>0.0</v>
      </c>
      <c r="AE1221" t="n">
        <v>0.0</v>
      </c>
      <c r="AF1221" t="n">
        <v>0.0</v>
      </c>
      <c r="AG1221" t="n">
        <v>0.0</v>
      </c>
      <c r="AH1221" t="n">
        <v>0.0</v>
      </c>
      <c r="AI1221" t="n">
        <v>0.0</v>
      </c>
      <c r="AJ1221" t="n">
        <v>0.0</v>
      </c>
      <c r="AK1221" t="inlineStr">
        <is>
          <t/>
        </is>
      </c>
      <c r="AL1221" t="inlineStr">
        <is>
          <t/>
        </is>
      </c>
    </row>
    <row r="1222">
      <c r="A1222" t="inlineStr">
        <is>
          <t>减肥党最近狂炫虾仁🥹 比外卖便宜！！</t>
        </is>
      </c>
      <c r="B1222" t="inlineStr">
        <is>
          <t>6a0d860900000000060347fd</t>
        </is>
      </c>
      <c r="C1222" s="1221" t="n">
        <f>HYPERLINK("https://www.xiaohongshu.com/explore/6a0d860900000000060347fd?xsec_token=TBDdsXyCcn-sb0LuI71w4OtzCOK78DdV-Up2WEPhFBf8w=&amp;xsec_source=pc_trdark","https://www.xiaohongshu.com/explore/6a0d860900000000060347fd?xsec_token=TBDdsXyCcn-sb0LuI71w4OtzCOK78DdV-Up2WEPhFBf8w=&amp;xsec_source=pc_trdark")</f>
        <v>0.0</v>
      </c>
      <c r="D1222" t="inlineStr">
        <is>
          <t>菲菲上班吃什么</t>
        </is>
      </c>
      <c r="E1222" t="inlineStr">
        <is>
          <t>49936530607</t>
        </is>
      </c>
      <c r="F1222" t="inlineStr">
        <is>
          <t>2026-05-20 17:59:37</t>
        </is>
      </c>
      <c r="G1222" t="inlineStr">
        <is>
          <t>图文</t>
        </is>
      </c>
      <c r="H1222" t="inlineStr">
        <is>
          <t>手剥虾仁 无冰衣无添加 低脂餐一人食 上班带饭 顺丰包邮 5盒装</t>
        </is>
      </c>
      <c r="I1222" t="inlineStr">
        <is>
          <t>694baba01d450d00013662f0</t>
        </is>
      </c>
      <c r="J1222" t="inlineStr">
        <is>
          <t/>
        </is>
      </c>
      <c r="K1222" t="n">
        <v>0.0</v>
      </c>
      <c r="L1222" t="n">
        <v>0.0</v>
      </c>
      <c r="M1222" t="n">
        <v>0.0</v>
      </c>
      <c r="N1222" t="inlineStr">
        <is>
          <t/>
        </is>
      </c>
      <c r="O1222" t="n">
        <v>0.0</v>
      </c>
      <c r="P1222" t="n">
        <v>0.0</v>
      </c>
      <c r="Q1222" t="inlineStr">
        <is>
          <t/>
        </is>
      </c>
      <c r="R1222" t="inlineStr">
        <is>
          <t/>
        </is>
      </c>
      <c r="S1222" t="n">
        <v>0.0</v>
      </c>
      <c r="T1222" t="n">
        <v>0.0</v>
      </c>
      <c r="U1222" t="n">
        <v>0.0</v>
      </c>
      <c r="V1222" t="n">
        <v>0.0</v>
      </c>
      <c r="W1222" t="inlineStr">
        <is>
          <t/>
        </is>
      </c>
      <c r="X1222" t="n">
        <v>0.0</v>
      </c>
      <c r="Y1222" t="n">
        <v>0.0</v>
      </c>
      <c r="Z1222" t="n">
        <v>0.0</v>
      </c>
      <c r="AA1222" t="n">
        <v>0.0</v>
      </c>
      <c r="AB1222" t="n">
        <v>0.0</v>
      </c>
      <c r="AC1222" t="n">
        <v>0.0</v>
      </c>
      <c r="AD1222" t="n">
        <v>0.0</v>
      </c>
      <c r="AE1222" t="n">
        <v>0.0</v>
      </c>
      <c r="AF1222" t="n">
        <v>0.0</v>
      </c>
      <c r="AG1222" t="n">
        <v>0.0</v>
      </c>
      <c r="AH1222" t="n">
        <v>0.0</v>
      </c>
      <c r="AI1222" t="n">
        <v>0.0</v>
      </c>
      <c r="AJ1222" t="n">
        <v>0.0</v>
      </c>
      <c r="AK1222" t="inlineStr">
        <is>
          <t/>
        </is>
      </c>
      <c r="AL1222" t="inlineStr">
        <is>
          <t/>
        </is>
      </c>
    </row>
    <row r="1223">
      <c r="A1223" t="inlineStr">
        <is>
          <t>减脂餐终于不是水煮菜了🤣</t>
        </is>
      </c>
      <c r="B1223" t="inlineStr">
        <is>
          <t>6a0d72bb0000000035039ccc</t>
        </is>
      </c>
      <c r="C1223" s="1222" t="n">
        <f>HYPERLINK("https://www.xiaohongshu.com/explore/6a0d72bb0000000035039ccc?xsec_token=TBDdsXyCcn-sb0LuI71w4OtwvJ3UEGI8lagH9yZy7q8vs=&amp;xsec_source=pc_trdark","https://www.xiaohongshu.com/explore/6a0d72bb0000000035039ccc?xsec_token=TBDdsXyCcn-sb0LuI71w4OtwvJ3UEGI8lagH9yZy7q8vs=&amp;xsec_source=pc_trdark")</f>
        <v>0.0</v>
      </c>
      <c r="D1223" t="inlineStr">
        <is>
          <t>鲜水湾甄选</t>
        </is>
      </c>
      <c r="E1223" t="inlineStr">
        <is>
          <t>27401929161</t>
        </is>
      </c>
      <c r="F1223" t="inlineStr">
        <is>
          <t>2026-05-20 21:14:00</t>
        </is>
      </c>
      <c r="G1223" t="inlineStr">
        <is>
          <t>图文</t>
        </is>
      </c>
      <c r="H1223" t="inlineStr">
        <is>
          <t>手剥虾仁 无冰衣无添加 低脂餐一人食 上班带饭 顺丰包邮 5盒装</t>
        </is>
      </c>
      <c r="I1223" t="inlineStr">
        <is>
          <t>694baba01d450d00013662f0</t>
        </is>
      </c>
      <c r="J1223" t="inlineStr">
        <is>
          <t/>
        </is>
      </c>
      <c r="K1223" t="n">
        <v>0.0</v>
      </c>
      <c r="L1223" t="n">
        <v>0.0</v>
      </c>
      <c r="M1223" t="n">
        <v>0.0</v>
      </c>
      <c r="N1223" t="inlineStr">
        <is>
          <t/>
        </is>
      </c>
      <c r="O1223" t="n">
        <v>0.0</v>
      </c>
      <c r="P1223" t="n">
        <v>0.0</v>
      </c>
      <c r="Q1223" t="inlineStr">
        <is>
          <t/>
        </is>
      </c>
      <c r="R1223" t="inlineStr">
        <is>
          <t/>
        </is>
      </c>
      <c r="S1223" t="n">
        <v>0.0</v>
      </c>
      <c r="T1223" t="n">
        <v>0.0</v>
      </c>
      <c r="U1223" t="n">
        <v>0.0</v>
      </c>
      <c r="V1223" t="n">
        <v>0.0</v>
      </c>
      <c r="W1223" t="inlineStr">
        <is>
          <t/>
        </is>
      </c>
      <c r="X1223" t="n">
        <v>0.0</v>
      </c>
      <c r="Y1223" t="n">
        <v>0.0</v>
      </c>
      <c r="Z1223" t="n">
        <v>0.0</v>
      </c>
      <c r="AA1223" t="n">
        <v>0.0</v>
      </c>
      <c r="AB1223" t="n">
        <v>0.0</v>
      </c>
      <c r="AC1223" t="n">
        <v>0.0</v>
      </c>
      <c r="AD1223" t="n">
        <v>0.0</v>
      </c>
      <c r="AE1223" t="n">
        <v>0.0</v>
      </c>
      <c r="AF1223" t="n">
        <v>0.0</v>
      </c>
      <c r="AG1223" t="n">
        <v>0.0</v>
      </c>
      <c r="AH1223" t="n">
        <v>0.0</v>
      </c>
      <c r="AI1223" t="n">
        <v>0.0</v>
      </c>
      <c r="AJ1223" t="n">
        <v>0.0</v>
      </c>
      <c r="AK1223" t="inlineStr">
        <is>
          <t/>
        </is>
      </c>
      <c r="AL1223" t="inlineStr">
        <is>
          <t/>
        </is>
      </c>
    </row>
    <row r="1224">
      <c r="A1224" t="inlineStr">
        <is>
          <t>冰箱有它，懒人一周带饭不重样🍱</t>
        </is>
      </c>
      <c r="B1224" t="inlineStr">
        <is>
          <t>6a0d6cfa000000003502787c</t>
        </is>
      </c>
      <c r="C1224" s="1223" t="n">
        <f>HYPERLINK("https://www.xiaohongshu.com/explore/6a0d6cfa000000003502787c?xsec_token=TBDdsXyCcn-sb0LuI71w4Ot1RTDNBZ0WTPQPAs3EUV7rw=&amp;xsec_source=pc_trdark","https://www.xiaohongshu.com/explore/6a0d6cfa000000003502787c?xsec_token=TBDdsXyCcn-sb0LuI71w4Ot1RTDNBZ0WTPQPAs3EUV7rw=&amp;xsec_source=pc_trdark")</f>
        <v>0.0</v>
      </c>
      <c r="D1224" t="inlineStr">
        <is>
          <t>鲜水湾甄选</t>
        </is>
      </c>
      <c r="E1224" t="inlineStr">
        <is>
          <t>27401929161</t>
        </is>
      </c>
      <c r="F1224" t="inlineStr">
        <is>
          <t>2026-05-20 16:12:42</t>
        </is>
      </c>
      <c r="G1224" t="inlineStr">
        <is>
          <t>图文</t>
        </is>
      </c>
      <c r="H1224" t="inlineStr">
        <is>
          <t>手剥虾仁 无冰衣无添加 低脂餐一人食 上班带饭 顺丰包邮 5盒装</t>
        </is>
      </c>
      <c r="I1224" t="inlineStr">
        <is>
          <t>694baba01d450d00013662f0</t>
        </is>
      </c>
      <c r="J1224" t="inlineStr">
        <is>
          <t/>
        </is>
      </c>
      <c r="K1224" t="n">
        <v>0.0</v>
      </c>
      <c r="L1224" t="n">
        <v>0.0</v>
      </c>
      <c r="M1224" t="n">
        <v>0.0</v>
      </c>
      <c r="N1224" t="inlineStr">
        <is>
          <t/>
        </is>
      </c>
      <c r="O1224" t="n">
        <v>0.0</v>
      </c>
      <c r="P1224" t="n">
        <v>0.0</v>
      </c>
      <c r="Q1224" t="inlineStr">
        <is>
          <t/>
        </is>
      </c>
      <c r="R1224" t="inlineStr">
        <is>
          <t/>
        </is>
      </c>
      <c r="S1224" t="n">
        <v>0.0</v>
      </c>
      <c r="T1224" t="n">
        <v>0.0</v>
      </c>
      <c r="U1224" t="n">
        <v>0.0</v>
      </c>
      <c r="V1224" t="n">
        <v>0.0</v>
      </c>
      <c r="W1224" t="inlineStr">
        <is>
          <t/>
        </is>
      </c>
      <c r="X1224" t="n">
        <v>0.0</v>
      </c>
      <c r="Y1224" t="n">
        <v>0.0</v>
      </c>
      <c r="Z1224" t="n">
        <v>0.0</v>
      </c>
      <c r="AA1224" t="n">
        <v>0.0</v>
      </c>
      <c r="AB1224" t="n">
        <v>0.0</v>
      </c>
      <c r="AC1224" t="n">
        <v>0.0</v>
      </c>
      <c r="AD1224" t="n">
        <v>0.0</v>
      </c>
      <c r="AE1224" t="n">
        <v>0.0</v>
      </c>
      <c r="AF1224" t="n">
        <v>0.0</v>
      </c>
      <c r="AG1224" t="n">
        <v>0.0</v>
      </c>
      <c r="AH1224" t="n">
        <v>0.0</v>
      </c>
      <c r="AI1224" t="n">
        <v>0.0</v>
      </c>
      <c r="AJ1224" t="n">
        <v>0.0</v>
      </c>
      <c r="AK1224" t="inlineStr">
        <is>
          <t/>
        </is>
      </c>
      <c r="AL1224" t="inlineStr">
        <is>
          <t/>
        </is>
      </c>
    </row>
    <row r="1225">
      <c r="A1225" t="inlineStr">
        <is>
          <t>315之后才发现，大家真的懂选虾仁了</t>
        </is>
      </c>
      <c r="B1225" t="inlineStr">
        <is>
          <t>6a0d69170000000006021bf8</t>
        </is>
      </c>
      <c r="C1225" s="1224" t="n">
        <f>HYPERLINK("https://www.xiaohongshu.com/explore/6a0d69170000000006021bf8?xsec_token=TBDdsXyCcn-sb0LuI71w4Ot4mUhlnE1u1Ld5xyst2JOIs=&amp;xsec_source=pc_trdark","https://www.xiaohongshu.com/explore/6a0d69170000000006021bf8?xsec_token=TBDdsXyCcn-sb0LuI71w4Ot4mUhlnE1u1Ld5xyst2JOIs=&amp;xsec_source=pc_trdark")</f>
        <v>0.0</v>
      </c>
      <c r="D1225" t="inlineStr">
        <is>
          <t>鲜水湾</t>
        </is>
      </c>
      <c r="E1225" t="inlineStr">
        <is>
          <t>49316638994</t>
        </is>
      </c>
      <c r="F1225" t="inlineStr">
        <is>
          <t>2026-05-20 15:56:07</t>
        </is>
      </c>
      <c r="G1225" t="inlineStr">
        <is>
          <t>图文</t>
        </is>
      </c>
      <c r="H1225" t="inlineStr">
        <is>
          <t>手剥虾仁 无冰衣无添加 低脂餐一人食 上班带饭 顺丰包邮 5盒装</t>
        </is>
      </c>
      <c r="I1225" t="inlineStr">
        <is>
          <t>694baba01d450d00013662f0</t>
        </is>
      </c>
      <c r="J1225" t="inlineStr">
        <is>
          <t/>
        </is>
      </c>
      <c r="K1225" t="n">
        <v>0.0</v>
      </c>
      <c r="L1225" t="n">
        <v>0.0</v>
      </c>
      <c r="M1225" t="n">
        <v>0.0</v>
      </c>
      <c r="N1225" t="inlineStr">
        <is>
          <t/>
        </is>
      </c>
      <c r="O1225" t="n">
        <v>0.0</v>
      </c>
      <c r="P1225" t="n">
        <v>0.0</v>
      </c>
      <c r="Q1225" t="inlineStr">
        <is>
          <t/>
        </is>
      </c>
      <c r="R1225" t="inlineStr">
        <is>
          <t/>
        </is>
      </c>
      <c r="S1225" t="n">
        <v>0.0</v>
      </c>
      <c r="T1225" t="n">
        <v>0.0</v>
      </c>
      <c r="U1225" t="n">
        <v>0.0</v>
      </c>
      <c r="V1225" t="n">
        <v>0.0</v>
      </c>
      <c r="W1225" t="inlineStr">
        <is>
          <t/>
        </is>
      </c>
      <c r="X1225" t="n">
        <v>0.0</v>
      </c>
      <c r="Y1225" t="n">
        <v>0.0</v>
      </c>
      <c r="Z1225" t="n">
        <v>0.0</v>
      </c>
      <c r="AA1225" t="n">
        <v>0.0</v>
      </c>
      <c r="AB1225" t="n">
        <v>0.0</v>
      </c>
      <c r="AC1225" t="n">
        <v>0.0</v>
      </c>
      <c r="AD1225" t="n">
        <v>0.0</v>
      </c>
      <c r="AE1225" t="n">
        <v>0.0</v>
      </c>
      <c r="AF1225" t="n">
        <v>0.0</v>
      </c>
      <c r="AG1225" t="n">
        <v>0.0</v>
      </c>
      <c r="AH1225" t="n">
        <v>0.0</v>
      </c>
      <c r="AI1225" t="n">
        <v>0.0</v>
      </c>
      <c r="AJ1225" t="n">
        <v>0.0</v>
      </c>
      <c r="AK1225" t="inlineStr">
        <is>
          <t/>
        </is>
      </c>
      <c r="AL1225" t="inlineStr">
        <is>
          <t/>
        </is>
      </c>
    </row>
    <row r="1226">
      <c r="A1226" t="inlineStr">
        <is>
          <t>和老爸商量后，推出独居姐妹专属一人食</t>
        </is>
      </c>
      <c r="B1226" t="inlineStr">
        <is>
          <t>6a0d15090000000006032347</t>
        </is>
      </c>
      <c r="C1226" s="1225" t="n">
        <f>HYPERLINK("https://www.xiaohongshu.com/explore/6a0d15090000000006032347?xsec_token=TBDdsXyCcn-sb0LuI71w4OtwVUuHPxyNVhdlB2k52xDmc=&amp;xsec_source=pc_trdark","https://www.xiaohongshu.com/explore/6a0d15090000000006032347?xsec_token=TBDdsXyCcn-sb0LuI71w4OtwVUuHPxyNVhdlB2k52xDmc=&amp;xsec_source=pc_trdark")</f>
        <v>0.0</v>
      </c>
      <c r="D1226" t="inlineStr">
        <is>
          <t>菲菲上班吃什么</t>
        </is>
      </c>
      <c r="E1226" t="inlineStr">
        <is>
          <t>49936530607</t>
        </is>
      </c>
      <c r="F1226" t="inlineStr">
        <is>
          <t>2026-05-20 09:57:29</t>
        </is>
      </c>
      <c r="G1226" t="inlineStr">
        <is>
          <t>图文</t>
        </is>
      </c>
      <c r="H1226" t="inlineStr">
        <is>
          <t>手剥虾仁 无冰衣无添加 低脂餐一人食 上班带饭 顺丰包邮 5盒装</t>
        </is>
      </c>
      <c r="I1226" t="inlineStr">
        <is>
          <t>694baba01d450d00013662f0</t>
        </is>
      </c>
      <c r="J1226" t="inlineStr">
        <is>
          <t/>
        </is>
      </c>
      <c r="K1226" t="n">
        <v>0.0</v>
      </c>
      <c r="L1226" t="n">
        <v>0.0</v>
      </c>
      <c r="M1226" t="n">
        <v>0.0</v>
      </c>
      <c r="N1226" t="inlineStr">
        <is>
          <t/>
        </is>
      </c>
      <c r="O1226" t="n">
        <v>0.0</v>
      </c>
      <c r="P1226" t="n">
        <v>0.0</v>
      </c>
      <c r="Q1226" t="inlineStr">
        <is>
          <t/>
        </is>
      </c>
      <c r="R1226" t="inlineStr">
        <is>
          <t/>
        </is>
      </c>
      <c r="S1226" t="n">
        <v>0.0</v>
      </c>
      <c r="T1226" t="n">
        <v>0.0</v>
      </c>
      <c r="U1226" t="n">
        <v>0.0</v>
      </c>
      <c r="V1226" t="n">
        <v>0.0</v>
      </c>
      <c r="W1226" t="inlineStr">
        <is>
          <t/>
        </is>
      </c>
      <c r="X1226" t="n">
        <v>0.0</v>
      </c>
      <c r="Y1226" t="n">
        <v>0.0</v>
      </c>
      <c r="Z1226" t="n">
        <v>0.0</v>
      </c>
      <c r="AA1226" t="n">
        <v>0.0</v>
      </c>
      <c r="AB1226" t="n">
        <v>0.0</v>
      </c>
      <c r="AC1226" t="n">
        <v>0.0</v>
      </c>
      <c r="AD1226" t="n">
        <v>0.0</v>
      </c>
      <c r="AE1226" t="n">
        <v>0.0</v>
      </c>
      <c r="AF1226" t="n">
        <v>0.0</v>
      </c>
      <c r="AG1226" t="n">
        <v>0.0</v>
      </c>
      <c r="AH1226" t="n">
        <v>0.0</v>
      </c>
      <c r="AI1226" t="n">
        <v>0.0</v>
      </c>
      <c r="AJ1226" t="n">
        <v>0.0</v>
      </c>
      <c r="AK1226" t="inlineStr">
        <is>
          <t/>
        </is>
      </c>
      <c r="AL1226" t="inlineStr">
        <is>
          <t/>
        </is>
      </c>
    </row>
    <row r="1227">
      <c r="A1227" t="inlineStr">
        <is>
          <t>拒绝外卖刺客！69够吃一周轻食了！</t>
        </is>
      </c>
      <c r="B1227" t="inlineStr">
        <is>
          <t>6a0c389e0000000008033365</t>
        </is>
      </c>
      <c r="C1227" s="1226" t="n">
        <f>HYPERLINK("https://www.xiaohongshu.com/explore/6a0c389e0000000008033365?xsec_token=TBM83lsGB1pVe48oYCuJr8OL_9X_9F4gDd2WDSewa8LdY=&amp;xsec_source=pc_trdark","https://www.xiaohongshu.com/explore/6a0c389e0000000008033365?xsec_token=TBM83lsGB1pVe48oYCuJr8OL_9X_9F4gDd2WDSewa8LdY=&amp;xsec_source=pc_trdark")</f>
        <v>0.0</v>
      </c>
      <c r="D1227" t="inlineStr">
        <is>
          <t>婉婉上班吃什么</t>
        </is>
      </c>
      <c r="E1227" t="inlineStr">
        <is>
          <t>11434449706</t>
        </is>
      </c>
      <c r="F1227" t="inlineStr">
        <is>
          <t>2026-05-19 18:17:02</t>
        </is>
      </c>
      <c r="G1227" t="inlineStr">
        <is>
          <t>图文</t>
        </is>
      </c>
      <c r="H1227" t="inlineStr">
        <is>
          <t>手剥虾仁 无冰衣无添加 低脂餐一人食 上班带饭 顺丰包邮 5盒装</t>
        </is>
      </c>
      <c r="I1227" t="inlineStr">
        <is>
          <t>694baba01d450d00013662f0</t>
        </is>
      </c>
      <c r="J1227" t="inlineStr">
        <is>
          <t/>
        </is>
      </c>
      <c r="K1227" t="n">
        <v>0.0</v>
      </c>
      <c r="L1227" t="n">
        <v>0.0</v>
      </c>
      <c r="M1227" t="n">
        <v>0.0</v>
      </c>
      <c r="N1227" t="inlineStr">
        <is>
          <t/>
        </is>
      </c>
      <c r="O1227" t="n">
        <v>0.0</v>
      </c>
      <c r="P1227" t="n">
        <v>0.0</v>
      </c>
      <c r="Q1227" t="inlineStr">
        <is>
          <t/>
        </is>
      </c>
      <c r="R1227" t="inlineStr">
        <is>
          <t/>
        </is>
      </c>
      <c r="S1227" t="n">
        <v>0.0</v>
      </c>
      <c r="T1227" t="n">
        <v>0.0</v>
      </c>
      <c r="U1227" t="n">
        <v>0.0</v>
      </c>
      <c r="V1227" t="n">
        <v>0.0</v>
      </c>
      <c r="W1227" t="inlineStr">
        <is>
          <t/>
        </is>
      </c>
      <c r="X1227" t="n">
        <v>0.0</v>
      </c>
      <c r="Y1227" t="n">
        <v>0.0</v>
      </c>
      <c r="Z1227" t="n">
        <v>0.0</v>
      </c>
      <c r="AA1227" t="n">
        <v>0.0</v>
      </c>
      <c r="AB1227" t="n">
        <v>0.0</v>
      </c>
      <c r="AC1227" t="n">
        <v>0.0</v>
      </c>
      <c r="AD1227" t="n">
        <v>0.0</v>
      </c>
      <c r="AE1227" t="n">
        <v>0.0</v>
      </c>
      <c r="AF1227" t="n">
        <v>0.0</v>
      </c>
      <c r="AG1227" t="n">
        <v>0.0</v>
      </c>
      <c r="AH1227" t="n">
        <v>0.0</v>
      </c>
      <c r="AI1227" t="n">
        <v>0.0</v>
      </c>
      <c r="AJ1227" t="n">
        <v>0.0</v>
      </c>
      <c r="AK1227" t="inlineStr">
        <is>
          <t/>
        </is>
      </c>
      <c r="AL1227" t="inlineStr">
        <is>
          <t/>
        </is>
      </c>
    </row>
    <row r="1228">
      <c r="A1228" t="inlineStr">
        <is>
          <t>和老妈商量了，推出一人食减脂小包装三文鱼</t>
        </is>
      </c>
      <c r="B1228" t="inlineStr">
        <is>
          <t>6a0c1ee40000000007021b08</t>
        </is>
      </c>
      <c r="C1228" s="1227" t="n">
        <f>HYPERLINK("https://www.xiaohongshu.com/explore/6a0c1ee40000000007021b08?xsec_token=TBM83lsGB1pVe48oYCuJr8OPZBtrtOBrF9idTPclWT7SQ=&amp;xsec_source=pc_trdark","https://www.xiaohongshu.com/explore/6a0c1ee40000000007021b08?xsec_token=TBM83lsGB1pVe48oYCuJr8OPZBtrtOBrF9idTPclWT7SQ=&amp;xsec_source=pc_trdark")</f>
        <v>0.0</v>
      </c>
      <c r="D1228" t="inlineStr">
        <is>
          <t>鲜水湾</t>
        </is>
      </c>
      <c r="E1228" t="inlineStr">
        <is>
          <t>49316638994</t>
        </is>
      </c>
      <c r="F1228" t="inlineStr">
        <is>
          <t>2026-05-19 16:27:16</t>
        </is>
      </c>
      <c r="G1228" t="inlineStr">
        <is>
          <t>图文</t>
        </is>
      </c>
      <c r="H1228" t="inlineStr">
        <is>
          <t>智利尾端中段整条三文鱼 8斤深海鱼低脂餐囤货一周备菜顺丰包邮</t>
        </is>
      </c>
      <c r="I1228" t="inlineStr">
        <is>
          <t>69fab80d64eb410001ece0c0</t>
        </is>
      </c>
      <c r="J1228" t="inlineStr">
        <is>
          <t/>
        </is>
      </c>
      <c r="K1228" t="n">
        <v>0.0</v>
      </c>
      <c r="L1228" t="n">
        <v>0.0</v>
      </c>
      <c r="M1228" t="n">
        <v>0.0</v>
      </c>
      <c r="N1228" t="inlineStr">
        <is>
          <t/>
        </is>
      </c>
      <c r="O1228" t="n">
        <v>0.0</v>
      </c>
      <c r="P1228" t="n">
        <v>0.0</v>
      </c>
      <c r="Q1228" t="inlineStr">
        <is>
          <t/>
        </is>
      </c>
      <c r="R1228" t="inlineStr">
        <is>
          <t/>
        </is>
      </c>
      <c r="S1228" t="n">
        <v>0.0</v>
      </c>
      <c r="T1228" t="n">
        <v>0.0</v>
      </c>
      <c r="U1228" t="n">
        <v>0.0</v>
      </c>
      <c r="V1228" t="n">
        <v>0.0</v>
      </c>
      <c r="W1228" t="inlineStr">
        <is>
          <t/>
        </is>
      </c>
      <c r="X1228" t="n">
        <v>0.0</v>
      </c>
      <c r="Y1228" t="n">
        <v>0.0</v>
      </c>
      <c r="Z1228" t="n">
        <v>0.0</v>
      </c>
      <c r="AA1228" t="n">
        <v>0.0</v>
      </c>
      <c r="AB1228" t="n">
        <v>0.0</v>
      </c>
      <c r="AC1228" t="n">
        <v>0.0</v>
      </c>
      <c r="AD1228" t="n">
        <v>0.0</v>
      </c>
      <c r="AE1228" t="n">
        <v>0.0</v>
      </c>
      <c r="AF1228" t="n">
        <v>0.0</v>
      </c>
      <c r="AG1228" t="n">
        <v>0.0</v>
      </c>
      <c r="AH1228" t="n">
        <v>0.0</v>
      </c>
      <c r="AI1228" t="n">
        <v>0.0</v>
      </c>
      <c r="AJ1228" t="n">
        <v>0.0</v>
      </c>
      <c r="AK1228" t="inlineStr">
        <is>
          <t/>
        </is>
      </c>
      <c r="AL1228" t="inlineStr">
        <is>
          <t/>
        </is>
      </c>
    </row>
    <row r="1229">
      <c r="A1229" t="inlineStr">
        <is>
          <t>下班10分钟搞定晚餐，比外卖快🍤</t>
        </is>
      </c>
      <c r="B1229" t="inlineStr">
        <is>
          <t>6a0c1d250000000006023fe0</t>
        </is>
      </c>
      <c r="C1229" s="1228" t="n">
        <f>HYPERLINK("https://www.xiaohongshu.com/explore/6a0c1d250000000006023fe0?xsec_token=TBM83lsGB1pVe48oYCuJr8ODFaf3rDenAbKaSAOsafu6w=&amp;xsec_source=pc_trdark","https://www.xiaohongshu.com/explore/6a0c1d250000000006023fe0?xsec_token=TBM83lsGB1pVe48oYCuJr8ODFaf3rDenAbKaSAOsafu6w=&amp;xsec_source=pc_trdark")</f>
        <v>0.0</v>
      </c>
      <c r="D1229" t="inlineStr">
        <is>
          <t>菲菲上班吃什么</t>
        </is>
      </c>
      <c r="E1229" t="inlineStr">
        <is>
          <t>49936530607</t>
        </is>
      </c>
      <c r="F1229" t="inlineStr">
        <is>
          <t>2026-05-19 21:43:00</t>
        </is>
      </c>
      <c r="G1229" t="inlineStr">
        <is>
          <t>图文</t>
        </is>
      </c>
      <c r="H1229" t="inlineStr">
        <is>
          <t>手剥虾仁 无冰衣无添加 低脂餐一人食 上班带饭 顺丰包邮 5盒装</t>
        </is>
      </c>
      <c r="I1229" t="inlineStr">
        <is>
          <t>694baba01d450d00013662f0</t>
        </is>
      </c>
      <c r="J1229" t="inlineStr">
        <is>
          <t/>
        </is>
      </c>
      <c r="K1229" t="n">
        <v>0.0</v>
      </c>
      <c r="L1229" t="n">
        <v>0.0</v>
      </c>
      <c r="M1229" t="n">
        <v>0.0</v>
      </c>
      <c r="N1229" t="inlineStr">
        <is>
          <t/>
        </is>
      </c>
      <c r="O1229" t="n">
        <v>0.0</v>
      </c>
      <c r="P1229" t="n">
        <v>0.0</v>
      </c>
      <c r="Q1229" t="inlineStr">
        <is>
          <t/>
        </is>
      </c>
      <c r="R1229" t="inlineStr">
        <is>
          <t/>
        </is>
      </c>
      <c r="S1229" t="n">
        <v>0.0</v>
      </c>
      <c r="T1229" t="n">
        <v>0.0</v>
      </c>
      <c r="U1229" t="n">
        <v>0.0</v>
      </c>
      <c r="V1229" t="n">
        <v>0.0</v>
      </c>
      <c r="W1229" t="inlineStr">
        <is>
          <t/>
        </is>
      </c>
      <c r="X1229" t="n">
        <v>0.0</v>
      </c>
      <c r="Y1229" t="n">
        <v>0.0</v>
      </c>
      <c r="Z1229" t="n">
        <v>0.0</v>
      </c>
      <c r="AA1229" t="n">
        <v>0.0</v>
      </c>
      <c r="AB1229" t="n">
        <v>0.0</v>
      </c>
      <c r="AC1229" t="n">
        <v>0.0</v>
      </c>
      <c r="AD1229" t="n">
        <v>0.0</v>
      </c>
      <c r="AE1229" t="n">
        <v>0.0</v>
      </c>
      <c r="AF1229" t="n">
        <v>0.0</v>
      </c>
      <c r="AG1229" t="n">
        <v>0.0</v>
      </c>
      <c r="AH1229" t="n">
        <v>0.0</v>
      </c>
      <c r="AI1229" t="n">
        <v>0.0</v>
      </c>
      <c r="AJ1229" t="n">
        <v>0.0</v>
      </c>
      <c r="AK1229" t="inlineStr">
        <is>
          <t/>
        </is>
      </c>
      <c r="AL1229" t="inlineStr">
        <is>
          <t/>
        </is>
      </c>
    </row>
    <row r="1230">
      <c r="A1230" t="inlineStr">
        <is>
          <t>独居的快乐：虾仁自由终于实现了🥹</t>
        </is>
      </c>
      <c r="B1230" t="inlineStr">
        <is>
          <t>6a0c1cd600000000060343b7</t>
        </is>
      </c>
      <c r="C1230" s="1229" t="n">
        <f>HYPERLINK("https://www.xiaohongshu.com/explore/6a0c1cd600000000060343b7?xsec_token=TBM83lsGB1pVe48oYCuJr8OEVtr2BpYDLJjjxxi99jLAs=&amp;xsec_source=pc_trdark","https://www.xiaohongshu.com/explore/6a0c1cd600000000060343b7?xsec_token=TBM83lsGB1pVe48oYCuJr8OEVtr2BpYDLJjjxxi99jLAs=&amp;xsec_source=pc_trdark")</f>
        <v>0.0</v>
      </c>
      <c r="D1230" t="inlineStr">
        <is>
          <t>菲菲上班吃什么</t>
        </is>
      </c>
      <c r="E1230" t="inlineStr">
        <is>
          <t>49936530607</t>
        </is>
      </c>
      <c r="F1230" t="inlineStr">
        <is>
          <t>2026-05-19 20:53:00</t>
        </is>
      </c>
      <c r="G1230" t="inlineStr">
        <is>
          <t>图文</t>
        </is>
      </c>
      <c r="H1230" t="inlineStr">
        <is>
          <t>手剥虾仁 无冰衣无添加 低脂餐一人食 上班带饭 顺丰包邮 5盒装</t>
        </is>
      </c>
      <c r="I1230" t="inlineStr">
        <is>
          <t>694baba01d450d00013662f0</t>
        </is>
      </c>
      <c r="J1230" t="inlineStr">
        <is>
          <t/>
        </is>
      </c>
      <c r="K1230" t="n">
        <v>0.0</v>
      </c>
      <c r="L1230" t="n">
        <v>0.0</v>
      </c>
      <c r="M1230" t="n">
        <v>0.0</v>
      </c>
      <c r="N1230" t="inlineStr">
        <is>
          <t/>
        </is>
      </c>
      <c r="O1230" t="n">
        <v>0.0</v>
      </c>
      <c r="P1230" t="n">
        <v>0.0</v>
      </c>
      <c r="Q1230" t="inlineStr">
        <is>
          <t/>
        </is>
      </c>
      <c r="R1230" t="inlineStr">
        <is>
          <t/>
        </is>
      </c>
      <c r="S1230" t="n">
        <v>0.0</v>
      </c>
      <c r="T1230" t="n">
        <v>0.0</v>
      </c>
      <c r="U1230" t="n">
        <v>0.0</v>
      </c>
      <c r="V1230" t="n">
        <v>0.0</v>
      </c>
      <c r="W1230" t="inlineStr">
        <is>
          <t/>
        </is>
      </c>
      <c r="X1230" t="n">
        <v>0.0</v>
      </c>
      <c r="Y1230" t="n">
        <v>0.0</v>
      </c>
      <c r="Z1230" t="n">
        <v>0.0</v>
      </c>
      <c r="AA1230" t="n">
        <v>0.0</v>
      </c>
      <c r="AB1230" t="n">
        <v>0.0</v>
      </c>
      <c r="AC1230" t="n">
        <v>0.0</v>
      </c>
      <c r="AD1230" t="n">
        <v>0.0</v>
      </c>
      <c r="AE1230" t="n">
        <v>0.0</v>
      </c>
      <c r="AF1230" t="n">
        <v>0.0</v>
      </c>
      <c r="AG1230" t="n">
        <v>0.0</v>
      </c>
      <c r="AH1230" t="n">
        <v>0.0</v>
      </c>
      <c r="AI1230" t="n">
        <v>0.0</v>
      </c>
      <c r="AJ1230" t="n">
        <v>0.0</v>
      </c>
      <c r="AK1230" t="inlineStr">
        <is>
          <t/>
        </is>
      </c>
      <c r="AL1230" t="inlineStr">
        <is>
          <t/>
        </is>
      </c>
    </row>
    <row r="1231">
      <c r="A1231" t="inlineStr">
        <is>
          <t>这虾仁，懒人看了都心动🤣</t>
        </is>
      </c>
      <c r="B1231" t="inlineStr">
        <is>
          <t>6a0c1c5e0000000007013b04</t>
        </is>
      </c>
      <c r="C1231" s="1230" t="n">
        <f>HYPERLINK("https://www.xiaohongshu.com/explore/6a0c1c5e0000000007013b04?xsec_token=TBM83lsGB1pVe48oYCuJr8OC0ROKj2UrJGw8fF711XGyw=&amp;xsec_source=pc_trdark","https://www.xiaohongshu.com/explore/6a0c1c5e0000000007013b04?xsec_token=TBM83lsGB1pVe48oYCuJr8OC0ROKj2UrJGw8fF711XGyw=&amp;xsec_source=pc_trdark")</f>
        <v>0.0</v>
      </c>
      <c r="D1231" t="inlineStr">
        <is>
          <t>菲菲上班吃什么</t>
        </is>
      </c>
      <c r="E1231" t="inlineStr">
        <is>
          <t>49936530607</t>
        </is>
      </c>
      <c r="F1231" t="inlineStr">
        <is>
          <t>2026-05-19 18:58:00</t>
        </is>
      </c>
      <c r="G1231" t="inlineStr">
        <is>
          <t>图文</t>
        </is>
      </c>
      <c r="H1231" t="inlineStr">
        <is>
          <t>手剥虾仁 无冰衣无添加 低脂餐一人食 上班带饭 顺丰包邮 5盒装</t>
        </is>
      </c>
      <c r="I1231" t="inlineStr">
        <is>
          <t>694baba01d450d00013662f0</t>
        </is>
      </c>
      <c r="J1231" t="inlineStr">
        <is>
          <t/>
        </is>
      </c>
      <c r="K1231" t="n">
        <v>0.0</v>
      </c>
      <c r="L1231" t="n">
        <v>0.0</v>
      </c>
      <c r="M1231" t="n">
        <v>0.0</v>
      </c>
      <c r="N1231" t="inlineStr">
        <is>
          <t/>
        </is>
      </c>
      <c r="O1231" t="n">
        <v>0.0</v>
      </c>
      <c r="P1231" t="n">
        <v>0.0</v>
      </c>
      <c r="Q1231" t="inlineStr">
        <is>
          <t/>
        </is>
      </c>
      <c r="R1231" t="inlineStr">
        <is>
          <t/>
        </is>
      </c>
      <c r="S1231" t="n">
        <v>0.0</v>
      </c>
      <c r="T1231" t="n">
        <v>0.0</v>
      </c>
      <c r="U1231" t="n">
        <v>0.0</v>
      </c>
      <c r="V1231" t="n">
        <v>0.0</v>
      </c>
      <c r="W1231" t="inlineStr">
        <is>
          <t/>
        </is>
      </c>
      <c r="X1231" t="n">
        <v>0.0</v>
      </c>
      <c r="Y1231" t="n">
        <v>0.0</v>
      </c>
      <c r="Z1231" t="n">
        <v>0.0</v>
      </c>
      <c r="AA1231" t="n">
        <v>0.0</v>
      </c>
      <c r="AB1231" t="n">
        <v>0.0</v>
      </c>
      <c r="AC1231" t="n">
        <v>0.0</v>
      </c>
      <c r="AD1231" t="n">
        <v>0.0</v>
      </c>
      <c r="AE1231" t="n">
        <v>0.0</v>
      </c>
      <c r="AF1231" t="n">
        <v>0.0</v>
      </c>
      <c r="AG1231" t="n">
        <v>0.0</v>
      </c>
      <c r="AH1231" t="n">
        <v>0.0</v>
      </c>
      <c r="AI1231" t="n">
        <v>0.0</v>
      </c>
      <c r="AJ1231" t="n">
        <v>0.0</v>
      </c>
      <c r="AK1231" t="inlineStr">
        <is>
          <t/>
        </is>
      </c>
      <c r="AL1231" t="inlineStr">
        <is>
          <t/>
        </is>
      </c>
    </row>
    <row r="1232">
      <c r="A1232" t="inlineStr">
        <is>
          <t>我妈：终于不天天吃外卖了😂</t>
        </is>
      </c>
      <c r="B1232" t="inlineStr">
        <is>
          <t>6a0c1c4e0000000007020d4e</t>
        </is>
      </c>
      <c r="C1232" s="1231" t="n">
        <f>HYPERLINK("https://www.xiaohongshu.com/explore/6a0c1c4e0000000007020d4e?xsec_token=TBM83lsGB1pVe48oYCuJr8OBHmCmiS-oGVlvvCNb-7llQ=&amp;xsec_source=pc_trdark","https://www.xiaohongshu.com/explore/6a0c1c4e0000000007020d4e?xsec_token=TBM83lsGB1pVe48oYCuJr8OBHmCmiS-oGVlvvCNb-7llQ=&amp;xsec_source=pc_trdark")</f>
        <v>0.0</v>
      </c>
      <c r="D1232" t="inlineStr">
        <is>
          <t>菲菲上班吃什么</t>
        </is>
      </c>
      <c r="E1232" t="inlineStr">
        <is>
          <t>49936530607</t>
        </is>
      </c>
      <c r="F1232" t="inlineStr">
        <is>
          <t>2026-05-19 17:56:00</t>
        </is>
      </c>
      <c r="G1232" t="inlineStr">
        <is>
          <t>图文</t>
        </is>
      </c>
      <c r="H1232" t="inlineStr">
        <is>
          <t>手剥虾仁 无冰衣无添加 低脂餐一人食 上班带饭 顺丰包邮 5盒装</t>
        </is>
      </c>
      <c r="I1232" t="inlineStr">
        <is>
          <t>694baba01d450d00013662f0</t>
        </is>
      </c>
      <c r="J1232" t="inlineStr">
        <is>
          <t/>
        </is>
      </c>
      <c r="K1232" t="n">
        <v>0.0</v>
      </c>
      <c r="L1232" t="n">
        <v>0.0</v>
      </c>
      <c r="M1232" t="n">
        <v>0.0</v>
      </c>
      <c r="N1232" t="inlineStr">
        <is>
          <t/>
        </is>
      </c>
      <c r="O1232" t="n">
        <v>0.0</v>
      </c>
      <c r="P1232" t="n">
        <v>0.0</v>
      </c>
      <c r="Q1232" t="inlineStr">
        <is>
          <t/>
        </is>
      </c>
      <c r="R1232" t="inlineStr">
        <is>
          <t/>
        </is>
      </c>
      <c r="S1232" t="n">
        <v>0.0</v>
      </c>
      <c r="T1232" t="n">
        <v>0.0</v>
      </c>
      <c r="U1232" t="n">
        <v>0.0</v>
      </c>
      <c r="V1232" t="n">
        <v>0.0</v>
      </c>
      <c r="W1232" t="inlineStr">
        <is>
          <t/>
        </is>
      </c>
      <c r="X1232" t="n">
        <v>0.0</v>
      </c>
      <c r="Y1232" t="n">
        <v>0.0</v>
      </c>
      <c r="Z1232" t="n">
        <v>0.0</v>
      </c>
      <c r="AA1232" t="n">
        <v>0.0</v>
      </c>
      <c r="AB1232" t="n">
        <v>0.0</v>
      </c>
      <c r="AC1232" t="n">
        <v>0.0</v>
      </c>
      <c r="AD1232" t="n">
        <v>0.0</v>
      </c>
      <c r="AE1232" t="n">
        <v>0.0</v>
      </c>
      <c r="AF1232" t="n">
        <v>0.0</v>
      </c>
      <c r="AG1232" t="n">
        <v>0.0</v>
      </c>
      <c r="AH1232" t="n">
        <v>0.0</v>
      </c>
      <c r="AI1232" t="n">
        <v>0.0</v>
      </c>
      <c r="AJ1232" t="n">
        <v>0.0</v>
      </c>
      <c r="AK1232" t="inlineStr">
        <is>
          <t/>
        </is>
      </c>
      <c r="AL1232" t="inlineStr">
        <is>
          <t/>
        </is>
      </c>
    </row>
    <row r="1233">
      <c r="A1233" t="inlineStr">
        <is>
          <t>原来减脂餐也能吃这么爽😭 比外卖好吃！！！</t>
        </is>
      </c>
      <c r="B1233" t="inlineStr">
        <is>
          <t>6a0c1c4500000000060323cc</t>
        </is>
      </c>
      <c r="C1233" s="1232" t="n">
        <f>HYPERLINK("https://www.xiaohongshu.com/explore/6a0c1c4500000000060323cc?xsec_token=TBM83lsGB1pVe48oYCuJr8OO1Ntdv_saWPaaECoLo3i8s=&amp;xsec_source=pc_trdark","https://www.xiaohongshu.com/explore/6a0c1c4500000000060323cc?xsec_token=TBM83lsGB1pVe48oYCuJr8OO1Ntdv_saWPaaECoLo3i8s=&amp;xsec_source=pc_trdark")</f>
        <v>0.0</v>
      </c>
      <c r="D1233" t="inlineStr">
        <is>
          <t>菲菲上班吃什么</t>
        </is>
      </c>
      <c r="E1233" t="inlineStr">
        <is>
          <t>49936530607</t>
        </is>
      </c>
      <c r="F1233" t="inlineStr">
        <is>
          <t>2026-05-19 16:16:05</t>
        </is>
      </c>
      <c r="G1233" t="inlineStr">
        <is>
          <t>图文</t>
        </is>
      </c>
      <c r="H1233" t="inlineStr">
        <is>
          <t>手剥虾仁 无冰衣无添加 低脂餐一人食 上班带饭 顺丰包邮 5盒装</t>
        </is>
      </c>
      <c r="I1233" t="inlineStr">
        <is>
          <t>694baba01d450d00013662f0</t>
        </is>
      </c>
      <c r="J1233" t="inlineStr">
        <is>
          <t/>
        </is>
      </c>
      <c r="K1233" t="n">
        <v>0.0</v>
      </c>
      <c r="L1233" t="n">
        <v>0.0</v>
      </c>
      <c r="M1233" t="n">
        <v>0.0</v>
      </c>
      <c r="N1233" t="inlineStr">
        <is>
          <t/>
        </is>
      </c>
      <c r="O1233" t="n">
        <v>0.0</v>
      </c>
      <c r="P1233" t="n">
        <v>0.0</v>
      </c>
      <c r="Q1233" t="inlineStr">
        <is>
          <t/>
        </is>
      </c>
      <c r="R1233" t="inlineStr">
        <is>
          <t/>
        </is>
      </c>
      <c r="S1233" t="n">
        <v>0.0</v>
      </c>
      <c r="T1233" t="n">
        <v>0.0</v>
      </c>
      <c r="U1233" t="n">
        <v>0.0</v>
      </c>
      <c r="V1233" t="n">
        <v>0.0</v>
      </c>
      <c r="W1233" t="inlineStr">
        <is>
          <t/>
        </is>
      </c>
      <c r="X1233" t="n">
        <v>0.0</v>
      </c>
      <c r="Y1233" t="n">
        <v>0.0</v>
      </c>
      <c r="Z1233" t="n">
        <v>0.0</v>
      </c>
      <c r="AA1233" t="n">
        <v>0.0</v>
      </c>
      <c r="AB1233" t="n">
        <v>0.0</v>
      </c>
      <c r="AC1233" t="n">
        <v>0.0</v>
      </c>
      <c r="AD1233" t="n">
        <v>0.0</v>
      </c>
      <c r="AE1233" t="n">
        <v>0.0</v>
      </c>
      <c r="AF1233" t="n">
        <v>0.0</v>
      </c>
      <c r="AG1233" t="n">
        <v>0.0</v>
      </c>
      <c r="AH1233" t="n">
        <v>0.0</v>
      </c>
      <c r="AI1233" t="n">
        <v>0.0</v>
      </c>
      <c r="AJ1233" t="n">
        <v>0.0</v>
      </c>
      <c r="AK1233" t="inlineStr">
        <is>
          <t/>
        </is>
      </c>
      <c r="AL1233" t="inlineStr">
        <is>
          <t/>
        </is>
      </c>
    </row>
    <row r="1234">
      <c r="A1234" t="inlineStr">
        <is>
          <t>🥹租房党真的会无限回购这种虾仁……</t>
        </is>
      </c>
      <c r="B1234" t="inlineStr">
        <is>
          <t>6a0c1b4c0000000035031bf6</t>
        </is>
      </c>
      <c r="C1234" s="1233" t="n">
        <f>HYPERLINK("https://www.xiaohongshu.com/explore/6a0c1b4c0000000035031bf6?xsec_token=TBM83lsGB1pVe48oYCuJr8OPYvdqiHVWcznqjk0FlGI_Y=&amp;xsec_source=pc_trdark","https://www.xiaohongshu.com/explore/6a0c1b4c0000000035031bf6?xsec_token=TBM83lsGB1pVe48oYCuJr8OPYvdqiHVWcznqjk0FlGI_Y=&amp;xsec_source=pc_trdark")</f>
        <v>0.0</v>
      </c>
      <c r="D1234" t="inlineStr">
        <is>
          <t>鲜水湾甄选</t>
        </is>
      </c>
      <c r="E1234" t="inlineStr">
        <is>
          <t>27401929161</t>
        </is>
      </c>
      <c r="F1234" t="inlineStr">
        <is>
          <t>2026-05-19 21:45:00</t>
        </is>
      </c>
      <c r="G1234" t="inlineStr">
        <is>
          <t>图文</t>
        </is>
      </c>
      <c r="H1234" t="inlineStr">
        <is>
          <t>手剥虾仁 无冰衣无添加 低脂餐一人食 上班带饭 顺丰包邮 5盒装</t>
        </is>
      </c>
      <c r="I1234" t="inlineStr">
        <is>
          <t>694baba01d450d00013662f0</t>
        </is>
      </c>
      <c r="J1234" t="inlineStr">
        <is>
          <t/>
        </is>
      </c>
      <c r="K1234" t="n">
        <v>0.0</v>
      </c>
      <c r="L1234" t="n">
        <v>0.0</v>
      </c>
      <c r="M1234" t="n">
        <v>0.0</v>
      </c>
      <c r="N1234" t="inlineStr">
        <is>
          <t/>
        </is>
      </c>
      <c r="O1234" t="n">
        <v>0.0</v>
      </c>
      <c r="P1234" t="n">
        <v>0.0</v>
      </c>
      <c r="Q1234" t="inlineStr">
        <is>
          <t/>
        </is>
      </c>
      <c r="R1234" t="inlineStr">
        <is>
          <t/>
        </is>
      </c>
      <c r="S1234" t="n">
        <v>0.0</v>
      </c>
      <c r="T1234" t="n">
        <v>0.0</v>
      </c>
      <c r="U1234" t="n">
        <v>0.0</v>
      </c>
      <c r="V1234" t="n">
        <v>0.0</v>
      </c>
      <c r="W1234" t="inlineStr">
        <is>
          <t/>
        </is>
      </c>
      <c r="X1234" t="n">
        <v>0.0</v>
      </c>
      <c r="Y1234" t="n">
        <v>0.0</v>
      </c>
      <c r="Z1234" t="n">
        <v>0.0</v>
      </c>
      <c r="AA1234" t="n">
        <v>0.0</v>
      </c>
      <c r="AB1234" t="n">
        <v>0.0</v>
      </c>
      <c r="AC1234" t="n">
        <v>0.0</v>
      </c>
      <c r="AD1234" t="n">
        <v>0.0</v>
      </c>
      <c r="AE1234" t="n">
        <v>0.0</v>
      </c>
      <c r="AF1234" t="n">
        <v>0.0</v>
      </c>
      <c r="AG1234" t="n">
        <v>0.0</v>
      </c>
      <c r="AH1234" t="n">
        <v>0.0</v>
      </c>
      <c r="AI1234" t="n">
        <v>0.0</v>
      </c>
      <c r="AJ1234" t="n">
        <v>0.0</v>
      </c>
      <c r="AK1234" t="inlineStr">
        <is>
          <t/>
        </is>
      </c>
      <c r="AL1234" t="inlineStr">
        <is>
          <t/>
        </is>
      </c>
    </row>
    <row r="1235">
      <c r="A1235" t="inlineStr">
        <is>
          <t>手剥虾仁69管一周？一人食减脂餐</t>
        </is>
      </c>
      <c r="B1235" t="inlineStr">
        <is>
          <t>6a0bcaa1000000000702a734</t>
        </is>
      </c>
      <c r="C1235" s="1234" t="n">
        <f>HYPERLINK("https://www.xiaohongshu.com/explore/6a0bcaa1000000000702a734?xsec_token=TBao-nYLz1dhLmbZCubFHC7nUjX0K1hO8leYhMxrk9lrE=&amp;xsec_source=pc_trdark","https://www.xiaohongshu.com/explore/6a0bcaa1000000000702a734?xsec_token=TBao-nYLz1dhLmbZCubFHC7nUjX0K1hO8leYhMxrk9lrE=&amp;xsec_source=pc_trdark")</f>
        <v>0.0</v>
      </c>
      <c r="D1235" t="inlineStr">
        <is>
          <t>菲菲上班吃什么</t>
        </is>
      </c>
      <c r="E1235" t="inlineStr">
        <is>
          <t>49936530607</t>
        </is>
      </c>
      <c r="F1235" t="inlineStr">
        <is>
          <t>2026-05-19 10:27:45</t>
        </is>
      </c>
      <c r="G1235" t="inlineStr">
        <is>
          <t>图文</t>
        </is>
      </c>
      <c r="H1235" t="inlineStr">
        <is>
          <t>手剥虾仁 无冰衣无添加 低脂餐一人食 上班带饭 顺丰包邮 5盒装</t>
        </is>
      </c>
      <c r="I1235" t="inlineStr">
        <is>
          <t>694baba01d450d00013662f0</t>
        </is>
      </c>
      <c r="J1235" t="inlineStr">
        <is>
          <t/>
        </is>
      </c>
      <c r="K1235" t="n">
        <v>0.0</v>
      </c>
      <c r="L1235" t="n">
        <v>0.0</v>
      </c>
      <c r="M1235" t="n">
        <v>0.0</v>
      </c>
      <c r="N1235" t="inlineStr">
        <is>
          <t/>
        </is>
      </c>
      <c r="O1235" t="n">
        <v>0.0</v>
      </c>
      <c r="P1235" t="n">
        <v>0.0</v>
      </c>
      <c r="Q1235" t="inlineStr">
        <is>
          <t/>
        </is>
      </c>
      <c r="R1235" t="inlineStr">
        <is>
          <t/>
        </is>
      </c>
      <c r="S1235" t="n">
        <v>0.0</v>
      </c>
      <c r="T1235" t="n">
        <v>0.0</v>
      </c>
      <c r="U1235" t="n">
        <v>0.0</v>
      </c>
      <c r="V1235" t="n">
        <v>0.0</v>
      </c>
      <c r="W1235" t="inlineStr">
        <is>
          <t/>
        </is>
      </c>
      <c r="X1235" t="n">
        <v>0.0</v>
      </c>
      <c r="Y1235" t="n">
        <v>0.0</v>
      </c>
      <c r="Z1235" t="n">
        <v>0.0</v>
      </c>
      <c r="AA1235" t="n">
        <v>0.0</v>
      </c>
      <c r="AB1235" t="n">
        <v>0.0</v>
      </c>
      <c r="AC1235" t="n">
        <v>0.0</v>
      </c>
      <c r="AD1235" t="n">
        <v>0.0</v>
      </c>
      <c r="AE1235" t="n">
        <v>0.0</v>
      </c>
      <c r="AF1235" t="n">
        <v>0.0</v>
      </c>
      <c r="AG1235" t="n">
        <v>0.0</v>
      </c>
      <c r="AH1235" t="n">
        <v>0.0</v>
      </c>
      <c r="AI1235" t="n">
        <v>0.0</v>
      </c>
      <c r="AJ1235" t="n">
        <v>0.0</v>
      </c>
      <c r="AK1235" t="inlineStr">
        <is>
          <t/>
        </is>
      </c>
      <c r="AL1235" t="inlineStr">
        <is>
          <t/>
        </is>
      </c>
    </row>
    <row r="1236">
      <c r="A1236" t="inlineStr">
        <is>
          <t>减脂党狂喜！69冰箱囤满一周！！</t>
        </is>
      </c>
      <c r="B1236" t="inlineStr">
        <is>
          <t>6a0ad4a60000000006033b5e</t>
        </is>
      </c>
      <c r="C1236" s="1235" t="n">
        <f>HYPERLINK("https://www.xiaohongshu.com/explore/6a0ad4a60000000006033b5e?xsec_token=TBoSBcPF-YdRwRwQio-1GXR3xwjVh2Hb5fCN6WI2f6osk=&amp;xsec_source=pc_trdark","https://www.xiaohongshu.com/explore/6a0ad4a60000000006033b5e?xsec_token=TBoSBcPF-YdRwRwQio-1GXR3xwjVh2Hb5fCN6WI2f6osk=&amp;xsec_source=pc_trdark")</f>
        <v>0.0</v>
      </c>
      <c r="D1236" t="inlineStr">
        <is>
          <t>菲菲上班吃什么</t>
        </is>
      </c>
      <c r="E1236" t="inlineStr">
        <is>
          <t>49936530607</t>
        </is>
      </c>
      <c r="F1236" t="inlineStr">
        <is>
          <t>2026-05-18 22:26:00</t>
        </is>
      </c>
      <c r="G1236" t="inlineStr">
        <is>
          <t>图文</t>
        </is>
      </c>
      <c r="H1236" t="inlineStr">
        <is>
          <t>手剥虾仁 无冰衣无添加 低脂餐一人食 上班带饭 顺丰包邮 5盒装</t>
        </is>
      </c>
      <c r="I1236" t="inlineStr">
        <is>
          <t>694baba01d450d00013662f0</t>
        </is>
      </c>
      <c r="J1236" t="inlineStr">
        <is>
          <t/>
        </is>
      </c>
      <c r="K1236" t="n">
        <v>0.0</v>
      </c>
      <c r="L1236" t="n">
        <v>0.0</v>
      </c>
      <c r="M1236" t="n">
        <v>0.0</v>
      </c>
      <c r="N1236" t="inlineStr">
        <is>
          <t/>
        </is>
      </c>
      <c r="O1236" t="n">
        <v>0.0</v>
      </c>
      <c r="P1236" t="n">
        <v>0.0</v>
      </c>
      <c r="Q1236" t="inlineStr">
        <is>
          <t/>
        </is>
      </c>
      <c r="R1236" t="inlineStr">
        <is>
          <t/>
        </is>
      </c>
      <c r="S1236" t="n">
        <v>0.0</v>
      </c>
      <c r="T1236" t="n">
        <v>0.0</v>
      </c>
      <c r="U1236" t="n">
        <v>0.0</v>
      </c>
      <c r="V1236" t="n">
        <v>0.0</v>
      </c>
      <c r="W1236" t="inlineStr">
        <is>
          <t/>
        </is>
      </c>
      <c r="X1236" t="n">
        <v>0.0</v>
      </c>
      <c r="Y1236" t="n">
        <v>0.0</v>
      </c>
      <c r="Z1236" t="n">
        <v>0.0</v>
      </c>
      <c r="AA1236" t="n">
        <v>0.0</v>
      </c>
      <c r="AB1236" t="n">
        <v>0.0</v>
      </c>
      <c r="AC1236" t="n">
        <v>0.0</v>
      </c>
      <c r="AD1236" t="n">
        <v>0.0</v>
      </c>
      <c r="AE1236" t="n">
        <v>0.0</v>
      </c>
      <c r="AF1236" t="n">
        <v>0.0</v>
      </c>
      <c r="AG1236" t="n">
        <v>0.0</v>
      </c>
      <c r="AH1236" t="n">
        <v>0.0</v>
      </c>
      <c r="AI1236" t="n">
        <v>0.0</v>
      </c>
      <c r="AJ1236" t="n">
        <v>0.0</v>
      </c>
      <c r="AK1236" t="inlineStr">
        <is>
          <t/>
        </is>
      </c>
      <c r="AL1236" t="inlineStr">
        <is>
          <t/>
        </is>
      </c>
    </row>
    <row r="1237">
      <c r="A1237" t="inlineStr">
        <is>
          <t>租房党真的会无限回购这种虾仁……</t>
        </is>
      </c>
      <c r="B1237" t="inlineStr">
        <is>
          <t>6a0ad49300000000070284e3</t>
        </is>
      </c>
      <c r="C1237" s="1236" t="n">
        <f>HYPERLINK("https://www.xiaohongshu.com/explore/6a0ad49300000000070284e3?xsec_token=TBoSBcPF-YdRwRwQio-1GXR-pLtikMxJ87WZHy572McuA=&amp;xsec_source=pc_trdark","https://www.xiaohongshu.com/explore/6a0ad49300000000070284e3?xsec_token=TBoSBcPF-YdRwRwQio-1GXR-pLtikMxJ87WZHy572McuA=&amp;xsec_source=pc_trdark")</f>
        <v>0.0</v>
      </c>
      <c r="D1237" t="inlineStr">
        <is>
          <t>菲菲上班吃什么</t>
        </is>
      </c>
      <c r="E1237" t="inlineStr">
        <is>
          <t>49936530607</t>
        </is>
      </c>
      <c r="F1237" t="inlineStr">
        <is>
          <t>2026-05-18 21:32:00</t>
        </is>
      </c>
      <c r="G1237" t="inlineStr">
        <is>
          <t>图文</t>
        </is>
      </c>
      <c r="H1237" t="inlineStr">
        <is>
          <t>手剥虾仁 无冰衣无添加 低脂餐一人食 上班带饭 顺丰包邮 5盒装</t>
        </is>
      </c>
      <c r="I1237" t="inlineStr">
        <is>
          <t>694baba01d450d00013662f0</t>
        </is>
      </c>
      <c r="J1237" t="inlineStr">
        <is>
          <t/>
        </is>
      </c>
      <c r="K1237" t="n">
        <v>0.0</v>
      </c>
      <c r="L1237" t="n">
        <v>0.0</v>
      </c>
      <c r="M1237" t="n">
        <v>0.0</v>
      </c>
      <c r="N1237" t="inlineStr">
        <is>
          <t/>
        </is>
      </c>
      <c r="O1237" t="n">
        <v>0.0</v>
      </c>
      <c r="P1237" t="n">
        <v>0.0</v>
      </c>
      <c r="Q1237" t="inlineStr">
        <is>
          <t/>
        </is>
      </c>
      <c r="R1237" t="inlineStr">
        <is>
          <t/>
        </is>
      </c>
      <c r="S1237" t="n">
        <v>0.0</v>
      </c>
      <c r="T1237" t="n">
        <v>0.0</v>
      </c>
      <c r="U1237" t="n">
        <v>0.0</v>
      </c>
      <c r="V1237" t="n">
        <v>0.0</v>
      </c>
      <c r="W1237" t="inlineStr">
        <is>
          <t/>
        </is>
      </c>
      <c r="X1237" t="n">
        <v>0.0</v>
      </c>
      <c r="Y1237" t="n">
        <v>0.0</v>
      </c>
      <c r="Z1237" t="n">
        <v>0.0</v>
      </c>
      <c r="AA1237" t="n">
        <v>0.0</v>
      </c>
      <c r="AB1237" t="n">
        <v>0.0</v>
      </c>
      <c r="AC1237" t="n">
        <v>0.0</v>
      </c>
      <c r="AD1237" t="n">
        <v>0.0</v>
      </c>
      <c r="AE1237" t="n">
        <v>0.0</v>
      </c>
      <c r="AF1237" t="n">
        <v>0.0</v>
      </c>
      <c r="AG1237" t="n">
        <v>0.0</v>
      </c>
      <c r="AH1237" t="n">
        <v>0.0</v>
      </c>
      <c r="AI1237" t="n">
        <v>0.0</v>
      </c>
      <c r="AJ1237" t="n">
        <v>0.0</v>
      </c>
      <c r="AK1237" t="inlineStr">
        <is>
          <t/>
        </is>
      </c>
      <c r="AL1237" t="inlineStr">
        <is>
          <t/>
        </is>
      </c>
    </row>
    <row r="1238">
      <c r="A1238" t="inlineStr">
        <is>
          <t>早八人真的离不开这种懒人虾仁😭</t>
        </is>
      </c>
      <c r="B1238" t="inlineStr">
        <is>
          <t>6a0ad4750000000007026ece</t>
        </is>
      </c>
      <c r="C1238" s="1237" t="n">
        <f>HYPERLINK("https://www.xiaohongshu.com/explore/6a0ad4750000000007026ece?xsec_token=TBoSBcPF-YdRwRwQio-1GXR2j2uVOCUTtA4o-nfSNv3hE=&amp;xsec_source=pc_trdark","https://www.xiaohongshu.com/explore/6a0ad4750000000007026ece?xsec_token=TBoSBcPF-YdRwRwQio-1GXR2j2uVOCUTtA4o-nfSNv3hE=&amp;xsec_source=pc_trdark")</f>
        <v>0.0</v>
      </c>
      <c r="D1238" t="inlineStr">
        <is>
          <t>菲菲上班吃什么</t>
        </is>
      </c>
      <c r="E1238" t="inlineStr">
        <is>
          <t>49936530607</t>
        </is>
      </c>
      <c r="F1238" t="inlineStr">
        <is>
          <t>2026-05-18 20:49:00</t>
        </is>
      </c>
      <c r="G1238" t="inlineStr">
        <is>
          <t>图文</t>
        </is>
      </c>
      <c r="H1238" t="inlineStr">
        <is>
          <t>手剥虾仁 无冰衣无添加 低脂餐一人食 上班带饭 顺丰包邮 5盒装</t>
        </is>
      </c>
      <c r="I1238" t="inlineStr">
        <is>
          <t>694baba01d450d00013662f0</t>
        </is>
      </c>
      <c r="J1238" t="inlineStr">
        <is>
          <t/>
        </is>
      </c>
      <c r="K1238" t="n">
        <v>0.0</v>
      </c>
      <c r="L1238" t="n">
        <v>0.0</v>
      </c>
      <c r="M1238" t="n">
        <v>0.0</v>
      </c>
      <c r="N1238" t="inlineStr">
        <is>
          <t/>
        </is>
      </c>
      <c r="O1238" t="n">
        <v>0.0</v>
      </c>
      <c r="P1238" t="n">
        <v>0.0</v>
      </c>
      <c r="Q1238" t="inlineStr">
        <is>
          <t/>
        </is>
      </c>
      <c r="R1238" t="inlineStr">
        <is>
          <t/>
        </is>
      </c>
      <c r="S1238" t="n">
        <v>0.0</v>
      </c>
      <c r="T1238" t="n">
        <v>0.0</v>
      </c>
      <c r="U1238" t="n">
        <v>0.0</v>
      </c>
      <c r="V1238" t="n">
        <v>0.0</v>
      </c>
      <c r="W1238" t="inlineStr">
        <is>
          <t/>
        </is>
      </c>
      <c r="X1238" t="n">
        <v>0.0</v>
      </c>
      <c r="Y1238" t="n">
        <v>0.0</v>
      </c>
      <c r="Z1238" t="n">
        <v>0.0</v>
      </c>
      <c r="AA1238" t="n">
        <v>0.0</v>
      </c>
      <c r="AB1238" t="n">
        <v>0.0</v>
      </c>
      <c r="AC1238" t="n">
        <v>0.0</v>
      </c>
      <c r="AD1238" t="n">
        <v>0.0</v>
      </c>
      <c r="AE1238" t="n">
        <v>0.0</v>
      </c>
      <c r="AF1238" t="n">
        <v>0.0</v>
      </c>
      <c r="AG1238" t="n">
        <v>0.0</v>
      </c>
      <c r="AH1238" t="n">
        <v>0.0</v>
      </c>
      <c r="AI1238" t="n">
        <v>0.0</v>
      </c>
      <c r="AJ1238" t="n">
        <v>0.0</v>
      </c>
      <c r="AK1238" t="inlineStr">
        <is>
          <t/>
        </is>
      </c>
      <c r="AL1238" t="inlineStr">
        <is>
          <t/>
        </is>
      </c>
    </row>
    <row r="1239">
      <c r="A1239" t="inlineStr">
        <is>
          <t>最懂减脂人的🍤一餐一包！！！真方便！！</t>
        </is>
      </c>
      <c r="B1239" t="inlineStr">
        <is>
          <t>6a0ad40d0000000007010ed8</t>
        </is>
      </c>
      <c r="C1239" s="1238" t="n">
        <f>HYPERLINK("https://www.xiaohongshu.com/explore/6a0ad40d0000000007010ed8?xsec_token=TBoSBcPF-YdRwRwQio-1GXR5avH1oibXH1FbKCLwZfKu4=&amp;xsec_source=pc_trdark","https://www.xiaohongshu.com/explore/6a0ad40d0000000007010ed8?xsec_token=TBoSBcPF-YdRwRwQio-1GXR5avH1oibXH1FbKCLwZfKu4=&amp;xsec_source=pc_trdark")</f>
        <v>0.0</v>
      </c>
      <c r="D1239" t="inlineStr">
        <is>
          <t>菲菲上班吃什么</t>
        </is>
      </c>
      <c r="E1239" t="inlineStr">
        <is>
          <t>49936530607</t>
        </is>
      </c>
      <c r="F1239" t="inlineStr">
        <is>
          <t>2026-05-18 18:55:00</t>
        </is>
      </c>
      <c r="G1239" t="inlineStr">
        <is>
          <t>图文</t>
        </is>
      </c>
      <c r="H1239" t="inlineStr">
        <is>
          <t>手剥虾仁 无冰衣无添加 低脂餐一人食 上班带饭 顺丰包邮 5盒装</t>
        </is>
      </c>
      <c r="I1239" t="inlineStr">
        <is>
          <t>694baba01d450d00013662f0</t>
        </is>
      </c>
      <c r="J1239" t="inlineStr">
        <is>
          <t/>
        </is>
      </c>
      <c r="K1239" t="n">
        <v>0.0</v>
      </c>
      <c r="L1239" t="n">
        <v>0.0</v>
      </c>
      <c r="M1239" t="n">
        <v>0.0</v>
      </c>
      <c r="N1239" t="inlineStr">
        <is>
          <t/>
        </is>
      </c>
      <c r="O1239" t="n">
        <v>0.0</v>
      </c>
      <c r="P1239" t="n">
        <v>0.0</v>
      </c>
      <c r="Q1239" t="inlineStr">
        <is>
          <t/>
        </is>
      </c>
      <c r="R1239" t="inlineStr">
        <is>
          <t/>
        </is>
      </c>
      <c r="S1239" t="n">
        <v>0.0</v>
      </c>
      <c r="T1239" t="n">
        <v>0.0</v>
      </c>
      <c r="U1239" t="n">
        <v>0.0</v>
      </c>
      <c r="V1239" t="n">
        <v>0.0</v>
      </c>
      <c r="W1239" t="inlineStr">
        <is>
          <t/>
        </is>
      </c>
      <c r="X1239" t="n">
        <v>0.0</v>
      </c>
      <c r="Y1239" t="n">
        <v>0.0</v>
      </c>
      <c r="Z1239" t="n">
        <v>0.0</v>
      </c>
      <c r="AA1239" t="n">
        <v>0.0</v>
      </c>
      <c r="AB1239" t="n">
        <v>0.0</v>
      </c>
      <c r="AC1239" t="n">
        <v>0.0</v>
      </c>
      <c r="AD1239" t="n">
        <v>0.0</v>
      </c>
      <c r="AE1239" t="n">
        <v>0.0</v>
      </c>
      <c r="AF1239" t="n">
        <v>0.0</v>
      </c>
      <c r="AG1239" t="n">
        <v>0.0</v>
      </c>
      <c r="AH1239" t="n">
        <v>0.0</v>
      </c>
      <c r="AI1239" t="n">
        <v>0.0</v>
      </c>
      <c r="AJ1239" t="n">
        <v>0.0</v>
      </c>
      <c r="AK1239" t="inlineStr">
        <is>
          <t/>
        </is>
      </c>
      <c r="AL1239" t="inlineStr">
        <is>
          <t/>
        </is>
      </c>
    </row>
    <row r="1240">
      <c r="A1240" t="inlineStr">
        <is>
          <t>带饭被同事围观：你也吃太好了吧🍤</t>
        </is>
      </c>
      <c r="B1240" t="inlineStr">
        <is>
          <t>6a0ad3ca0000000036001f7e</t>
        </is>
      </c>
      <c r="C1240" s="1239" t="n">
        <f>HYPERLINK("https://www.xiaohongshu.com/explore/6a0ad3ca0000000036001f7e?xsec_token=TBoSBcPF-YdRwRwQio-1GXR_SuCAMdhjzPHz7j2ExqCPE=&amp;xsec_source=pc_trdark","https://www.xiaohongshu.com/explore/6a0ad3ca0000000036001f7e?xsec_token=TBoSBcPF-YdRwRwQio-1GXR_SuCAMdhjzPHz7j2ExqCPE=&amp;xsec_source=pc_trdark")</f>
        <v>0.0</v>
      </c>
      <c r="D1240" t="inlineStr">
        <is>
          <t>鲜水湾甄选</t>
        </is>
      </c>
      <c r="E1240" t="inlineStr">
        <is>
          <t>27401929161</t>
        </is>
      </c>
      <c r="F1240" t="inlineStr">
        <is>
          <t>2026-05-18 21:44:00</t>
        </is>
      </c>
      <c r="G1240" t="inlineStr">
        <is>
          <t>图文</t>
        </is>
      </c>
      <c r="H1240" t="inlineStr">
        <is>
          <t>手剥虾仁 无冰衣无添加 低脂餐一人食 上班带饭 顺丰包邮 5盒装</t>
        </is>
      </c>
      <c r="I1240" t="inlineStr">
        <is>
          <t>694baba01d450d00013662f0</t>
        </is>
      </c>
      <c r="J1240" t="inlineStr">
        <is>
          <t/>
        </is>
      </c>
      <c r="K1240" t="n">
        <v>0.0</v>
      </c>
      <c r="L1240" t="n">
        <v>0.0</v>
      </c>
      <c r="M1240" t="n">
        <v>0.0</v>
      </c>
      <c r="N1240" t="inlineStr">
        <is>
          <t/>
        </is>
      </c>
      <c r="O1240" t="n">
        <v>0.0</v>
      </c>
      <c r="P1240" t="n">
        <v>0.0</v>
      </c>
      <c r="Q1240" t="inlineStr">
        <is>
          <t/>
        </is>
      </c>
      <c r="R1240" t="inlineStr">
        <is>
          <t/>
        </is>
      </c>
      <c r="S1240" t="n">
        <v>0.0</v>
      </c>
      <c r="T1240" t="n">
        <v>0.0</v>
      </c>
      <c r="U1240" t="n">
        <v>0.0</v>
      </c>
      <c r="V1240" t="n">
        <v>0.0</v>
      </c>
      <c r="W1240" t="inlineStr">
        <is>
          <t/>
        </is>
      </c>
      <c r="X1240" t="n">
        <v>0.0</v>
      </c>
      <c r="Y1240" t="n">
        <v>0.0</v>
      </c>
      <c r="Z1240" t="n">
        <v>0.0</v>
      </c>
      <c r="AA1240" t="n">
        <v>0.0</v>
      </c>
      <c r="AB1240" t="n">
        <v>0.0</v>
      </c>
      <c r="AC1240" t="n">
        <v>0.0</v>
      </c>
      <c r="AD1240" t="n">
        <v>0.0</v>
      </c>
      <c r="AE1240" t="n">
        <v>0.0</v>
      </c>
      <c r="AF1240" t="n">
        <v>0.0</v>
      </c>
      <c r="AG1240" t="n">
        <v>0.0</v>
      </c>
      <c r="AH1240" t="n">
        <v>0.0</v>
      </c>
      <c r="AI1240" t="n">
        <v>0.0</v>
      </c>
      <c r="AJ1240" t="n">
        <v>0.0</v>
      </c>
      <c r="AK1240" t="inlineStr">
        <is>
          <t/>
        </is>
      </c>
      <c r="AL1240" t="inlineStr">
        <is>
          <t/>
        </is>
      </c>
    </row>
    <row r="1241">
      <c r="A1241" t="inlineStr">
        <is>
          <t>原来69吃一周的低脂餐也能吃这么爽😭</t>
        </is>
      </c>
      <c r="B1241" t="inlineStr">
        <is>
          <t>6a0ad35f0000000035024e5e</t>
        </is>
      </c>
      <c r="C1241" s="1240" t="n">
        <f>HYPERLINK("https://www.xiaohongshu.com/explore/6a0ad35f0000000035024e5e?xsec_token=TBoSBcPF-YdRwRwQio-1GXR8RMq7-9mvGZQ_BaSUTiQSI=&amp;xsec_source=pc_trdark","https://www.xiaohongshu.com/explore/6a0ad35f0000000035024e5e?xsec_token=TBoSBcPF-YdRwRwQio-1GXR8RMq7-9mvGZQ_BaSUTiQSI=&amp;xsec_source=pc_trdark")</f>
        <v>0.0</v>
      </c>
      <c r="D1241" t="inlineStr">
        <is>
          <t>鲜水湾甄选</t>
        </is>
      </c>
      <c r="E1241" t="inlineStr">
        <is>
          <t>27401929161</t>
        </is>
      </c>
      <c r="F1241" t="inlineStr">
        <is>
          <t>2026-05-18 18:33:00</t>
        </is>
      </c>
      <c r="G1241" t="inlineStr">
        <is>
          <t>图文</t>
        </is>
      </c>
      <c r="H1241" t="inlineStr">
        <is>
          <t>手剥虾仁 无冰衣无添加 低脂餐一人食 上班带饭 顺丰包邮 5盒装</t>
        </is>
      </c>
      <c r="I1241" t="inlineStr">
        <is>
          <t>694baba01d450d00013662f0</t>
        </is>
      </c>
      <c r="J1241" t="inlineStr">
        <is>
          <t/>
        </is>
      </c>
      <c r="K1241" t="n">
        <v>0.0</v>
      </c>
      <c r="L1241" t="n">
        <v>0.0</v>
      </c>
      <c r="M1241" t="n">
        <v>0.0</v>
      </c>
      <c r="N1241" t="inlineStr">
        <is>
          <t/>
        </is>
      </c>
      <c r="O1241" t="n">
        <v>0.0</v>
      </c>
      <c r="P1241" t="n">
        <v>0.0</v>
      </c>
      <c r="Q1241" t="inlineStr">
        <is>
          <t/>
        </is>
      </c>
      <c r="R1241" t="inlineStr">
        <is>
          <t/>
        </is>
      </c>
      <c r="S1241" t="n">
        <v>0.0</v>
      </c>
      <c r="T1241" t="n">
        <v>0.0</v>
      </c>
      <c r="U1241" t="n">
        <v>0.0</v>
      </c>
      <c r="V1241" t="n">
        <v>0.0</v>
      </c>
      <c r="W1241" t="inlineStr">
        <is>
          <t/>
        </is>
      </c>
      <c r="X1241" t="n">
        <v>0.0</v>
      </c>
      <c r="Y1241" t="n">
        <v>0.0</v>
      </c>
      <c r="Z1241" t="n">
        <v>0.0</v>
      </c>
      <c r="AA1241" t="n">
        <v>0.0</v>
      </c>
      <c r="AB1241" t="n">
        <v>0.0</v>
      </c>
      <c r="AC1241" t="n">
        <v>0.0</v>
      </c>
      <c r="AD1241" t="n">
        <v>0.0</v>
      </c>
      <c r="AE1241" t="n">
        <v>0.0</v>
      </c>
      <c r="AF1241" t="n">
        <v>0.0</v>
      </c>
      <c r="AG1241" t="n">
        <v>0.0</v>
      </c>
      <c r="AH1241" t="n">
        <v>0.0</v>
      </c>
      <c r="AI1241" t="n">
        <v>0.0</v>
      </c>
      <c r="AJ1241" t="n">
        <v>0.0</v>
      </c>
      <c r="AK1241" t="inlineStr">
        <is>
          <t/>
        </is>
      </c>
      <c r="AL1241" t="inlineStr">
        <is>
          <t/>
        </is>
      </c>
    </row>
    <row r="1242">
      <c r="A1242" t="inlineStr">
        <is>
          <t>69块钱，承包了我5天高蛋白减脂餐</t>
        </is>
      </c>
      <c r="B1242" t="inlineStr">
        <is>
          <t>6a0abd63000000000702de2a</t>
        </is>
      </c>
      <c r="C1242" s="1241" t="n">
        <f>HYPERLINK("https://www.xiaohongshu.com/explore/6a0abd63000000000702de2a?xsec_token=TBoSBcPF-YdRwRwQio-1GXR2fjCiJ944eWINzk6XOdbGc=&amp;xsec_source=pc_trdark","https://www.xiaohongshu.com/explore/6a0abd63000000000702de2a?xsec_token=TBoSBcPF-YdRwRwQio-1GXR2fjCiJ944eWINzk6XOdbGc=&amp;xsec_source=pc_trdark")</f>
        <v>0.0</v>
      </c>
      <c r="D1242" t="inlineStr">
        <is>
          <t>婉婉上班吃什么</t>
        </is>
      </c>
      <c r="E1242" t="inlineStr">
        <is>
          <t>11434449706</t>
        </is>
      </c>
      <c r="F1242" t="inlineStr">
        <is>
          <t>2026-05-18 15:18:59</t>
        </is>
      </c>
      <c r="G1242" t="inlineStr">
        <is>
          <t>图文</t>
        </is>
      </c>
      <c r="H1242" t="inlineStr">
        <is>
          <t>手剥虾仁 无冰衣无添加 低脂餐一人食 上班带饭 顺丰包邮 5盒装</t>
        </is>
      </c>
      <c r="I1242" t="inlineStr">
        <is>
          <t>694baba01d450d00013662f0</t>
        </is>
      </c>
      <c r="J1242" t="inlineStr">
        <is>
          <t/>
        </is>
      </c>
      <c r="K1242" t="n">
        <v>0.0</v>
      </c>
      <c r="L1242" t="n">
        <v>0.0</v>
      </c>
      <c r="M1242" t="n">
        <v>0.0</v>
      </c>
      <c r="N1242" t="inlineStr">
        <is>
          <t/>
        </is>
      </c>
      <c r="O1242" t="n">
        <v>0.0</v>
      </c>
      <c r="P1242" t="n">
        <v>0.0</v>
      </c>
      <c r="Q1242" t="inlineStr">
        <is>
          <t/>
        </is>
      </c>
      <c r="R1242" t="inlineStr">
        <is>
          <t/>
        </is>
      </c>
      <c r="S1242" t="n">
        <v>0.0</v>
      </c>
      <c r="T1242" t="n">
        <v>0.0</v>
      </c>
      <c r="U1242" t="n">
        <v>0.0</v>
      </c>
      <c r="V1242" t="n">
        <v>0.0</v>
      </c>
      <c r="W1242" t="inlineStr">
        <is>
          <t/>
        </is>
      </c>
      <c r="X1242" t="n">
        <v>0.0</v>
      </c>
      <c r="Y1242" t="n">
        <v>0.0</v>
      </c>
      <c r="Z1242" t="n">
        <v>0.0</v>
      </c>
      <c r="AA1242" t="n">
        <v>0.0</v>
      </c>
      <c r="AB1242" t="n">
        <v>0.0</v>
      </c>
      <c r="AC1242" t="n">
        <v>0.0</v>
      </c>
      <c r="AD1242" t="n">
        <v>0.0</v>
      </c>
      <c r="AE1242" t="n">
        <v>0.0</v>
      </c>
      <c r="AF1242" t="n">
        <v>0.0</v>
      </c>
      <c r="AG1242" t="n">
        <v>0.0</v>
      </c>
      <c r="AH1242" t="n">
        <v>0.0</v>
      </c>
      <c r="AI1242" t="n">
        <v>0.0</v>
      </c>
      <c r="AJ1242" t="n">
        <v>0.0</v>
      </c>
      <c r="AK1242" t="inlineStr">
        <is>
          <t/>
        </is>
      </c>
      <c r="AL1242" t="inlineStr">
        <is>
          <t/>
        </is>
      </c>
    </row>
    <row r="1243">
      <c r="A1243" t="inlineStr">
        <is>
          <t>谁说打工人带饭麻烦？5分钟搞定👩‍🍳</t>
        </is>
      </c>
      <c r="B1243" t="inlineStr">
        <is>
          <t>6a0abbbd0000000008000688</t>
        </is>
      </c>
      <c r="C1243" s="1242" t="n">
        <f>HYPERLINK("https://www.xiaohongshu.com/explore/6a0abbbd0000000008000688?xsec_token=TBoSBcPF-YdRwRwQio-1GXR3hAOmStOxD2kwAHEHbie8I=&amp;xsec_source=pc_trdark","https://www.xiaohongshu.com/explore/6a0abbbd0000000008000688?xsec_token=TBoSBcPF-YdRwRwQio-1GXR3hAOmStOxD2kwAHEHbie8I=&amp;xsec_source=pc_trdark")</f>
        <v>0.0</v>
      </c>
      <c r="D1243" t="inlineStr">
        <is>
          <t>菲菲上班吃什么</t>
        </is>
      </c>
      <c r="E1243" t="inlineStr">
        <is>
          <t>49936530607</t>
        </is>
      </c>
      <c r="F1243" t="inlineStr">
        <is>
          <t>2026-05-18 15:45:00</t>
        </is>
      </c>
      <c r="G1243" t="inlineStr">
        <is>
          <t>图文</t>
        </is>
      </c>
      <c r="H1243" t="inlineStr">
        <is>
          <t>手剥虾仁 无冰衣无添加 低脂餐一人食 上班带饭 顺丰包邮 5盒装</t>
        </is>
      </c>
      <c r="I1243" t="inlineStr">
        <is>
          <t>694baba01d450d00013662f0</t>
        </is>
      </c>
      <c r="J1243" t="inlineStr">
        <is>
          <t/>
        </is>
      </c>
      <c r="K1243" t="n">
        <v>0.0</v>
      </c>
      <c r="L1243" t="n">
        <v>0.0</v>
      </c>
      <c r="M1243" t="n">
        <v>0.0</v>
      </c>
      <c r="N1243" t="inlineStr">
        <is>
          <t/>
        </is>
      </c>
      <c r="O1243" t="n">
        <v>0.0</v>
      </c>
      <c r="P1243" t="n">
        <v>0.0</v>
      </c>
      <c r="Q1243" t="inlineStr">
        <is>
          <t/>
        </is>
      </c>
      <c r="R1243" t="inlineStr">
        <is>
          <t/>
        </is>
      </c>
      <c r="S1243" t="n">
        <v>0.0</v>
      </c>
      <c r="T1243" t="n">
        <v>0.0</v>
      </c>
      <c r="U1243" t="n">
        <v>0.0</v>
      </c>
      <c r="V1243" t="n">
        <v>0.0</v>
      </c>
      <c r="W1243" t="inlineStr">
        <is>
          <t/>
        </is>
      </c>
      <c r="X1243" t="n">
        <v>0.0</v>
      </c>
      <c r="Y1243" t="n">
        <v>0.0</v>
      </c>
      <c r="Z1243" t="n">
        <v>0.0</v>
      </c>
      <c r="AA1243" t="n">
        <v>0.0</v>
      </c>
      <c r="AB1243" t="n">
        <v>0.0</v>
      </c>
      <c r="AC1243" t="n">
        <v>0.0</v>
      </c>
      <c r="AD1243" t="n">
        <v>0.0</v>
      </c>
      <c r="AE1243" t="n">
        <v>0.0</v>
      </c>
      <c r="AF1243" t="n">
        <v>0.0</v>
      </c>
      <c r="AG1243" t="n">
        <v>0.0</v>
      </c>
      <c r="AH1243" t="n">
        <v>0.0</v>
      </c>
      <c r="AI1243" t="n">
        <v>0.0</v>
      </c>
      <c r="AJ1243" t="n">
        <v>0.0</v>
      </c>
      <c r="AK1243" t="inlineStr">
        <is>
          <t/>
        </is>
      </c>
      <c r="AL1243" t="inlineStr">
        <is>
          <t/>
        </is>
      </c>
    </row>
    <row r="1244">
      <c r="A1244" t="inlineStr">
        <is>
          <t>坚持吃三文鱼后，才懂它为什么没平替</t>
        </is>
      </c>
      <c r="B1244" t="inlineStr">
        <is>
          <t>6a0ab2990000000008024a34</t>
        </is>
      </c>
      <c r="C1244" s="1243" t="n">
        <f>HYPERLINK("https://www.xiaohongshu.com/explore/6a0ab2990000000008024a34?xsec_token=TBoSBcPF-YdRwRwQio-1GXR_6my3_xZovYi-lpTaffqgs=&amp;xsec_source=pc_trdark","https://www.xiaohongshu.com/explore/6a0ab2990000000008024a34?xsec_token=TBoSBcPF-YdRwRwQio-1GXR_6my3_xZovYi-lpTaffqgs=&amp;xsec_source=pc_trdark")</f>
        <v>0.0</v>
      </c>
      <c r="D1244" t="inlineStr">
        <is>
          <t>鲜水湾</t>
        </is>
      </c>
      <c r="E1244" t="inlineStr">
        <is>
          <t>49316638994</t>
        </is>
      </c>
      <c r="F1244" t="inlineStr">
        <is>
          <t>2026-05-18 14:32:57</t>
        </is>
      </c>
      <c r="G1244" t="inlineStr">
        <is>
          <t>图文</t>
        </is>
      </c>
      <c r="H1244" t="inlineStr">
        <is>
          <t>智利尾端中段整条三文鱼 8斤深海鱼低脂餐囤货一周备菜顺丰包邮</t>
        </is>
      </c>
      <c r="I1244" t="inlineStr">
        <is>
          <t>69fab80d64eb410001ece0c0</t>
        </is>
      </c>
      <c r="J1244" t="inlineStr">
        <is>
          <t/>
        </is>
      </c>
      <c r="K1244" t="n">
        <v>0.0</v>
      </c>
      <c r="L1244" t="n">
        <v>0.0</v>
      </c>
      <c r="M1244" t="n">
        <v>0.0</v>
      </c>
      <c r="N1244" t="inlineStr">
        <is>
          <t/>
        </is>
      </c>
      <c r="O1244" t="n">
        <v>0.0</v>
      </c>
      <c r="P1244" t="n">
        <v>0.0</v>
      </c>
      <c r="Q1244" t="inlineStr">
        <is>
          <t/>
        </is>
      </c>
      <c r="R1244" t="inlineStr">
        <is>
          <t/>
        </is>
      </c>
      <c r="S1244" t="n">
        <v>0.0</v>
      </c>
      <c r="T1244" t="n">
        <v>0.0</v>
      </c>
      <c r="U1244" t="n">
        <v>0.0</v>
      </c>
      <c r="V1244" t="n">
        <v>0.0</v>
      </c>
      <c r="W1244" t="inlineStr">
        <is>
          <t/>
        </is>
      </c>
      <c r="X1244" t="n">
        <v>0.0</v>
      </c>
      <c r="Y1244" t="n">
        <v>0.0</v>
      </c>
      <c r="Z1244" t="n">
        <v>0.0</v>
      </c>
      <c r="AA1244" t="n">
        <v>0.0</v>
      </c>
      <c r="AB1244" t="n">
        <v>0.0</v>
      </c>
      <c r="AC1244" t="n">
        <v>0.0</v>
      </c>
      <c r="AD1244" t="n">
        <v>0.0</v>
      </c>
      <c r="AE1244" t="n">
        <v>0.0</v>
      </c>
      <c r="AF1244" t="n">
        <v>0.0</v>
      </c>
      <c r="AG1244" t="n">
        <v>0.0</v>
      </c>
      <c r="AH1244" t="n">
        <v>0.0</v>
      </c>
      <c r="AI1244" t="n">
        <v>0.0</v>
      </c>
      <c r="AJ1244" t="n">
        <v>0.0</v>
      </c>
      <c r="AK1244" t="inlineStr">
        <is>
          <t/>
        </is>
      </c>
      <c r="AL1244" t="inlineStr">
        <is>
          <t/>
        </is>
      </c>
    </row>
    <row r="1245">
      <c r="A1245" t="inlineStr">
        <is>
          <t>算了不劝了，打工人有自己的预制菜…</t>
        </is>
      </c>
      <c r="B1245" t="inlineStr">
        <is>
          <t>6a0aa4e50000000035038c2e</t>
        </is>
      </c>
      <c r="C1245" s="1244" t="n">
        <f>HYPERLINK("https://www.xiaohongshu.com/explore/6a0aa4e50000000035038c2e?xsec_token=TBoSBcPF-YdRwRwQio-1GXRyFHtQseEdRp7WG-_GoqV-s=&amp;xsec_source=pc_trdark","https://www.xiaohongshu.com/explore/6a0aa4e50000000035038c2e?xsec_token=TBoSBcPF-YdRwRwQio-1GXRyFHtQseEdRp7WG-_GoqV-s=&amp;xsec_source=pc_trdark")</f>
        <v>0.0</v>
      </c>
      <c r="D1245" t="inlineStr">
        <is>
          <t>鲜水湾甄选</t>
        </is>
      </c>
      <c r="E1245" t="inlineStr">
        <is>
          <t>27401929161</t>
        </is>
      </c>
      <c r="F1245" t="inlineStr">
        <is>
          <t>2026-05-18 13:34:30</t>
        </is>
      </c>
      <c r="G1245" t="inlineStr">
        <is>
          <t>图文</t>
        </is>
      </c>
      <c r="H1245" t="inlineStr">
        <is>
          <t>手剥虾仁 无冰衣无添加 低脂餐一人食 上班带饭 顺丰包邮 5盒装</t>
        </is>
      </c>
      <c r="I1245" t="inlineStr">
        <is>
          <t>694baba01d450d00013662f0</t>
        </is>
      </c>
      <c r="J1245" t="inlineStr">
        <is>
          <t/>
        </is>
      </c>
      <c r="K1245" t="n">
        <v>0.0</v>
      </c>
      <c r="L1245" t="n">
        <v>0.0</v>
      </c>
      <c r="M1245" t="n">
        <v>0.0</v>
      </c>
      <c r="N1245" t="inlineStr">
        <is>
          <t/>
        </is>
      </c>
      <c r="O1245" t="n">
        <v>0.0</v>
      </c>
      <c r="P1245" t="n">
        <v>0.0</v>
      </c>
      <c r="Q1245" t="inlineStr">
        <is>
          <t/>
        </is>
      </c>
      <c r="R1245" t="inlineStr">
        <is>
          <t/>
        </is>
      </c>
      <c r="S1245" t="n">
        <v>0.0</v>
      </c>
      <c r="T1245" t="n">
        <v>0.0</v>
      </c>
      <c r="U1245" t="n">
        <v>0.0</v>
      </c>
      <c r="V1245" t="n">
        <v>0.0</v>
      </c>
      <c r="W1245" t="inlineStr">
        <is>
          <t/>
        </is>
      </c>
      <c r="X1245" t="n">
        <v>0.0</v>
      </c>
      <c r="Y1245" t="n">
        <v>0.0</v>
      </c>
      <c r="Z1245" t="n">
        <v>0.0</v>
      </c>
      <c r="AA1245" t="n">
        <v>0.0</v>
      </c>
      <c r="AB1245" t="n">
        <v>0.0</v>
      </c>
      <c r="AC1245" t="n">
        <v>0.0</v>
      </c>
      <c r="AD1245" t="n">
        <v>0.0</v>
      </c>
      <c r="AE1245" t="n">
        <v>0.0</v>
      </c>
      <c r="AF1245" t="n">
        <v>0.0</v>
      </c>
      <c r="AG1245" t="n">
        <v>0.0</v>
      </c>
      <c r="AH1245" t="n">
        <v>0.0</v>
      </c>
      <c r="AI1245" t="n">
        <v>0.0</v>
      </c>
      <c r="AJ1245" t="n">
        <v>0.0</v>
      </c>
      <c r="AK1245" t="inlineStr">
        <is>
          <t/>
        </is>
      </c>
      <c r="AL1245" t="inlineStr">
        <is>
          <t/>
        </is>
      </c>
    </row>
    <row r="1246">
      <c r="A1246" t="inlineStr">
        <is>
          <t>年轻人已经对100块钱的购买力没概念了…</t>
        </is>
      </c>
      <c r="B1246" t="inlineStr">
        <is>
          <t>6a0aa3a60000000006030601</t>
        </is>
      </c>
      <c r="C1246" s="1245" t="n">
        <f>HYPERLINK("https://www.xiaohongshu.com/explore/6a0aa3a60000000006030601?xsec_token=TBoSBcPF-YdRwRwQio-1GXR_I0bAP-iDERIgqSLphEL-0=&amp;xsec_source=pc_trdark","https://www.xiaohongshu.com/explore/6a0aa3a60000000006030601?xsec_token=TBoSBcPF-YdRwRwQio-1GXR_I0bAP-iDERIgqSLphEL-0=&amp;xsec_source=pc_trdark")</f>
        <v>0.0</v>
      </c>
      <c r="D1246" t="inlineStr">
        <is>
          <t>菲菲上班吃什么</t>
        </is>
      </c>
      <c r="E1246" t="inlineStr">
        <is>
          <t>49936530607</t>
        </is>
      </c>
      <c r="F1246" t="inlineStr">
        <is>
          <t>2026-05-18 13:29:11</t>
        </is>
      </c>
      <c r="G1246" t="inlineStr">
        <is>
          <t>图文</t>
        </is>
      </c>
      <c r="H1246" t="inlineStr">
        <is>
          <t>手剥虾仁 无冰衣无添加 低脂餐一人食 上班带饭 顺丰包邮 5盒装</t>
        </is>
      </c>
      <c r="I1246" t="inlineStr">
        <is>
          <t>694baba01d450d00013662f0</t>
        </is>
      </c>
      <c r="J1246" t="inlineStr">
        <is>
          <t/>
        </is>
      </c>
      <c r="K1246" t="n">
        <v>0.0</v>
      </c>
      <c r="L1246" t="n">
        <v>0.0</v>
      </c>
      <c r="M1246" t="n">
        <v>0.0</v>
      </c>
      <c r="N1246" t="inlineStr">
        <is>
          <t/>
        </is>
      </c>
      <c r="O1246" t="n">
        <v>0.0</v>
      </c>
      <c r="P1246" t="n">
        <v>0.0</v>
      </c>
      <c r="Q1246" t="inlineStr">
        <is>
          <t/>
        </is>
      </c>
      <c r="R1246" t="inlineStr">
        <is>
          <t/>
        </is>
      </c>
      <c r="S1246" t="n">
        <v>0.0</v>
      </c>
      <c r="T1246" t="n">
        <v>0.0</v>
      </c>
      <c r="U1246" t="n">
        <v>0.0</v>
      </c>
      <c r="V1246" t="n">
        <v>0.0</v>
      </c>
      <c r="W1246" t="inlineStr">
        <is>
          <t/>
        </is>
      </c>
      <c r="X1246" t="n">
        <v>0.0</v>
      </c>
      <c r="Y1246" t="n">
        <v>0.0</v>
      </c>
      <c r="Z1246" t="n">
        <v>0.0</v>
      </c>
      <c r="AA1246" t="n">
        <v>0.0</v>
      </c>
      <c r="AB1246" t="n">
        <v>0.0</v>
      </c>
      <c r="AC1246" t="n">
        <v>0.0</v>
      </c>
      <c r="AD1246" t="n">
        <v>0.0</v>
      </c>
      <c r="AE1246" t="n">
        <v>0.0</v>
      </c>
      <c r="AF1246" t="n">
        <v>0.0</v>
      </c>
      <c r="AG1246" t="n">
        <v>0.0</v>
      </c>
      <c r="AH1246" t="n">
        <v>0.0</v>
      </c>
      <c r="AI1246" t="n">
        <v>0.0</v>
      </c>
      <c r="AJ1246" t="n">
        <v>0.0</v>
      </c>
      <c r="AK1246" t="inlineStr">
        <is>
          <t/>
        </is>
      </c>
      <c r="AL1246" t="inlineStr">
        <is>
          <t/>
        </is>
      </c>
    </row>
    <row r="1247">
      <c r="A1247" t="inlineStr">
        <is>
          <t>🥹打工人一吃一个不吱声！！！</t>
        </is>
      </c>
      <c r="B1247" t="inlineStr">
        <is>
          <t>6a0a77cc0000000007021e05</t>
        </is>
      </c>
      <c r="C1247" s="1246" t="n">
        <f>HYPERLINK("https://www.xiaohongshu.com/explore/6a0a77cc0000000007021e05?xsec_token=TBoSBcPF-YdRwRwQio-1GXR25TL4J3XKzFeAfhi3kuhY4=&amp;xsec_source=pc_trdark","https://www.xiaohongshu.com/explore/6a0a77cc0000000007021e05?xsec_token=TBoSBcPF-YdRwRwQio-1GXR25TL4J3XKzFeAfhi3kuhY4=&amp;xsec_source=pc_trdark")</f>
        <v>0.0</v>
      </c>
      <c r="D1247" t="inlineStr">
        <is>
          <t>菲菲上班吃什么</t>
        </is>
      </c>
      <c r="E1247" t="inlineStr">
        <is>
          <t>49936530607</t>
        </is>
      </c>
      <c r="F1247" t="inlineStr">
        <is>
          <t>2026-05-18 10:22:05</t>
        </is>
      </c>
      <c r="G1247" t="inlineStr">
        <is>
          <t>图文</t>
        </is>
      </c>
      <c r="H1247" t="inlineStr">
        <is>
          <t>手剥虾仁 无冰衣无添加 低脂餐一人食 上班带饭 顺丰包邮 5盒装</t>
        </is>
      </c>
      <c r="I1247" t="inlineStr">
        <is>
          <t>694baba01d450d00013662f0</t>
        </is>
      </c>
      <c r="J1247" t="inlineStr">
        <is>
          <t/>
        </is>
      </c>
      <c r="K1247" t="n">
        <v>0.0</v>
      </c>
      <c r="L1247" t="n">
        <v>0.0</v>
      </c>
      <c r="M1247" t="n">
        <v>0.0</v>
      </c>
      <c r="N1247" t="inlineStr">
        <is>
          <t/>
        </is>
      </c>
      <c r="O1247" t="n">
        <v>0.0</v>
      </c>
      <c r="P1247" t="n">
        <v>0.0</v>
      </c>
      <c r="Q1247" t="inlineStr">
        <is>
          <t/>
        </is>
      </c>
      <c r="R1247" t="inlineStr">
        <is>
          <t/>
        </is>
      </c>
      <c r="S1247" t="n">
        <v>0.0</v>
      </c>
      <c r="T1247" t="n">
        <v>0.0</v>
      </c>
      <c r="U1247" t="n">
        <v>0.0</v>
      </c>
      <c r="V1247" t="n">
        <v>0.0</v>
      </c>
      <c r="W1247" t="inlineStr">
        <is>
          <t/>
        </is>
      </c>
      <c r="X1247" t="n">
        <v>0.0</v>
      </c>
      <c r="Y1247" t="n">
        <v>0.0</v>
      </c>
      <c r="Z1247" t="n">
        <v>0.0</v>
      </c>
      <c r="AA1247" t="n">
        <v>0.0</v>
      </c>
      <c r="AB1247" t="n">
        <v>0.0</v>
      </c>
      <c r="AC1247" t="n">
        <v>0.0</v>
      </c>
      <c r="AD1247" t="n">
        <v>0.0</v>
      </c>
      <c r="AE1247" t="n">
        <v>0.0</v>
      </c>
      <c r="AF1247" t="n">
        <v>0.0</v>
      </c>
      <c r="AG1247" t="n">
        <v>0.0</v>
      </c>
      <c r="AH1247" t="n">
        <v>0.0</v>
      </c>
      <c r="AI1247" t="n">
        <v>0.0</v>
      </c>
      <c r="AJ1247" t="n">
        <v>0.0</v>
      </c>
      <c r="AK1247" t="inlineStr">
        <is>
          <t/>
        </is>
      </c>
      <c r="AL1247" t="inlineStr">
        <is>
          <t/>
        </is>
      </c>
    </row>
    <row r="1248">
      <c r="A1248" t="inlineStr">
        <is>
          <t>区区300块承包了我一周的减脂餐</t>
        </is>
      </c>
      <c r="B1248" t="inlineStr">
        <is>
          <t>6a09e1ad00000000070293c9</t>
        </is>
      </c>
      <c r="C1248" s="1247" t="n">
        <f>HYPERLINK("https://www.xiaohongshu.com/explore/6a09e1ad00000000070293c9?xsec_token=TBudBdZ8yM31AiJjpBdGD44hKeA8v6wXlsHOGaHfvp0Lk=&amp;xsec_source=pc_trdark","https://www.xiaohongshu.com/explore/6a09e1ad00000000070293c9?xsec_token=TBudBdZ8yM31AiJjpBdGD44hKeA8v6wXlsHOGaHfvp0Lk=&amp;xsec_source=pc_trdark")</f>
        <v>0.0</v>
      </c>
      <c r="D1248" t="inlineStr">
        <is>
          <t>鲜水湾</t>
        </is>
      </c>
      <c r="E1248" t="inlineStr">
        <is>
          <t>49316638994</t>
        </is>
      </c>
      <c r="F1248" t="inlineStr">
        <is>
          <t>2026-05-17 23:41:33</t>
        </is>
      </c>
      <c r="G1248" t="inlineStr">
        <is>
          <t>图文</t>
        </is>
      </c>
      <c r="H1248" t="inlineStr">
        <is>
          <t>智利尾端中段整条三文鱼 8斤深海鱼低脂餐囤货一周备菜顺丰包邮</t>
        </is>
      </c>
      <c r="I1248" t="inlineStr">
        <is>
          <t>69fab80d64eb410001ece0c0</t>
        </is>
      </c>
      <c r="J1248" t="inlineStr">
        <is>
          <t/>
        </is>
      </c>
      <c r="K1248" t="n">
        <v>0.0</v>
      </c>
      <c r="L1248" t="n">
        <v>0.0</v>
      </c>
      <c r="M1248" t="n">
        <v>0.0</v>
      </c>
      <c r="N1248" t="inlineStr">
        <is>
          <t/>
        </is>
      </c>
      <c r="O1248" t="n">
        <v>0.0</v>
      </c>
      <c r="P1248" t="n">
        <v>0.0</v>
      </c>
      <c r="Q1248" t="inlineStr">
        <is>
          <t/>
        </is>
      </c>
      <c r="R1248" t="inlineStr">
        <is>
          <t/>
        </is>
      </c>
      <c r="S1248" t="n">
        <v>0.0</v>
      </c>
      <c r="T1248" t="n">
        <v>0.0</v>
      </c>
      <c r="U1248" t="n">
        <v>0.0</v>
      </c>
      <c r="V1248" t="n">
        <v>0.0</v>
      </c>
      <c r="W1248" t="inlineStr">
        <is>
          <t/>
        </is>
      </c>
      <c r="X1248" t="n">
        <v>0.0</v>
      </c>
      <c r="Y1248" t="n">
        <v>0.0</v>
      </c>
      <c r="Z1248" t="n">
        <v>0.0</v>
      </c>
      <c r="AA1248" t="n">
        <v>0.0</v>
      </c>
      <c r="AB1248" t="n">
        <v>0.0</v>
      </c>
      <c r="AC1248" t="n">
        <v>0.0</v>
      </c>
      <c r="AD1248" t="n">
        <v>0.0</v>
      </c>
      <c r="AE1248" t="n">
        <v>0.0</v>
      </c>
      <c r="AF1248" t="n">
        <v>0.0</v>
      </c>
      <c r="AG1248" t="n">
        <v>0.0</v>
      </c>
      <c r="AH1248" t="n">
        <v>0.0</v>
      </c>
      <c r="AI1248" t="n">
        <v>0.0</v>
      </c>
      <c r="AJ1248" t="n">
        <v>0.0</v>
      </c>
      <c r="AK1248" t="inlineStr">
        <is>
          <t/>
        </is>
      </c>
      <c r="AL1248" t="inlineStr">
        <is>
          <t/>
        </is>
      </c>
    </row>
    <row r="1249">
      <c r="A1249" t="inlineStr">
        <is>
          <t>比轻食外卖划算太多了🥹</t>
        </is>
      </c>
      <c r="B1249" t="inlineStr">
        <is>
          <t>6a09412b000000003502d933</t>
        </is>
      </c>
      <c r="C1249" s="1248" t="n">
        <f>HYPERLINK("https://www.xiaohongshu.com/explore/6a09412b000000003502d933?xsec_token=TBudBdZ8yM31AiJjpBdGD44tnEsXvaqT-2pBya4Pt_sSs=&amp;xsec_source=pc_trdark","https://www.xiaohongshu.com/explore/6a09412b000000003502d933?xsec_token=TBudBdZ8yM31AiJjpBdGD44tnEsXvaqT-2pBya4Pt_sSs=&amp;xsec_source=pc_trdark")</f>
        <v>0.0</v>
      </c>
      <c r="D1249" t="inlineStr">
        <is>
          <t>鲜水湾甄选</t>
        </is>
      </c>
      <c r="E1249" t="inlineStr">
        <is>
          <t>27401929161</t>
        </is>
      </c>
      <c r="F1249" t="inlineStr">
        <is>
          <t>2026-05-17 22:16:00</t>
        </is>
      </c>
      <c r="G1249" t="inlineStr">
        <is>
          <t>图文</t>
        </is>
      </c>
      <c r="H1249" t="inlineStr">
        <is>
          <t>手剥虾仁 无冰衣无添加 低脂餐一人食 上班带饭 顺丰包邮 5盒装</t>
        </is>
      </c>
      <c r="I1249" t="inlineStr">
        <is>
          <t>694baba01d450d00013662f0</t>
        </is>
      </c>
      <c r="J1249" t="inlineStr">
        <is>
          <t/>
        </is>
      </c>
      <c r="K1249" t="n">
        <v>0.0</v>
      </c>
      <c r="L1249" t="n">
        <v>0.0</v>
      </c>
      <c r="M1249" t="n">
        <v>0.0</v>
      </c>
      <c r="N1249" t="inlineStr">
        <is>
          <t/>
        </is>
      </c>
      <c r="O1249" t="n">
        <v>0.0</v>
      </c>
      <c r="P1249" t="n">
        <v>0.0</v>
      </c>
      <c r="Q1249" t="inlineStr">
        <is>
          <t/>
        </is>
      </c>
      <c r="R1249" t="inlineStr">
        <is>
          <t/>
        </is>
      </c>
      <c r="S1249" t="n">
        <v>0.0</v>
      </c>
      <c r="T1249" t="n">
        <v>0.0</v>
      </c>
      <c r="U1249" t="n">
        <v>0.0</v>
      </c>
      <c r="V1249" t="n">
        <v>0.0</v>
      </c>
      <c r="W1249" t="inlineStr">
        <is>
          <t/>
        </is>
      </c>
      <c r="X1249" t="n">
        <v>0.0</v>
      </c>
      <c r="Y1249" t="n">
        <v>0.0</v>
      </c>
      <c r="Z1249" t="n">
        <v>0.0</v>
      </c>
      <c r="AA1249" t="n">
        <v>0.0</v>
      </c>
      <c r="AB1249" t="n">
        <v>0.0</v>
      </c>
      <c r="AC1249" t="n">
        <v>0.0</v>
      </c>
      <c r="AD1249" t="n">
        <v>0.0</v>
      </c>
      <c r="AE1249" t="n">
        <v>0.0</v>
      </c>
      <c r="AF1249" t="n">
        <v>0.0</v>
      </c>
      <c r="AG1249" t="n">
        <v>0.0</v>
      </c>
      <c r="AH1249" t="n">
        <v>0.0</v>
      </c>
      <c r="AI1249" t="n">
        <v>0.0</v>
      </c>
      <c r="AJ1249" t="n">
        <v>0.0</v>
      </c>
      <c r="AK1249" t="inlineStr">
        <is>
          <t/>
        </is>
      </c>
      <c r="AL1249" t="inlineStr">
        <is>
          <t/>
        </is>
      </c>
    </row>
    <row r="1250">
      <c r="A1250" t="inlineStr">
        <is>
          <t>夏天能不能穿漂亮裙子，就靠你了！</t>
        </is>
      </c>
      <c r="B1250" t="inlineStr">
        <is>
          <t>6a094099000000003502078c</t>
        </is>
      </c>
      <c r="C1250" s="1249" t="n">
        <f>HYPERLINK("https://www.xiaohongshu.com/explore/6a094099000000003502078c?xsec_token=TBudBdZ8yM31AiJjpBdGD44pkQwttujxIo0sy_JzzC8n0=&amp;xsec_source=pc_trdark","https://www.xiaohongshu.com/explore/6a094099000000003502078c?xsec_token=TBudBdZ8yM31AiJjpBdGD44pkQwttujxIo0sy_JzzC8n0=&amp;xsec_source=pc_trdark")</f>
        <v>0.0</v>
      </c>
      <c r="D1250" t="inlineStr">
        <is>
          <t>鲜水湾甄选</t>
        </is>
      </c>
      <c r="E1250" t="inlineStr">
        <is>
          <t>27401929161</t>
        </is>
      </c>
      <c r="F1250" t="inlineStr">
        <is>
          <t>2026-05-17 19:55:00</t>
        </is>
      </c>
      <c r="G1250" t="inlineStr">
        <is>
          <t>图文</t>
        </is>
      </c>
      <c r="H1250" t="inlineStr">
        <is>
          <t>手剥虾仁 无冰衣无添加 低脂餐一人食 上班带饭 顺丰包邮 5盒装</t>
        </is>
      </c>
      <c r="I1250" t="inlineStr">
        <is>
          <t>694baba01d450d00013662f0</t>
        </is>
      </c>
      <c r="J1250" t="inlineStr">
        <is>
          <t/>
        </is>
      </c>
      <c r="K1250" t="n">
        <v>0.0</v>
      </c>
      <c r="L1250" t="n">
        <v>0.0</v>
      </c>
      <c r="M1250" t="n">
        <v>0.0</v>
      </c>
      <c r="N1250" t="inlineStr">
        <is>
          <t/>
        </is>
      </c>
      <c r="O1250" t="n">
        <v>0.0</v>
      </c>
      <c r="P1250" t="n">
        <v>0.0</v>
      </c>
      <c r="Q1250" t="inlineStr">
        <is>
          <t/>
        </is>
      </c>
      <c r="R1250" t="inlineStr">
        <is>
          <t/>
        </is>
      </c>
      <c r="S1250" t="n">
        <v>0.0</v>
      </c>
      <c r="T1250" t="n">
        <v>0.0</v>
      </c>
      <c r="U1250" t="n">
        <v>0.0</v>
      </c>
      <c r="V1250" t="n">
        <v>0.0</v>
      </c>
      <c r="W1250" t="inlineStr">
        <is>
          <t/>
        </is>
      </c>
      <c r="X1250" t="n">
        <v>0.0</v>
      </c>
      <c r="Y1250" t="n">
        <v>0.0</v>
      </c>
      <c r="Z1250" t="n">
        <v>0.0</v>
      </c>
      <c r="AA1250" t="n">
        <v>0.0</v>
      </c>
      <c r="AB1250" t="n">
        <v>0.0</v>
      </c>
      <c r="AC1250" t="n">
        <v>0.0</v>
      </c>
      <c r="AD1250" t="n">
        <v>0.0</v>
      </c>
      <c r="AE1250" t="n">
        <v>0.0</v>
      </c>
      <c r="AF1250" t="n">
        <v>0.0</v>
      </c>
      <c r="AG1250" t="n">
        <v>0.0</v>
      </c>
      <c r="AH1250" t="n">
        <v>0.0</v>
      </c>
      <c r="AI1250" t="n">
        <v>0.0</v>
      </c>
      <c r="AJ1250" t="n">
        <v>0.0</v>
      </c>
      <c r="AK1250" t="inlineStr">
        <is>
          <t/>
        </is>
      </c>
      <c r="AL1250" t="inlineStr">
        <is>
          <t/>
        </is>
      </c>
    </row>
    <row r="1251">
      <c r="A1251" t="inlineStr">
        <is>
          <t>69囤的虾仁，居然让我开始做饭了🤣</t>
        </is>
      </c>
      <c r="B1251" t="inlineStr">
        <is>
          <t>6a093dbd0000000006033243</t>
        </is>
      </c>
      <c r="C1251" s="1250" t="n">
        <f>HYPERLINK("https://www.xiaohongshu.com/explore/6a093dbd0000000006033243?xsec_token=TBudBdZ8yM31AiJjpBdGD44nJz4trPXcE2pn20i6xlcvg=&amp;xsec_source=pc_trdark","https://www.xiaohongshu.com/explore/6a093dbd0000000006033243?xsec_token=TBudBdZ8yM31AiJjpBdGD44nJz4trPXcE2pn20i6xlcvg=&amp;xsec_source=pc_trdark")</f>
        <v>0.0</v>
      </c>
      <c r="D1251" t="inlineStr">
        <is>
          <t>菲菲上班吃什么</t>
        </is>
      </c>
      <c r="E1251" t="inlineStr">
        <is>
          <t>49936530607</t>
        </is>
      </c>
      <c r="F1251" t="inlineStr">
        <is>
          <t>2026-05-17 20:25:00</t>
        </is>
      </c>
      <c r="G1251" t="inlineStr">
        <is>
          <t>图文</t>
        </is>
      </c>
      <c r="H1251" t="inlineStr">
        <is>
          <t>手剥虾仁 无冰衣无添加 低脂餐一人食 上班带饭 顺丰包邮 5盒装</t>
        </is>
      </c>
      <c r="I1251" t="inlineStr">
        <is>
          <t>694baba01d450d00013662f0</t>
        </is>
      </c>
      <c r="J1251" t="inlineStr">
        <is>
          <t/>
        </is>
      </c>
      <c r="K1251" t="n">
        <v>0.0</v>
      </c>
      <c r="L1251" t="n">
        <v>0.0</v>
      </c>
      <c r="M1251" t="n">
        <v>0.0</v>
      </c>
      <c r="N1251" t="inlineStr">
        <is>
          <t/>
        </is>
      </c>
      <c r="O1251" t="n">
        <v>0.0</v>
      </c>
      <c r="P1251" t="n">
        <v>0.0</v>
      </c>
      <c r="Q1251" t="inlineStr">
        <is>
          <t/>
        </is>
      </c>
      <c r="R1251" t="inlineStr">
        <is>
          <t/>
        </is>
      </c>
      <c r="S1251" t="n">
        <v>0.0</v>
      </c>
      <c r="T1251" t="n">
        <v>0.0</v>
      </c>
      <c r="U1251" t="n">
        <v>0.0</v>
      </c>
      <c r="V1251" t="n">
        <v>0.0</v>
      </c>
      <c r="W1251" t="inlineStr">
        <is>
          <t/>
        </is>
      </c>
      <c r="X1251" t="n">
        <v>0.0</v>
      </c>
      <c r="Y1251" t="n">
        <v>0.0</v>
      </c>
      <c r="Z1251" t="n">
        <v>0.0</v>
      </c>
      <c r="AA1251" t="n">
        <v>0.0</v>
      </c>
      <c r="AB1251" t="n">
        <v>0.0</v>
      </c>
      <c r="AC1251" t="n">
        <v>0.0</v>
      </c>
      <c r="AD1251" t="n">
        <v>0.0</v>
      </c>
      <c r="AE1251" t="n">
        <v>0.0</v>
      </c>
      <c r="AF1251" t="n">
        <v>0.0</v>
      </c>
      <c r="AG1251" t="n">
        <v>0.0</v>
      </c>
      <c r="AH1251" t="n">
        <v>0.0</v>
      </c>
      <c r="AI1251" t="n">
        <v>0.0</v>
      </c>
      <c r="AJ1251" t="n">
        <v>0.0</v>
      </c>
      <c r="AK1251" t="inlineStr">
        <is>
          <t/>
        </is>
      </c>
      <c r="AL1251" t="inlineStr">
        <is>
          <t/>
        </is>
      </c>
    </row>
    <row r="1252">
      <c r="A1252" t="inlineStr">
        <is>
          <t>减脂人冰箱里一定要有虾仁😭</t>
        </is>
      </c>
      <c r="B1252" t="inlineStr">
        <is>
          <t>6a093d0e00000000080038aa</t>
        </is>
      </c>
      <c r="C1252" s="1251" t="n">
        <f>HYPERLINK("https://www.xiaohongshu.com/explore/6a093d0e00000000080038aa?xsec_token=TBudBdZ8yM31AiJjpBdGD44oujjhJ8sVx8IfVKOR41r-0=&amp;xsec_source=pc_trdark","https://www.xiaohongshu.com/explore/6a093d0e00000000080038aa?xsec_token=TBudBdZ8yM31AiJjpBdGD44oujjhJ8sVx8IfVKOR41r-0=&amp;xsec_source=pc_trdark")</f>
        <v>0.0</v>
      </c>
      <c r="D1252" t="inlineStr">
        <is>
          <t>菲菲上班吃什么</t>
        </is>
      </c>
      <c r="E1252" t="inlineStr">
        <is>
          <t>49936530607</t>
        </is>
      </c>
      <c r="F1252" t="inlineStr">
        <is>
          <t>2026-05-17 17:07:00</t>
        </is>
      </c>
      <c r="G1252" t="inlineStr">
        <is>
          <t>图文</t>
        </is>
      </c>
      <c r="H1252" t="inlineStr">
        <is>
          <t>手剥虾仁 无冰衣无添加 低脂餐一人食 上班带饭 顺丰包邮 5盒装</t>
        </is>
      </c>
      <c r="I1252" t="inlineStr">
        <is>
          <t>694baba01d450d00013662f0</t>
        </is>
      </c>
      <c r="J1252" t="inlineStr">
        <is>
          <t/>
        </is>
      </c>
      <c r="K1252" t="n">
        <v>0.0</v>
      </c>
      <c r="L1252" t="n">
        <v>0.0</v>
      </c>
      <c r="M1252" t="n">
        <v>0.0</v>
      </c>
      <c r="N1252" t="inlineStr">
        <is>
          <t/>
        </is>
      </c>
      <c r="O1252" t="n">
        <v>0.0</v>
      </c>
      <c r="P1252" t="n">
        <v>0.0</v>
      </c>
      <c r="Q1252" t="inlineStr">
        <is>
          <t/>
        </is>
      </c>
      <c r="R1252" t="inlineStr">
        <is>
          <t/>
        </is>
      </c>
      <c r="S1252" t="n">
        <v>0.0</v>
      </c>
      <c r="T1252" t="n">
        <v>0.0</v>
      </c>
      <c r="U1252" t="n">
        <v>0.0</v>
      </c>
      <c r="V1252" t="n">
        <v>0.0</v>
      </c>
      <c r="W1252" t="inlineStr">
        <is>
          <t/>
        </is>
      </c>
      <c r="X1252" t="n">
        <v>0.0</v>
      </c>
      <c r="Y1252" t="n">
        <v>0.0</v>
      </c>
      <c r="Z1252" t="n">
        <v>0.0</v>
      </c>
      <c r="AA1252" t="n">
        <v>0.0</v>
      </c>
      <c r="AB1252" t="n">
        <v>0.0</v>
      </c>
      <c r="AC1252" t="n">
        <v>0.0</v>
      </c>
      <c r="AD1252" t="n">
        <v>0.0</v>
      </c>
      <c r="AE1252" t="n">
        <v>0.0</v>
      </c>
      <c r="AF1252" t="n">
        <v>0.0</v>
      </c>
      <c r="AG1252" t="n">
        <v>0.0</v>
      </c>
      <c r="AH1252" t="n">
        <v>0.0</v>
      </c>
      <c r="AI1252" t="n">
        <v>0.0</v>
      </c>
      <c r="AJ1252" t="n">
        <v>0.0</v>
      </c>
      <c r="AK1252" t="inlineStr">
        <is>
          <t/>
        </is>
      </c>
      <c r="AL1252" t="inlineStr">
        <is>
          <t/>
        </is>
      </c>
    </row>
    <row r="1253">
      <c r="A1253" t="inlineStr">
        <is>
          <t>我终于找到好吃不腥的虾仁了😭</t>
        </is>
      </c>
      <c r="B1253" t="inlineStr">
        <is>
          <t>6a093cab0000000006032cab</t>
        </is>
      </c>
      <c r="C1253" s="1252" t="n">
        <f>HYPERLINK("https://www.xiaohongshu.com/explore/6a093cab0000000006032cab?xsec_token=TBudBdZ8yM31AiJjpBdGD44vEOd-38uLGWtRDmX3Ft70s=&amp;xsec_source=pc_trdark","https://www.xiaohongshu.com/explore/6a093cab0000000006032cab?xsec_token=TBudBdZ8yM31AiJjpBdGD44vEOd-38uLGWtRDmX3Ft70s=&amp;xsec_source=pc_trdark")</f>
        <v>0.0</v>
      </c>
      <c r="D1253" t="inlineStr">
        <is>
          <t>菲菲上班吃什么</t>
        </is>
      </c>
      <c r="E1253" t="inlineStr">
        <is>
          <t>49936530607</t>
        </is>
      </c>
      <c r="F1253" t="inlineStr">
        <is>
          <t>2026-05-17 15:36:00</t>
        </is>
      </c>
      <c r="G1253" t="inlineStr">
        <is>
          <t>图文</t>
        </is>
      </c>
      <c r="H1253" t="inlineStr">
        <is>
          <t>手剥虾仁 无冰衣无添加 低脂餐一人食 上班带饭 顺丰包邮 5盒装</t>
        </is>
      </c>
      <c r="I1253" t="inlineStr">
        <is>
          <t>694baba01d450d00013662f0</t>
        </is>
      </c>
      <c r="J1253" t="inlineStr">
        <is>
          <t/>
        </is>
      </c>
      <c r="K1253" t="n">
        <v>0.0</v>
      </c>
      <c r="L1253" t="n">
        <v>0.0</v>
      </c>
      <c r="M1253" t="n">
        <v>0.0</v>
      </c>
      <c r="N1253" t="inlineStr">
        <is>
          <t/>
        </is>
      </c>
      <c r="O1253" t="n">
        <v>0.0</v>
      </c>
      <c r="P1253" t="n">
        <v>0.0</v>
      </c>
      <c r="Q1253" t="inlineStr">
        <is>
          <t/>
        </is>
      </c>
      <c r="R1253" t="inlineStr">
        <is>
          <t/>
        </is>
      </c>
      <c r="S1253" t="n">
        <v>0.0</v>
      </c>
      <c r="T1253" t="n">
        <v>0.0</v>
      </c>
      <c r="U1253" t="n">
        <v>0.0</v>
      </c>
      <c r="V1253" t="n">
        <v>0.0</v>
      </c>
      <c r="W1253" t="inlineStr">
        <is>
          <t/>
        </is>
      </c>
      <c r="X1253" t="n">
        <v>0.0</v>
      </c>
      <c r="Y1253" t="n">
        <v>0.0</v>
      </c>
      <c r="Z1253" t="n">
        <v>0.0</v>
      </c>
      <c r="AA1253" t="n">
        <v>0.0</v>
      </c>
      <c r="AB1253" t="n">
        <v>0.0</v>
      </c>
      <c r="AC1253" t="n">
        <v>0.0</v>
      </c>
      <c r="AD1253" t="n">
        <v>0.0</v>
      </c>
      <c r="AE1253" t="n">
        <v>0.0</v>
      </c>
      <c r="AF1253" t="n">
        <v>0.0</v>
      </c>
      <c r="AG1253" t="n">
        <v>0.0</v>
      </c>
      <c r="AH1253" t="n">
        <v>0.0</v>
      </c>
      <c r="AI1253" t="n">
        <v>0.0</v>
      </c>
      <c r="AJ1253" t="n">
        <v>0.0</v>
      </c>
      <c r="AK1253" t="inlineStr">
        <is>
          <t/>
        </is>
      </c>
      <c r="AL1253" t="inlineStr">
        <is>
          <t/>
        </is>
      </c>
    </row>
    <row r="1254">
      <c r="A1254" t="inlineStr">
        <is>
          <t>69块承包一周减脂餐，真真真香⚠️</t>
        </is>
      </c>
      <c r="B1254" t="inlineStr">
        <is>
          <t>6a093c4e0000000007025f5a</t>
        </is>
      </c>
      <c r="C1254" s="1253" t="n">
        <f>HYPERLINK("https://www.xiaohongshu.com/explore/6a093c4e0000000007025f5a?xsec_token=TBudBdZ8yM31AiJjpBdGD44qucy9L3G3R6DSZwN3xZTp8=&amp;xsec_source=pc_trdark","https://www.xiaohongshu.com/explore/6a093c4e0000000007025f5a?xsec_token=TBudBdZ8yM31AiJjpBdGD44qucy9L3G3R6DSZwN3xZTp8=&amp;xsec_source=pc_trdark")</f>
        <v>0.0</v>
      </c>
      <c r="D1254" t="inlineStr">
        <is>
          <t>菲菲上班吃什么</t>
        </is>
      </c>
      <c r="E1254" t="inlineStr">
        <is>
          <t>49936530607</t>
        </is>
      </c>
      <c r="F1254" t="inlineStr">
        <is>
          <t>2026-05-17 13:55:00</t>
        </is>
      </c>
      <c r="G1254" t="inlineStr">
        <is>
          <t>图文</t>
        </is>
      </c>
      <c r="H1254" t="inlineStr">
        <is>
          <t>手剥虾仁 无冰衣无添加 低脂餐一人食 上班带饭 顺丰包邮 5盒装</t>
        </is>
      </c>
      <c r="I1254" t="inlineStr">
        <is>
          <t>694baba01d450d00013662f0</t>
        </is>
      </c>
      <c r="J1254" t="inlineStr">
        <is>
          <t/>
        </is>
      </c>
      <c r="K1254" t="n">
        <v>0.0</v>
      </c>
      <c r="L1254" t="n">
        <v>0.0</v>
      </c>
      <c r="M1254" t="n">
        <v>0.0</v>
      </c>
      <c r="N1254" t="inlineStr">
        <is>
          <t/>
        </is>
      </c>
      <c r="O1254" t="n">
        <v>0.0</v>
      </c>
      <c r="P1254" t="n">
        <v>0.0</v>
      </c>
      <c r="Q1254" t="inlineStr">
        <is>
          <t/>
        </is>
      </c>
      <c r="R1254" t="inlineStr">
        <is>
          <t/>
        </is>
      </c>
      <c r="S1254" t="n">
        <v>0.0</v>
      </c>
      <c r="T1254" t="n">
        <v>0.0</v>
      </c>
      <c r="U1254" t="n">
        <v>0.0</v>
      </c>
      <c r="V1254" t="n">
        <v>0.0</v>
      </c>
      <c r="W1254" t="inlineStr">
        <is>
          <t/>
        </is>
      </c>
      <c r="X1254" t="n">
        <v>0.0</v>
      </c>
      <c r="Y1254" t="n">
        <v>0.0</v>
      </c>
      <c r="Z1254" t="n">
        <v>0.0</v>
      </c>
      <c r="AA1254" t="n">
        <v>0.0</v>
      </c>
      <c r="AB1254" t="n">
        <v>0.0</v>
      </c>
      <c r="AC1254" t="n">
        <v>0.0</v>
      </c>
      <c r="AD1254" t="n">
        <v>0.0</v>
      </c>
      <c r="AE1254" t="n">
        <v>0.0</v>
      </c>
      <c r="AF1254" t="n">
        <v>0.0</v>
      </c>
      <c r="AG1254" t="n">
        <v>0.0</v>
      </c>
      <c r="AH1254" t="n">
        <v>0.0</v>
      </c>
      <c r="AI1254" t="n">
        <v>0.0</v>
      </c>
      <c r="AJ1254" t="n">
        <v>0.0</v>
      </c>
      <c r="AK1254" t="inlineStr">
        <is>
          <t/>
        </is>
      </c>
      <c r="AL1254" t="inlineStr">
        <is>
          <t/>
        </is>
      </c>
    </row>
    <row r="1255">
      <c r="A1255" t="inlineStr">
        <is>
          <t>独居一年，吃不够根本吃不够！！！！</t>
        </is>
      </c>
      <c r="B1255" t="inlineStr">
        <is>
          <t>6a093bfe000000000702c382</t>
        </is>
      </c>
      <c r="C1255" s="1254" t="n">
        <f>HYPERLINK("https://www.xiaohongshu.com/explore/6a093bfe000000000702c382?xsec_token=TBudBdZ8yM31AiJjpBdGD44uPDhVMkqVtZ-3HBgRGEYTs=&amp;xsec_source=pc_trdark","https://www.xiaohongshu.com/explore/6a093bfe000000000702c382?xsec_token=TBudBdZ8yM31AiJjpBdGD44uPDhVMkqVtZ-3HBgRGEYTs=&amp;xsec_source=pc_trdark")</f>
        <v>0.0</v>
      </c>
      <c r="D1255" t="inlineStr">
        <is>
          <t>菲菲上班吃什么</t>
        </is>
      </c>
      <c r="E1255" t="inlineStr">
        <is>
          <t>49936530607</t>
        </is>
      </c>
      <c r="F1255" t="inlineStr">
        <is>
          <t>2026-05-17 11:54:38</t>
        </is>
      </c>
      <c r="G1255" t="inlineStr">
        <is>
          <t>图文</t>
        </is>
      </c>
      <c r="H1255" t="inlineStr">
        <is>
          <t>手剥虾仁 无冰衣无添加 低脂餐一人食 上班带饭 顺丰包邮 5盒装</t>
        </is>
      </c>
      <c r="I1255" t="inlineStr">
        <is>
          <t>694baba01d450d00013662f0</t>
        </is>
      </c>
      <c r="J1255" t="inlineStr">
        <is>
          <t/>
        </is>
      </c>
      <c r="K1255" t="n">
        <v>0.0</v>
      </c>
      <c r="L1255" t="n">
        <v>0.0</v>
      </c>
      <c r="M1255" t="n">
        <v>0.0</v>
      </c>
      <c r="N1255" t="inlineStr">
        <is>
          <t/>
        </is>
      </c>
      <c r="O1255" t="n">
        <v>0.0</v>
      </c>
      <c r="P1255" t="n">
        <v>0.0</v>
      </c>
      <c r="Q1255" t="inlineStr">
        <is>
          <t/>
        </is>
      </c>
      <c r="R1255" t="inlineStr">
        <is>
          <t/>
        </is>
      </c>
      <c r="S1255" t="n">
        <v>0.0</v>
      </c>
      <c r="T1255" t="n">
        <v>0.0</v>
      </c>
      <c r="U1255" t="n">
        <v>0.0</v>
      </c>
      <c r="V1255" t="n">
        <v>0.0</v>
      </c>
      <c r="W1255" t="inlineStr">
        <is>
          <t/>
        </is>
      </c>
      <c r="X1255" t="n">
        <v>0.0</v>
      </c>
      <c r="Y1255" t="n">
        <v>0.0</v>
      </c>
      <c r="Z1255" t="n">
        <v>0.0</v>
      </c>
      <c r="AA1255" t="n">
        <v>0.0</v>
      </c>
      <c r="AB1255" t="n">
        <v>0.0</v>
      </c>
      <c r="AC1255" t="n">
        <v>0.0</v>
      </c>
      <c r="AD1255" t="n">
        <v>0.0</v>
      </c>
      <c r="AE1255" t="n">
        <v>0.0</v>
      </c>
      <c r="AF1255" t="n">
        <v>0.0</v>
      </c>
      <c r="AG1255" t="n">
        <v>0.0</v>
      </c>
      <c r="AH1255" t="n">
        <v>0.0</v>
      </c>
      <c r="AI1255" t="n">
        <v>0.0</v>
      </c>
      <c r="AJ1255" t="n">
        <v>0.0</v>
      </c>
      <c r="AK1255" t="inlineStr">
        <is>
          <t/>
        </is>
      </c>
      <c r="AL1255" t="inlineStr">
        <is>
          <t/>
        </is>
      </c>
    </row>
    <row r="1256">
      <c r="A1256" t="inlineStr">
        <is>
          <t>我将放弃牛排转入三文鱼大家族</t>
        </is>
      </c>
      <c r="B1256" t="inlineStr">
        <is>
          <t>6a089376000000000803fe12</t>
        </is>
      </c>
      <c r="C1256" s="1255" t="n">
        <f>HYPERLINK("https://www.xiaohongshu.com/explore/6a089376000000000803fe12?xsec_token=TB4DqilU8Iz_RTzVurf6g8emqwXoeFg8yMiggJAEs21DI=&amp;xsec_source=pc_trdark","https://www.xiaohongshu.com/explore/6a089376000000000803fe12?xsec_token=TB4DqilU8Iz_RTzVurf6g8emqwXoeFg8yMiggJAEs21DI=&amp;xsec_source=pc_trdark")</f>
        <v>0.0</v>
      </c>
      <c r="D1256" t="inlineStr">
        <is>
          <t>鲜水湾</t>
        </is>
      </c>
      <c r="E1256" t="inlineStr">
        <is>
          <t>49316638994</t>
        </is>
      </c>
      <c r="F1256" t="inlineStr">
        <is>
          <t>2026-05-16 23:55:35</t>
        </is>
      </c>
      <c r="G1256" t="inlineStr">
        <is>
          <t>图文</t>
        </is>
      </c>
      <c r="H1256" t="inlineStr">
        <is>
          <t>智利尾端中段整条三文鱼 8斤深海鱼低脂餐囤货一周备菜顺丰包邮</t>
        </is>
      </c>
      <c r="I1256" t="inlineStr">
        <is>
          <t>69fab80d64eb410001ece0c0</t>
        </is>
      </c>
      <c r="J1256" t="inlineStr">
        <is>
          <t/>
        </is>
      </c>
      <c r="K1256" t="n">
        <v>0.0</v>
      </c>
      <c r="L1256" t="n">
        <v>0.0</v>
      </c>
      <c r="M1256" t="n">
        <v>0.0</v>
      </c>
      <c r="N1256" t="inlineStr">
        <is>
          <t/>
        </is>
      </c>
      <c r="O1256" t="n">
        <v>0.0</v>
      </c>
      <c r="P1256" t="n">
        <v>0.0</v>
      </c>
      <c r="Q1256" t="inlineStr">
        <is>
          <t/>
        </is>
      </c>
      <c r="R1256" t="inlineStr">
        <is>
          <t/>
        </is>
      </c>
      <c r="S1256" t="n">
        <v>0.0</v>
      </c>
      <c r="T1256" t="n">
        <v>0.0</v>
      </c>
      <c r="U1256" t="n">
        <v>0.0</v>
      </c>
      <c r="V1256" t="n">
        <v>0.0</v>
      </c>
      <c r="W1256" t="inlineStr">
        <is>
          <t/>
        </is>
      </c>
      <c r="X1256" t="n">
        <v>0.0</v>
      </c>
      <c r="Y1256" t="n">
        <v>0.0</v>
      </c>
      <c r="Z1256" t="n">
        <v>0.0</v>
      </c>
      <c r="AA1256" t="n">
        <v>0.0</v>
      </c>
      <c r="AB1256" t="n">
        <v>0.0</v>
      </c>
      <c r="AC1256" t="n">
        <v>0.0</v>
      </c>
      <c r="AD1256" t="n">
        <v>0.0</v>
      </c>
      <c r="AE1256" t="n">
        <v>0.0</v>
      </c>
      <c r="AF1256" t="n">
        <v>0.0</v>
      </c>
      <c r="AG1256" t="n">
        <v>0.0</v>
      </c>
      <c r="AH1256" t="n">
        <v>0.0</v>
      </c>
      <c r="AI1256" t="n">
        <v>0.0</v>
      </c>
      <c r="AJ1256" t="n">
        <v>0.0</v>
      </c>
      <c r="AK1256" t="inlineStr">
        <is>
          <t/>
        </is>
      </c>
      <c r="AL1256" t="inlineStr">
        <is>
          <t/>
        </is>
      </c>
    </row>
    <row r="1257">
      <c r="A1257" t="inlineStr">
        <is>
          <t>老妈说：做生意要实在，不要给虾仁加科技</t>
        </is>
      </c>
      <c r="B1257" t="inlineStr">
        <is>
          <t>6a0840e40000000007011d7a</t>
        </is>
      </c>
      <c r="C1257" s="1256" t="n">
        <f>HYPERLINK("https://www.xiaohongshu.com/explore/6a0840e40000000007011d7a?xsec_token=TB4DqilU8Iz_RTzVurf6g8em7EeoDsflnN7r_TUj8Hjfw=&amp;xsec_source=pc_trdark","https://www.xiaohongshu.com/explore/6a0840e40000000007011d7a?xsec_token=TB4DqilU8Iz_RTzVurf6g8em7EeoDsflnN7r_TUj8Hjfw=&amp;xsec_source=pc_trdark")</f>
        <v>0.0</v>
      </c>
      <c r="D1257" t="inlineStr">
        <is>
          <t>鲜水湾</t>
        </is>
      </c>
      <c r="E1257" t="inlineStr">
        <is>
          <t>49316638994</t>
        </is>
      </c>
      <c r="F1257" t="inlineStr">
        <is>
          <t>2026-05-16 18:03:16</t>
        </is>
      </c>
      <c r="G1257" t="inlineStr">
        <is>
          <t>图文</t>
        </is>
      </c>
      <c r="H1257" t="inlineStr">
        <is>
          <t>手剥虾仁 无冰衣无添加 低脂餐一人食 上班带饭 顺丰包邮 5盒装</t>
        </is>
      </c>
      <c r="I1257" t="inlineStr">
        <is>
          <t>694baba01d450d00013662f0</t>
        </is>
      </c>
      <c r="J1257" t="inlineStr">
        <is>
          <t/>
        </is>
      </c>
      <c r="K1257" t="n">
        <v>0.0</v>
      </c>
      <c r="L1257" t="n">
        <v>0.0</v>
      </c>
      <c r="M1257" t="n">
        <v>0.0</v>
      </c>
      <c r="N1257" t="inlineStr">
        <is>
          <t/>
        </is>
      </c>
      <c r="O1257" t="n">
        <v>0.0</v>
      </c>
      <c r="P1257" t="n">
        <v>0.0</v>
      </c>
      <c r="Q1257" t="inlineStr">
        <is>
          <t/>
        </is>
      </c>
      <c r="R1257" t="inlineStr">
        <is>
          <t/>
        </is>
      </c>
      <c r="S1257" t="n">
        <v>0.0</v>
      </c>
      <c r="T1257" t="n">
        <v>0.0</v>
      </c>
      <c r="U1257" t="n">
        <v>0.0</v>
      </c>
      <c r="V1257" t="n">
        <v>0.0</v>
      </c>
      <c r="W1257" t="inlineStr">
        <is>
          <t/>
        </is>
      </c>
      <c r="X1257" t="n">
        <v>0.0</v>
      </c>
      <c r="Y1257" t="n">
        <v>0.0</v>
      </c>
      <c r="Z1257" t="n">
        <v>0.0</v>
      </c>
      <c r="AA1257" t="n">
        <v>0.0</v>
      </c>
      <c r="AB1257" t="n">
        <v>0.0</v>
      </c>
      <c r="AC1257" t="n">
        <v>0.0</v>
      </c>
      <c r="AD1257" t="n">
        <v>0.0</v>
      </c>
      <c r="AE1257" t="n">
        <v>0.0</v>
      </c>
      <c r="AF1257" t="n">
        <v>0.0</v>
      </c>
      <c r="AG1257" t="n">
        <v>0.0</v>
      </c>
      <c r="AH1257" t="n">
        <v>0.0</v>
      </c>
      <c r="AI1257" t="n">
        <v>0.0</v>
      </c>
      <c r="AJ1257" t="n">
        <v>0.0</v>
      </c>
      <c r="AK1257" t="inlineStr">
        <is>
          <t/>
        </is>
      </c>
      <c r="AL1257" t="inlineStr">
        <is>
          <t/>
        </is>
      </c>
    </row>
    <row r="1258">
      <c r="A1258" t="inlineStr">
        <is>
          <t>唯一缺点：某姆买不到整条的</t>
        </is>
      </c>
      <c r="B1258" t="inlineStr">
        <is>
          <t>6a0807aa0000000007011c41</t>
        </is>
      </c>
      <c r="C1258" s="1257" t="n">
        <f>HYPERLINK("https://www.xiaohongshu.com/explore/6a0807aa0000000007011c41?xsec_token=TB4DqilU8Iz_RTzVurf6g8ekQJSe2ldgvz_ZiTwgXnh1o=&amp;xsec_source=pc_trdark","https://www.xiaohongshu.com/explore/6a0807aa0000000007011c41?xsec_token=TB4DqilU8Iz_RTzVurf6g8ekQJSe2ldgvz_ZiTwgXnh1o=&amp;xsec_source=pc_trdark")</f>
        <v>0.0</v>
      </c>
      <c r="D1258" t="inlineStr">
        <is>
          <t>鲜水湾</t>
        </is>
      </c>
      <c r="E1258" t="inlineStr">
        <is>
          <t>49316638994</t>
        </is>
      </c>
      <c r="F1258" t="inlineStr">
        <is>
          <t>2026-05-16 13:59:07</t>
        </is>
      </c>
      <c r="G1258" t="inlineStr">
        <is>
          <t>图文</t>
        </is>
      </c>
      <c r="H1258" t="inlineStr">
        <is>
          <t>智利尾端中段整条三文鱼 8斤深海鱼低脂餐囤货一周备菜顺丰包邮</t>
        </is>
      </c>
      <c r="I1258" t="inlineStr">
        <is>
          <t>69fab80d64eb410001ece0c0</t>
        </is>
      </c>
      <c r="J1258" t="inlineStr">
        <is>
          <t/>
        </is>
      </c>
      <c r="K1258" t="n">
        <v>0.0</v>
      </c>
      <c r="L1258" t="n">
        <v>0.0</v>
      </c>
      <c r="M1258" t="n">
        <v>0.0</v>
      </c>
      <c r="N1258" t="inlineStr">
        <is>
          <t/>
        </is>
      </c>
      <c r="O1258" t="n">
        <v>0.0</v>
      </c>
      <c r="P1258" t="n">
        <v>0.0</v>
      </c>
      <c r="Q1258" t="inlineStr">
        <is>
          <t/>
        </is>
      </c>
      <c r="R1258" t="inlineStr">
        <is>
          <t/>
        </is>
      </c>
      <c r="S1258" t="n">
        <v>0.0</v>
      </c>
      <c r="T1258" t="n">
        <v>0.0</v>
      </c>
      <c r="U1258" t="n">
        <v>0.0</v>
      </c>
      <c r="V1258" t="n">
        <v>0.0</v>
      </c>
      <c r="W1258" t="inlineStr">
        <is>
          <t/>
        </is>
      </c>
      <c r="X1258" t="n">
        <v>0.0</v>
      </c>
      <c r="Y1258" t="n">
        <v>0.0</v>
      </c>
      <c r="Z1258" t="n">
        <v>0.0</v>
      </c>
      <c r="AA1258" t="n">
        <v>0.0</v>
      </c>
      <c r="AB1258" t="n">
        <v>0.0</v>
      </c>
      <c r="AC1258" t="n">
        <v>0.0</v>
      </c>
      <c r="AD1258" t="n">
        <v>0.0</v>
      </c>
      <c r="AE1258" t="n">
        <v>0.0</v>
      </c>
      <c r="AF1258" t="n">
        <v>0.0</v>
      </c>
      <c r="AG1258" t="n">
        <v>0.0</v>
      </c>
      <c r="AH1258" t="n">
        <v>0.0</v>
      </c>
      <c r="AI1258" t="n">
        <v>0.0</v>
      </c>
      <c r="AJ1258" t="n">
        <v>0.0</v>
      </c>
      <c r="AK1258" t="inlineStr">
        <is>
          <t/>
        </is>
      </c>
      <c r="AL1258" t="inlineStr">
        <is>
          <t/>
        </is>
      </c>
    </row>
    <row r="1259">
      <c r="A1259" t="inlineStr">
        <is>
          <t>不夸张 这虾仁我已经回购七八次了</t>
        </is>
      </c>
      <c r="B1259" t="inlineStr">
        <is>
          <t>6a07eef60000000006021ee1</t>
        </is>
      </c>
      <c r="C1259" s="1258" t="n">
        <f>HYPERLINK("https://www.xiaohongshu.com/explore/6a07eef60000000006021ee1?xsec_token=TBtI0JgdLxAHR0G3F9Bj6hQaASExw5pQFnDh3EbMjv2Yg=&amp;xsec_source=pc_trdark","https://www.xiaohongshu.com/explore/6a07eef60000000006021ee1?xsec_token=TBtI0JgdLxAHR0G3F9Bj6hQaASExw5pQFnDh3EbMjv2Yg=&amp;xsec_source=pc_trdark")</f>
        <v>0.0</v>
      </c>
      <c r="D1259" t="inlineStr">
        <is>
          <t>婉婉上班吃什么</t>
        </is>
      </c>
      <c r="E1259" t="inlineStr">
        <is>
          <t>11434449706</t>
        </is>
      </c>
      <c r="F1259" t="inlineStr">
        <is>
          <t>2026-05-16 12:13:43</t>
        </is>
      </c>
      <c r="G1259" t="inlineStr">
        <is>
          <t>图文</t>
        </is>
      </c>
      <c r="H1259" t="inlineStr">
        <is>
          <t>手剥虾仁 无冰衣无添加 低脂餐一人食 上班带饭 顺丰包邮 5盒装</t>
        </is>
      </c>
      <c r="I1259" t="inlineStr">
        <is>
          <t>694baba01d450d00013662f0</t>
        </is>
      </c>
      <c r="J1259" t="inlineStr">
        <is>
          <t/>
        </is>
      </c>
      <c r="K1259" t="n">
        <v>0.0</v>
      </c>
      <c r="L1259" t="n">
        <v>0.0</v>
      </c>
      <c r="M1259" t="n">
        <v>0.0</v>
      </c>
      <c r="N1259" t="inlineStr">
        <is>
          <t/>
        </is>
      </c>
      <c r="O1259" t="n">
        <v>0.0</v>
      </c>
      <c r="P1259" t="n">
        <v>0.0</v>
      </c>
      <c r="Q1259" t="inlineStr">
        <is>
          <t/>
        </is>
      </c>
      <c r="R1259" t="inlineStr">
        <is>
          <t/>
        </is>
      </c>
      <c r="S1259" t="n">
        <v>0.0</v>
      </c>
      <c r="T1259" t="n">
        <v>0.0</v>
      </c>
      <c r="U1259" t="n">
        <v>0.0</v>
      </c>
      <c r="V1259" t="n">
        <v>0.0</v>
      </c>
      <c r="W1259" t="inlineStr">
        <is>
          <t/>
        </is>
      </c>
      <c r="X1259" t="n">
        <v>0.0</v>
      </c>
      <c r="Y1259" t="n">
        <v>0.0</v>
      </c>
      <c r="Z1259" t="n">
        <v>0.0</v>
      </c>
      <c r="AA1259" t="n">
        <v>0.0</v>
      </c>
      <c r="AB1259" t="n">
        <v>0.0</v>
      </c>
      <c r="AC1259" t="n">
        <v>0.0</v>
      </c>
      <c r="AD1259" t="n">
        <v>0.0</v>
      </c>
      <c r="AE1259" t="n">
        <v>0.0</v>
      </c>
      <c r="AF1259" t="n">
        <v>0.0</v>
      </c>
      <c r="AG1259" t="n">
        <v>0.0</v>
      </c>
      <c r="AH1259" t="n">
        <v>0.0</v>
      </c>
      <c r="AI1259" t="n">
        <v>0.0</v>
      </c>
      <c r="AJ1259" t="n">
        <v>0.0</v>
      </c>
      <c r="AK1259" t="inlineStr">
        <is>
          <t/>
        </is>
      </c>
      <c r="AL1259" t="inlineStr">
        <is>
          <t/>
        </is>
      </c>
    </row>
    <row r="1260">
      <c r="A1260" t="inlineStr">
        <is>
          <t>这虾仁真的很适合囤货😭</t>
        </is>
      </c>
      <c r="B1260" t="inlineStr">
        <is>
          <t>6a07cc0700000000080257f6</t>
        </is>
      </c>
      <c r="C1260" s="1259" t="n">
        <f>HYPERLINK("https://www.xiaohongshu.com/explore/6a07cc0700000000080257f6?xsec_token=TBtI0JgdLxAHR0G3F9Bj6hQWQS9ZN4HY4pAKlav0x2HxE=&amp;xsec_source=pc_trdark","https://www.xiaohongshu.com/explore/6a07cc0700000000080257f6?xsec_token=TBtI0JgdLxAHR0G3F9Bj6hQWQS9ZN4HY4pAKlav0x2HxE=&amp;xsec_source=pc_trdark")</f>
        <v>0.0</v>
      </c>
      <c r="D1260" t="inlineStr">
        <is>
          <t>菲菲上班吃什么</t>
        </is>
      </c>
      <c r="E1260" t="inlineStr">
        <is>
          <t>49936530607</t>
        </is>
      </c>
      <c r="F1260" t="inlineStr">
        <is>
          <t>2026-05-16 20:51:00</t>
        </is>
      </c>
      <c r="G1260" t="inlineStr">
        <is>
          <t>图文</t>
        </is>
      </c>
      <c r="H1260" t="inlineStr">
        <is>
          <t>手剥虾仁 无冰衣无添加 低脂餐一人食 上班带饭 顺丰包邮 5盒装</t>
        </is>
      </c>
      <c r="I1260" t="inlineStr">
        <is>
          <t>694baba01d450d00013662f0</t>
        </is>
      </c>
      <c r="J1260" t="inlineStr">
        <is>
          <t/>
        </is>
      </c>
      <c r="K1260" t="n">
        <v>0.0</v>
      </c>
      <c r="L1260" t="n">
        <v>0.0</v>
      </c>
      <c r="M1260" t="n">
        <v>0.0</v>
      </c>
      <c r="N1260" t="inlineStr">
        <is>
          <t/>
        </is>
      </c>
      <c r="O1260" t="n">
        <v>0.0</v>
      </c>
      <c r="P1260" t="n">
        <v>0.0</v>
      </c>
      <c r="Q1260" t="inlineStr">
        <is>
          <t/>
        </is>
      </c>
      <c r="R1260" t="inlineStr">
        <is>
          <t/>
        </is>
      </c>
      <c r="S1260" t="n">
        <v>0.0</v>
      </c>
      <c r="T1260" t="n">
        <v>0.0</v>
      </c>
      <c r="U1260" t="n">
        <v>0.0</v>
      </c>
      <c r="V1260" t="n">
        <v>0.0</v>
      </c>
      <c r="W1260" t="inlineStr">
        <is>
          <t/>
        </is>
      </c>
      <c r="X1260" t="n">
        <v>0.0</v>
      </c>
      <c r="Y1260" t="n">
        <v>0.0</v>
      </c>
      <c r="Z1260" t="n">
        <v>0.0</v>
      </c>
      <c r="AA1260" t="n">
        <v>0.0</v>
      </c>
      <c r="AB1260" t="n">
        <v>0.0</v>
      </c>
      <c r="AC1260" t="n">
        <v>0.0</v>
      </c>
      <c r="AD1260" t="n">
        <v>0.0</v>
      </c>
      <c r="AE1260" t="n">
        <v>0.0</v>
      </c>
      <c r="AF1260" t="n">
        <v>0.0</v>
      </c>
      <c r="AG1260" t="n">
        <v>0.0</v>
      </c>
      <c r="AH1260" t="n">
        <v>0.0</v>
      </c>
      <c r="AI1260" t="n">
        <v>0.0</v>
      </c>
      <c r="AJ1260" t="n">
        <v>0.0</v>
      </c>
      <c r="AK1260" t="inlineStr">
        <is>
          <t/>
        </is>
      </c>
      <c r="AL1260" t="inlineStr">
        <is>
          <t/>
        </is>
      </c>
    </row>
    <row r="1261">
      <c r="A1261" t="inlineStr">
        <is>
          <t>夏天能不能穿漂亮裙子，就靠你了！</t>
        </is>
      </c>
      <c r="B1261" t="inlineStr">
        <is>
          <t>6a07cbb0000000000702a5c1</t>
        </is>
      </c>
      <c r="C1261" s="1260" t="n">
        <f>HYPERLINK("https://www.xiaohongshu.com/explore/6a07cbb0000000000702a5c1?xsec_token=TBtI0JgdLxAHR0G3F9Bj6hQS7NvQG2ROXCRw9eAOXp0M0=&amp;xsec_source=pc_trdark","https://www.xiaohongshu.com/explore/6a07cbb0000000000702a5c1?xsec_token=TBtI0JgdLxAHR0G3F9Bj6hQS7NvQG2ROXCRw9eAOXp0M0=&amp;xsec_source=pc_trdark")</f>
        <v>0.0</v>
      </c>
      <c r="D1261" t="inlineStr">
        <is>
          <t>菲菲上班吃什么</t>
        </is>
      </c>
      <c r="E1261" t="inlineStr">
        <is>
          <t>49936530607</t>
        </is>
      </c>
      <c r="F1261" t="inlineStr">
        <is>
          <t>2026-05-16 19:43:00</t>
        </is>
      </c>
      <c r="G1261" t="inlineStr">
        <is>
          <t>图文</t>
        </is>
      </c>
      <c r="H1261" t="inlineStr">
        <is>
          <t>手剥虾仁 无冰衣无添加 低脂餐一人食 上班带饭 顺丰包邮 5盒装</t>
        </is>
      </c>
      <c r="I1261" t="inlineStr">
        <is>
          <t>694baba01d450d00013662f0</t>
        </is>
      </c>
      <c r="J1261" t="inlineStr">
        <is>
          <t/>
        </is>
      </c>
      <c r="K1261" t="n">
        <v>0.0</v>
      </c>
      <c r="L1261" t="n">
        <v>0.0</v>
      </c>
      <c r="M1261" t="n">
        <v>0.0</v>
      </c>
      <c r="N1261" t="inlineStr">
        <is>
          <t/>
        </is>
      </c>
      <c r="O1261" t="n">
        <v>0.0</v>
      </c>
      <c r="P1261" t="n">
        <v>0.0</v>
      </c>
      <c r="Q1261" t="inlineStr">
        <is>
          <t/>
        </is>
      </c>
      <c r="R1261" t="inlineStr">
        <is>
          <t/>
        </is>
      </c>
      <c r="S1261" t="n">
        <v>0.0</v>
      </c>
      <c r="T1261" t="n">
        <v>0.0</v>
      </c>
      <c r="U1261" t="n">
        <v>0.0</v>
      </c>
      <c r="V1261" t="n">
        <v>0.0</v>
      </c>
      <c r="W1261" t="inlineStr">
        <is>
          <t/>
        </is>
      </c>
      <c r="X1261" t="n">
        <v>0.0</v>
      </c>
      <c r="Y1261" t="n">
        <v>0.0</v>
      </c>
      <c r="Z1261" t="n">
        <v>0.0</v>
      </c>
      <c r="AA1261" t="n">
        <v>0.0</v>
      </c>
      <c r="AB1261" t="n">
        <v>0.0</v>
      </c>
      <c r="AC1261" t="n">
        <v>0.0</v>
      </c>
      <c r="AD1261" t="n">
        <v>0.0</v>
      </c>
      <c r="AE1261" t="n">
        <v>0.0</v>
      </c>
      <c r="AF1261" t="n">
        <v>0.0</v>
      </c>
      <c r="AG1261" t="n">
        <v>0.0</v>
      </c>
      <c r="AH1261" t="n">
        <v>0.0</v>
      </c>
      <c r="AI1261" t="n">
        <v>0.0</v>
      </c>
      <c r="AJ1261" t="n">
        <v>0.0</v>
      </c>
      <c r="AK1261" t="inlineStr">
        <is>
          <t/>
        </is>
      </c>
      <c r="AL1261" t="inlineStr">
        <is>
          <t/>
        </is>
      </c>
    </row>
    <row r="1262">
      <c r="A1262" t="inlineStr">
        <is>
          <t>脱脂牛马的工作餐，终于又一次100斤了</t>
        </is>
      </c>
      <c r="B1262" t="inlineStr">
        <is>
          <t>6a07cb4f0000000006031ad9</t>
        </is>
      </c>
      <c r="C1262" s="1261" t="n">
        <f>HYPERLINK("https://www.xiaohongshu.com/explore/6a07cb4f0000000006031ad9?xsec_token=TBtI0JgdLxAHR0G3F9Bj6hQanQy2PVOqB8hHsBsZRRwxk=&amp;xsec_source=pc_trdark","https://www.xiaohongshu.com/explore/6a07cb4f0000000006031ad9?xsec_token=TBtI0JgdLxAHR0G3F9Bj6hQanQy2PVOqB8hHsBsZRRwxk=&amp;xsec_source=pc_trdark")</f>
        <v>0.0</v>
      </c>
      <c r="D1262" t="inlineStr">
        <is>
          <t>菲菲上班吃什么</t>
        </is>
      </c>
      <c r="E1262" t="inlineStr">
        <is>
          <t>49936530607</t>
        </is>
      </c>
      <c r="F1262" t="inlineStr">
        <is>
          <t>2026-05-16 18:50:00</t>
        </is>
      </c>
      <c r="G1262" t="inlineStr">
        <is>
          <t>图文</t>
        </is>
      </c>
      <c r="H1262" t="inlineStr">
        <is>
          <t>手剥虾仁 无冰衣无添加 低脂餐一人食 上班带饭 顺丰包邮 5盒装</t>
        </is>
      </c>
      <c r="I1262" t="inlineStr">
        <is>
          <t>694baba01d450d00013662f0</t>
        </is>
      </c>
      <c r="J1262" t="inlineStr">
        <is>
          <t/>
        </is>
      </c>
      <c r="K1262" t="n">
        <v>0.0</v>
      </c>
      <c r="L1262" t="n">
        <v>0.0</v>
      </c>
      <c r="M1262" t="n">
        <v>0.0</v>
      </c>
      <c r="N1262" t="inlineStr">
        <is>
          <t/>
        </is>
      </c>
      <c r="O1262" t="n">
        <v>0.0</v>
      </c>
      <c r="P1262" t="n">
        <v>0.0</v>
      </c>
      <c r="Q1262" t="inlineStr">
        <is>
          <t/>
        </is>
      </c>
      <c r="R1262" t="inlineStr">
        <is>
          <t/>
        </is>
      </c>
      <c r="S1262" t="n">
        <v>0.0</v>
      </c>
      <c r="T1262" t="n">
        <v>0.0</v>
      </c>
      <c r="U1262" t="n">
        <v>0.0</v>
      </c>
      <c r="V1262" t="n">
        <v>0.0</v>
      </c>
      <c r="W1262" t="inlineStr">
        <is>
          <t/>
        </is>
      </c>
      <c r="X1262" t="n">
        <v>0.0</v>
      </c>
      <c r="Y1262" t="n">
        <v>0.0</v>
      </c>
      <c r="Z1262" t="n">
        <v>0.0</v>
      </c>
      <c r="AA1262" t="n">
        <v>0.0</v>
      </c>
      <c r="AB1262" t="n">
        <v>0.0</v>
      </c>
      <c r="AC1262" t="n">
        <v>0.0</v>
      </c>
      <c r="AD1262" t="n">
        <v>0.0</v>
      </c>
      <c r="AE1262" t="n">
        <v>0.0</v>
      </c>
      <c r="AF1262" t="n">
        <v>0.0</v>
      </c>
      <c r="AG1262" t="n">
        <v>0.0</v>
      </c>
      <c r="AH1262" t="n">
        <v>0.0</v>
      </c>
      <c r="AI1262" t="n">
        <v>0.0</v>
      </c>
      <c r="AJ1262" t="n">
        <v>0.0</v>
      </c>
      <c r="AK1262" t="inlineStr">
        <is>
          <t/>
        </is>
      </c>
      <c r="AL1262" t="inlineStr">
        <is>
          <t/>
        </is>
      </c>
    </row>
    <row r="1263">
      <c r="A1263" t="inlineStr">
        <is>
          <t>早八人5分钟便当，同事以为我点外卖😎</t>
        </is>
      </c>
      <c r="B1263" t="inlineStr">
        <is>
          <t>6a07cb070000000007012fec</t>
        </is>
      </c>
      <c r="C1263" s="1262" t="n">
        <f>HYPERLINK("https://www.xiaohongshu.com/explore/6a07cb070000000007012fec?xsec_token=TBtI0JgdLxAHR0G3F9Bj6hQSW0Fdlzl6hTesmiolDYB60=&amp;xsec_source=pc_trdark","https://www.xiaohongshu.com/explore/6a07cb070000000007012fec?xsec_token=TBtI0JgdLxAHR0G3F9Bj6hQSW0Fdlzl6hTesmiolDYB60=&amp;xsec_source=pc_trdark")</f>
        <v>0.0</v>
      </c>
      <c r="D1263" t="inlineStr">
        <is>
          <t>菲菲上班吃什么</t>
        </is>
      </c>
      <c r="E1263" t="inlineStr">
        <is>
          <t>49936530607</t>
        </is>
      </c>
      <c r="F1263" t="inlineStr">
        <is>
          <t>2026-05-16 17:40:00</t>
        </is>
      </c>
      <c r="G1263" t="inlineStr">
        <is>
          <t>图文</t>
        </is>
      </c>
      <c r="H1263" t="inlineStr">
        <is>
          <t>手剥虾仁 无冰衣无添加 低脂餐一人食 上班带饭 顺丰包邮 5盒装</t>
        </is>
      </c>
      <c r="I1263" t="inlineStr">
        <is>
          <t>694baba01d450d00013662f0</t>
        </is>
      </c>
      <c r="J1263" t="inlineStr">
        <is>
          <t/>
        </is>
      </c>
      <c r="K1263" t="n">
        <v>0.0</v>
      </c>
      <c r="L1263" t="n">
        <v>0.0</v>
      </c>
      <c r="M1263" t="n">
        <v>0.0</v>
      </c>
      <c r="N1263" t="inlineStr">
        <is>
          <t/>
        </is>
      </c>
      <c r="O1263" t="n">
        <v>0.0</v>
      </c>
      <c r="P1263" t="n">
        <v>0.0</v>
      </c>
      <c r="Q1263" t="inlineStr">
        <is>
          <t/>
        </is>
      </c>
      <c r="R1263" t="inlineStr">
        <is>
          <t/>
        </is>
      </c>
      <c r="S1263" t="n">
        <v>0.0</v>
      </c>
      <c r="T1263" t="n">
        <v>0.0</v>
      </c>
      <c r="U1263" t="n">
        <v>0.0</v>
      </c>
      <c r="V1263" t="n">
        <v>0.0</v>
      </c>
      <c r="W1263" t="inlineStr">
        <is>
          <t/>
        </is>
      </c>
      <c r="X1263" t="n">
        <v>0.0</v>
      </c>
      <c r="Y1263" t="n">
        <v>0.0</v>
      </c>
      <c r="Z1263" t="n">
        <v>0.0</v>
      </c>
      <c r="AA1263" t="n">
        <v>0.0</v>
      </c>
      <c r="AB1263" t="n">
        <v>0.0</v>
      </c>
      <c r="AC1263" t="n">
        <v>0.0</v>
      </c>
      <c r="AD1263" t="n">
        <v>0.0</v>
      </c>
      <c r="AE1263" t="n">
        <v>0.0</v>
      </c>
      <c r="AF1263" t="n">
        <v>0.0</v>
      </c>
      <c r="AG1263" t="n">
        <v>0.0</v>
      </c>
      <c r="AH1263" t="n">
        <v>0.0</v>
      </c>
      <c r="AI1263" t="n">
        <v>0.0</v>
      </c>
      <c r="AJ1263" t="n">
        <v>0.0</v>
      </c>
      <c r="AK1263" t="inlineStr">
        <is>
          <t/>
        </is>
      </c>
      <c r="AL1263" t="inlineStr">
        <is>
          <t/>
        </is>
      </c>
    </row>
    <row r="1264">
      <c r="A1264" t="inlineStr">
        <is>
          <t>减脂期囤它，我外卖都戒了😭</t>
        </is>
      </c>
      <c r="B1264" t="inlineStr">
        <is>
          <t>6a07ca920000000008001d8d</t>
        </is>
      </c>
      <c r="C1264" s="1263" t="n">
        <f>HYPERLINK("https://www.xiaohongshu.com/explore/6a07ca920000000008001d8d?xsec_token=TBtI0JgdLxAHR0G3F9Bj6hQXKSdmfFqw97X5_gpwZUayc=&amp;xsec_source=pc_trdark","https://www.xiaohongshu.com/explore/6a07ca920000000008001d8d?xsec_token=TBtI0JgdLxAHR0G3F9Bj6hQXKSdmfFqw97X5_gpwZUayc=&amp;xsec_source=pc_trdark")</f>
        <v>0.0</v>
      </c>
      <c r="D1264" t="inlineStr">
        <is>
          <t>菲菲上班吃什么</t>
        </is>
      </c>
      <c r="E1264" t="inlineStr">
        <is>
          <t>49936530607</t>
        </is>
      </c>
      <c r="F1264" t="inlineStr">
        <is>
          <t>2026-05-16 14:38:00</t>
        </is>
      </c>
      <c r="G1264" t="inlineStr">
        <is>
          <t>图文</t>
        </is>
      </c>
      <c r="H1264" t="inlineStr">
        <is>
          <t>手剥虾仁 无冰衣无添加 低脂餐一人食 上班带饭 顺丰包邮 5盒装</t>
        </is>
      </c>
      <c r="I1264" t="inlineStr">
        <is>
          <t>694baba01d450d00013662f0</t>
        </is>
      </c>
      <c r="J1264" t="inlineStr">
        <is>
          <t/>
        </is>
      </c>
      <c r="K1264" t="n">
        <v>0.0</v>
      </c>
      <c r="L1264" t="n">
        <v>0.0</v>
      </c>
      <c r="M1264" t="n">
        <v>0.0</v>
      </c>
      <c r="N1264" t="inlineStr">
        <is>
          <t/>
        </is>
      </c>
      <c r="O1264" t="n">
        <v>0.0</v>
      </c>
      <c r="P1264" t="n">
        <v>0.0</v>
      </c>
      <c r="Q1264" t="inlineStr">
        <is>
          <t/>
        </is>
      </c>
      <c r="R1264" t="inlineStr">
        <is>
          <t/>
        </is>
      </c>
      <c r="S1264" t="n">
        <v>0.0</v>
      </c>
      <c r="T1264" t="n">
        <v>0.0</v>
      </c>
      <c r="U1264" t="n">
        <v>0.0</v>
      </c>
      <c r="V1264" t="n">
        <v>0.0</v>
      </c>
      <c r="W1264" t="inlineStr">
        <is>
          <t/>
        </is>
      </c>
      <c r="X1264" t="n">
        <v>0.0</v>
      </c>
      <c r="Y1264" t="n">
        <v>0.0</v>
      </c>
      <c r="Z1264" t="n">
        <v>0.0</v>
      </c>
      <c r="AA1264" t="n">
        <v>0.0</v>
      </c>
      <c r="AB1264" t="n">
        <v>0.0</v>
      </c>
      <c r="AC1264" t="n">
        <v>0.0</v>
      </c>
      <c r="AD1264" t="n">
        <v>0.0</v>
      </c>
      <c r="AE1264" t="n">
        <v>0.0</v>
      </c>
      <c r="AF1264" t="n">
        <v>0.0</v>
      </c>
      <c r="AG1264" t="n">
        <v>0.0</v>
      </c>
      <c r="AH1264" t="n">
        <v>0.0</v>
      </c>
      <c r="AI1264" t="n">
        <v>0.0</v>
      </c>
      <c r="AJ1264" t="n">
        <v>0.0</v>
      </c>
      <c r="AK1264" t="inlineStr">
        <is>
          <t/>
        </is>
      </c>
      <c r="AL1264" t="inlineStr">
        <is>
          <t/>
        </is>
      </c>
    </row>
    <row r="1265">
      <c r="A1265" t="inlineStr">
        <is>
          <t>海边朋友教我这样买虾仁😭</t>
        </is>
      </c>
      <c r="B1265" t="inlineStr">
        <is>
          <t>6a07c9ce000000000702366d</t>
        </is>
      </c>
      <c r="C1265" s="1264" t="n">
        <f>HYPERLINK("https://www.xiaohongshu.com/explore/6a07c9ce000000000702366d?xsec_token=TBtI0JgdLxAHR0G3F9Bj6hQfI59i3_r1g_PuPoHE3gFnQ=&amp;xsec_source=pc_trdark","https://www.xiaohongshu.com/explore/6a07c9ce000000000702366d?xsec_token=TBtI0JgdLxAHR0G3F9Bj6hQfI59i3_r1g_PuPoHE3gFnQ=&amp;xsec_source=pc_trdark")</f>
        <v>0.0</v>
      </c>
      <c r="D1265" t="inlineStr">
        <is>
          <t>菲菲上班吃什么</t>
        </is>
      </c>
      <c r="E1265" t="inlineStr">
        <is>
          <t>49936530607</t>
        </is>
      </c>
      <c r="F1265" t="inlineStr">
        <is>
          <t>2026-05-16 09:35:10</t>
        </is>
      </c>
      <c r="G1265" t="inlineStr">
        <is>
          <t>图文</t>
        </is>
      </c>
      <c r="H1265" t="inlineStr">
        <is>
          <t>手剥虾仁 无冰衣无添加 低脂餐一人食 上班带饭 顺丰包邮 5盒装</t>
        </is>
      </c>
      <c r="I1265" t="inlineStr">
        <is>
          <t>694baba01d450d00013662f0</t>
        </is>
      </c>
      <c r="J1265" t="inlineStr">
        <is>
          <t/>
        </is>
      </c>
      <c r="K1265" t="n">
        <v>0.0</v>
      </c>
      <c r="L1265" t="n">
        <v>0.0</v>
      </c>
      <c r="M1265" t="n">
        <v>0.0</v>
      </c>
      <c r="N1265" t="inlineStr">
        <is>
          <t/>
        </is>
      </c>
      <c r="O1265" t="n">
        <v>0.0</v>
      </c>
      <c r="P1265" t="n">
        <v>0.0</v>
      </c>
      <c r="Q1265" t="inlineStr">
        <is>
          <t/>
        </is>
      </c>
      <c r="R1265" t="inlineStr">
        <is>
          <t/>
        </is>
      </c>
      <c r="S1265" t="n">
        <v>0.0</v>
      </c>
      <c r="T1265" t="n">
        <v>0.0</v>
      </c>
      <c r="U1265" t="n">
        <v>0.0</v>
      </c>
      <c r="V1265" t="n">
        <v>0.0</v>
      </c>
      <c r="W1265" t="inlineStr">
        <is>
          <t/>
        </is>
      </c>
      <c r="X1265" t="n">
        <v>0.0</v>
      </c>
      <c r="Y1265" t="n">
        <v>0.0</v>
      </c>
      <c r="Z1265" t="n">
        <v>0.0</v>
      </c>
      <c r="AA1265" t="n">
        <v>0.0</v>
      </c>
      <c r="AB1265" t="n">
        <v>0.0</v>
      </c>
      <c r="AC1265" t="n">
        <v>0.0</v>
      </c>
      <c r="AD1265" t="n">
        <v>0.0</v>
      </c>
      <c r="AE1265" t="n">
        <v>0.0</v>
      </c>
      <c r="AF1265" t="n">
        <v>0.0</v>
      </c>
      <c r="AG1265" t="n">
        <v>0.0</v>
      </c>
      <c r="AH1265" t="n">
        <v>0.0</v>
      </c>
      <c r="AI1265" t="n">
        <v>0.0</v>
      </c>
      <c r="AJ1265" t="n">
        <v>0.0</v>
      </c>
      <c r="AK1265" t="inlineStr">
        <is>
          <t/>
        </is>
      </c>
      <c r="AL1265" t="inlineStr">
        <is>
          <t/>
        </is>
      </c>
    </row>
    <row r="1266">
      <c r="A1266" t="inlineStr">
        <is>
          <t>我终于找到好吃不腥的虾仁了😭</t>
        </is>
      </c>
      <c r="B1266" t="inlineStr">
        <is>
          <t>6a07c6e0000000003501ee50</t>
        </is>
      </c>
      <c r="C1266" s="1265" t="n">
        <f>HYPERLINK("https://www.xiaohongshu.com/explore/6a07c6e0000000003501ee50?xsec_token=TBtI0JgdLxAHR0G3F9Bj6hQUtuAp2PZwcWmwaj0XaCo28=&amp;xsec_source=pc_trdark","https://www.xiaohongshu.com/explore/6a07c6e0000000003501ee50?xsec_token=TBtI0JgdLxAHR0G3F9Bj6hQUtuAp2PZwcWmwaj0XaCo28=&amp;xsec_source=pc_trdark")</f>
        <v>0.0</v>
      </c>
      <c r="D1266" t="inlineStr">
        <is>
          <t>鲜水湾甄选</t>
        </is>
      </c>
      <c r="E1266" t="inlineStr">
        <is>
          <t>27401929161</t>
        </is>
      </c>
      <c r="F1266" t="inlineStr">
        <is>
          <t>2026-05-16 13:48:00</t>
        </is>
      </c>
      <c r="G1266" t="inlineStr">
        <is>
          <t>图文</t>
        </is>
      </c>
      <c r="H1266" t="inlineStr">
        <is>
          <t>手剥虾仁 无冰衣无添加 低脂餐一人食 上班带饭 顺丰包邮 5盒装</t>
        </is>
      </c>
      <c r="I1266" t="inlineStr">
        <is>
          <t>694baba01d450d00013662f0</t>
        </is>
      </c>
      <c r="J1266" t="inlineStr">
        <is>
          <t/>
        </is>
      </c>
      <c r="K1266" t="n">
        <v>0.0</v>
      </c>
      <c r="L1266" t="n">
        <v>0.0</v>
      </c>
      <c r="M1266" t="n">
        <v>0.0</v>
      </c>
      <c r="N1266" t="inlineStr">
        <is>
          <t/>
        </is>
      </c>
      <c r="O1266" t="n">
        <v>0.0</v>
      </c>
      <c r="P1266" t="n">
        <v>0.0</v>
      </c>
      <c r="Q1266" t="inlineStr">
        <is>
          <t/>
        </is>
      </c>
      <c r="R1266" t="inlineStr">
        <is>
          <t/>
        </is>
      </c>
      <c r="S1266" t="n">
        <v>0.0</v>
      </c>
      <c r="T1266" t="n">
        <v>0.0</v>
      </c>
      <c r="U1266" t="n">
        <v>0.0</v>
      </c>
      <c r="V1266" t="n">
        <v>0.0</v>
      </c>
      <c r="W1266" t="inlineStr">
        <is>
          <t/>
        </is>
      </c>
      <c r="X1266" t="n">
        <v>0.0</v>
      </c>
      <c r="Y1266" t="n">
        <v>0.0</v>
      </c>
      <c r="Z1266" t="n">
        <v>0.0</v>
      </c>
      <c r="AA1266" t="n">
        <v>0.0</v>
      </c>
      <c r="AB1266" t="n">
        <v>0.0</v>
      </c>
      <c r="AC1266" t="n">
        <v>0.0</v>
      </c>
      <c r="AD1266" t="n">
        <v>0.0</v>
      </c>
      <c r="AE1266" t="n">
        <v>0.0</v>
      </c>
      <c r="AF1266" t="n">
        <v>0.0</v>
      </c>
      <c r="AG1266" t="n">
        <v>0.0</v>
      </c>
      <c r="AH1266" t="n">
        <v>0.0</v>
      </c>
      <c r="AI1266" t="n">
        <v>0.0</v>
      </c>
      <c r="AJ1266" t="n">
        <v>0.0</v>
      </c>
      <c r="AK1266" t="inlineStr">
        <is>
          <t/>
        </is>
      </c>
      <c r="AL1266" t="inlineStr">
        <is>
          <t/>
        </is>
      </c>
    </row>
    <row r="1267">
      <c r="A1267" t="inlineStr">
        <is>
          <t>当代减脂人的冰箱……</t>
        </is>
      </c>
      <c r="B1267" t="inlineStr">
        <is>
          <t>6a06e10600000000080016c8</t>
        </is>
      </c>
      <c r="C1267" s="1266" t="n">
        <f>HYPERLINK("https://www.xiaohongshu.com/explore/6a06e10600000000080016c8?xsec_token=TBpankNZlH0V8NqkFXZqkegQ0XW3mJuGoDzc28YVpFuo4=&amp;xsec_source=pc_trdark","https://www.xiaohongshu.com/explore/6a06e10600000000080016c8?xsec_token=TBpankNZlH0V8NqkFXZqkegQ0XW3mJuGoDzc28YVpFuo4=&amp;xsec_source=pc_trdark")</f>
        <v>0.0</v>
      </c>
      <c r="D1267" t="inlineStr">
        <is>
          <t>菲菲上班吃什么</t>
        </is>
      </c>
      <c r="E1267" t="inlineStr">
        <is>
          <t>49936530607</t>
        </is>
      </c>
      <c r="F1267" t="inlineStr">
        <is>
          <t>2026-05-15 22:01:00</t>
        </is>
      </c>
      <c r="G1267" t="inlineStr">
        <is>
          <t>图文</t>
        </is>
      </c>
      <c r="H1267" t="inlineStr">
        <is>
          <t>手剥虾仁 无冰衣无添加 低脂餐一人食 上班带饭 顺丰包邮 5盒装</t>
        </is>
      </c>
      <c r="I1267" t="inlineStr">
        <is>
          <t>694baba01d450d00013662f0</t>
        </is>
      </c>
      <c r="J1267" t="inlineStr">
        <is>
          <t/>
        </is>
      </c>
      <c r="K1267" t="n">
        <v>0.0</v>
      </c>
      <c r="L1267" t="n">
        <v>0.0</v>
      </c>
      <c r="M1267" t="n">
        <v>0.0</v>
      </c>
      <c r="N1267" t="inlineStr">
        <is>
          <t/>
        </is>
      </c>
      <c r="O1267" t="n">
        <v>0.0</v>
      </c>
      <c r="P1267" t="n">
        <v>0.0</v>
      </c>
      <c r="Q1267" t="inlineStr">
        <is>
          <t/>
        </is>
      </c>
      <c r="R1267" t="inlineStr">
        <is>
          <t/>
        </is>
      </c>
      <c r="S1267" t="n">
        <v>0.0</v>
      </c>
      <c r="T1267" t="n">
        <v>0.0</v>
      </c>
      <c r="U1267" t="n">
        <v>0.0</v>
      </c>
      <c r="V1267" t="n">
        <v>0.0</v>
      </c>
      <c r="W1267" t="inlineStr">
        <is>
          <t/>
        </is>
      </c>
      <c r="X1267" t="n">
        <v>0.0</v>
      </c>
      <c r="Y1267" t="n">
        <v>0.0</v>
      </c>
      <c r="Z1267" t="n">
        <v>0.0</v>
      </c>
      <c r="AA1267" t="n">
        <v>0.0</v>
      </c>
      <c r="AB1267" t="n">
        <v>0.0</v>
      </c>
      <c r="AC1267" t="n">
        <v>0.0</v>
      </c>
      <c r="AD1267" t="n">
        <v>0.0</v>
      </c>
      <c r="AE1267" t="n">
        <v>0.0</v>
      </c>
      <c r="AF1267" t="n">
        <v>0.0</v>
      </c>
      <c r="AG1267" t="n">
        <v>0.0</v>
      </c>
      <c r="AH1267" t="n">
        <v>0.0</v>
      </c>
      <c r="AI1267" t="n">
        <v>0.0</v>
      </c>
      <c r="AJ1267" t="n">
        <v>0.0</v>
      </c>
      <c r="AK1267" t="inlineStr">
        <is>
          <t/>
        </is>
      </c>
      <c r="AL1267" t="inlineStr">
        <is>
          <t/>
        </is>
      </c>
    </row>
    <row r="1268">
      <c r="A1268" t="inlineStr">
        <is>
          <t>我妈说我疯了…第一次囤了7天的量…</t>
        </is>
      </c>
      <c r="B1268" t="inlineStr">
        <is>
          <t>6a06e0fb00000000080308db</t>
        </is>
      </c>
      <c r="C1268" s="1267" t="n">
        <f>HYPERLINK("https://www.xiaohongshu.com/explore/6a06e0fb00000000080308db?xsec_token=TBpankNZlH0V8NqkFXZqkegSVUvRTdYcUtZa4NUD3rJ4w=&amp;xsec_source=pc_trdark","https://www.xiaohongshu.com/explore/6a06e0fb00000000080308db?xsec_token=TBpankNZlH0V8NqkFXZqkegSVUvRTdYcUtZa4NUD3rJ4w=&amp;xsec_source=pc_trdark")</f>
        <v>0.0</v>
      </c>
      <c r="D1268" t="inlineStr">
        <is>
          <t>菲菲上班吃什么</t>
        </is>
      </c>
      <c r="E1268" t="inlineStr">
        <is>
          <t>49936530607</t>
        </is>
      </c>
      <c r="F1268" t="inlineStr">
        <is>
          <t>2026-05-15 21:31:00</t>
        </is>
      </c>
      <c r="G1268" t="inlineStr">
        <is>
          <t>图文</t>
        </is>
      </c>
      <c r="H1268" t="inlineStr">
        <is>
          <t>手剥虾仁 无冰衣无添加 低脂餐一人食 上班带饭 顺丰包邮 5盒装</t>
        </is>
      </c>
      <c r="I1268" t="inlineStr">
        <is>
          <t>694baba01d450d00013662f0</t>
        </is>
      </c>
      <c r="J1268" t="inlineStr">
        <is>
          <t/>
        </is>
      </c>
      <c r="K1268" t="n">
        <v>0.0</v>
      </c>
      <c r="L1268" t="n">
        <v>0.0</v>
      </c>
      <c r="M1268" t="n">
        <v>0.0</v>
      </c>
      <c r="N1268" t="inlineStr">
        <is>
          <t/>
        </is>
      </c>
      <c r="O1268" t="n">
        <v>0.0</v>
      </c>
      <c r="P1268" t="n">
        <v>0.0</v>
      </c>
      <c r="Q1268" t="inlineStr">
        <is>
          <t/>
        </is>
      </c>
      <c r="R1268" t="inlineStr">
        <is>
          <t/>
        </is>
      </c>
      <c r="S1268" t="n">
        <v>0.0</v>
      </c>
      <c r="T1268" t="n">
        <v>0.0</v>
      </c>
      <c r="U1268" t="n">
        <v>0.0</v>
      </c>
      <c r="V1268" t="n">
        <v>0.0</v>
      </c>
      <c r="W1268" t="inlineStr">
        <is>
          <t/>
        </is>
      </c>
      <c r="X1268" t="n">
        <v>0.0</v>
      </c>
      <c r="Y1268" t="n">
        <v>0.0</v>
      </c>
      <c r="Z1268" t="n">
        <v>0.0</v>
      </c>
      <c r="AA1268" t="n">
        <v>0.0</v>
      </c>
      <c r="AB1268" t="n">
        <v>0.0</v>
      </c>
      <c r="AC1268" t="n">
        <v>0.0</v>
      </c>
      <c r="AD1268" t="n">
        <v>0.0</v>
      </c>
      <c r="AE1268" t="n">
        <v>0.0</v>
      </c>
      <c r="AF1268" t="n">
        <v>0.0</v>
      </c>
      <c r="AG1268" t="n">
        <v>0.0</v>
      </c>
      <c r="AH1268" t="n">
        <v>0.0</v>
      </c>
      <c r="AI1268" t="n">
        <v>0.0</v>
      </c>
      <c r="AJ1268" t="n">
        <v>0.0</v>
      </c>
      <c r="AK1268" t="inlineStr">
        <is>
          <t/>
        </is>
      </c>
      <c r="AL1268" t="inlineStr">
        <is>
          <t/>
        </is>
      </c>
    </row>
    <row r="1269">
      <c r="A1269" t="inlineStr">
        <is>
          <t>吃虾仁！！！我真的是认真的！！！</t>
        </is>
      </c>
      <c r="B1269" t="inlineStr">
        <is>
          <t>6a06e0dc000000000803082a</t>
        </is>
      </c>
      <c r="C1269" s="1268" t="n">
        <f>HYPERLINK("https://www.xiaohongshu.com/explore/6a06e0dc000000000803082a?xsec_token=TBpankNZlH0V8NqkFXZqkegT4-2EcvQLKCSGvR3NTD240=&amp;xsec_source=pc_trdark","https://www.xiaohongshu.com/explore/6a06e0dc000000000803082a?xsec_token=TBpankNZlH0V8NqkFXZqkegT4-2EcvQLKCSGvR3NTD240=&amp;xsec_source=pc_trdark")</f>
        <v>0.0</v>
      </c>
      <c r="D1269" t="inlineStr">
        <is>
          <t>菲菲上班吃什么</t>
        </is>
      </c>
      <c r="E1269" t="inlineStr">
        <is>
          <t>49936530607</t>
        </is>
      </c>
      <c r="F1269" t="inlineStr">
        <is>
          <t>2026-05-15 19:43:00</t>
        </is>
      </c>
      <c r="G1269" t="inlineStr">
        <is>
          <t>图文</t>
        </is>
      </c>
      <c r="H1269" t="inlineStr">
        <is>
          <t>手剥虾仁 无冰衣无添加 低脂餐一人食 上班带饭 顺丰包邮 5盒装</t>
        </is>
      </c>
      <c r="I1269" t="inlineStr">
        <is>
          <t>694baba01d450d00013662f0</t>
        </is>
      </c>
      <c r="J1269" t="inlineStr">
        <is>
          <t/>
        </is>
      </c>
      <c r="K1269" t="n">
        <v>0.0</v>
      </c>
      <c r="L1269" t="n">
        <v>0.0</v>
      </c>
      <c r="M1269" t="n">
        <v>0.0</v>
      </c>
      <c r="N1269" t="inlineStr">
        <is>
          <t/>
        </is>
      </c>
      <c r="O1269" t="n">
        <v>0.0</v>
      </c>
      <c r="P1269" t="n">
        <v>0.0</v>
      </c>
      <c r="Q1269" t="inlineStr">
        <is>
          <t/>
        </is>
      </c>
      <c r="R1269" t="inlineStr">
        <is>
          <t/>
        </is>
      </c>
      <c r="S1269" t="n">
        <v>0.0</v>
      </c>
      <c r="T1269" t="n">
        <v>0.0</v>
      </c>
      <c r="U1269" t="n">
        <v>0.0</v>
      </c>
      <c r="V1269" t="n">
        <v>0.0</v>
      </c>
      <c r="W1269" t="inlineStr">
        <is>
          <t/>
        </is>
      </c>
      <c r="X1269" t="n">
        <v>0.0</v>
      </c>
      <c r="Y1269" t="n">
        <v>0.0</v>
      </c>
      <c r="Z1269" t="n">
        <v>0.0</v>
      </c>
      <c r="AA1269" t="n">
        <v>0.0</v>
      </c>
      <c r="AB1269" t="n">
        <v>0.0</v>
      </c>
      <c r="AC1269" t="n">
        <v>0.0</v>
      </c>
      <c r="AD1269" t="n">
        <v>0.0</v>
      </c>
      <c r="AE1269" t="n">
        <v>0.0</v>
      </c>
      <c r="AF1269" t="n">
        <v>0.0</v>
      </c>
      <c r="AG1269" t="n">
        <v>0.0</v>
      </c>
      <c r="AH1269" t="n">
        <v>0.0</v>
      </c>
      <c r="AI1269" t="n">
        <v>0.0</v>
      </c>
      <c r="AJ1269" t="n">
        <v>0.0</v>
      </c>
      <c r="AK1269" t="inlineStr">
        <is>
          <t/>
        </is>
      </c>
      <c r="AL1269" t="inlineStr">
        <is>
          <t/>
        </is>
      </c>
    </row>
    <row r="1270">
      <c r="A1270" t="inlineStr">
        <is>
          <t>迄今为止⬇️最快的一次！！！</t>
        </is>
      </c>
      <c r="B1270" t="inlineStr">
        <is>
          <t>6a06e0cc000000000803c32b</t>
        </is>
      </c>
      <c r="C1270" s="1269" t="n">
        <f>HYPERLINK("https://www.xiaohongshu.com/explore/6a06e0cc000000000803c32b?xsec_token=TBpankNZlH0V8NqkFXZqkegRQN0J4nUVDyZqALHOdvFbg=&amp;xsec_source=pc_trdark","https://www.xiaohongshu.com/explore/6a06e0cc000000000803c32b?xsec_token=TBpankNZlH0V8NqkFXZqkegRQN0J4nUVDyZqALHOdvFbg=&amp;xsec_source=pc_trdark")</f>
        <v>0.0</v>
      </c>
      <c r="D1270" t="inlineStr">
        <is>
          <t>菲菲上班吃什么</t>
        </is>
      </c>
      <c r="E1270" t="inlineStr">
        <is>
          <t>49936530607</t>
        </is>
      </c>
      <c r="F1270" t="inlineStr">
        <is>
          <t>2026-05-15 18:30:00</t>
        </is>
      </c>
      <c r="G1270" t="inlineStr">
        <is>
          <t>图文</t>
        </is>
      </c>
      <c r="H1270" t="inlineStr">
        <is>
          <t>手剥虾仁 无冰衣无添加 低脂餐一人食 上班带饭 顺丰包邮 5盒装</t>
        </is>
      </c>
      <c r="I1270" t="inlineStr">
        <is>
          <t>694baba01d450d00013662f0</t>
        </is>
      </c>
      <c r="J1270" t="inlineStr">
        <is>
          <t/>
        </is>
      </c>
      <c r="K1270" t="n">
        <v>0.0</v>
      </c>
      <c r="L1270" t="n">
        <v>0.0</v>
      </c>
      <c r="M1270" t="n">
        <v>0.0</v>
      </c>
      <c r="N1270" t="inlineStr">
        <is>
          <t/>
        </is>
      </c>
      <c r="O1270" t="n">
        <v>0.0</v>
      </c>
      <c r="P1270" t="n">
        <v>0.0</v>
      </c>
      <c r="Q1270" t="inlineStr">
        <is>
          <t/>
        </is>
      </c>
      <c r="R1270" t="inlineStr">
        <is>
          <t/>
        </is>
      </c>
      <c r="S1270" t="n">
        <v>0.0</v>
      </c>
      <c r="T1270" t="n">
        <v>0.0</v>
      </c>
      <c r="U1270" t="n">
        <v>0.0</v>
      </c>
      <c r="V1270" t="n">
        <v>0.0</v>
      </c>
      <c r="W1270" t="inlineStr">
        <is>
          <t/>
        </is>
      </c>
      <c r="X1270" t="n">
        <v>0.0</v>
      </c>
      <c r="Y1270" t="n">
        <v>0.0</v>
      </c>
      <c r="Z1270" t="n">
        <v>0.0</v>
      </c>
      <c r="AA1270" t="n">
        <v>0.0</v>
      </c>
      <c r="AB1270" t="n">
        <v>0.0</v>
      </c>
      <c r="AC1270" t="n">
        <v>0.0</v>
      </c>
      <c r="AD1270" t="n">
        <v>0.0</v>
      </c>
      <c r="AE1270" t="n">
        <v>0.0</v>
      </c>
      <c r="AF1270" t="n">
        <v>0.0</v>
      </c>
      <c r="AG1270" t="n">
        <v>0.0</v>
      </c>
      <c r="AH1270" t="n">
        <v>0.0</v>
      </c>
      <c r="AI1270" t="n">
        <v>0.0</v>
      </c>
      <c r="AJ1270" t="n">
        <v>0.0</v>
      </c>
      <c r="AK1270" t="inlineStr">
        <is>
          <t/>
        </is>
      </c>
      <c r="AL1270" t="inlineStr">
        <is>
          <t/>
        </is>
      </c>
    </row>
    <row r="1271">
      <c r="A1271" t="inlineStr">
        <is>
          <t>健身餐有救了！这虾仁让我心甘情愿吃草</t>
        </is>
      </c>
      <c r="B1271" t="inlineStr">
        <is>
          <t>6a06c48c000000000702bb17</t>
        </is>
      </c>
      <c r="C1271" s="1270" t="n">
        <f>HYPERLINK("https://www.xiaohongshu.com/explore/6a06c48c000000000702bb17?xsec_token=TBpankNZlH0V8NqkFXZqkegVaeyosA_aXfpHp4JkWUZ5U=&amp;xsec_source=pc_trdark","https://www.xiaohongshu.com/explore/6a06c48c000000000702bb17?xsec_token=TBpankNZlH0V8NqkFXZqkegVaeyosA_aXfpHp4JkWUZ5U=&amp;xsec_source=pc_trdark")</f>
        <v>0.0</v>
      </c>
      <c r="D1271" t="inlineStr">
        <is>
          <t>菲菲上班吃什么</t>
        </is>
      </c>
      <c r="E1271" t="inlineStr">
        <is>
          <t>49936530607</t>
        </is>
      </c>
      <c r="F1271" t="inlineStr">
        <is>
          <t>2026-05-15 15:00:28</t>
        </is>
      </c>
      <c r="G1271" t="inlineStr">
        <is>
          <t>图文</t>
        </is>
      </c>
      <c r="H1271" t="inlineStr">
        <is>
          <t>手剥虾仁 无冰衣无添加 低脂餐一人食 上班带饭 顺丰包邮 5盒装</t>
        </is>
      </c>
      <c r="I1271" t="inlineStr">
        <is>
          <t>694baba01d450d00013662f0</t>
        </is>
      </c>
      <c r="J1271" t="inlineStr">
        <is>
          <t/>
        </is>
      </c>
      <c r="K1271" t="n">
        <v>0.0</v>
      </c>
      <c r="L1271" t="n">
        <v>0.0</v>
      </c>
      <c r="M1271" t="n">
        <v>0.0</v>
      </c>
      <c r="N1271" t="inlineStr">
        <is>
          <t/>
        </is>
      </c>
      <c r="O1271" t="n">
        <v>0.0</v>
      </c>
      <c r="P1271" t="n">
        <v>0.0</v>
      </c>
      <c r="Q1271" t="inlineStr">
        <is>
          <t/>
        </is>
      </c>
      <c r="R1271" t="inlineStr">
        <is>
          <t/>
        </is>
      </c>
      <c r="S1271" t="n">
        <v>0.0</v>
      </c>
      <c r="T1271" t="n">
        <v>0.0</v>
      </c>
      <c r="U1271" t="n">
        <v>0.0</v>
      </c>
      <c r="V1271" t="n">
        <v>0.0</v>
      </c>
      <c r="W1271" t="inlineStr">
        <is>
          <t/>
        </is>
      </c>
      <c r="X1271" t="n">
        <v>0.0</v>
      </c>
      <c r="Y1271" t="n">
        <v>0.0</v>
      </c>
      <c r="Z1271" t="n">
        <v>0.0</v>
      </c>
      <c r="AA1271" t="n">
        <v>0.0</v>
      </c>
      <c r="AB1271" t="n">
        <v>0.0</v>
      </c>
      <c r="AC1271" t="n">
        <v>0.0</v>
      </c>
      <c r="AD1271" t="n">
        <v>0.0</v>
      </c>
      <c r="AE1271" t="n">
        <v>0.0</v>
      </c>
      <c r="AF1271" t="n">
        <v>0.0</v>
      </c>
      <c r="AG1271" t="n">
        <v>0.0</v>
      </c>
      <c r="AH1271" t="n">
        <v>0.0</v>
      </c>
      <c r="AI1271" t="n">
        <v>0.0</v>
      </c>
      <c r="AJ1271" t="n">
        <v>0.0</v>
      </c>
      <c r="AK1271" t="inlineStr">
        <is>
          <t/>
        </is>
      </c>
      <c r="AL1271" t="inlineStr">
        <is>
          <t/>
        </is>
      </c>
    </row>
    <row r="1272">
      <c r="A1272" t="inlineStr">
        <is>
          <t>开心到起飞，天天都有掉！！！</t>
        </is>
      </c>
      <c r="B1272" t="inlineStr">
        <is>
          <t>6a0686f4000000000803c0e9</t>
        </is>
      </c>
      <c r="C1272" s="1271" t="n">
        <f>HYPERLINK("https://www.xiaohongshu.com/explore/6a0686f4000000000803c0e9?xsec_token=TBpankNZlH0V8NqkFXZqkegeZOdr53E-MuTgCAZvPeQWM=&amp;xsec_source=pc_trdark","https://www.xiaohongshu.com/explore/6a0686f4000000000803c0e9?xsec_token=TBpankNZlH0V8NqkFXZqkegeZOdr53E-MuTgCAZvPeQWM=&amp;xsec_source=pc_trdark")</f>
        <v>0.0</v>
      </c>
      <c r="D1272" t="inlineStr">
        <is>
          <t>菲菲上班吃什么</t>
        </is>
      </c>
      <c r="E1272" t="inlineStr">
        <is>
          <t>49936530607</t>
        </is>
      </c>
      <c r="F1272" t="inlineStr">
        <is>
          <t>2026-05-15 10:37:40</t>
        </is>
      </c>
      <c r="G1272" t="inlineStr">
        <is>
          <t>图文</t>
        </is>
      </c>
      <c r="H1272" t="inlineStr">
        <is>
          <t>手剥虾仁 无冰衣无添加 低脂餐一人食 上班带饭 顺丰包邮 5盒装</t>
        </is>
      </c>
      <c r="I1272" t="inlineStr">
        <is>
          <t>694baba01d450d00013662f0</t>
        </is>
      </c>
      <c r="J1272" t="inlineStr">
        <is>
          <t/>
        </is>
      </c>
      <c r="K1272" t="n">
        <v>0.0</v>
      </c>
      <c r="L1272" t="n">
        <v>0.0</v>
      </c>
      <c r="M1272" t="n">
        <v>0.0</v>
      </c>
      <c r="N1272" t="inlineStr">
        <is>
          <t/>
        </is>
      </c>
      <c r="O1272" t="n">
        <v>0.0</v>
      </c>
      <c r="P1272" t="n">
        <v>0.0</v>
      </c>
      <c r="Q1272" t="inlineStr">
        <is>
          <t/>
        </is>
      </c>
      <c r="R1272" t="inlineStr">
        <is>
          <t/>
        </is>
      </c>
      <c r="S1272" t="n">
        <v>0.0</v>
      </c>
      <c r="T1272" t="n">
        <v>0.0</v>
      </c>
      <c r="U1272" t="n">
        <v>0.0</v>
      </c>
      <c r="V1272" t="n">
        <v>0.0</v>
      </c>
      <c r="W1272" t="inlineStr">
        <is>
          <t/>
        </is>
      </c>
      <c r="X1272" t="n">
        <v>0.0</v>
      </c>
      <c r="Y1272" t="n">
        <v>0.0</v>
      </c>
      <c r="Z1272" t="n">
        <v>0.0</v>
      </c>
      <c r="AA1272" t="n">
        <v>0.0</v>
      </c>
      <c r="AB1272" t="n">
        <v>0.0</v>
      </c>
      <c r="AC1272" t="n">
        <v>0.0</v>
      </c>
      <c r="AD1272" t="n">
        <v>0.0</v>
      </c>
      <c r="AE1272" t="n">
        <v>0.0</v>
      </c>
      <c r="AF1272" t="n">
        <v>0.0</v>
      </c>
      <c r="AG1272" t="n">
        <v>0.0</v>
      </c>
      <c r="AH1272" t="n">
        <v>0.0</v>
      </c>
      <c r="AI1272" t="n">
        <v>0.0</v>
      </c>
      <c r="AJ1272" t="n">
        <v>0.0</v>
      </c>
      <c r="AK1272" t="inlineStr">
        <is>
          <t/>
        </is>
      </c>
      <c r="AL1272" t="inlineStr">
        <is>
          <t/>
        </is>
      </c>
    </row>
    <row r="1273">
      <c r="A1273" t="inlineStr">
        <is>
          <t>和老爸商量后，为减脂姐妹推出专属小包</t>
        </is>
      </c>
      <c r="B1273" t="inlineStr">
        <is>
          <t>6a0685980000000035023e8f</t>
        </is>
      </c>
      <c r="C1273" s="1272" t="n">
        <f>HYPERLINK("https://www.xiaohongshu.com/explore/6a0685980000000035023e8f?xsec_token=TBpankNZlH0V8NqkFXZqkegeSLYKmojAICEUQuRV-Te88=&amp;xsec_source=pc_trdark","https://www.xiaohongshu.com/explore/6a0685980000000035023e8f?xsec_token=TBpankNZlH0V8NqkFXZqkegeSLYKmojAICEUQuRV-Te88=&amp;xsec_source=pc_trdark")</f>
        <v>0.0</v>
      </c>
      <c r="D1273" t="inlineStr">
        <is>
          <t>鲜水湾甄选</t>
        </is>
      </c>
      <c r="E1273" t="inlineStr">
        <is>
          <t>27401929161</t>
        </is>
      </c>
      <c r="F1273" t="inlineStr">
        <is>
          <t>2026-05-15 10:31:52</t>
        </is>
      </c>
      <c r="G1273" t="inlineStr">
        <is>
          <t>图文</t>
        </is>
      </c>
      <c r="H1273" t="inlineStr">
        <is>
          <t>手剥虾仁 无冰衣无添加 低脂餐一人食 上班带饭 顺丰包邮 5盒装</t>
        </is>
      </c>
      <c r="I1273" t="inlineStr">
        <is>
          <t>694baba01d450d00013662f0</t>
        </is>
      </c>
      <c r="J1273" t="inlineStr">
        <is>
          <t/>
        </is>
      </c>
      <c r="K1273" t="n">
        <v>0.0</v>
      </c>
      <c r="L1273" t="n">
        <v>0.0</v>
      </c>
      <c r="M1273" t="n">
        <v>0.0</v>
      </c>
      <c r="N1273" t="inlineStr">
        <is>
          <t/>
        </is>
      </c>
      <c r="O1273" t="n">
        <v>0.0</v>
      </c>
      <c r="P1273" t="n">
        <v>0.0</v>
      </c>
      <c r="Q1273" t="inlineStr">
        <is>
          <t/>
        </is>
      </c>
      <c r="R1273" t="inlineStr">
        <is>
          <t/>
        </is>
      </c>
      <c r="S1273" t="n">
        <v>0.0</v>
      </c>
      <c r="T1273" t="n">
        <v>0.0</v>
      </c>
      <c r="U1273" t="n">
        <v>0.0</v>
      </c>
      <c r="V1273" t="n">
        <v>0.0</v>
      </c>
      <c r="W1273" t="inlineStr">
        <is>
          <t/>
        </is>
      </c>
      <c r="X1273" t="n">
        <v>0.0</v>
      </c>
      <c r="Y1273" t="n">
        <v>0.0</v>
      </c>
      <c r="Z1273" t="n">
        <v>0.0</v>
      </c>
      <c r="AA1273" t="n">
        <v>0.0</v>
      </c>
      <c r="AB1273" t="n">
        <v>0.0</v>
      </c>
      <c r="AC1273" t="n">
        <v>0.0</v>
      </c>
      <c r="AD1273" t="n">
        <v>0.0</v>
      </c>
      <c r="AE1273" t="n">
        <v>0.0</v>
      </c>
      <c r="AF1273" t="n">
        <v>0.0</v>
      </c>
      <c r="AG1273" t="n">
        <v>0.0</v>
      </c>
      <c r="AH1273" t="n">
        <v>0.0</v>
      </c>
      <c r="AI1273" t="n">
        <v>0.0</v>
      </c>
      <c r="AJ1273" t="n">
        <v>0.0</v>
      </c>
      <c r="AK1273" t="inlineStr">
        <is>
          <t/>
        </is>
      </c>
      <c r="AL1273" t="inlineStr">
        <is>
          <t/>
        </is>
      </c>
    </row>
    <row r="1274">
      <c r="A1274" t="inlineStr">
        <is>
          <t>和爸妈商量了，给上班带饭的姐妹推出小包装</t>
        </is>
      </c>
      <c r="B1274" t="inlineStr">
        <is>
          <t>6a0598650000000007020680</t>
        </is>
      </c>
      <c r="C1274" s="1273" t="n">
        <f>HYPERLINK("https://www.xiaohongshu.com/explore/6a0598650000000007020680?xsec_token=TB5fIXEADm3ztd3cFmDO51aEViarhkutl2yQEIxpoGWnQ=&amp;xsec_source=pc_trdark","https://www.xiaohongshu.com/explore/6a0598650000000007020680?xsec_token=TB5fIXEADm3ztd3cFmDO51aEViarhkutl2yQEIxpoGWnQ=&amp;xsec_source=pc_trdark")</f>
        <v>0.0</v>
      </c>
      <c r="D1274" t="inlineStr">
        <is>
          <t>鲜水湾</t>
        </is>
      </c>
      <c r="E1274" t="inlineStr">
        <is>
          <t>49316638994</t>
        </is>
      </c>
      <c r="F1274" t="inlineStr">
        <is>
          <t>2026-05-14 17:39:49</t>
        </is>
      </c>
      <c r="G1274" t="inlineStr">
        <is>
          <t>图文</t>
        </is>
      </c>
      <c r="H1274" t="inlineStr">
        <is>
          <t>智利尾端中段整条三文鱼 8斤深海鱼低脂餐囤货一周备菜顺丰包邮</t>
        </is>
      </c>
      <c r="I1274" t="inlineStr">
        <is>
          <t>69fab80d64eb410001ece0c0</t>
        </is>
      </c>
      <c r="J1274" t="inlineStr">
        <is>
          <t/>
        </is>
      </c>
      <c r="K1274" t="n">
        <v>0.0</v>
      </c>
      <c r="L1274" t="n">
        <v>0.0</v>
      </c>
      <c r="M1274" t="n">
        <v>0.0</v>
      </c>
      <c r="N1274" t="inlineStr">
        <is>
          <t/>
        </is>
      </c>
      <c r="O1274" t="n">
        <v>0.0</v>
      </c>
      <c r="P1274" t="n">
        <v>0.0</v>
      </c>
      <c r="Q1274" t="inlineStr">
        <is>
          <t/>
        </is>
      </c>
      <c r="R1274" t="inlineStr">
        <is>
          <t/>
        </is>
      </c>
      <c r="S1274" t="n">
        <v>0.0</v>
      </c>
      <c r="T1274" t="n">
        <v>0.0</v>
      </c>
      <c r="U1274" t="n">
        <v>0.0</v>
      </c>
      <c r="V1274" t="n">
        <v>0.0</v>
      </c>
      <c r="W1274" t="inlineStr">
        <is>
          <t/>
        </is>
      </c>
      <c r="X1274" t="n">
        <v>0.0</v>
      </c>
      <c r="Y1274" t="n">
        <v>0.0</v>
      </c>
      <c r="Z1274" t="n">
        <v>0.0</v>
      </c>
      <c r="AA1274" t="n">
        <v>0.0</v>
      </c>
      <c r="AB1274" t="n">
        <v>0.0</v>
      </c>
      <c r="AC1274" t="n">
        <v>0.0</v>
      </c>
      <c r="AD1274" t="n">
        <v>0.0</v>
      </c>
      <c r="AE1274" t="n">
        <v>0.0</v>
      </c>
      <c r="AF1274" t="n">
        <v>0.0</v>
      </c>
      <c r="AG1274" t="n">
        <v>0.0</v>
      </c>
      <c r="AH1274" t="n">
        <v>0.0</v>
      </c>
      <c r="AI1274" t="n">
        <v>0.0</v>
      </c>
      <c r="AJ1274" t="n">
        <v>0.0</v>
      </c>
      <c r="AK1274" t="inlineStr">
        <is>
          <t/>
        </is>
      </c>
      <c r="AL1274" t="inlineStr">
        <is>
          <t/>
        </is>
      </c>
    </row>
    <row r="1275">
      <c r="A1275" t="inlineStr">
        <is>
          <t>⛰️母对不起，还是小包装更有幸福感✌️</t>
        </is>
      </c>
      <c r="B1275" t="inlineStr">
        <is>
          <t>6a059180000000003502f6dc</t>
        </is>
      </c>
      <c r="C1275" s="1274" t="n">
        <f>HYPERLINK("https://www.xiaohongshu.com/explore/6a059180000000003502f6dc?xsec_token=TB5fIXEADm3ztd3cFmDO51aIiZIngaadicDtwb3BiNa48=&amp;xsec_source=pc_trdark","https://www.xiaohongshu.com/explore/6a059180000000003502f6dc?xsec_token=TB5fIXEADm3ztd3cFmDO51aIiZIngaadicDtwb3BiNa48=&amp;xsec_source=pc_trdark")</f>
        <v>0.0</v>
      </c>
      <c r="D1275" t="inlineStr">
        <is>
          <t>鲜水湾甄选</t>
        </is>
      </c>
      <c r="E1275" t="inlineStr">
        <is>
          <t>27401929161</t>
        </is>
      </c>
      <c r="F1275" t="inlineStr">
        <is>
          <t>2026-05-14 22:26:00</t>
        </is>
      </c>
      <c r="G1275" t="inlineStr">
        <is>
          <t>图文</t>
        </is>
      </c>
      <c r="H1275" t="inlineStr">
        <is>
          <t>手剥虾仁 无冰衣无添加 低脂餐一人食 上班带饭 顺丰包邮 5盒装</t>
        </is>
      </c>
      <c r="I1275" t="inlineStr">
        <is>
          <t>694baba01d450d00013662f0</t>
        </is>
      </c>
      <c r="J1275" t="inlineStr">
        <is>
          <t/>
        </is>
      </c>
      <c r="K1275" t="n">
        <v>0.0</v>
      </c>
      <c r="L1275" t="n">
        <v>0.0</v>
      </c>
      <c r="M1275" t="n">
        <v>0.0</v>
      </c>
      <c r="N1275" t="inlineStr">
        <is>
          <t/>
        </is>
      </c>
      <c r="O1275" t="n">
        <v>0.0</v>
      </c>
      <c r="P1275" t="n">
        <v>0.0</v>
      </c>
      <c r="Q1275" t="inlineStr">
        <is>
          <t/>
        </is>
      </c>
      <c r="R1275" t="inlineStr">
        <is>
          <t/>
        </is>
      </c>
      <c r="S1275" t="n">
        <v>0.0</v>
      </c>
      <c r="T1275" t="n">
        <v>0.0</v>
      </c>
      <c r="U1275" t="n">
        <v>0.0</v>
      </c>
      <c r="V1275" t="n">
        <v>0.0</v>
      </c>
      <c r="W1275" t="inlineStr">
        <is>
          <t/>
        </is>
      </c>
      <c r="X1275" t="n">
        <v>0.0</v>
      </c>
      <c r="Y1275" t="n">
        <v>0.0</v>
      </c>
      <c r="Z1275" t="n">
        <v>0.0</v>
      </c>
      <c r="AA1275" t="n">
        <v>0.0</v>
      </c>
      <c r="AB1275" t="n">
        <v>0.0</v>
      </c>
      <c r="AC1275" t="n">
        <v>0.0</v>
      </c>
      <c r="AD1275" t="n">
        <v>0.0</v>
      </c>
      <c r="AE1275" t="n">
        <v>0.0</v>
      </c>
      <c r="AF1275" t="n">
        <v>0.0</v>
      </c>
      <c r="AG1275" t="n">
        <v>0.0</v>
      </c>
      <c r="AH1275" t="n">
        <v>0.0</v>
      </c>
      <c r="AI1275" t="n">
        <v>0.0</v>
      </c>
      <c r="AJ1275" t="n">
        <v>0.0</v>
      </c>
      <c r="AK1275" t="inlineStr">
        <is>
          <t/>
        </is>
      </c>
      <c r="AL1275" t="inlineStr">
        <is>
          <t/>
        </is>
      </c>
    </row>
    <row r="1276">
      <c r="A1276" t="inlineStr">
        <is>
          <t>这个虾仁夯爆了！区区69块后我吃一周了…</t>
        </is>
      </c>
      <c r="B1276" t="inlineStr">
        <is>
          <t>6a058c3e000000000702577a</t>
        </is>
      </c>
      <c r="C1276" s="1275" t="n">
        <f>HYPERLINK("https://www.xiaohongshu.com/explore/6a058c3e000000000702577a?xsec_token=TB5fIXEADm3ztd3cFmDO51aJsw3ReNKeukB13noWt957g=&amp;xsec_source=pc_trdark","https://www.xiaohongshu.com/explore/6a058c3e000000000702577a?xsec_token=TB5fIXEADm3ztd3cFmDO51aJsw3ReNKeukB13noWt957g=&amp;xsec_source=pc_trdark")</f>
        <v>0.0</v>
      </c>
      <c r="D1276" t="inlineStr">
        <is>
          <t>菲菲上班吃什么</t>
        </is>
      </c>
      <c r="E1276" t="inlineStr">
        <is>
          <t>49936530607</t>
        </is>
      </c>
      <c r="F1276" t="inlineStr">
        <is>
          <t>2026-05-14 22:37:00</t>
        </is>
      </c>
      <c r="G1276" t="inlineStr">
        <is>
          <t>图文</t>
        </is>
      </c>
      <c r="H1276" t="inlineStr">
        <is>
          <t>手剥虾仁 无冰衣无添加 低脂餐一人食 上班带饭 顺丰包邮 5盒装</t>
        </is>
      </c>
      <c r="I1276" t="inlineStr">
        <is>
          <t>694baba01d450d00013662f0</t>
        </is>
      </c>
      <c r="J1276" t="inlineStr">
        <is>
          <t/>
        </is>
      </c>
      <c r="K1276" t="n">
        <v>0.0</v>
      </c>
      <c r="L1276" t="n">
        <v>0.0</v>
      </c>
      <c r="M1276" t="n">
        <v>0.0</v>
      </c>
      <c r="N1276" t="inlineStr">
        <is>
          <t/>
        </is>
      </c>
      <c r="O1276" t="n">
        <v>0.0</v>
      </c>
      <c r="P1276" t="n">
        <v>0.0</v>
      </c>
      <c r="Q1276" t="inlineStr">
        <is>
          <t/>
        </is>
      </c>
      <c r="R1276" t="inlineStr">
        <is>
          <t/>
        </is>
      </c>
      <c r="S1276" t="n">
        <v>0.0</v>
      </c>
      <c r="T1276" t="n">
        <v>0.0</v>
      </c>
      <c r="U1276" t="n">
        <v>0.0</v>
      </c>
      <c r="V1276" t="n">
        <v>0.0</v>
      </c>
      <c r="W1276" t="inlineStr">
        <is>
          <t/>
        </is>
      </c>
      <c r="X1276" t="n">
        <v>0.0</v>
      </c>
      <c r="Y1276" t="n">
        <v>0.0</v>
      </c>
      <c r="Z1276" t="n">
        <v>0.0</v>
      </c>
      <c r="AA1276" t="n">
        <v>0.0</v>
      </c>
      <c r="AB1276" t="n">
        <v>0.0</v>
      </c>
      <c r="AC1276" t="n">
        <v>0.0</v>
      </c>
      <c r="AD1276" t="n">
        <v>0.0</v>
      </c>
      <c r="AE1276" t="n">
        <v>0.0</v>
      </c>
      <c r="AF1276" t="n">
        <v>0.0</v>
      </c>
      <c r="AG1276" t="n">
        <v>0.0</v>
      </c>
      <c r="AH1276" t="n">
        <v>0.0</v>
      </c>
      <c r="AI1276" t="n">
        <v>0.0</v>
      </c>
      <c r="AJ1276" t="n">
        <v>0.0</v>
      </c>
      <c r="AK1276" t="inlineStr">
        <is>
          <t/>
        </is>
      </c>
      <c r="AL1276" t="inlineStr">
        <is>
          <t/>
        </is>
      </c>
    </row>
    <row r="1277">
      <c r="A1277" t="inlineStr">
        <is>
          <t>69直接囤了我一周的减脂餐…</t>
        </is>
      </c>
      <c r="B1277" t="inlineStr">
        <is>
          <t>6a058a700000000006022d32</t>
        </is>
      </c>
      <c r="C1277" s="1276" t="n">
        <f>HYPERLINK("https://www.xiaohongshu.com/explore/6a058a700000000006022d32?xsec_token=TB5fIXEADm3ztd3cFmDO51aP8xSyjKbRuuqx4w8YG-i_0=&amp;xsec_source=pc_trdark","https://www.xiaohongshu.com/explore/6a058a700000000006022d32?xsec_token=TB5fIXEADm3ztd3cFmDO51aP8xSyjKbRuuqx4w8YG-i_0=&amp;xsec_source=pc_trdark")</f>
        <v>0.0</v>
      </c>
      <c r="D1277" t="inlineStr">
        <is>
          <t>菲菲上班吃什么</t>
        </is>
      </c>
      <c r="E1277" t="inlineStr">
        <is>
          <t>49936530607</t>
        </is>
      </c>
      <c r="F1277" t="inlineStr">
        <is>
          <t>2026-05-14 19:32:00</t>
        </is>
      </c>
      <c r="G1277" t="inlineStr">
        <is>
          <t>图文</t>
        </is>
      </c>
      <c r="H1277" t="inlineStr">
        <is>
          <t>手剥虾仁 无冰衣无添加 低脂餐一人食 上班带饭 顺丰包邮 5盒装</t>
        </is>
      </c>
      <c r="I1277" t="inlineStr">
        <is>
          <t>694baba01d450d00013662f0</t>
        </is>
      </c>
      <c r="J1277" t="inlineStr">
        <is>
          <t/>
        </is>
      </c>
      <c r="K1277" t="n">
        <v>0.0</v>
      </c>
      <c r="L1277" t="n">
        <v>0.0</v>
      </c>
      <c r="M1277" t="n">
        <v>0.0</v>
      </c>
      <c r="N1277" t="inlineStr">
        <is>
          <t/>
        </is>
      </c>
      <c r="O1277" t="n">
        <v>0.0</v>
      </c>
      <c r="P1277" t="n">
        <v>0.0</v>
      </c>
      <c r="Q1277" t="inlineStr">
        <is>
          <t/>
        </is>
      </c>
      <c r="R1277" t="inlineStr">
        <is>
          <t/>
        </is>
      </c>
      <c r="S1277" t="n">
        <v>0.0</v>
      </c>
      <c r="T1277" t="n">
        <v>0.0</v>
      </c>
      <c r="U1277" t="n">
        <v>0.0</v>
      </c>
      <c r="V1277" t="n">
        <v>0.0</v>
      </c>
      <c r="W1277" t="inlineStr">
        <is>
          <t/>
        </is>
      </c>
      <c r="X1277" t="n">
        <v>0.0</v>
      </c>
      <c r="Y1277" t="n">
        <v>0.0</v>
      </c>
      <c r="Z1277" t="n">
        <v>0.0</v>
      </c>
      <c r="AA1277" t="n">
        <v>0.0</v>
      </c>
      <c r="AB1277" t="n">
        <v>0.0</v>
      </c>
      <c r="AC1277" t="n">
        <v>0.0</v>
      </c>
      <c r="AD1277" t="n">
        <v>0.0</v>
      </c>
      <c r="AE1277" t="n">
        <v>0.0</v>
      </c>
      <c r="AF1277" t="n">
        <v>0.0</v>
      </c>
      <c r="AG1277" t="n">
        <v>0.0</v>
      </c>
      <c r="AH1277" t="n">
        <v>0.0</v>
      </c>
      <c r="AI1277" t="n">
        <v>0.0</v>
      </c>
      <c r="AJ1277" t="n">
        <v>0.0</v>
      </c>
      <c r="AK1277" t="inlineStr">
        <is>
          <t/>
        </is>
      </c>
      <c r="AL1277" t="inlineStr">
        <is>
          <t/>
        </is>
      </c>
    </row>
    <row r="1278">
      <c r="A1278" t="inlineStr">
        <is>
          <t>懒人必囤三文鱼，简单煎一下巨好吃</t>
        </is>
      </c>
      <c r="B1278" t="inlineStr">
        <is>
          <t>6a05683b0000000006037e2e</t>
        </is>
      </c>
      <c r="C1278" s="1277" t="n">
        <f>HYPERLINK("https://www.xiaohongshu.com/explore/6a05683b0000000006037e2e?xsec_token=TB5fIXEADm3ztd3cFmDO51aHQZu3Dkbv4LEglSFA4YG60=&amp;xsec_source=pc_trdark","https://www.xiaohongshu.com/explore/6a05683b0000000006037e2e?xsec_token=TB5fIXEADm3ztd3cFmDO51aHQZu3Dkbv4LEglSFA4YG60=&amp;xsec_source=pc_trdark")</f>
        <v>0.0</v>
      </c>
      <c r="D1278" t="inlineStr">
        <is>
          <t>鲜水湾</t>
        </is>
      </c>
      <c r="E1278" t="inlineStr">
        <is>
          <t>49316638994</t>
        </is>
      </c>
      <c r="F1278" t="inlineStr">
        <is>
          <t>2026-05-14 14:14:19</t>
        </is>
      </c>
      <c r="G1278" t="inlineStr">
        <is>
          <t>图文</t>
        </is>
      </c>
      <c r="H1278" t="inlineStr">
        <is>
          <t>智利尾端中段整条三文鱼 8斤深海鱼低脂餐囤货一周备菜顺丰包邮</t>
        </is>
      </c>
      <c r="I1278" t="inlineStr">
        <is>
          <t>69fab80d64eb410001ece0c0</t>
        </is>
      </c>
      <c r="J1278" t="inlineStr">
        <is>
          <t/>
        </is>
      </c>
      <c r="K1278" t="n">
        <v>0.0</v>
      </c>
      <c r="L1278" t="n">
        <v>0.0</v>
      </c>
      <c r="M1278" t="n">
        <v>0.0</v>
      </c>
      <c r="N1278" t="inlineStr">
        <is>
          <t/>
        </is>
      </c>
      <c r="O1278" t="n">
        <v>0.0</v>
      </c>
      <c r="P1278" t="n">
        <v>0.0</v>
      </c>
      <c r="Q1278" t="inlineStr">
        <is>
          <t/>
        </is>
      </c>
      <c r="R1278" t="inlineStr">
        <is>
          <t/>
        </is>
      </c>
      <c r="S1278" t="n">
        <v>0.0</v>
      </c>
      <c r="T1278" t="n">
        <v>0.0</v>
      </c>
      <c r="U1278" t="n">
        <v>0.0</v>
      </c>
      <c r="V1278" t="n">
        <v>0.0</v>
      </c>
      <c r="W1278" t="inlineStr">
        <is>
          <t/>
        </is>
      </c>
      <c r="X1278" t="n">
        <v>0.0</v>
      </c>
      <c r="Y1278" t="n">
        <v>0.0</v>
      </c>
      <c r="Z1278" t="n">
        <v>0.0</v>
      </c>
      <c r="AA1278" t="n">
        <v>0.0</v>
      </c>
      <c r="AB1278" t="n">
        <v>0.0</v>
      </c>
      <c r="AC1278" t="n">
        <v>0.0</v>
      </c>
      <c r="AD1278" t="n">
        <v>0.0</v>
      </c>
      <c r="AE1278" t="n">
        <v>0.0</v>
      </c>
      <c r="AF1278" t="n">
        <v>0.0</v>
      </c>
      <c r="AG1278" t="n">
        <v>0.0</v>
      </c>
      <c r="AH1278" t="n">
        <v>0.0</v>
      </c>
      <c r="AI1278" t="n">
        <v>0.0</v>
      </c>
      <c r="AJ1278" t="n">
        <v>0.0</v>
      </c>
      <c r="AK1278" t="inlineStr">
        <is>
          <t/>
        </is>
      </c>
      <c r="AL1278" t="inlineStr">
        <is>
          <t/>
        </is>
      </c>
    </row>
    <row r="1279">
      <c r="A1279" t="inlineStr">
        <is>
          <t>和老爸商量后，为减脂姐妹推出专属小包！！</t>
        </is>
      </c>
      <c r="B1279" t="inlineStr">
        <is>
          <t>6a0563e100000000080248ed</t>
        </is>
      </c>
      <c r="C1279" s="1278" t="n">
        <f>HYPERLINK("https://www.xiaohongshu.com/explore/6a0563e100000000080248ed?xsec_token=TB5fIXEADm3ztd3cFmDO51aNRsYFeIhXzOR58HaL-iH1c=&amp;xsec_source=pc_trdark","https://www.xiaohongshu.com/explore/6a0563e100000000080248ed?xsec_token=TB5fIXEADm3ztd3cFmDO51aNRsYFeIhXzOR58HaL-iH1c=&amp;xsec_source=pc_trdark")</f>
        <v>0.0</v>
      </c>
      <c r="D1279" t="inlineStr">
        <is>
          <t>菲菲上班吃什么</t>
        </is>
      </c>
      <c r="E1279" t="inlineStr">
        <is>
          <t>49936530607</t>
        </is>
      </c>
      <c r="F1279" t="inlineStr">
        <is>
          <t>2026-05-14 14:55:00</t>
        </is>
      </c>
      <c r="G1279" t="inlineStr">
        <is>
          <t>图文</t>
        </is>
      </c>
      <c r="H1279" t="inlineStr">
        <is>
          <t>手剥虾仁 无冰衣无添加 低脂餐一人食 上班带饭 顺丰包邮 5盒装</t>
        </is>
      </c>
      <c r="I1279" t="inlineStr">
        <is>
          <t>694baba01d450d00013662f0</t>
        </is>
      </c>
      <c r="J1279" t="inlineStr">
        <is>
          <t/>
        </is>
      </c>
      <c r="K1279" t="n">
        <v>0.0</v>
      </c>
      <c r="L1279" t="n">
        <v>0.0</v>
      </c>
      <c r="M1279" t="n">
        <v>0.0</v>
      </c>
      <c r="N1279" t="inlineStr">
        <is>
          <t/>
        </is>
      </c>
      <c r="O1279" t="n">
        <v>0.0</v>
      </c>
      <c r="P1279" t="n">
        <v>0.0</v>
      </c>
      <c r="Q1279" t="inlineStr">
        <is>
          <t/>
        </is>
      </c>
      <c r="R1279" t="inlineStr">
        <is>
          <t/>
        </is>
      </c>
      <c r="S1279" t="n">
        <v>0.0</v>
      </c>
      <c r="T1279" t="n">
        <v>0.0</v>
      </c>
      <c r="U1279" t="n">
        <v>0.0</v>
      </c>
      <c r="V1279" t="n">
        <v>0.0</v>
      </c>
      <c r="W1279" t="inlineStr">
        <is>
          <t/>
        </is>
      </c>
      <c r="X1279" t="n">
        <v>0.0</v>
      </c>
      <c r="Y1279" t="n">
        <v>0.0</v>
      </c>
      <c r="Z1279" t="n">
        <v>0.0</v>
      </c>
      <c r="AA1279" t="n">
        <v>0.0</v>
      </c>
      <c r="AB1279" t="n">
        <v>0.0</v>
      </c>
      <c r="AC1279" t="n">
        <v>0.0</v>
      </c>
      <c r="AD1279" t="n">
        <v>0.0</v>
      </c>
      <c r="AE1279" t="n">
        <v>0.0</v>
      </c>
      <c r="AF1279" t="n">
        <v>0.0</v>
      </c>
      <c r="AG1279" t="n">
        <v>0.0</v>
      </c>
      <c r="AH1279" t="n">
        <v>0.0</v>
      </c>
      <c r="AI1279" t="n">
        <v>0.0</v>
      </c>
      <c r="AJ1279" t="n">
        <v>0.0</v>
      </c>
      <c r="AK1279" t="inlineStr">
        <is>
          <t/>
        </is>
      </c>
      <c r="AL1279" t="inlineStr">
        <is>
          <t/>
        </is>
      </c>
    </row>
    <row r="1280">
      <c r="A1280" t="inlineStr">
        <is>
          <t>我也不想买啊，可69r能吃一周减脂餐了！</t>
        </is>
      </c>
      <c r="B1280" t="inlineStr">
        <is>
          <t>6a055efc00000000350207c9</t>
        </is>
      </c>
      <c r="C1280" s="1279" t="n">
        <f>HYPERLINK("https://www.xiaohongshu.com/explore/6a055efc00000000350207c9?xsec_token=TB5fIXEADm3ztd3cFmDO51aPIIV-mN_ZDBPqNUMpiPCEY=&amp;xsec_source=pc_trdark","https://www.xiaohongshu.com/explore/6a055efc00000000350207c9?xsec_token=TB5fIXEADm3ztd3cFmDO51aPIIV-mN_ZDBPqNUMpiPCEY=&amp;xsec_source=pc_trdark")</f>
        <v>0.0</v>
      </c>
      <c r="D1280" t="inlineStr">
        <is>
          <t>鲜水湾甄选</t>
        </is>
      </c>
      <c r="E1280" t="inlineStr">
        <is>
          <t>27401929161</t>
        </is>
      </c>
      <c r="F1280" t="inlineStr">
        <is>
          <t>2026-05-14 13:34:52</t>
        </is>
      </c>
      <c r="G1280" t="inlineStr">
        <is>
          <t>图文</t>
        </is>
      </c>
      <c r="H1280" t="inlineStr">
        <is>
          <t>手剥虾仁 无冰衣无添加 低脂餐一人食 上班带饭 顺丰包邮 5盒装</t>
        </is>
      </c>
      <c r="I1280" t="inlineStr">
        <is>
          <t>694baba01d450d00013662f0</t>
        </is>
      </c>
      <c r="J1280" t="inlineStr">
        <is>
          <t/>
        </is>
      </c>
      <c r="K1280" t="n">
        <v>0.0</v>
      </c>
      <c r="L1280" t="n">
        <v>0.0</v>
      </c>
      <c r="M1280" t="n">
        <v>0.0</v>
      </c>
      <c r="N1280" t="inlineStr">
        <is>
          <t/>
        </is>
      </c>
      <c r="O1280" t="n">
        <v>0.0</v>
      </c>
      <c r="P1280" t="n">
        <v>0.0</v>
      </c>
      <c r="Q1280" t="inlineStr">
        <is>
          <t/>
        </is>
      </c>
      <c r="R1280" t="inlineStr">
        <is>
          <t/>
        </is>
      </c>
      <c r="S1280" t="n">
        <v>0.0</v>
      </c>
      <c r="T1280" t="n">
        <v>0.0</v>
      </c>
      <c r="U1280" t="n">
        <v>0.0</v>
      </c>
      <c r="V1280" t="n">
        <v>0.0</v>
      </c>
      <c r="W1280" t="inlineStr">
        <is>
          <t/>
        </is>
      </c>
      <c r="X1280" t="n">
        <v>0.0</v>
      </c>
      <c r="Y1280" t="n">
        <v>0.0</v>
      </c>
      <c r="Z1280" t="n">
        <v>0.0</v>
      </c>
      <c r="AA1280" t="n">
        <v>0.0</v>
      </c>
      <c r="AB1280" t="n">
        <v>0.0</v>
      </c>
      <c r="AC1280" t="n">
        <v>0.0</v>
      </c>
      <c r="AD1280" t="n">
        <v>0.0</v>
      </c>
      <c r="AE1280" t="n">
        <v>0.0</v>
      </c>
      <c r="AF1280" t="n">
        <v>0.0</v>
      </c>
      <c r="AG1280" t="n">
        <v>0.0</v>
      </c>
      <c r="AH1280" t="n">
        <v>0.0</v>
      </c>
      <c r="AI1280" t="n">
        <v>0.0</v>
      </c>
      <c r="AJ1280" t="n">
        <v>0.0</v>
      </c>
      <c r="AK1280" t="inlineStr">
        <is>
          <t/>
        </is>
      </c>
      <c r="AL1280" t="inlineStr">
        <is>
          <t/>
        </is>
      </c>
    </row>
    <row r="1281">
      <c r="A1281" t="inlineStr">
        <is>
          <t>‼️谁也没想到啊…天天就吃这个🤫一直掉…</t>
        </is>
      </c>
      <c r="B1281" t="inlineStr">
        <is>
          <t>6a055d970000000008003fbc</t>
        </is>
      </c>
      <c r="C1281" s="1280" t="n">
        <f>HYPERLINK("https://www.xiaohongshu.com/explore/6a055d970000000008003fbc?xsec_token=TB5fIXEADm3ztd3cFmDO51aACVSASs56rk6xqhPmJ_7J8=&amp;xsec_source=pc_trdark","https://www.xiaohongshu.com/explore/6a055d970000000008003fbc?xsec_token=TB5fIXEADm3ztd3cFmDO51aACVSASs56rk6xqhPmJ_7J8=&amp;xsec_source=pc_trdark")</f>
        <v>0.0</v>
      </c>
      <c r="D1281" t="inlineStr">
        <is>
          <t>菲菲上班吃什么</t>
        </is>
      </c>
      <c r="E1281" t="inlineStr">
        <is>
          <t>49936530607</t>
        </is>
      </c>
      <c r="F1281" t="inlineStr">
        <is>
          <t>2026-05-14 13:28:56</t>
        </is>
      </c>
      <c r="G1281" t="inlineStr">
        <is>
          <t>图文</t>
        </is>
      </c>
      <c r="H1281" t="inlineStr">
        <is>
          <t>手剥虾仁 无冰衣无添加 低脂餐一人食 上班带饭 顺丰包邮 5盒装</t>
        </is>
      </c>
      <c r="I1281" t="inlineStr">
        <is>
          <t>694baba01d450d00013662f0</t>
        </is>
      </c>
      <c r="J1281" t="inlineStr">
        <is>
          <t/>
        </is>
      </c>
      <c r="K1281" t="n">
        <v>0.0</v>
      </c>
      <c r="L1281" t="n">
        <v>0.0</v>
      </c>
      <c r="M1281" t="n">
        <v>0.0</v>
      </c>
      <c r="N1281" t="inlineStr">
        <is>
          <t/>
        </is>
      </c>
      <c r="O1281" t="n">
        <v>0.0</v>
      </c>
      <c r="P1281" t="n">
        <v>0.0</v>
      </c>
      <c r="Q1281" t="inlineStr">
        <is>
          <t/>
        </is>
      </c>
      <c r="R1281" t="inlineStr">
        <is>
          <t/>
        </is>
      </c>
      <c r="S1281" t="n">
        <v>0.0</v>
      </c>
      <c r="T1281" t="n">
        <v>0.0</v>
      </c>
      <c r="U1281" t="n">
        <v>0.0</v>
      </c>
      <c r="V1281" t="n">
        <v>0.0</v>
      </c>
      <c r="W1281" t="inlineStr">
        <is>
          <t/>
        </is>
      </c>
      <c r="X1281" t="n">
        <v>0.0</v>
      </c>
      <c r="Y1281" t="n">
        <v>0.0</v>
      </c>
      <c r="Z1281" t="n">
        <v>0.0</v>
      </c>
      <c r="AA1281" t="n">
        <v>0.0</v>
      </c>
      <c r="AB1281" t="n">
        <v>0.0</v>
      </c>
      <c r="AC1281" t="n">
        <v>0.0</v>
      </c>
      <c r="AD1281" t="n">
        <v>0.0</v>
      </c>
      <c r="AE1281" t="n">
        <v>0.0</v>
      </c>
      <c r="AF1281" t="n">
        <v>0.0</v>
      </c>
      <c r="AG1281" t="n">
        <v>0.0</v>
      </c>
      <c r="AH1281" t="n">
        <v>0.0</v>
      </c>
      <c r="AI1281" t="n">
        <v>0.0</v>
      </c>
      <c r="AJ1281" t="n">
        <v>0.0</v>
      </c>
      <c r="AK1281" t="inlineStr">
        <is>
          <t/>
        </is>
      </c>
      <c r="AL1281" t="inlineStr">
        <is>
          <t/>
        </is>
      </c>
    </row>
    <row r="1282">
      <c r="A1282" t="inlineStr">
        <is>
          <t>69块5袋虾仁，够我吃一周减脂餐</t>
        </is>
      </c>
      <c r="B1282" t="inlineStr">
        <is>
          <t>6a0545ff000000000803c629</t>
        </is>
      </c>
      <c r="C1282" s="1281" t="n">
        <f>HYPERLINK("https://www.xiaohongshu.com/explore/6a0545ff000000000803c629?xsec_token=TB5fIXEADm3ztd3cFmDO51aAvn9o2jYdH0Tl2xBVTJqh8=&amp;xsec_source=pc_trdark","https://www.xiaohongshu.com/explore/6a0545ff000000000803c629?xsec_token=TB5fIXEADm3ztd3cFmDO51aAvn9o2jYdH0Tl2xBVTJqh8=&amp;xsec_source=pc_trdark")</f>
        <v>0.0</v>
      </c>
      <c r="D1282" t="inlineStr">
        <is>
          <t>婉婉上班吃什么</t>
        </is>
      </c>
      <c r="E1282" t="inlineStr">
        <is>
          <t>11434449706</t>
        </is>
      </c>
      <c r="F1282" t="inlineStr">
        <is>
          <t>2026-05-14 11:48:15</t>
        </is>
      </c>
      <c r="G1282" t="inlineStr">
        <is>
          <t>图文</t>
        </is>
      </c>
      <c r="H1282" t="inlineStr">
        <is>
          <t>手剥虾仁 无冰衣无添加 低脂餐一人食 上班带饭 顺丰包邮 5盒装</t>
        </is>
      </c>
      <c r="I1282" t="inlineStr">
        <is>
          <t>694baba01d450d00013662f0</t>
        </is>
      </c>
      <c r="J1282" t="inlineStr">
        <is>
          <t/>
        </is>
      </c>
      <c r="K1282" t="n">
        <v>0.0</v>
      </c>
      <c r="L1282" t="n">
        <v>0.0</v>
      </c>
      <c r="M1282" t="n">
        <v>0.0</v>
      </c>
      <c r="N1282" t="inlineStr">
        <is>
          <t/>
        </is>
      </c>
      <c r="O1282" t="n">
        <v>0.0</v>
      </c>
      <c r="P1282" t="n">
        <v>0.0</v>
      </c>
      <c r="Q1282" t="inlineStr">
        <is>
          <t/>
        </is>
      </c>
      <c r="R1282" t="inlineStr">
        <is>
          <t/>
        </is>
      </c>
      <c r="S1282" t="n">
        <v>0.0</v>
      </c>
      <c r="T1282" t="n">
        <v>0.0</v>
      </c>
      <c r="U1282" t="n">
        <v>0.0</v>
      </c>
      <c r="V1282" t="n">
        <v>0.0</v>
      </c>
      <c r="W1282" t="inlineStr">
        <is>
          <t/>
        </is>
      </c>
      <c r="X1282" t="n">
        <v>0.0</v>
      </c>
      <c r="Y1282" t="n">
        <v>0.0</v>
      </c>
      <c r="Z1282" t="n">
        <v>0.0</v>
      </c>
      <c r="AA1282" t="n">
        <v>0.0</v>
      </c>
      <c r="AB1282" t="n">
        <v>0.0</v>
      </c>
      <c r="AC1282" t="n">
        <v>0.0</v>
      </c>
      <c r="AD1282" t="n">
        <v>0.0</v>
      </c>
      <c r="AE1282" t="n">
        <v>0.0</v>
      </c>
      <c r="AF1282" t="n">
        <v>0.0</v>
      </c>
      <c r="AG1282" t="n">
        <v>0.0</v>
      </c>
      <c r="AH1282" t="n">
        <v>0.0</v>
      </c>
      <c r="AI1282" t="n">
        <v>0.0</v>
      </c>
      <c r="AJ1282" t="n">
        <v>0.0</v>
      </c>
      <c r="AK1282" t="inlineStr">
        <is>
          <t/>
        </is>
      </c>
      <c r="AL1282" t="inlineStr">
        <is>
          <t/>
        </is>
      </c>
    </row>
    <row r="1283">
      <c r="A1283" t="inlineStr">
        <is>
          <t>整条三文鱼8斤限时折扣！快冲吧</t>
        </is>
      </c>
      <c r="B1283" t="inlineStr">
        <is>
          <t>6a0497a3000000000603390d</t>
        </is>
      </c>
      <c r="C1283" s="1282" t="n">
        <f>HYPERLINK("https://www.xiaohongshu.com/explore/6a0497a3000000000603390d?xsec_token=TB97Sb--y1lRno5M8_9mN6e35rynvG4yGJBlCN1zGKATE=&amp;xsec_source=pc_trdark","https://www.xiaohongshu.com/explore/6a0497a3000000000603390d?xsec_token=TB97Sb--y1lRno5M8_9mN6e35rynvG4yGJBlCN1zGKATE=&amp;xsec_source=pc_trdark")</f>
        <v>0.0</v>
      </c>
      <c r="D1283" t="inlineStr">
        <is>
          <t>鲜水湾</t>
        </is>
      </c>
      <c r="E1283" t="inlineStr">
        <is>
          <t>49316638994</t>
        </is>
      </c>
      <c r="F1283" t="inlineStr">
        <is>
          <t>2026-05-13 23:24:19</t>
        </is>
      </c>
      <c r="G1283" t="inlineStr">
        <is>
          <t>图文</t>
        </is>
      </c>
      <c r="H1283" t="inlineStr">
        <is>
          <t>智利尾端中段整条三文鱼 8斤深海鱼低脂餐囤货一周备菜顺丰包邮</t>
        </is>
      </c>
      <c r="I1283" t="inlineStr">
        <is>
          <t>69fab80d64eb410001ece0c0</t>
        </is>
      </c>
      <c r="J1283" t="inlineStr">
        <is>
          <t/>
        </is>
      </c>
      <c r="K1283" t="n">
        <v>0.0</v>
      </c>
      <c r="L1283" t="n">
        <v>0.0</v>
      </c>
      <c r="M1283" t="n">
        <v>0.0</v>
      </c>
      <c r="N1283" t="inlineStr">
        <is>
          <t/>
        </is>
      </c>
      <c r="O1283" t="n">
        <v>0.0</v>
      </c>
      <c r="P1283" t="n">
        <v>0.0</v>
      </c>
      <c r="Q1283" t="inlineStr">
        <is>
          <t/>
        </is>
      </c>
      <c r="R1283" t="inlineStr">
        <is>
          <t/>
        </is>
      </c>
      <c r="S1283" t="n">
        <v>0.0</v>
      </c>
      <c r="T1283" t="n">
        <v>0.0</v>
      </c>
      <c r="U1283" t="n">
        <v>0.0</v>
      </c>
      <c r="V1283" t="n">
        <v>0.0</v>
      </c>
      <c r="W1283" t="inlineStr">
        <is>
          <t/>
        </is>
      </c>
      <c r="X1283" t="n">
        <v>0.0</v>
      </c>
      <c r="Y1283" t="n">
        <v>0.0</v>
      </c>
      <c r="Z1283" t="n">
        <v>0.0</v>
      </c>
      <c r="AA1283" t="n">
        <v>0.0</v>
      </c>
      <c r="AB1283" t="n">
        <v>0.0</v>
      </c>
      <c r="AC1283" t="n">
        <v>0.0</v>
      </c>
      <c r="AD1283" t="n">
        <v>0.0</v>
      </c>
      <c r="AE1283" t="n">
        <v>0.0</v>
      </c>
      <c r="AF1283" t="n">
        <v>0.0</v>
      </c>
      <c r="AG1283" t="n">
        <v>0.0</v>
      </c>
      <c r="AH1283" t="n">
        <v>0.0</v>
      </c>
      <c r="AI1283" t="n">
        <v>0.0</v>
      </c>
      <c r="AJ1283" t="n">
        <v>0.0</v>
      </c>
      <c r="AK1283" t="inlineStr">
        <is>
          <t/>
        </is>
      </c>
      <c r="AL1283" t="inlineStr">
        <is>
          <t/>
        </is>
      </c>
    </row>
    <row r="1284">
      <c r="A1284" t="inlineStr">
        <is>
          <t>69块钱的虾仁，没想到下班晚餐被它承包了</t>
        </is>
      </c>
      <c r="B1284" t="inlineStr">
        <is>
          <t>6a0488b5000000000702bc8c</t>
        </is>
      </c>
      <c r="C1284" s="1283" t="n">
        <f>HYPERLINK("https://www.xiaohongshu.com/explore/6a0488b5000000000702bc8c?xsec_token=TB97Sb--y1lRno5M8_9mN6e42pKUa41O3DBo5iAMT3BV0=&amp;xsec_source=pc_trdark","https://www.xiaohongshu.com/explore/6a0488b5000000000702bc8c?xsec_token=TB97Sb--y1lRno5M8_9mN6e42pKUa41O3DBo5iAMT3BV0=&amp;xsec_source=pc_trdark")</f>
        <v>0.0</v>
      </c>
      <c r="D1284" t="inlineStr">
        <is>
          <t>婉婉上班吃什么</t>
        </is>
      </c>
      <c r="E1284" t="inlineStr">
        <is>
          <t>11434449706</t>
        </is>
      </c>
      <c r="F1284" t="inlineStr">
        <is>
          <t>2026-05-13 22:20:37</t>
        </is>
      </c>
      <c r="G1284" t="inlineStr">
        <is>
          <t>图文</t>
        </is>
      </c>
      <c r="H1284" t="inlineStr">
        <is>
          <t>手剥虾仁 无冰衣无添加 低脂餐一人食 上班带饭 顺丰包邮 5盒装</t>
        </is>
      </c>
      <c r="I1284" t="inlineStr">
        <is>
          <t>694baba01d450d00013662f0</t>
        </is>
      </c>
      <c r="J1284" t="inlineStr">
        <is>
          <t/>
        </is>
      </c>
      <c r="K1284" t="n">
        <v>0.0</v>
      </c>
      <c r="L1284" t="n">
        <v>0.0</v>
      </c>
      <c r="M1284" t="n">
        <v>0.0</v>
      </c>
      <c r="N1284" t="inlineStr">
        <is>
          <t/>
        </is>
      </c>
      <c r="O1284" t="n">
        <v>0.0</v>
      </c>
      <c r="P1284" t="n">
        <v>0.0</v>
      </c>
      <c r="Q1284" t="inlineStr">
        <is>
          <t/>
        </is>
      </c>
      <c r="R1284" t="inlineStr">
        <is>
          <t/>
        </is>
      </c>
      <c r="S1284" t="n">
        <v>0.0</v>
      </c>
      <c r="T1284" t="n">
        <v>0.0</v>
      </c>
      <c r="U1284" t="n">
        <v>0.0</v>
      </c>
      <c r="V1284" t="n">
        <v>0.0</v>
      </c>
      <c r="W1284" t="inlineStr">
        <is>
          <t/>
        </is>
      </c>
      <c r="X1284" t="n">
        <v>0.0</v>
      </c>
      <c r="Y1284" t="n">
        <v>0.0</v>
      </c>
      <c r="Z1284" t="n">
        <v>0.0</v>
      </c>
      <c r="AA1284" t="n">
        <v>0.0</v>
      </c>
      <c r="AB1284" t="n">
        <v>0.0</v>
      </c>
      <c r="AC1284" t="n">
        <v>0.0</v>
      </c>
      <c r="AD1284" t="n">
        <v>0.0</v>
      </c>
      <c r="AE1284" t="n">
        <v>0.0</v>
      </c>
      <c r="AF1284" t="n">
        <v>0.0</v>
      </c>
      <c r="AG1284" t="n">
        <v>0.0</v>
      </c>
      <c r="AH1284" t="n">
        <v>0.0</v>
      </c>
      <c r="AI1284" t="n">
        <v>0.0</v>
      </c>
      <c r="AJ1284" t="n">
        <v>0.0</v>
      </c>
      <c r="AK1284" t="inlineStr">
        <is>
          <t/>
        </is>
      </c>
      <c r="AL1284" t="inlineStr">
        <is>
          <t/>
        </is>
      </c>
    </row>
    <row r="1285">
      <c r="A1285" t="inlineStr">
        <is>
          <t>终于理解为什么那么多人囤虾仁了……</t>
        </is>
      </c>
      <c r="B1285" t="inlineStr">
        <is>
          <t>6a04454800000000350317b7</t>
        </is>
      </c>
      <c r="C1285" s="1284" t="n">
        <f>HYPERLINK("https://www.xiaohongshu.com/explore/6a04454800000000350317b7?xsec_token=TB97Sb--y1lRno5M8_9mN6e5iBjakXzt56VQMd7jnUPsU=&amp;xsec_source=pc_trdark","https://www.xiaohongshu.com/explore/6a04454800000000350317b7?xsec_token=TB97Sb--y1lRno5M8_9mN6e5iBjakXzt56VQMd7jnUPsU=&amp;xsec_source=pc_trdark")</f>
        <v>0.0</v>
      </c>
      <c r="D1285" t="inlineStr">
        <is>
          <t>鲜水湾甄选</t>
        </is>
      </c>
      <c r="E1285" t="inlineStr">
        <is>
          <t>27401929161</t>
        </is>
      </c>
      <c r="F1285" t="inlineStr">
        <is>
          <t>2026-05-13 17:43:00</t>
        </is>
      </c>
      <c r="G1285" t="inlineStr">
        <is>
          <t>图文</t>
        </is>
      </c>
      <c r="H1285" t="inlineStr">
        <is>
          <t>手剥虾仁 无冰衣无添加 低脂餐一人食 上班带饭 顺丰包邮 5盒装</t>
        </is>
      </c>
      <c r="I1285" t="inlineStr">
        <is>
          <t>694baba01d450d00013662f0</t>
        </is>
      </c>
      <c r="J1285" t="inlineStr">
        <is>
          <t/>
        </is>
      </c>
      <c r="K1285" t="n">
        <v>0.0</v>
      </c>
      <c r="L1285" t="n">
        <v>0.0</v>
      </c>
      <c r="M1285" t="n">
        <v>0.0</v>
      </c>
      <c r="N1285" t="inlineStr">
        <is>
          <t/>
        </is>
      </c>
      <c r="O1285" t="n">
        <v>0.0</v>
      </c>
      <c r="P1285" t="n">
        <v>0.0</v>
      </c>
      <c r="Q1285" t="inlineStr">
        <is>
          <t/>
        </is>
      </c>
      <c r="R1285" t="inlineStr">
        <is>
          <t/>
        </is>
      </c>
      <c r="S1285" t="n">
        <v>0.0</v>
      </c>
      <c r="T1285" t="n">
        <v>0.0</v>
      </c>
      <c r="U1285" t="n">
        <v>0.0</v>
      </c>
      <c r="V1285" t="n">
        <v>0.0</v>
      </c>
      <c r="W1285" t="inlineStr">
        <is>
          <t/>
        </is>
      </c>
      <c r="X1285" t="n">
        <v>0.0</v>
      </c>
      <c r="Y1285" t="n">
        <v>0.0</v>
      </c>
      <c r="Z1285" t="n">
        <v>0.0</v>
      </c>
      <c r="AA1285" t="n">
        <v>0.0</v>
      </c>
      <c r="AB1285" t="n">
        <v>0.0</v>
      </c>
      <c r="AC1285" t="n">
        <v>0.0</v>
      </c>
      <c r="AD1285" t="n">
        <v>0.0</v>
      </c>
      <c r="AE1285" t="n">
        <v>0.0</v>
      </c>
      <c r="AF1285" t="n">
        <v>0.0</v>
      </c>
      <c r="AG1285" t="n">
        <v>0.0</v>
      </c>
      <c r="AH1285" t="n">
        <v>0.0</v>
      </c>
      <c r="AI1285" t="n">
        <v>0.0</v>
      </c>
      <c r="AJ1285" t="n">
        <v>0.0</v>
      </c>
      <c r="AK1285" t="inlineStr">
        <is>
          <t/>
        </is>
      </c>
      <c r="AL1285" t="inlineStr">
        <is>
          <t/>
        </is>
      </c>
    </row>
    <row r="1286">
      <c r="A1286" t="inlineStr">
        <is>
          <t>你信吗？接下来一个月减脂人会买😂😂</t>
        </is>
      </c>
      <c r="B1286" t="inlineStr">
        <is>
          <t>6a043ec70000000035032d81</t>
        </is>
      </c>
      <c r="C1286" s="1285" t="n">
        <f>HYPERLINK("https://www.xiaohongshu.com/explore/6a043ec70000000035032d81?xsec_token=TB97Sb--y1lRno5M8_9mN6e_8WiygCkCSbyRc6o-SRon4=&amp;xsec_source=pc_trdark","https://www.xiaohongshu.com/explore/6a043ec70000000035032d81?xsec_token=TB97Sb--y1lRno5M8_9mN6e_8WiygCkCSbyRc6o-SRon4=&amp;xsec_source=pc_trdark")</f>
        <v>0.0</v>
      </c>
      <c r="D1286" t="inlineStr">
        <is>
          <t>鲜水湾甄选</t>
        </is>
      </c>
      <c r="E1286" t="inlineStr">
        <is>
          <t>27401929161</t>
        </is>
      </c>
      <c r="F1286" t="inlineStr">
        <is>
          <t>2026-05-13 19:48:00</t>
        </is>
      </c>
      <c r="G1286" t="inlineStr">
        <is>
          <t>图文</t>
        </is>
      </c>
      <c r="H1286" t="inlineStr">
        <is>
          <t>手剥虾仁 无冰衣无添加 低脂餐一人食 上班带饭 顺丰包邮 5盒装</t>
        </is>
      </c>
      <c r="I1286" t="inlineStr">
        <is>
          <t>694baba01d450d00013662f0</t>
        </is>
      </c>
      <c r="J1286" t="inlineStr">
        <is>
          <t/>
        </is>
      </c>
      <c r="K1286" t="n">
        <v>0.0</v>
      </c>
      <c r="L1286" t="n">
        <v>0.0</v>
      </c>
      <c r="M1286" t="n">
        <v>0.0</v>
      </c>
      <c r="N1286" t="inlineStr">
        <is>
          <t/>
        </is>
      </c>
      <c r="O1286" t="n">
        <v>0.0</v>
      </c>
      <c r="P1286" t="n">
        <v>0.0</v>
      </c>
      <c r="Q1286" t="inlineStr">
        <is>
          <t/>
        </is>
      </c>
      <c r="R1286" t="inlineStr">
        <is>
          <t/>
        </is>
      </c>
      <c r="S1286" t="n">
        <v>0.0</v>
      </c>
      <c r="T1286" t="n">
        <v>0.0</v>
      </c>
      <c r="U1286" t="n">
        <v>0.0</v>
      </c>
      <c r="V1286" t="n">
        <v>0.0</v>
      </c>
      <c r="W1286" t="inlineStr">
        <is>
          <t/>
        </is>
      </c>
      <c r="X1286" t="n">
        <v>0.0</v>
      </c>
      <c r="Y1286" t="n">
        <v>0.0</v>
      </c>
      <c r="Z1286" t="n">
        <v>0.0</v>
      </c>
      <c r="AA1286" t="n">
        <v>0.0</v>
      </c>
      <c r="AB1286" t="n">
        <v>0.0</v>
      </c>
      <c r="AC1286" t="n">
        <v>0.0</v>
      </c>
      <c r="AD1286" t="n">
        <v>0.0</v>
      </c>
      <c r="AE1286" t="n">
        <v>0.0</v>
      </c>
      <c r="AF1286" t="n">
        <v>0.0</v>
      </c>
      <c r="AG1286" t="n">
        <v>0.0</v>
      </c>
      <c r="AH1286" t="n">
        <v>0.0</v>
      </c>
      <c r="AI1286" t="n">
        <v>0.0</v>
      </c>
      <c r="AJ1286" t="n">
        <v>0.0</v>
      </c>
      <c r="AK1286" t="inlineStr">
        <is>
          <t/>
        </is>
      </c>
      <c r="AL1286" t="inlineStr">
        <is>
          <t/>
        </is>
      </c>
    </row>
    <row r="1287">
      <c r="A1287" t="inlineStr">
        <is>
          <t>天天这么吃…还不把我瘦s⚡️⚡️</t>
        </is>
      </c>
      <c r="B1287" t="inlineStr">
        <is>
          <t>6a0438fd0000000008000ddf</t>
        </is>
      </c>
      <c r="C1287" s="1286" t="n">
        <f>HYPERLINK("https://www.xiaohongshu.com/explore/6a0438fd0000000008000ddf?xsec_token=TB97Sb--y1lRno5M8_9mN6e3D9YU5NwXLaPykMBGP5tQQ=&amp;xsec_source=pc_trdark","https://www.xiaohongshu.com/explore/6a0438fd0000000008000ddf?xsec_token=TB97Sb--y1lRno5M8_9mN6e3D9YU5NwXLaPykMBGP5tQQ=&amp;xsec_source=pc_trdark")</f>
        <v>0.0</v>
      </c>
      <c r="D1287" t="inlineStr">
        <is>
          <t>菲菲上班吃什么</t>
        </is>
      </c>
      <c r="E1287" t="inlineStr">
        <is>
          <t>49936530607</t>
        </is>
      </c>
      <c r="F1287" t="inlineStr">
        <is>
          <t>2026-05-13 22:36:00</t>
        </is>
      </c>
      <c r="G1287" t="inlineStr">
        <is>
          <t>图文</t>
        </is>
      </c>
      <c r="H1287" t="inlineStr">
        <is>
          <t>手剥虾仁 无冰衣无添加 低脂餐一人食 上班带饭 顺丰包邮 5盒装</t>
        </is>
      </c>
      <c r="I1287" t="inlineStr">
        <is>
          <t>694baba01d450d00013662f0</t>
        </is>
      </c>
      <c r="J1287" t="inlineStr">
        <is>
          <t/>
        </is>
      </c>
      <c r="K1287" t="n">
        <v>0.0</v>
      </c>
      <c r="L1287" t="n">
        <v>0.0</v>
      </c>
      <c r="M1287" t="n">
        <v>0.0</v>
      </c>
      <c r="N1287" t="inlineStr">
        <is>
          <t/>
        </is>
      </c>
      <c r="O1287" t="n">
        <v>0.0</v>
      </c>
      <c r="P1287" t="n">
        <v>0.0</v>
      </c>
      <c r="Q1287" t="inlineStr">
        <is>
          <t/>
        </is>
      </c>
      <c r="R1287" t="inlineStr">
        <is>
          <t/>
        </is>
      </c>
      <c r="S1287" t="n">
        <v>0.0</v>
      </c>
      <c r="T1287" t="n">
        <v>0.0</v>
      </c>
      <c r="U1287" t="n">
        <v>0.0</v>
      </c>
      <c r="V1287" t="n">
        <v>0.0</v>
      </c>
      <c r="W1287" t="inlineStr">
        <is>
          <t/>
        </is>
      </c>
      <c r="X1287" t="n">
        <v>0.0</v>
      </c>
      <c r="Y1287" t="n">
        <v>0.0</v>
      </c>
      <c r="Z1287" t="n">
        <v>0.0</v>
      </c>
      <c r="AA1287" t="n">
        <v>0.0</v>
      </c>
      <c r="AB1287" t="n">
        <v>0.0</v>
      </c>
      <c r="AC1287" t="n">
        <v>0.0</v>
      </c>
      <c r="AD1287" t="n">
        <v>0.0</v>
      </c>
      <c r="AE1287" t="n">
        <v>0.0</v>
      </c>
      <c r="AF1287" t="n">
        <v>0.0</v>
      </c>
      <c r="AG1287" t="n">
        <v>0.0</v>
      </c>
      <c r="AH1287" t="n">
        <v>0.0</v>
      </c>
      <c r="AI1287" t="n">
        <v>0.0</v>
      </c>
      <c r="AJ1287" t="n">
        <v>0.0</v>
      </c>
      <c r="AK1287" t="inlineStr">
        <is>
          <t/>
        </is>
      </c>
      <c r="AL1287" t="inlineStr">
        <is>
          <t/>
        </is>
      </c>
    </row>
    <row r="1288">
      <c r="A1288" t="inlineStr">
        <is>
          <t>妈呀！！！这也吃太好了吧！！！</t>
        </is>
      </c>
      <c r="B1288" t="inlineStr">
        <is>
          <t>6a04364800000000070273aa</t>
        </is>
      </c>
      <c r="C1288" s="1287" t="n">
        <f>HYPERLINK("https://www.xiaohongshu.com/explore/6a04364800000000070273aa?xsec_token=TB97Sb--y1lRno5M8_9mN6eyK2BjyL23ed-k8ezaFqwVI=&amp;xsec_source=pc_trdark","https://www.xiaohongshu.com/explore/6a04364800000000070273aa?xsec_token=TB97Sb--y1lRno5M8_9mN6eyK2BjyL23ed-k8ezaFqwVI=&amp;xsec_source=pc_trdark")</f>
        <v>0.0</v>
      </c>
      <c r="D1288" t="inlineStr">
        <is>
          <t>菲菲上班吃什么</t>
        </is>
      </c>
      <c r="E1288" t="inlineStr">
        <is>
          <t>49936530607</t>
        </is>
      </c>
      <c r="F1288" t="inlineStr">
        <is>
          <t>2026-05-13 18:40:00</t>
        </is>
      </c>
      <c r="G1288" t="inlineStr">
        <is>
          <t>图文</t>
        </is>
      </c>
      <c r="H1288" t="inlineStr">
        <is>
          <t>手剥虾仁 无冰衣无添加 低脂餐一人食 上班带饭 顺丰包邮 5盒装</t>
        </is>
      </c>
      <c r="I1288" t="inlineStr">
        <is>
          <t>694baba01d450d00013662f0</t>
        </is>
      </c>
      <c r="J1288" t="inlineStr">
        <is>
          <t/>
        </is>
      </c>
      <c r="K1288" t="n">
        <v>0.0</v>
      </c>
      <c r="L1288" t="n">
        <v>0.0</v>
      </c>
      <c r="M1288" t="n">
        <v>0.0</v>
      </c>
      <c r="N1288" t="inlineStr">
        <is>
          <t/>
        </is>
      </c>
      <c r="O1288" t="n">
        <v>0.0</v>
      </c>
      <c r="P1288" t="n">
        <v>0.0</v>
      </c>
      <c r="Q1288" t="inlineStr">
        <is>
          <t/>
        </is>
      </c>
      <c r="R1288" t="inlineStr">
        <is>
          <t/>
        </is>
      </c>
      <c r="S1288" t="n">
        <v>0.0</v>
      </c>
      <c r="T1288" t="n">
        <v>0.0</v>
      </c>
      <c r="U1288" t="n">
        <v>0.0</v>
      </c>
      <c r="V1288" t="n">
        <v>0.0</v>
      </c>
      <c r="W1288" t="inlineStr">
        <is>
          <t/>
        </is>
      </c>
      <c r="X1288" t="n">
        <v>0.0</v>
      </c>
      <c r="Y1288" t="n">
        <v>0.0</v>
      </c>
      <c r="Z1288" t="n">
        <v>0.0</v>
      </c>
      <c r="AA1288" t="n">
        <v>0.0</v>
      </c>
      <c r="AB1288" t="n">
        <v>0.0</v>
      </c>
      <c r="AC1288" t="n">
        <v>0.0</v>
      </c>
      <c r="AD1288" t="n">
        <v>0.0</v>
      </c>
      <c r="AE1288" t="n">
        <v>0.0</v>
      </c>
      <c r="AF1288" t="n">
        <v>0.0</v>
      </c>
      <c r="AG1288" t="n">
        <v>0.0</v>
      </c>
      <c r="AH1288" t="n">
        <v>0.0</v>
      </c>
      <c r="AI1288" t="n">
        <v>0.0</v>
      </c>
      <c r="AJ1288" t="n">
        <v>0.0</v>
      </c>
      <c r="AK1288" t="inlineStr">
        <is>
          <t/>
        </is>
      </c>
      <c r="AL1288" t="inlineStr">
        <is>
          <t/>
        </is>
      </c>
    </row>
    <row r="1289">
      <c r="A1289" t="inlineStr">
        <is>
          <t>感谢赵露s…虾仁真的太顶了😭</t>
        </is>
      </c>
      <c r="B1289" t="inlineStr">
        <is>
          <t>6a042b710000000007027926</t>
        </is>
      </c>
      <c r="C1289" s="1288" t="n">
        <f>HYPERLINK("https://www.xiaohongshu.com/explore/6a042b710000000007027926?xsec_token=TB97Sb--y1lRno5M8_9mN6ewqZNbL2PB_uXep2DvkPuu8=&amp;xsec_source=pc_trdark","https://www.xiaohongshu.com/explore/6a042b710000000007027926?xsec_token=TB97Sb--y1lRno5M8_9mN6ewqZNbL2PB_uXep2DvkPuu8=&amp;xsec_source=pc_trdark")</f>
        <v>0.0</v>
      </c>
      <c r="D1289" t="inlineStr">
        <is>
          <t>菲菲上班吃什么</t>
        </is>
      </c>
      <c r="E1289" t="inlineStr">
        <is>
          <t>49936530607</t>
        </is>
      </c>
      <c r="F1289" t="inlineStr">
        <is>
          <t>2026-05-13 15:42:41</t>
        </is>
      </c>
      <c r="G1289" t="inlineStr">
        <is>
          <t>图文</t>
        </is>
      </c>
      <c r="H1289" t="inlineStr">
        <is>
          <t>手剥虾仁 无冰衣无添加 低脂餐一人食 上班带饭 顺丰包邮 5盒装</t>
        </is>
      </c>
      <c r="I1289" t="inlineStr">
        <is>
          <t>694baba01d450d00013662f0</t>
        </is>
      </c>
      <c r="J1289" t="inlineStr">
        <is>
          <t/>
        </is>
      </c>
      <c r="K1289" t="n">
        <v>0.0</v>
      </c>
      <c r="L1289" t="n">
        <v>0.0</v>
      </c>
      <c r="M1289" t="n">
        <v>0.0</v>
      </c>
      <c r="N1289" t="inlineStr">
        <is>
          <t/>
        </is>
      </c>
      <c r="O1289" t="n">
        <v>0.0</v>
      </c>
      <c r="P1289" t="n">
        <v>0.0</v>
      </c>
      <c r="Q1289" t="inlineStr">
        <is>
          <t/>
        </is>
      </c>
      <c r="R1289" t="inlineStr">
        <is>
          <t/>
        </is>
      </c>
      <c r="S1289" t="n">
        <v>0.0</v>
      </c>
      <c r="T1289" t="n">
        <v>0.0</v>
      </c>
      <c r="U1289" t="n">
        <v>0.0</v>
      </c>
      <c r="V1289" t="n">
        <v>0.0</v>
      </c>
      <c r="W1289" t="inlineStr">
        <is>
          <t/>
        </is>
      </c>
      <c r="X1289" t="n">
        <v>0.0</v>
      </c>
      <c r="Y1289" t="n">
        <v>0.0</v>
      </c>
      <c r="Z1289" t="n">
        <v>0.0</v>
      </c>
      <c r="AA1289" t="n">
        <v>0.0</v>
      </c>
      <c r="AB1289" t="n">
        <v>0.0</v>
      </c>
      <c r="AC1289" t="n">
        <v>0.0</v>
      </c>
      <c r="AD1289" t="n">
        <v>0.0</v>
      </c>
      <c r="AE1289" t="n">
        <v>0.0</v>
      </c>
      <c r="AF1289" t="n">
        <v>0.0</v>
      </c>
      <c r="AG1289" t="n">
        <v>0.0</v>
      </c>
      <c r="AH1289" t="n">
        <v>0.0</v>
      </c>
      <c r="AI1289" t="n">
        <v>0.0</v>
      </c>
      <c r="AJ1289" t="n">
        <v>0.0</v>
      </c>
      <c r="AK1289" t="inlineStr">
        <is>
          <t/>
        </is>
      </c>
      <c r="AL1289" t="inlineStr">
        <is>
          <t/>
        </is>
      </c>
    </row>
    <row r="1290">
      <c r="A1290" t="inlineStr">
        <is>
          <t>超市虾仁方便，但这种去虾线小包装更适合我</t>
        </is>
      </c>
      <c r="B1290" t="inlineStr">
        <is>
          <t>6a042951000000000803e93a</t>
        </is>
      </c>
      <c r="C1290" s="1289" t="n">
        <f>HYPERLINK("https://www.xiaohongshu.com/explore/6a042951000000000803e93a?xsec_token=TB97Sb--y1lRno5M8_9mN6e0yskeqVmD5NP5KCHfh6waA=&amp;xsec_source=pc_trdark","https://www.xiaohongshu.com/explore/6a042951000000000803e93a?xsec_token=TB97Sb--y1lRno5M8_9mN6e0yskeqVmD5NP5KCHfh6waA=&amp;xsec_source=pc_trdark")</f>
        <v>0.0</v>
      </c>
      <c r="D1290" t="inlineStr">
        <is>
          <t>婉婉上班吃什么</t>
        </is>
      </c>
      <c r="E1290" t="inlineStr">
        <is>
          <t>11434449706</t>
        </is>
      </c>
      <c r="F1290" t="inlineStr">
        <is>
          <t>2026-05-13 15:33:37</t>
        </is>
      </c>
      <c r="G1290" t="inlineStr">
        <is>
          <t>图文</t>
        </is>
      </c>
      <c r="H1290" t="inlineStr">
        <is>
          <t>手剥虾仁 无冰衣无添加 低脂餐一人食 上班带饭 顺丰包邮 5盒装</t>
        </is>
      </c>
      <c r="I1290" t="inlineStr">
        <is>
          <t>694baba01d450d00013662f0</t>
        </is>
      </c>
      <c r="J1290" t="inlineStr">
        <is>
          <t/>
        </is>
      </c>
      <c r="K1290" t="n">
        <v>0.0</v>
      </c>
      <c r="L1290" t="n">
        <v>0.0</v>
      </c>
      <c r="M1290" t="n">
        <v>0.0</v>
      </c>
      <c r="N1290" t="inlineStr">
        <is>
          <t/>
        </is>
      </c>
      <c r="O1290" t="n">
        <v>0.0</v>
      </c>
      <c r="P1290" t="n">
        <v>0.0</v>
      </c>
      <c r="Q1290" t="inlineStr">
        <is>
          <t/>
        </is>
      </c>
      <c r="R1290" t="inlineStr">
        <is>
          <t/>
        </is>
      </c>
      <c r="S1290" t="n">
        <v>0.0</v>
      </c>
      <c r="T1290" t="n">
        <v>0.0</v>
      </c>
      <c r="U1290" t="n">
        <v>0.0</v>
      </c>
      <c r="V1290" t="n">
        <v>0.0</v>
      </c>
      <c r="W1290" t="inlineStr">
        <is>
          <t/>
        </is>
      </c>
      <c r="X1290" t="n">
        <v>0.0</v>
      </c>
      <c r="Y1290" t="n">
        <v>0.0</v>
      </c>
      <c r="Z1290" t="n">
        <v>0.0</v>
      </c>
      <c r="AA1290" t="n">
        <v>0.0</v>
      </c>
      <c r="AB1290" t="n">
        <v>0.0</v>
      </c>
      <c r="AC1290" t="n">
        <v>0.0</v>
      </c>
      <c r="AD1290" t="n">
        <v>0.0</v>
      </c>
      <c r="AE1290" t="n">
        <v>0.0</v>
      </c>
      <c r="AF1290" t="n">
        <v>0.0</v>
      </c>
      <c r="AG1290" t="n">
        <v>0.0</v>
      </c>
      <c r="AH1290" t="n">
        <v>0.0</v>
      </c>
      <c r="AI1290" t="n">
        <v>0.0</v>
      </c>
      <c r="AJ1290" t="n">
        <v>0.0</v>
      </c>
      <c r="AK1290" t="inlineStr">
        <is>
          <t/>
        </is>
      </c>
      <c r="AL1290" t="inlineStr">
        <is>
          <t/>
        </is>
      </c>
    </row>
    <row r="1291">
      <c r="A1291" t="inlineStr">
        <is>
          <t>也没人说69块够我吃一周了😂</t>
        </is>
      </c>
      <c r="B1291" t="inlineStr">
        <is>
          <t>6a041bcf00000000080034f1</t>
        </is>
      </c>
      <c r="C1291" s="1290" t="n">
        <f>HYPERLINK("https://www.xiaohongshu.com/explore/6a041bcf00000000080034f1?xsec_token=TB97Sb--y1lRno5M8_9mN6eyOlxr_dbUFGLGMtb4BsWxo=&amp;xsec_source=pc_trdark","https://www.xiaohongshu.com/explore/6a041bcf00000000080034f1?xsec_token=TB97Sb--y1lRno5M8_9mN6eyOlxr_dbUFGLGMtb4BsWxo=&amp;xsec_source=pc_trdark")</f>
        <v>0.0</v>
      </c>
      <c r="D1291" t="inlineStr">
        <is>
          <t>菲菲上班吃什么</t>
        </is>
      </c>
      <c r="E1291" t="inlineStr">
        <is>
          <t>49936530607</t>
        </is>
      </c>
      <c r="F1291" t="inlineStr">
        <is>
          <t>2026-05-13 14:35:59</t>
        </is>
      </c>
      <c r="G1291" t="inlineStr">
        <is>
          <t>图文</t>
        </is>
      </c>
      <c r="H1291" t="inlineStr">
        <is>
          <t>手剥虾仁 无冰衣无添加 低脂餐一人食 上班带饭 顺丰包邮 5盒装</t>
        </is>
      </c>
      <c r="I1291" t="inlineStr">
        <is>
          <t>694baba01d450d00013662f0</t>
        </is>
      </c>
      <c r="J1291" t="inlineStr">
        <is>
          <t/>
        </is>
      </c>
      <c r="K1291" t="n">
        <v>0.0</v>
      </c>
      <c r="L1291" t="n">
        <v>0.0</v>
      </c>
      <c r="M1291" t="n">
        <v>0.0</v>
      </c>
      <c r="N1291" t="inlineStr">
        <is>
          <t/>
        </is>
      </c>
      <c r="O1291" t="n">
        <v>0.0</v>
      </c>
      <c r="P1291" t="n">
        <v>0.0</v>
      </c>
      <c r="Q1291" t="inlineStr">
        <is>
          <t/>
        </is>
      </c>
      <c r="R1291" t="inlineStr">
        <is>
          <t/>
        </is>
      </c>
      <c r="S1291" t="n">
        <v>0.0</v>
      </c>
      <c r="T1291" t="n">
        <v>0.0</v>
      </c>
      <c r="U1291" t="n">
        <v>0.0</v>
      </c>
      <c r="V1291" t="n">
        <v>0.0</v>
      </c>
      <c r="W1291" t="inlineStr">
        <is>
          <t/>
        </is>
      </c>
      <c r="X1291" t="n">
        <v>0.0</v>
      </c>
      <c r="Y1291" t="n">
        <v>0.0</v>
      </c>
      <c r="Z1291" t="n">
        <v>0.0</v>
      </c>
      <c r="AA1291" t="n">
        <v>0.0</v>
      </c>
      <c r="AB1291" t="n">
        <v>0.0</v>
      </c>
      <c r="AC1291" t="n">
        <v>0.0</v>
      </c>
      <c r="AD1291" t="n">
        <v>0.0</v>
      </c>
      <c r="AE1291" t="n">
        <v>0.0</v>
      </c>
      <c r="AF1291" t="n">
        <v>0.0</v>
      </c>
      <c r="AG1291" t="n">
        <v>0.0</v>
      </c>
      <c r="AH1291" t="n">
        <v>0.0</v>
      </c>
      <c r="AI1291" t="n">
        <v>0.0</v>
      </c>
      <c r="AJ1291" t="n">
        <v>0.0</v>
      </c>
      <c r="AK1291" t="inlineStr">
        <is>
          <t/>
        </is>
      </c>
      <c r="AL1291" t="inlineStr">
        <is>
          <t/>
        </is>
      </c>
    </row>
    <row r="1292">
      <c r="A1292" t="inlineStr">
        <is>
          <t>69元的购买力，解决一周工作餐</t>
        </is>
      </c>
      <c r="B1292" t="inlineStr">
        <is>
          <t>6a04103a000000000602107a</t>
        </is>
      </c>
      <c r="C1292" s="1291" t="n">
        <f>HYPERLINK("https://www.xiaohongshu.com/explore/6a04103a000000000602107a?xsec_token=TB97Sb--y1lRno5M8_9mN6e98lN2M18X1EU3KNDyiazEA=&amp;xsec_source=pc_trdark","https://www.xiaohongshu.com/explore/6a04103a000000000602107a?xsec_token=TB97Sb--y1lRno5M8_9mN6e98lN2M18X1EU3KNDyiazEA=&amp;xsec_source=pc_trdark")</f>
        <v>0.0</v>
      </c>
      <c r="D1292" t="inlineStr">
        <is>
          <t>婉婉上班吃什么</t>
        </is>
      </c>
      <c r="E1292" t="inlineStr">
        <is>
          <t>11434449706</t>
        </is>
      </c>
      <c r="F1292" t="inlineStr">
        <is>
          <t>2026-05-13 13:46:34</t>
        </is>
      </c>
      <c r="G1292" t="inlineStr">
        <is>
          <t>图文</t>
        </is>
      </c>
      <c r="H1292" t="inlineStr">
        <is>
          <t>手剥虾仁 无冰衣无添加 低脂餐一人食 上班带饭 顺丰包邮 5盒装</t>
        </is>
      </c>
      <c r="I1292" t="inlineStr">
        <is>
          <t>694baba01d450d00013662f0</t>
        </is>
      </c>
      <c r="J1292" t="inlineStr">
        <is>
          <t/>
        </is>
      </c>
      <c r="K1292" t="n">
        <v>0.0</v>
      </c>
      <c r="L1292" t="n">
        <v>0.0</v>
      </c>
      <c r="M1292" t="n">
        <v>0.0</v>
      </c>
      <c r="N1292" t="inlineStr">
        <is>
          <t/>
        </is>
      </c>
      <c r="O1292" t="n">
        <v>0.0</v>
      </c>
      <c r="P1292" t="n">
        <v>0.0</v>
      </c>
      <c r="Q1292" t="inlineStr">
        <is>
          <t/>
        </is>
      </c>
      <c r="R1292" t="inlineStr">
        <is>
          <t/>
        </is>
      </c>
      <c r="S1292" t="n">
        <v>0.0</v>
      </c>
      <c r="T1292" t="n">
        <v>0.0</v>
      </c>
      <c r="U1292" t="n">
        <v>0.0</v>
      </c>
      <c r="V1292" t="n">
        <v>0.0</v>
      </c>
      <c r="W1292" t="inlineStr">
        <is>
          <t/>
        </is>
      </c>
      <c r="X1292" t="n">
        <v>0.0</v>
      </c>
      <c r="Y1292" t="n">
        <v>0.0</v>
      </c>
      <c r="Z1292" t="n">
        <v>0.0</v>
      </c>
      <c r="AA1292" t="n">
        <v>0.0</v>
      </c>
      <c r="AB1292" t="n">
        <v>0.0</v>
      </c>
      <c r="AC1292" t="n">
        <v>0.0</v>
      </c>
      <c r="AD1292" t="n">
        <v>0.0</v>
      </c>
      <c r="AE1292" t="n">
        <v>0.0</v>
      </c>
      <c r="AF1292" t="n">
        <v>0.0</v>
      </c>
      <c r="AG1292" t="n">
        <v>0.0</v>
      </c>
      <c r="AH1292" t="n">
        <v>0.0</v>
      </c>
      <c r="AI1292" t="n">
        <v>0.0</v>
      </c>
      <c r="AJ1292" t="n">
        <v>0.0</v>
      </c>
      <c r="AK1292" t="inlineStr">
        <is>
          <t/>
        </is>
      </c>
      <c r="AL1292" t="inlineStr">
        <is>
          <t/>
        </is>
      </c>
    </row>
    <row r="1293">
      <c r="A1293" t="inlineStr">
        <is>
          <t>每天带饭最怕别人问： “你怎么天天吃这么好</t>
        </is>
      </c>
      <c r="B1293" t="inlineStr">
        <is>
          <t>6a03e4800000000008032211</t>
        </is>
      </c>
      <c r="C1293" s="1292" t="n">
        <f>HYPERLINK("https://www.xiaohongshu.com/explore/6a03e4800000000008032211?xsec_token=TB1iOZMQFhsneCgXNCKW4_KHEZtdIMX1t46LXWjytpMyk=&amp;xsec_source=pc_trdark","https://www.xiaohongshu.com/explore/6a03e4800000000008032211?xsec_token=TB1iOZMQFhsneCgXNCKW4_KHEZtdIMX1t46LXWjytpMyk=&amp;xsec_source=pc_trdark")</f>
        <v>0.0</v>
      </c>
      <c r="D1293" t="inlineStr">
        <is>
          <t>菲菲上班吃什么</t>
        </is>
      </c>
      <c r="E1293" t="inlineStr">
        <is>
          <t>49936530607</t>
        </is>
      </c>
      <c r="F1293" t="inlineStr">
        <is>
          <t>2026-05-13 10:40:00</t>
        </is>
      </c>
      <c r="G1293" t="inlineStr">
        <is>
          <t>图文</t>
        </is>
      </c>
      <c r="H1293" t="inlineStr">
        <is>
          <t>手剥虾仁 无冰衣无添加 低脂餐一人食 上班带饭 顺丰包邮 5盒装</t>
        </is>
      </c>
      <c r="I1293" t="inlineStr">
        <is>
          <t>694baba01d450d00013662f0</t>
        </is>
      </c>
      <c r="J1293" t="inlineStr">
        <is>
          <t/>
        </is>
      </c>
      <c r="K1293" t="n">
        <v>0.0</v>
      </c>
      <c r="L1293" t="n">
        <v>0.0</v>
      </c>
      <c r="M1293" t="n">
        <v>0.0</v>
      </c>
      <c r="N1293" t="inlineStr">
        <is>
          <t/>
        </is>
      </c>
      <c r="O1293" t="n">
        <v>0.0</v>
      </c>
      <c r="P1293" t="n">
        <v>0.0</v>
      </c>
      <c r="Q1293" t="inlineStr">
        <is>
          <t/>
        </is>
      </c>
      <c r="R1293" t="inlineStr">
        <is>
          <t/>
        </is>
      </c>
      <c r="S1293" t="n">
        <v>0.0</v>
      </c>
      <c r="T1293" t="n">
        <v>0.0</v>
      </c>
      <c r="U1293" t="n">
        <v>0.0</v>
      </c>
      <c r="V1293" t="n">
        <v>0.0</v>
      </c>
      <c r="W1293" t="inlineStr">
        <is>
          <t/>
        </is>
      </c>
      <c r="X1293" t="n">
        <v>0.0</v>
      </c>
      <c r="Y1293" t="n">
        <v>0.0</v>
      </c>
      <c r="Z1293" t="n">
        <v>0.0</v>
      </c>
      <c r="AA1293" t="n">
        <v>0.0</v>
      </c>
      <c r="AB1293" t="n">
        <v>0.0</v>
      </c>
      <c r="AC1293" t="n">
        <v>0.0</v>
      </c>
      <c r="AD1293" t="n">
        <v>0.0</v>
      </c>
      <c r="AE1293" t="n">
        <v>0.0</v>
      </c>
      <c r="AF1293" t="n">
        <v>0.0</v>
      </c>
      <c r="AG1293" t="n">
        <v>0.0</v>
      </c>
      <c r="AH1293" t="n">
        <v>0.0</v>
      </c>
      <c r="AI1293" t="n">
        <v>0.0</v>
      </c>
      <c r="AJ1293" t="n">
        <v>0.0</v>
      </c>
      <c r="AK1293" t="inlineStr">
        <is>
          <t/>
        </is>
      </c>
      <c r="AL1293" t="inlineStr">
        <is>
          <t/>
        </is>
      </c>
    </row>
    <row r="1294">
      <c r="A1294" t="inlineStr">
        <is>
          <t>现在年轻人，严重低估了69的购买力！</t>
        </is>
      </c>
      <c r="B1294" t="inlineStr">
        <is>
          <t>6a02f4d1000000003501fb4d</t>
        </is>
      </c>
      <c r="C1294" s="1293" t="n">
        <f>HYPERLINK("https://www.xiaohongshu.com/explore/6a02f4d1000000003501fb4d?xsec_token=TBPwq-ce0mzGyOoBGbWlmZ4E8lmufnTJGeGmXluEopz6U=&amp;xsec_source=pc_trdark","https://www.xiaohongshu.com/explore/6a02f4d1000000003501fb4d?xsec_token=TBPwq-ce0mzGyOoBGbWlmZ4E8lmufnTJGeGmXluEopz6U=&amp;xsec_source=pc_trdark")</f>
        <v>0.0</v>
      </c>
      <c r="D1294" t="inlineStr">
        <is>
          <t>鲜水湾甄选</t>
        </is>
      </c>
      <c r="E1294" t="inlineStr">
        <is>
          <t>27401929161</t>
        </is>
      </c>
      <c r="F1294" t="inlineStr">
        <is>
          <t>2026-05-12 20:58:00</t>
        </is>
      </c>
      <c r="G1294" t="inlineStr">
        <is>
          <t>图文</t>
        </is>
      </c>
      <c r="H1294" t="inlineStr">
        <is>
          <t>手剥虾仁 无冰衣无添加 低脂餐一人食 上班带饭 顺丰包邮 5盒装</t>
        </is>
      </c>
      <c r="I1294" t="inlineStr">
        <is>
          <t>694baba01d450d00013662f0</t>
        </is>
      </c>
      <c r="J1294" t="inlineStr">
        <is>
          <t/>
        </is>
      </c>
      <c r="K1294" t="n">
        <v>0.0</v>
      </c>
      <c r="L1294" t="n">
        <v>0.0</v>
      </c>
      <c r="M1294" t="n">
        <v>0.0</v>
      </c>
      <c r="N1294" t="inlineStr">
        <is>
          <t/>
        </is>
      </c>
      <c r="O1294" t="n">
        <v>0.0</v>
      </c>
      <c r="P1294" t="n">
        <v>0.0</v>
      </c>
      <c r="Q1294" t="inlineStr">
        <is>
          <t/>
        </is>
      </c>
      <c r="R1294" t="inlineStr">
        <is>
          <t/>
        </is>
      </c>
      <c r="S1294" t="n">
        <v>0.0</v>
      </c>
      <c r="T1294" t="n">
        <v>0.0</v>
      </c>
      <c r="U1294" t="n">
        <v>0.0</v>
      </c>
      <c r="V1294" t="n">
        <v>0.0</v>
      </c>
      <c r="W1294" t="inlineStr">
        <is>
          <t/>
        </is>
      </c>
      <c r="X1294" t="n">
        <v>0.0</v>
      </c>
      <c r="Y1294" t="n">
        <v>0.0</v>
      </c>
      <c r="Z1294" t="n">
        <v>0.0</v>
      </c>
      <c r="AA1294" t="n">
        <v>0.0</v>
      </c>
      <c r="AB1294" t="n">
        <v>0.0</v>
      </c>
      <c r="AC1294" t="n">
        <v>0.0</v>
      </c>
      <c r="AD1294" t="n">
        <v>0.0</v>
      </c>
      <c r="AE1294" t="n">
        <v>0.0</v>
      </c>
      <c r="AF1294" t="n">
        <v>0.0</v>
      </c>
      <c r="AG1294" t="n">
        <v>0.0</v>
      </c>
      <c r="AH1294" t="n">
        <v>0.0</v>
      </c>
      <c r="AI1294" t="n">
        <v>0.0</v>
      </c>
      <c r="AJ1294" t="n">
        <v>0.0</v>
      </c>
      <c r="AK1294" t="inlineStr">
        <is>
          <t/>
        </is>
      </c>
      <c r="AL1294" t="inlineStr">
        <is>
          <t/>
        </is>
      </c>
    </row>
    <row r="1295">
      <c r="A1295" t="inlineStr">
        <is>
          <t>最近办公室好多同事都在问我： 你这个虾仁…</t>
        </is>
      </c>
      <c r="B1295" t="inlineStr">
        <is>
          <t>6a02f14d0000000006034670</t>
        </is>
      </c>
      <c r="C1295" s="1294" t="n">
        <f>HYPERLINK("https://www.xiaohongshu.com/explore/6a02f14d0000000006034670?xsec_token=TBPwq-ce0mzGyOoBGbWlmZ4A20Ng4kzcDHU70Qf-EEVgM=&amp;xsec_source=pc_trdark","https://www.xiaohongshu.com/explore/6a02f14d0000000006034670?xsec_token=TBPwq-ce0mzGyOoBGbWlmZ4A20Ng4kzcDHU70Qf-EEVgM=&amp;xsec_source=pc_trdark")</f>
        <v>0.0</v>
      </c>
      <c r="D1295" t="inlineStr">
        <is>
          <t>菲菲上班吃什么</t>
        </is>
      </c>
      <c r="E1295" t="inlineStr">
        <is>
          <t>49936530607</t>
        </is>
      </c>
      <c r="F1295" t="inlineStr">
        <is>
          <t>2026-05-12 19:38:00</t>
        </is>
      </c>
      <c r="G1295" t="inlineStr">
        <is>
          <t>图文</t>
        </is>
      </c>
      <c r="H1295" t="inlineStr">
        <is>
          <t>手剥虾仁 无冰衣无添加 低脂餐一人食 上班带饭 顺丰包邮 5盒装</t>
        </is>
      </c>
      <c r="I1295" t="inlineStr">
        <is>
          <t>694baba01d450d00013662f0</t>
        </is>
      </c>
      <c r="J1295" t="inlineStr">
        <is>
          <t/>
        </is>
      </c>
      <c r="K1295" t="n">
        <v>0.0</v>
      </c>
      <c r="L1295" t="n">
        <v>0.0</v>
      </c>
      <c r="M1295" t="n">
        <v>0.0</v>
      </c>
      <c r="N1295" t="inlineStr">
        <is>
          <t/>
        </is>
      </c>
      <c r="O1295" t="n">
        <v>0.0</v>
      </c>
      <c r="P1295" t="n">
        <v>0.0</v>
      </c>
      <c r="Q1295" t="inlineStr">
        <is>
          <t/>
        </is>
      </c>
      <c r="R1295" t="inlineStr">
        <is>
          <t/>
        </is>
      </c>
      <c r="S1295" t="n">
        <v>0.0</v>
      </c>
      <c r="T1295" t="n">
        <v>0.0</v>
      </c>
      <c r="U1295" t="n">
        <v>0.0</v>
      </c>
      <c r="V1295" t="n">
        <v>0.0</v>
      </c>
      <c r="W1295" t="inlineStr">
        <is>
          <t/>
        </is>
      </c>
      <c r="X1295" t="n">
        <v>0.0</v>
      </c>
      <c r="Y1295" t="n">
        <v>0.0</v>
      </c>
      <c r="Z1295" t="n">
        <v>0.0</v>
      </c>
      <c r="AA1295" t="n">
        <v>0.0</v>
      </c>
      <c r="AB1295" t="n">
        <v>0.0</v>
      </c>
      <c r="AC1295" t="n">
        <v>0.0</v>
      </c>
      <c r="AD1295" t="n">
        <v>0.0</v>
      </c>
      <c r="AE1295" t="n">
        <v>0.0</v>
      </c>
      <c r="AF1295" t="n">
        <v>0.0</v>
      </c>
      <c r="AG1295" t="n">
        <v>0.0</v>
      </c>
      <c r="AH1295" t="n">
        <v>0.0</v>
      </c>
      <c r="AI1295" t="n">
        <v>0.0</v>
      </c>
      <c r="AJ1295" t="n">
        <v>0.0</v>
      </c>
      <c r="AK1295" t="inlineStr">
        <is>
          <t/>
        </is>
      </c>
      <c r="AL1295" t="inlineStr">
        <is>
          <t/>
        </is>
      </c>
    </row>
    <row r="1296">
      <c r="A1296" t="inlineStr">
        <is>
          <t>宝妈真的需要这种“高效率食材”……</t>
        </is>
      </c>
      <c r="B1296" t="inlineStr">
        <is>
          <t>6a02f075000000000702c108</t>
        </is>
      </c>
      <c r="C1296" s="1295" t="n">
        <f>HYPERLINK("https://www.xiaohongshu.com/explore/6a02f075000000000702c108?xsec_token=TBPwq-ce0mzGyOoBGbWlmZ4B-oQE5DRdysITv2BOCiHgk=&amp;xsec_source=pc_trdark","https://www.xiaohongshu.com/explore/6a02f075000000000702c108?xsec_token=TBPwq-ce0mzGyOoBGbWlmZ4B-oQE5DRdysITv2BOCiHgk=&amp;xsec_source=pc_trdark")</f>
        <v>0.0</v>
      </c>
      <c r="D1296" t="inlineStr">
        <is>
          <t>菲菲上班吃什么</t>
        </is>
      </c>
      <c r="E1296" t="inlineStr">
        <is>
          <t>49936530607</t>
        </is>
      </c>
      <c r="F1296" t="inlineStr">
        <is>
          <t>2026-05-12 18:18:00</t>
        </is>
      </c>
      <c r="G1296" t="inlineStr">
        <is>
          <t>图文</t>
        </is>
      </c>
      <c r="H1296" t="inlineStr">
        <is>
          <t>手剥虾仁 无冰衣无添加 低脂餐一人食 上班带饭 顺丰包邮 5盒装</t>
        </is>
      </c>
      <c r="I1296" t="inlineStr">
        <is>
          <t>694baba01d450d00013662f0</t>
        </is>
      </c>
      <c r="J1296" t="inlineStr">
        <is>
          <t/>
        </is>
      </c>
      <c r="K1296" t="n">
        <v>0.0</v>
      </c>
      <c r="L1296" t="n">
        <v>0.0</v>
      </c>
      <c r="M1296" t="n">
        <v>0.0</v>
      </c>
      <c r="N1296" t="inlineStr">
        <is>
          <t/>
        </is>
      </c>
      <c r="O1296" t="n">
        <v>0.0</v>
      </c>
      <c r="P1296" t="n">
        <v>0.0</v>
      </c>
      <c r="Q1296" t="inlineStr">
        <is>
          <t/>
        </is>
      </c>
      <c r="R1296" t="inlineStr">
        <is>
          <t/>
        </is>
      </c>
      <c r="S1296" t="n">
        <v>0.0</v>
      </c>
      <c r="T1296" t="n">
        <v>0.0</v>
      </c>
      <c r="U1296" t="n">
        <v>0.0</v>
      </c>
      <c r="V1296" t="n">
        <v>0.0</v>
      </c>
      <c r="W1296" t="inlineStr">
        <is>
          <t/>
        </is>
      </c>
      <c r="X1296" t="n">
        <v>0.0</v>
      </c>
      <c r="Y1296" t="n">
        <v>0.0</v>
      </c>
      <c r="Z1296" t="n">
        <v>0.0</v>
      </c>
      <c r="AA1296" t="n">
        <v>0.0</v>
      </c>
      <c r="AB1296" t="n">
        <v>0.0</v>
      </c>
      <c r="AC1296" t="n">
        <v>0.0</v>
      </c>
      <c r="AD1296" t="n">
        <v>0.0</v>
      </c>
      <c r="AE1296" t="n">
        <v>0.0</v>
      </c>
      <c r="AF1296" t="n">
        <v>0.0</v>
      </c>
      <c r="AG1296" t="n">
        <v>0.0</v>
      </c>
      <c r="AH1296" t="n">
        <v>0.0</v>
      </c>
      <c r="AI1296" t="n">
        <v>0.0</v>
      </c>
      <c r="AJ1296" t="n">
        <v>0.0</v>
      </c>
      <c r="AK1296" t="inlineStr">
        <is>
          <t/>
        </is>
      </c>
      <c r="AL1296" t="inlineStr">
        <is>
          <t/>
        </is>
      </c>
    </row>
    <row r="1297">
      <c r="A1297" t="inlineStr">
        <is>
          <t>🥹🥹独居以后才知道…</t>
        </is>
      </c>
      <c r="B1297" t="inlineStr">
        <is>
          <t>6a02ed4d000000000803cd7b</t>
        </is>
      </c>
      <c r="C1297" s="1296" t="n">
        <f>HYPERLINK("https://www.xiaohongshu.com/explore/6a02ed4d000000000803cd7b?xsec_token=TBPwq-ce0mzGyOoBGbWlmZ4OqruOPf053rXD6W6SN4ucE=&amp;xsec_source=pc_trdark","https://www.xiaohongshu.com/explore/6a02ed4d000000000803cd7b?xsec_token=TBPwq-ce0mzGyOoBGbWlmZ4OqruOPf053rXD6W6SN4ucE=&amp;xsec_source=pc_trdark")</f>
        <v>0.0</v>
      </c>
      <c r="D1297" t="inlineStr">
        <is>
          <t>菲菲上班吃什么</t>
        </is>
      </c>
      <c r="E1297" t="inlineStr">
        <is>
          <t>49936530607</t>
        </is>
      </c>
      <c r="F1297" t="inlineStr">
        <is>
          <t>2026-05-12 17:05:17</t>
        </is>
      </c>
      <c r="G1297" t="inlineStr">
        <is>
          <t>图文</t>
        </is>
      </c>
      <c r="H1297" t="inlineStr">
        <is>
          <t>手剥虾仁 无冰衣无添加 低脂餐一人食 上班带饭 顺丰包邮 5盒装</t>
        </is>
      </c>
      <c r="I1297" t="inlineStr">
        <is>
          <t>694baba01d450d00013662f0</t>
        </is>
      </c>
      <c r="J1297" t="inlineStr">
        <is>
          <t/>
        </is>
      </c>
      <c r="K1297" t="n">
        <v>0.0</v>
      </c>
      <c r="L1297" t="n">
        <v>0.0</v>
      </c>
      <c r="M1297" t="n">
        <v>0.0</v>
      </c>
      <c r="N1297" t="inlineStr">
        <is>
          <t/>
        </is>
      </c>
      <c r="O1297" t="n">
        <v>0.0</v>
      </c>
      <c r="P1297" t="n">
        <v>0.0</v>
      </c>
      <c r="Q1297" t="inlineStr">
        <is>
          <t/>
        </is>
      </c>
      <c r="R1297" t="inlineStr">
        <is>
          <t/>
        </is>
      </c>
      <c r="S1297" t="n">
        <v>0.0</v>
      </c>
      <c r="T1297" t="n">
        <v>0.0</v>
      </c>
      <c r="U1297" t="n">
        <v>0.0</v>
      </c>
      <c r="V1297" t="n">
        <v>0.0</v>
      </c>
      <c r="W1297" t="inlineStr">
        <is>
          <t/>
        </is>
      </c>
      <c r="X1297" t="n">
        <v>0.0</v>
      </c>
      <c r="Y1297" t="n">
        <v>0.0</v>
      </c>
      <c r="Z1297" t="n">
        <v>0.0</v>
      </c>
      <c r="AA1297" t="n">
        <v>0.0</v>
      </c>
      <c r="AB1297" t="n">
        <v>0.0</v>
      </c>
      <c r="AC1297" t="n">
        <v>0.0</v>
      </c>
      <c r="AD1297" t="n">
        <v>0.0</v>
      </c>
      <c r="AE1297" t="n">
        <v>0.0</v>
      </c>
      <c r="AF1297" t="n">
        <v>0.0</v>
      </c>
      <c r="AG1297" t="n">
        <v>0.0</v>
      </c>
      <c r="AH1297" t="n">
        <v>0.0</v>
      </c>
      <c r="AI1297" t="n">
        <v>0.0</v>
      </c>
      <c r="AJ1297" t="n">
        <v>0.0</v>
      </c>
      <c r="AK1297" t="inlineStr">
        <is>
          <t/>
        </is>
      </c>
      <c r="AL1297" t="inlineStr">
        <is>
          <t/>
        </is>
      </c>
    </row>
    <row r="1298">
      <c r="A1298" t="inlineStr">
        <is>
          <t>感谢赵露s…虾仁真的太顶了😭</t>
        </is>
      </c>
      <c r="B1298" t="inlineStr">
        <is>
          <t>6a02ebb200000000350241f2</t>
        </is>
      </c>
      <c r="C1298" s="1297" t="n">
        <f>HYPERLINK("https://www.xiaohongshu.com/explore/6a02ebb200000000350241f2?xsec_token=TBPwq-ce0mzGyOoBGbWlmZ4Ha2VGEyQufGWeXW62amCZI=&amp;xsec_source=pc_trdark","https://www.xiaohongshu.com/explore/6a02ebb200000000350241f2?xsec_token=TBPwq-ce0mzGyOoBGbWlmZ4Ha2VGEyQufGWeXW62amCZI=&amp;xsec_source=pc_trdark")</f>
        <v>0.0</v>
      </c>
      <c r="D1298" t="inlineStr">
        <is>
          <t>鲜水湾甄选</t>
        </is>
      </c>
      <c r="E1298" t="inlineStr">
        <is>
          <t>27401929161</t>
        </is>
      </c>
      <c r="F1298" t="inlineStr">
        <is>
          <t>2026-05-12 16:58:26</t>
        </is>
      </c>
      <c r="G1298" t="inlineStr">
        <is>
          <t>图文</t>
        </is>
      </c>
      <c r="H1298" t="inlineStr">
        <is>
          <t>手剥虾仁 无冰衣无添加 低脂餐一人食 上班带饭 顺丰包邮 5盒装</t>
        </is>
      </c>
      <c r="I1298" t="inlineStr">
        <is>
          <t>694baba01d450d00013662f0</t>
        </is>
      </c>
      <c r="J1298" t="inlineStr">
        <is>
          <t/>
        </is>
      </c>
      <c r="K1298" t="n">
        <v>0.0</v>
      </c>
      <c r="L1298" t="n">
        <v>0.0</v>
      </c>
      <c r="M1298" t="n">
        <v>0.0</v>
      </c>
      <c r="N1298" t="inlineStr">
        <is>
          <t/>
        </is>
      </c>
      <c r="O1298" t="n">
        <v>0.0</v>
      </c>
      <c r="P1298" t="n">
        <v>0.0</v>
      </c>
      <c r="Q1298" t="inlineStr">
        <is>
          <t/>
        </is>
      </c>
      <c r="R1298" t="inlineStr">
        <is>
          <t/>
        </is>
      </c>
      <c r="S1298" t="n">
        <v>0.0</v>
      </c>
      <c r="T1298" t="n">
        <v>0.0</v>
      </c>
      <c r="U1298" t="n">
        <v>0.0</v>
      </c>
      <c r="V1298" t="n">
        <v>0.0</v>
      </c>
      <c r="W1298" t="inlineStr">
        <is>
          <t/>
        </is>
      </c>
      <c r="X1298" t="n">
        <v>0.0</v>
      </c>
      <c r="Y1298" t="n">
        <v>0.0</v>
      </c>
      <c r="Z1298" t="n">
        <v>0.0</v>
      </c>
      <c r="AA1298" t="n">
        <v>0.0</v>
      </c>
      <c r="AB1298" t="n">
        <v>0.0</v>
      </c>
      <c r="AC1298" t="n">
        <v>0.0</v>
      </c>
      <c r="AD1298" t="n">
        <v>0.0</v>
      </c>
      <c r="AE1298" t="n">
        <v>0.0</v>
      </c>
      <c r="AF1298" t="n">
        <v>0.0</v>
      </c>
      <c r="AG1298" t="n">
        <v>0.0</v>
      </c>
      <c r="AH1298" t="n">
        <v>0.0</v>
      </c>
      <c r="AI1298" t="n">
        <v>0.0</v>
      </c>
      <c r="AJ1298" t="n">
        <v>0.0</v>
      </c>
      <c r="AK1298" t="inlineStr">
        <is>
          <t/>
        </is>
      </c>
      <c r="AL1298" t="inlineStr">
        <is>
          <t/>
        </is>
      </c>
    </row>
    <row r="1299">
      <c r="A1299" t="inlineStr">
        <is>
          <t>半夜饿到睡不着，真的别乱吃😭</t>
        </is>
      </c>
      <c r="B1299" t="inlineStr">
        <is>
          <t>6a02eb3500000000360004b6</t>
        </is>
      </c>
      <c r="C1299" s="1298" t="n">
        <f>HYPERLINK("https://www.xiaohongshu.com/explore/6a02eb3500000000360004b6?xsec_token=TBPwq-ce0mzGyOoBGbWlmZ4PN-W9-_-BZ4_Rb5lfU5JEw=&amp;xsec_source=pc_trdark","https://www.xiaohongshu.com/explore/6a02eb3500000000360004b6?xsec_token=TBPwq-ce0mzGyOoBGbWlmZ4PN-W9-_-BZ4_Rb5lfU5JEw=&amp;xsec_source=pc_trdark")</f>
        <v>0.0</v>
      </c>
      <c r="D1299" t="inlineStr">
        <is>
          <t>鲜水湾甄选</t>
        </is>
      </c>
      <c r="E1299" t="inlineStr">
        <is>
          <t>27401929161</t>
        </is>
      </c>
      <c r="F1299" t="inlineStr">
        <is>
          <t>2026-05-12 22:04:00</t>
        </is>
      </c>
      <c r="G1299" t="inlineStr">
        <is>
          <t>图文</t>
        </is>
      </c>
      <c r="H1299" t="inlineStr">
        <is>
          <t>手剥虾仁 无冰衣无添加 低脂餐一人食 上班带饭 顺丰包邮 5盒装</t>
        </is>
      </c>
      <c r="I1299" t="inlineStr">
        <is>
          <t>694baba01d450d00013662f0</t>
        </is>
      </c>
      <c r="J1299" t="inlineStr">
        <is>
          <t/>
        </is>
      </c>
      <c r="K1299" t="n">
        <v>0.0</v>
      </c>
      <c r="L1299" t="n">
        <v>0.0</v>
      </c>
      <c r="M1299" t="n">
        <v>0.0</v>
      </c>
      <c r="N1299" t="inlineStr">
        <is>
          <t/>
        </is>
      </c>
      <c r="O1299" t="n">
        <v>0.0</v>
      </c>
      <c r="P1299" t="n">
        <v>0.0</v>
      </c>
      <c r="Q1299" t="inlineStr">
        <is>
          <t/>
        </is>
      </c>
      <c r="R1299" t="inlineStr">
        <is>
          <t/>
        </is>
      </c>
      <c r="S1299" t="n">
        <v>0.0</v>
      </c>
      <c r="T1299" t="n">
        <v>0.0</v>
      </c>
      <c r="U1299" t="n">
        <v>0.0</v>
      </c>
      <c r="V1299" t="n">
        <v>0.0</v>
      </c>
      <c r="W1299" t="inlineStr">
        <is>
          <t/>
        </is>
      </c>
      <c r="X1299" t="n">
        <v>0.0</v>
      </c>
      <c r="Y1299" t="n">
        <v>0.0</v>
      </c>
      <c r="Z1299" t="n">
        <v>0.0</v>
      </c>
      <c r="AA1299" t="n">
        <v>0.0</v>
      </c>
      <c r="AB1299" t="n">
        <v>0.0</v>
      </c>
      <c r="AC1299" t="n">
        <v>0.0</v>
      </c>
      <c r="AD1299" t="n">
        <v>0.0</v>
      </c>
      <c r="AE1299" t="n">
        <v>0.0</v>
      </c>
      <c r="AF1299" t="n">
        <v>0.0</v>
      </c>
      <c r="AG1299" t="n">
        <v>0.0</v>
      </c>
      <c r="AH1299" t="n">
        <v>0.0</v>
      </c>
      <c r="AI1299" t="n">
        <v>0.0</v>
      </c>
      <c r="AJ1299" t="n">
        <v>0.0</v>
      </c>
      <c r="AK1299" t="inlineStr">
        <is>
          <t/>
        </is>
      </c>
      <c r="AL1299" t="inlineStr">
        <is>
          <t/>
        </is>
      </c>
    </row>
    <row r="1300">
      <c r="A1300" t="inlineStr">
        <is>
          <t>同事说我每天吃虾很奢侈，我把价格算给她看</t>
        </is>
      </c>
      <c r="B1300" t="inlineStr">
        <is>
          <t>6a01db1c0000000007025e52</t>
        </is>
      </c>
      <c r="C1300" s="1299" t="n">
        <f>HYPERLINK("https://www.xiaohongshu.com/explore/6a01db1c0000000007025e52?xsec_token=TBbTMdCTPOAzll1S0w5oGNgoDLVSuGiUFBcRYK6tqEIiU=&amp;xsec_source=pc_trdark","https://www.xiaohongshu.com/explore/6a01db1c0000000007025e52?xsec_token=TBbTMdCTPOAzll1S0w5oGNgoDLVSuGiUFBcRYK6tqEIiU=&amp;xsec_source=pc_trdark")</f>
        <v>0.0</v>
      </c>
      <c r="D1300" t="inlineStr">
        <is>
          <t>婉婉上班吃什么</t>
        </is>
      </c>
      <c r="E1300" t="inlineStr">
        <is>
          <t>11434449706</t>
        </is>
      </c>
      <c r="F1300" t="inlineStr">
        <is>
          <t>2026-05-11 21:35:24</t>
        </is>
      </c>
      <c r="G1300" t="inlineStr">
        <is>
          <t>图文</t>
        </is>
      </c>
      <c r="H1300" t="inlineStr">
        <is>
          <t>手剥虾仁 无冰衣无添加 低脂餐一人食 上班带饭 顺丰包邮 5盒装</t>
        </is>
      </c>
      <c r="I1300" t="inlineStr">
        <is>
          <t>694baba01d450d00013662f0</t>
        </is>
      </c>
      <c r="J1300" t="inlineStr">
        <is>
          <t/>
        </is>
      </c>
      <c r="K1300" t="n">
        <v>0.0</v>
      </c>
      <c r="L1300" t="n">
        <v>0.0</v>
      </c>
      <c r="M1300" t="n">
        <v>0.0</v>
      </c>
      <c r="N1300" t="inlineStr">
        <is>
          <t/>
        </is>
      </c>
      <c r="O1300" t="n">
        <v>0.0</v>
      </c>
      <c r="P1300" t="n">
        <v>0.0</v>
      </c>
      <c r="Q1300" t="inlineStr">
        <is>
          <t/>
        </is>
      </c>
      <c r="R1300" t="inlineStr">
        <is>
          <t/>
        </is>
      </c>
      <c r="S1300" t="n">
        <v>0.0</v>
      </c>
      <c r="T1300" t="n">
        <v>0.0</v>
      </c>
      <c r="U1300" t="n">
        <v>0.0</v>
      </c>
      <c r="V1300" t="n">
        <v>0.0</v>
      </c>
      <c r="W1300" t="inlineStr">
        <is>
          <t/>
        </is>
      </c>
      <c r="X1300" t="n">
        <v>0.0</v>
      </c>
      <c r="Y1300" t="n">
        <v>0.0</v>
      </c>
      <c r="Z1300" t="n">
        <v>0.0</v>
      </c>
      <c r="AA1300" t="n">
        <v>0.0</v>
      </c>
      <c r="AB1300" t="n">
        <v>0.0</v>
      </c>
      <c r="AC1300" t="n">
        <v>0.0</v>
      </c>
      <c r="AD1300" t="n">
        <v>0.0</v>
      </c>
      <c r="AE1300" t="n">
        <v>0.0</v>
      </c>
      <c r="AF1300" t="n">
        <v>0.0</v>
      </c>
      <c r="AG1300" t="n">
        <v>0.0</v>
      </c>
      <c r="AH1300" t="n">
        <v>0.0</v>
      </c>
      <c r="AI1300" t="n">
        <v>0.0</v>
      </c>
      <c r="AJ1300" t="n">
        <v>0.0</v>
      </c>
      <c r="AK1300" t="inlineStr">
        <is>
          <t/>
        </is>
      </c>
      <c r="AL1300" t="inlineStr">
        <is>
          <t/>
        </is>
      </c>
    </row>
    <row r="1301">
      <c r="A1301" t="inlineStr">
        <is>
          <t>带饭一个月，居然省了这么多😭</t>
        </is>
      </c>
      <c r="B1301" t="inlineStr">
        <is>
          <t>6a019d19000000000603710f</t>
        </is>
      </c>
      <c r="C1301" s="1300" t="n">
        <f>HYPERLINK("https://www.xiaohongshu.com/explore/6a019d19000000000603710f?xsec_token=TBbTMdCTPOAzll1S0w5oGNgkdpAx469Aa3W6KEcBilSX4=&amp;xsec_source=pc_trdark","https://www.xiaohongshu.com/explore/6a019d19000000000603710f?xsec_token=TBbTMdCTPOAzll1S0w5oGNgkdpAx469Aa3W6KEcBilSX4=&amp;xsec_source=pc_trdark")</f>
        <v>0.0</v>
      </c>
      <c r="D1301" t="inlineStr">
        <is>
          <t>菲菲上班吃什么</t>
        </is>
      </c>
      <c r="E1301" t="inlineStr">
        <is>
          <t>49936530607</t>
        </is>
      </c>
      <c r="F1301" t="inlineStr">
        <is>
          <t>2026-05-11 22:34:00</t>
        </is>
      </c>
      <c r="G1301" t="inlineStr">
        <is>
          <t>图文</t>
        </is>
      </c>
      <c r="H1301" t="inlineStr">
        <is>
          <t>手剥虾仁 无冰衣无添加 低脂餐一人食 上班带饭 顺丰包邮 5盒装</t>
        </is>
      </c>
      <c r="I1301" t="inlineStr">
        <is>
          <t>694baba01d450d00013662f0</t>
        </is>
      </c>
      <c r="J1301" t="inlineStr">
        <is>
          <t/>
        </is>
      </c>
      <c r="K1301" t="n">
        <v>0.0</v>
      </c>
      <c r="L1301" t="n">
        <v>0.0</v>
      </c>
      <c r="M1301" t="n">
        <v>0.0</v>
      </c>
      <c r="N1301" t="inlineStr">
        <is>
          <t/>
        </is>
      </c>
      <c r="O1301" t="n">
        <v>0.0</v>
      </c>
      <c r="P1301" t="n">
        <v>0.0</v>
      </c>
      <c r="Q1301" t="inlineStr">
        <is>
          <t/>
        </is>
      </c>
      <c r="R1301" t="inlineStr">
        <is>
          <t/>
        </is>
      </c>
      <c r="S1301" t="n">
        <v>0.0</v>
      </c>
      <c r="T1301" t="n">
        <v>0.0</v>
      </c>
      <c r="U1301" t="n">
        <v>0.0</v>
      </c>
      <c r="V1301" t="n">
        <v>0.0</v>
      </c>
      <c r="W1301" t="inlineStr">
        <is>
          <t/>
        </is>
      </c>
      <c r="X1301" t="n">
        <v>0.0</v>
      </c>
      <c r="Y1301" t="n">
        <v>0.0</v>
      </c>
      <c r="Z1301" t="n">
        <v>0.0</v>
      </c>
      <c r="AA1301" t="n">
        <v>0.0</v>
      </c>
      <c r="AB1301" t="n">
        <v>0.0</v>
      </c>
      <c r="AC1301" t="n">
        <v>0.0</v>
      </c>
      <c r="AD1301" t="n">
        <v>0.0</v>
      </c>
      <c r="AE1301" t="n">
        <v>0.0</v>
      </c>
      <c r="AF1301" t="n">
        <v>0.0</v>
      </c>
      <c r="AG1301" t="n">
        <v>0.0</v>
      </c>
      <c r="AH1301" t="n">
        <v>0.0</v>
      </c>
      <c r="AI1301" t="n">
        <v>0.0</v>
      </c>
      <c r="AJ1301" t="n">
        <v>0.0</v>
      </c>
      <c r="AK1301" t="inlineStr">
        <is>
          <t/>
        </is>
      </c>
      <c r="AL1301" t="inlineStr">
        <is>
          <t/>
        </is>
      </c>
    </row>
    <row r="1302">
      <c r="A1302" t="inlineStr">
        <is>
          <t>原来低脂餐也能吃这么爽😭</t>
        </is>
      </c>
      <c r="B1302" t="inlineStr">
        <is>
          <t>6a019ab60000000008030374</t>
        </is>
      </c>
      <c r="C1302" s="1301" t="n">
        <f>HYPERLINK("https://www.xiaohongshu.com/explore/6a019ab60000000008030374?xsec_token=TBbTMdCTPOAzll1S0w5oGNgri4fsICt-oaTWAX5Qj4B-A=&amp;xsec_source=pc_trdark","https://www.xiaohongshu.com/explore/6a019ab60000000008030374?xsec_token=TBbTMdCTPOAzll1S0w5oGNgri4fsICt-oaTWAX5Qj4B-A=&amp;xsec_source=pc_trdark")</f>
        <v>0.0</v>
      </c>
      <c r="D1302" t="inlineStr">
        <is>
          <t>菲菲上班吃什么</t>
        </is>
      </c>
      <c r="E1302" t="inlineStr">
        <is>
          <t>49936530607</t>
        </is>
      </c>
      <c r="F1302" t="inlineStr">
        <is>
          <t>2026-05-11 17:56:00</t>
        </is>
      </c>
      <c r="G1302" t="inlineStr">
        <is>
          <t>图文</t>
        </is>
      </c>
      <c r="H1302" t="inlineStr">
        <is>
          <t>手剥虾仁 无冰衣无添加 低脂餐一人食 上班带饭 顺丰包邮 5盒装</t>
        </is>
      </c>
      <c r="I1302" t="inlineStr">
        <is>
          <t>694baba01d450d00013662f0</t>
        </is>
      </c>
      <c r="J1302" t="inlineStr">
        <is>
          <t/>
        </is>
      </c>
      <c r="K1302" t="n">
        <v>0.0</v>
      </c>
      <c r="L1302" t="n">
        <v>0.0</v>
      </c>
      <c r="M1302" t="n">
        <v>0.0</v>
      </c>
      <c r="N1302" t="inlineStr">
        <is>
          <t/>
        </is>
      </c>
      <c r="O1302" t="n">
        <v>0.0</v>
      </c>
      <c r="P1302" t="n">
        <v>0.0</v>
      </c>
      <c r="Q1302" t="inlineStr">
        <is>
          <t/>
        </is>
      </c>
      <c r="R1302" t="inlineStr">
        <is>
          <t/>
        </is>
      </c>
      <c r="S1302" t="n">
        <v>0.0</v>
      </c>
      <c r="T1302" t="n">
        <v>0.0</v>
      </c>
      <c r="U1302" t="n">
        <v>0.0</v>
      </c>
      <c r="V1302" t="n">
        <v>0.0</v>
      </c>
      <c r="W1302" t="inlineStr">
        <is>
          <t/>
        </is>
      </c>
      <c r="X1302" t="n">
        <v>0.0</v>
      </c>
      <c r="Y1302" t="n">
        <v>0.0</v>
      </c>
      <c r="Z1302" t="n">
        <v>0.0</v>
      </c>
      <c r="AA1302" t="n">
        <v>0.0</v>
      </c>
      <c r="AB1302" t="n">
        <v>0.0</v>
      </c>
      <c r="AC1302" t="n">
        <v>0.0</v>
      </c>
      <c r="AD1302" t="n">
        <v>0.0</v>
      </c>
      <c r="AE1302" t="n">
        <v>0.0</v>
      </c>
      <c r="AF1302" t="n">
        <v>0.0</v>
      </c>
      <c r="AG1302" t="n">
        <v>0.0</v>
      </c>
      <c r="AH1302" t="n">
        <v>0.0</v>
      </c>
      <c r="AI1302" t="n">
        <v>0.0</v>
      </c>
      <c r="AJ1302" t="n">
        <v>0.0</v>
      </c>
      <c r="AK1302" t="inlineStr">
        <is>
          <t/>
        </is>
      </c>
      <c r="AL1302" t="inlineStr">
        <is>
          <t/>
        </is>
      </c>
    </row>
    <row r="1303">
      <c r="A1303" t="inlineStr">
        <is>
          <t>减脂人冰箱里一定要有虾仁😭</t>
        </is>
      </c>
      <c r="B1303" t="inlineStr">
        <is>
          <t>6a019933000000003501c053</t>
        </is>
      </c>
      <c r="C1303" s="1302" t="n">
        <f>HYPERLINK("https://www.xiaohongshu.com/explore/6a019933000000003501c053?xsec_token=TBbTMdCTPOAzll1S0w5oGNglDMpce7xc0-UtVJzVORrJQ=&amp;xsec_source=pc_trdark","https://www.xiaohongshu.com/explore/6a019933000000003501c053?xsec_token=TBbTMdCTPOAzll1S0w5oGNglDMpce7xc0-UtVJzVORrJQ=&amp;xsec_source=pc_trdark")</f>
        <v>0.0</v>
      </c>
      <c r="D1303" t="inlineStr">
        <is>
          <t>鲜水湾甄选</t>
        </is>
      </c>
      <c r="E1303" t="inlineStr">
        <is>
          <t>27401929161</t>
        </is>
      </c>
      <c r="F1303" t="inlineStr">
        <is>
          <t>2026-05-11 22:53:00</t>
        </is>
      </c>
      <c r="G1303" t="inlineStr">
        <is>
          <t>图文</t>
        </is>
      </c>
      <c r="H1303" t="inlineStr">
        <is>
          <t>手剥虾仁 无冰衣无添加 低脂餐一人食 上班带饭 顺丰包邮 5盒装</t>
        </is>
      </c>
      <c r="I1303" t="inlineStr">
        <is>
          <t>694baba01d450d00013662f0</t>
        </is>
      </c>
      <c r="J1303" t="inlineStr">
        <is>
          <t/>
        </is>
      </c>
      <c r="K1303" t="n">
        <v>0.0</v>
      </c>
      <c r="L1303" t="n">
        <v>0.0</v>
      </c>
      <c r="M1303" t="n">
        <v>0.0</v>
      </c>
      <c r="N1303" t="inlineStr">
        <is>
          <t/>
        </is>
      </c>
      <c r="O1303" t="n">
        <v>0.0</v>
      </c>
      <c r="P1303" t="n">
        <v>0.0</v>
      </c>
      <c r="Q1303" t="inlineStr">
        <is>
          <t/>
        </is>
      </c>
      <c r="R1303" t="inlineStr">
        <is>
          <t/>
        </is>
      </c>
      <c r="S1303" t="n">
        <v>0.0</v>
      </c>
      <c r="T1303" t="n">
        <v>0.0</v>
      </c>
      <c r="U1303" t="n">
        <v>0.0</v>
      </c>
      <c r="V1303" t="n">
        <v>0.0</v>
      </c>
      <c r="W1303" t="inlineStr">
        <is>
          <t/>
        </is>
      </c>
      <c r="X1303" t="n">
        <v>0.0</v>
      </c>
      <c r="Y1303" t="n">
        <v>0.0</v>
      </c>
      <c r="Z1303" t="n">
        <v>0.0</v>
      </c>
      <c r="AA1303" t="n">
        <v>0.0</v>
      </c>
      <c r="AB1303" t="n">
        <v>0.0</v>
      </c>
      <c r="AC1303" t="n">
        <v>0.0</v>
      </c>
      <c r="AD1303" t="n">
        <v>0.0</v>
      </c>
      <c r="AE1303" t="n">
        <v>0.0</v>
      </c>
      <c r="AF1303" t="n">
        <v>0.0</v>
      </c>
      <c r="AG1303" t="n">
        <v>0.0</v>
      </c>
      <c r="AH1303" t="n">
        <v>0.0</v>
      </c>
      <c r="AI1303" t="n">
        <v>0.0</v>
      </c>
      <c r="AJ1303" t="n">
        <v>0.0</v>
      </c>
      <c r="AK1303" t="inlineStr">
        <is>
          <t/>
        </is>
      </c>
      <c r="AL1303" t="inlineStr">
        <is>
          <t/>
        </is>
      </c>
    </row>
    <row r="1304">
      <c r="A1304" t="inlineStr">
        <is>
          <t>我会一直瘦瘦瘦瘦瘦…瘦到瘦⚡️</t>
        </is>
      </c>
      <c r="B1304" t="inlineStr">
        <is>
          <t>6a01980b00000000360000f4</t>
        </is>
      </c>
      <c r="C1304" s="1303" t="n">
        <f>HYPERLINK("https://www.xiaohongshu.com/explore/6a01980b00000000360000f4?xsec_token=TBbTMdCTPOAzll1S0w5oGNgh0MjWHHVzP1YHp_HynfhUM=&amp;xsec_source=pc_trdark","https://www.xiaohongshu.com/explore/6a01980b00000000360000f4?xsec_token=TBbTMdCTPOAzll1S0w5oGNgh0MjWHHVzP1YHp_HynfhUM=&amp;xsec_source=pc_trdark")</f>
        <v>0.0</v>
      </c>
      <c r="D1304" t="inlineStr">
        <is>
          <t>鲜水湾甄选</t>
        </is>
      </c>
      <c r="E1304" t="inlineStr">
        <is>
          <t>27401929161</t>
        </is>
      </c>
      <c r="F1304" t="inlineStr">
        <is>
          <t>2026-05-11 19:48:00</t>
        </is>
      </c>
      <c r="G1304" t="inlineStr">
        <is>
          <t>图文</t>
        </is>
      </c>
      <c r="H1304" t="inlineStr">
        <is>
          <t>手剥虾仁 无冰衣无添加 低脂餐一人食 上班带饭 顺丰包邮 5盒装</t>
        </is>
      </c>
      <c r="I1304" t="inlineStr">
        <is>
          <t>694baba01d450d00013662f0</t>
        </is>
      </c>
      <c r="J1304" t="inlineStr">
        <is>
          <t/>
        </is>
      </c>
      <c r="K1304" t="n">
        <v>0.0</v>
      </c>
      <c r="L1304" t="n">
        <v>0.0</v>
      </c>
      <c r="M1304" t="n">
        <v>0.0</v>
      </c>
      <c r="N1304" t="inlineStr">
        <is>
          <t/>
        </is>
      </c>
      <c r="O1304" t="n">
        <v>0.0</v>
      </c>
      <c r="P1304" t="n">
        <v>0.0</v>
      </c>
      <c r="Q1304" t="inlineStr">
        <is>
          <t/>
        </is>
      </c>
      <c r="R1304" t="inlineStr">
        <is>
          <t/>
        </is>
      </c>
      <c r="S1304" t="n">
        <v>0.0</v>
      </c>
      <c r="T1304" t="n">
        <v>0.0</v>
      </c>
      <c r="U1304" t="n">
        <v>0.0</v>
      </c>
      <c r="V1304" t="n">
        <v>0.0</v>
      </c>
      <c r="W1304" t="inlineStr">
        <is>
          <t/>
        </is>
      </c>
      <c r="X1304" t="n">
        <v>0.0</v>
      </c>
      <c r="Y1304" t="n">
        <v>0.0</v>
      </c>
      <c r="Z1304" t="n">
        <v>0.0</v>
      </c>
      <c r="AA1304" t="n">
        <v>0.0</v>
      </c>
      <c r="AB1304" t="n">
        <v>0.0</v>
      </c>
      <c r="AC1304" t="n">
        <v>0.0</v>
      </c>
      <c r="AD1304" t="n">
        <v>0.0</v>
      </c>
      <c r="AE1304" t="n">
        <v>0.0</v>
      </c>
      <c r="AF1304" t="n">
        <v>0.0</v>
      </c>
      <c r="AG1304" t="n">
        <v>0.0</v>
      </c>
      <c r="AH1304" t="n">
        <v>0.0</v>
      </c>
      <c r="AI1304" t="n">
        <v>0.0</v>
      </c>
      <c r="AJ1304" t="n">
        <v>0.0</v>
      </c>
      <c r="AK1304" t="inlineStr">
        <is>
          <t/>
        </is>
      </c>
      <c r="AL1304" t="inlineStr">
        <is>
          <t/>
        </is>
      </c>
    </row>
    <row r="1305">
      <c r="A1305" t="inlineStr">
        <is>
          <t>我妈：终于不天天吃外卖了🤣</t>
        </is>
      </c>
      <c r="B1305" t="inlineStr">
        <is>
          <t>6a0196d000000000360039e1</t>
        </is>
      </c>
      <c r="C1305" s="1304" t="n">
        <f>HYPERLINK("https://www.xiaohongshu.com/explore/6a0196d000000000360039e1?xsec_token=TBbTMdCTPOAzll1S0w5oGNgpZ-etRM7HXfcupsaHcU5rU=&amp;xsec_source=pc_trdark","https://www.xiaohongshu.com/explore/6a0196d000000000360039e1?xsec_token=TBbTMdCTPOAzll1S0w5oGNgpZ-etRM7HXfcupsaHcU5rU=&amp;xsec_source=pc_trdark")</f>
        <v>0.0</v>
      </c>
      <c r="D1305" t="inlineStr">
        <is>
          <t>鲜水湾甄选</t>
        </is>
      </c>
      <c r="E1305" t="inlineStr">
        <is>
          <t>27401929161</t>
        </is>
      </c>
      <c r="F1305" t="inlineStr">
        <is>
          <t>2026-05-11 17:43:00</t>
        </is>
      </c>
      <c r="G1305" t="inlineStr">
        <is>
          <t>图文</t>
        </is>
      </c>
      <c r="H1305" t="inlineStr">
        <is>
          <t>手剥虾仁 无冰衣无添加 低脂餐一人食 上班带饭 顺丰包邮 5盒装</t>
        </is>
      </c>
      <c r="I1305" t="inlineStr">
        <is>
          <t>694baba01d450d00013662f0</t>
        </is>
      </c>
      <c r="J1305" t="inlineStr">
        <is>
          <t/>
        </is>
      </c>
      <c r="K1305" t="n">
        <v>0.0</v>
      </c>
      <c r="L1305" t="n">
        <v>0.0</v>
      </c>
      <c r="M1305" t="n">
        <v>0.0</v>
      </c>
      <c r="N1305" t="inlineStr">
        <is>
          <t/>
        </is>
      </c>
      <c r="O1305" t="n">
        <v>0.0</v>
      </c>
      <c r="P1305" t="n">
        <v>0.0</v>
      </c>
      <c r="Q1305" t="inlineStr">
        <is>
          <t/>
        </is>
      </c>
      <c r="R1305" t="inlineStr">
        <is>
          <t/>
        </is>
      </c>
      <c r="S1305" t="n">
        <v>0.0</v>
      </c>
      <c r="T1305" t="n">
        <v>0.0</v>
      </c>
      <c r="U1305" t="n">
        <v>0.0</v>
      </c>
      <c r="V1305" t="n">
        <v>0.0</v>
      </c>
      <c r="W1305" t="inlineStr">
        <is>
          <t/>
        </is>
      </c>
      <c r="X1305" t="n">
        <v>0.0</v>
      </c>
      <c r="Y1305" t="n">
        <v>0.0</v>
      </c>
      <c r="Z1305" t="n">
        <v>0.0</v>
      </c>
      <c r="AA1305" t="n">
        <v>0.0</v>
      </c>
      <c r="AB1305" t="n">
        <v>0.0</v>
      </c>
      <c r="AC1305" t="n">
        <v>0.0</v>
      </c>
      <c r="AD1305" t="n">
        <v>0.0</v>
      </c>
      <c r="AE1305" t="n">
        <v>0.0</v>
      </c>
      <c r="AF1305" t="n">
        <v>0.0</v>
      </c>
      <c r="AG1305" t="n">
        <v>0.0</v>
      </c>
      <c r="AH1305" t="n">
        <v>0.0</v>
      </c>
      <c r="AI1305" t="n">
        <v>0.0</v>
      </c>
      <c r="AJ1305" t="n">
        <v>0.0</v>
      </c>
      <c r="AK1305" t="inlineStr">
        <is>
          <t/>
        </is>
      </c>
      <c r="AL1305" t="inlineStr">
        <is>
          <t/>
        </is>
      </c>
    </row>
    <row r="1306">
      <c r="A1306" t="inlineStr">
        <is>
          <t>虾仁别再水煮了，这4种做法减脂期也能吃</t>
        </is>
      </c>
      <c r="B1306" t="inlineStr">
        <is>
          <t>6a0194a0000000000803e20b</t>
        </is>
      </c>
      <c r="C1306" s="1305" t="n">
        <f>HYPERLINK("https://www.xiaohongshu.com/explore/6a0194a0000000000803e20b?xsec_token=TBbTMdCTPOAzll1S0w5oGNgsSK4_LZzjepet1DpACbNUA=&amp;xsec_source=pc_trdark","https://www.xiaohongshu.com/explore/6a0194a0000000000803e20b?xsec_token=TBbTMdCTPOAzll1S0w5oGNgsSK4_LZzjepet1DpACbNUA=&amp;xsec_source=pc_trdark")</f>
        <v>0.0</v>
      </c>
      <c r="D1306" t="inlineStr">
        <is>
          <t>鲜水湾</t>
        </is>
      </c>
      <c r="E1306" t="inlineStr">
        <is>
          <t>49316638994</t>
        </is>
      </c>
      <c r="F1306" t="inlineStr">
        <is>
          <t>2026-05-11 16:34:41</t>
        </is>
      </c>
      <c r="G1306" t="inlineStr">
        <is>
          <t>图文</t>
        </is>
      </c>
      <c r="H1306" t="inlineStr">
        <is>
          <t>手剥虾仁 无冰衣无添加 低脂餐一人食 上班带饭 顺丰包邮 5盒装</t>
        </is>
      </c>
      <c r="I1306" t="inlineStr">
        <is>
          <t>694baba01d450d00013662f0</t>
        </is>
      </c>
      <c r="J1306" t="inlineStr">
        <is>
          <t/>
        </is>
      </c>
      <c r="K1306" t="n">
        <v>0.0</v>
      </c>
      <c r="L1306" t="n">
        <v>0.0</v>
      </c>
      <c r="M1306" t="n">
        <v>0.0</v>
      </c>
      <c r="N1306" t="inlineStr">
        <is>
          <t/>
        </is>
      </c>
      <c r="O1306" t="n">
        <v>0.0</v>
      </c>
      <c r="P1306" t="n">
        <v>0.0</v>
      </c>
      <c r="Q1306" t="inlineStr">
        <is>
          <t/>
        </is>
      </c>
      <c r="R1306" t="inlineStr">
        <is>
          <t/>
        </is>
      </c>
      <c r="S1306" t="n">
        <v>0.0</v>
      </c>
      <c r="T1306" t="n">
        <v>0.0</v>
      </c>
      <c r="U1306" t="n">
        <v>0.0</v>
      </c>
      <c r="V1306" t="n">
        <v>0.0</v>
      </c>
      <c r="W1306" t="inlineStr">
        <is>
          <t/>
        </is>
      </c>
      <c r="X1306" t="n">
        <v>0.0</v>
      </c>
      <c r="Y1306" t="n">
        <v>0.0</v>
      </c>
      <c r="Z1306" t="n">
        <v>0.0</v>
      </c>
      <c r="AA1306" t="n">
        <v>0.0</v>
      </c>
      <c r="AB1306" t="n">
        <v>0.0</v>
      </c>
      <c r="AC1306" t="n">
        <v>0.0</v>
      </c>
      <c r="AD1306" t="n">
        <v>0.0</v>
      </c>
      <c r="AE1306" t="n">
        <v>0.0</v>
      </c>
      <c r="AF1306" t="n">
        <v>0.0</v>
      </c>
      <c r="AG1306" t="n">
        <v>0.0</v>
      </c>
      <c r="AH1306" t="n">
        <v>0.0</v>
      </c>
      <c r="AI1306" t="n">
        <v>0.0</v>
      </c>
      <c r="AJ1306" t="n">
        <v>0.0</v>
      </c>
      <c r="AK1306" t="inlineStr">
        <is>
          <t/>
        </is>
      </c>
      <c r="AL1306" t="inlineStr">
        <is>
          <t/>
        </is>
      </c>
    </row>
    <row r="1307">
      <c r="A1307" t="inlineStr">
        <is>
          <t>带饭被同事围观：你也吃太好了吧🍤</t>
        </is>
      </c>
      <c r="B1307" t="inlineStr">
        <is>
          <t>6a017d720000000035039d84</t>
        </is>
      </c>
      <c r="C1307" s="1306" t="n">
        <f>HYPERLINK("https://www.xiaohongshu.com/explore/6a017d720000000035039d84?xsec_token=TBbTMdCTPOAzll1S0w5oGNgqEzFBo_aHalbs8ch5ZQnEQ=&amp;xsec_source=pc_trdark","https://www.xiaohongshu.com/explore/6a017d720000000035039d84?xsec_token=TBbTMdCTPOAzll1S0w5oGNgqEzFBo_aHalbs8ch5ZQnEQ=&amp;xsec_source=pc_trdark")</f>
        <v>0.0</v>
      </c>
      <c r="D1307" t="inlineStr">
        <is>
          <t>鲜水湾甄选</t>
        </is>
      </c>
      <c r="E1307" t="inlineStr">
        <is>
          <t>27401929161</t>
        </is>
      </c>
      <c r="F1307" t="inlineStr">
        <is>
          <t>2026-05-11 14:55:46</t>
        </is>
      </c>
      <c r="G1307" t="inlineStr">
        <is>
          <t>图文</t>
        </is>
      </c>
      <c r="H1307" t="inlineStr">
        <is>
          <t>手剥虾仁 无冰衣无添加 低脂餐一人食 上班带饭 顺丰包邮 5盒装</t>
        </is>
      </c>
      <c r="I1307" t="inlineStr">
        <is>
          <t>694baba01d450d00013662f0</t>
        </is>
      </c>
      <c r="J1307" t="inlineStr">
        <is>
          <t/>
        </is>
      </c>
      <c r="K1307" t="n">
        <v>0.0</v>
      </c>
      <c r="L1307" t="n">
        <v>0.0</v>
      </c>
      <c r="M1307" t="n">
        <v>0.0</v>
      </c>
      <c r="N1307" t="inlineStr">
        <is>
          <t/>
        </is>
      </c>
      <c r="O1307" t="n">
        <v>0.0</v>
      </c>
      <c r="P1307" t="n">
        <v>0.0</v>
      </c>
      <c r="Q1307" t="inlineStr">
        <is>
          <t/>
        </is>
      </c>
      <c r="R1307" t="inlineStr">
        <is>
          <t/>
        </is>
      </c>
      <c r="S1307" t="n">
        <v>0.0</v>
      </c>
      <c r="T1307" t="n">
        <v>0.0</v>
      </c>
      <c r="U1307" t="n">
        <v>0.0</v>
      </c>
      <c r="V1307" t="n">
        <v>0.0</v>
      </c>
      <c r="W1307" t="inlineStr">
        <is>
          <t/>
        </is>
      </c>
      <c r="X1307" t="n">
        <v>0.0</v>
      </c>
      <c r="Y1307" t="n">
        <v>0.0</v>
      </c>
      <c r="Z1307" t="n">
        <v>0.0</v>
      </c>
      <c r="AA1307" t="n">
        <v>0.0</v>
      </c>
      <c r="AB1307" t="n">
        <v>0.0</v>
      </c>
      <c r="AC1307" t="n">
        <v>0.0</v>
      </c>
      <c r="AD1307" t="n">
        <v>0.0</v>
      </c>
      <c r="AE1307" t="n">
        <v>0.0</v>
      </c>
      <c r="AF1307" t="n">
        <v>0.0</v>
      </c>
      <c r="AG1307" t="n">
        <v>0.0</v>
      </c>
      <c r="AH1307" t="n">
        <v>0.0</v>
      </c>
      <c r="AI1307" t="n">
        <v>0.0</v>
      </c>
      <c r="AJ1307" t="n">
        <v>0.0</v>
      </c>
      <c r="AK1307" t="inlineStr">
        <is>
          <t/>
        </is>
      </c>
      <c r="AL1307" t="inlineStr">
        <is>
          <t/>
        </is>
      </c>
    </row>
    <row r="1308">
      <c r="A1308" t="inlineStr">
        <is>
          <t>69块承包一周减脂餐，真真真香⚠️</t>
        </is>
      </c>
      <c r="B1308" t="inlineStr">
        <is>
          <t>6a016623000000003501ec50</t>
        </is>
      </c>
      <c r="C1308" s="1307" t="n">
        <f>HYPERLINK("https://www.xiaohongshu.com/explore/6a016623000000003501ec50?xsec_token=TBbTMdCTPOAzll1S0w5oGNgtC2WuvCmO_9ziQikJTEAT4=&amp;xsec_source=pc_trdark","https://www.xiaohongshu.com/explore/6a016623000000003501ec50?xsec_token=TBbTMdCTPOAzll1S0w5oGNgtC2WuvCmO_9ziQikJTEAT4=&amp;xsec_source=pc_trdark")</f>
        <v>0.0</v>
      </c>
      <c r="D1308" t="inlineStr">
        <is>
          <t>鲜水湾甄选</t>
        </is>
      </c>
      <c r="E1308" t="inlineStr">
        <is>
          <t>27401929161</t>
        </is>
      </c>
      <c r="F1308" t="inlineStr">
        <is>
          <t>2026-05-11 13:16:19</t>
        </is>
      </c>
      <c r="G1308" t="inlineStr">
        <is>
          <t>图文</t>
        </is>
      </c>
      <c r="H1308" t="inlineStr">
        <is>
          <t>手剥虾仁 无冰衣无添加 低脂餐一人食 上班带饭 顺丰包邮 5盒装</t>
        </is>
      </c>
      <c r="I1308" t="inlineStr">
        <is>
          <t>694baba01d450d00013662f0</t>
        </is>
      </c>
      <c r="J1308" t="inlineStr">
        <is>
          <t/>
        </is>
      </c>
      <c r="K1308" t="n">
        <v>0.0</v>
      </c>
      <c r="L1308" t="n">
        <v>0.0</v>
      </c>
      <c r="M1308" t="n">
        <v>0.0</v>
      </c>
      <c r="N1308" t="inlineStr">
        <is>
          <t/>
        </is>
      </c>
      <c r="O1308" t="n">
        <v>0.0</v>
      </c>
      <c r="P1308" t="n">
        <v>0.0</v>
      </c>
      <c r="Q1308" t="inlineStr">
        <is>
          <t/>
        </is>
      </c>
      <c r="R1308" t="inlineStr">
        <is>
          <t/>
        </is>
      </c>
      <c r="S1308" t="n">
        <v>0.0</v>
      </c>
      <c r="T1308" t="n">
        <v>0.0</v>
      </c>
      <c r="U1308" t="n">
        <v>0.0</v>
      </c>
      <c r="V1308" t="n">
        <v>0.0</v>
      </c>
      <c r="W1308" t="inlineStr">
        <is>
          <t/>
        </is>
      </c>
      <c r="X1308" t="n">
        <v>0.0</v>
      </c>
      <c r="Y1308" t="n">
        <v>0.0</v>
      </c>
      <c r="Z1308" t="n">
        <v>0.0</v>
      </c>
      <c r="AA1308" t="n">
        <v>0.0</v>
      </c>
      <c r="AB1308" t="n">
        <v>0.0</v>
      </c>
      <c r="AC1308" t="n">
        <v>0.0</v>
      </c>
      <c r="AD1308" t="n">
        <v>0.0</v>
      </c>
      <c r="AE1308" t="n">
        <v>0.0</v>
      </c>
      <c r="AF1308" t="n">
        <v>0.0</v>
      </c>
      <c r="AG1308" t="n">
        <v>0.0</v>
      </c>
      <c r="AH1308" t="n">
        <v>0.0</v>
      </c>
      <c r="AI1308" t="n">
        <v>0.0</v>
      </c>
      <c r="AJ1308" t="n">
        <v>0.0</v>
      </c>
      <c r="AK1308" t="inlineStr">
        <is>
          <t/>
        </is>
      </c>
      <c r="AL1308" t="inlineStr">
        <is>
          <t/>
        </is>
      </c>
    </row>
    <row r="1309">
      <c r="A1309" t="inlineStr">
        <is>
          <t>同事以为我天天点轻食🥹</t>
        </is>
      </c>
      <c r="B1309" t="inlineStr">
        <is>
          <t>6a0164c0000000000702d579</t>
        </is>
      </c>
      <c r="C1309" s="1308" t="n">
        <f>HYPERLINK("https://www.xiaohongshu.com/explore/6a0164c0000000000702d579?xsec_token=TBbTMdCTPOAzll1S0w5oGNgiW5gB5r6PS-18iJshaXT04=&amp;xsec_source=pc_trdark","https://www.xiaohongshu.com/explore/6a0164c0000000000702d579?xsec_token=TBbTMdCTPOAzll1S0w5oGNgiW5gB5r6PS-18iJshaXT04=&amp;xsec_source=pc_trdark")</f>
        <v>0.0</v>
      </c>
      <c r="D1309" t="inlineStr">
        <is>
          <t>菲菲上班吃什么</t>
        </is>
      </c>
      <c r="E1309" t="inlineStr">
        <is>
          <t>49936530607</t>
        </is>
      </c>
      <c r="F1309" t="inlineStr">
        <is>
          <t>2026-05-11 13:10:24</t>
        </is>
      </c>
      <c r="G1309" t="inlineStr">
        <is>
          <t>图文</t>
        </is>
      </c>
      <c r="H1309" t="inlineStr">
        <is>
          <t>手剥虾仁 无冰衣无添加 低脂餐一人食 上班带饭 顺丰包邮 5盒装</t>
        </is>
      </c>
      <c r="I1309" t="inlineStr">
        <is>
          <t>694baba01d450d00013662f0</t>
        </is>
      </c>
      <c r="J1309" t="inlineStr">
        <is>
          <t/>
        </is>
      </c>
      <c r="K1309" t="n">
        <v>0.0</v>
      </c>
      <c r="L1309" t="n">
        <v>0.0</v>
      </c>
      <c r="M1309" t="n">
        <v>0.0</v>
      </c>
      <c r="N1309" t="inlineStr">
        <is>
          <t/>
        </is>
      </c>
      <c r="O1309" t="n">
        <v>0.0</v>
      </c>
      <c r="P1309" t="n">
        <v>0.0</v>
      </c>
      <c r="Q1309" t="inlineStr">
        <is>
          <t/>
        </is>
      </c>
      <c r="R1309" t="inlineStr">
        <is>
          <t/>
        </is>
      </c>
      <c r="S1309" t="n">
        <v>0.0</v>
      </c>
      <c r="T1309" t="n">
        <v>0.0</v>
      </c>
      <c r="U1309" t="n">
        <v>0.0</v>
      </c>
      <c r="V1309" t="n">
        <v>0.0</v>
      </c>
      <c r="W1309" t="inlineStr">
        <is>
          <t/>
        </is>
      </c>
      <c r="X1309" t="n">
        <v>0.0</v>
      </c>
      <c r="Y1309" t="n">
        <v>0.0</v>
      </c>
      <c r="Z1309" t="n">
        <v>0.0</v>
      </c>
      <c r="AA1309" t="n">
        <v>0.0</v>
      </c>
      <c r="AB1309" t="n">
        <v>0.0</v>
      </c>
      <c r="AC1309" t="n">
        <v>0.0</v>
      </c>
      <c r="AD1309" t="n">
        <v>0.0</v>
      </c>
      <c r="AE1309" t="n">
        <v>0.0</v>
      </c>
      <c r="AF1309" t="n">
        <v>0.0</v>
      </c>
      <c r="AG1309" t="n">
        <v>0.0</v>
      </c>
      <c r="AH1309" t="n">
        <v>0.0</v>
      </c>
      <c r="AI1309" t="n">
        <v>0.0</v>
      </c>
      <c r="AJ1309" t="n">
        <v>0.0</v>
      </c>
      <c r="AK1309" t="inlineStr">
        <is>
          <t/>
        </is>
      </c>
      <c r="AL1309" t="inlineStr">
        <is>
          <t/>
        </is>
      </c>
    </row>
    <row r="1310">
      <c r="A1310" t="inlineStr">
        <is>
          <t>感觉掉秤最明显的还是吃大虾😭</t>
        </is>
      </c>
      <c r="B1310" t="inlineStr">
        <is>
          <t>6a013939000000000702726a</t>
        </is>
      </c>
      <c r="C1310" s="1309" t="n">
        <f>HYPERLINK("https://www.xiaohongshu.com/explore/6a013939000000000702726a?xsec_token=TBbTMdCTPOAzll1S0w5oGNgjfTh1i7jptR4H64XHos05w=&amp;xsec_source=pc_trdark","https://www.xiaohongshu.com/explore/6a013939000000000702726a?xsec_token=TBbTMdCTPOAzll1S0w5oGNgjfTh1i7jptR4H64XHos05w=&amp;xsec_source=pc_trdark")</f>
        <v>0.0</v>
      </c>
      <c r="D1310" t="inlineStr">
        <is>
          <t>菲菲上班吃什么</t>
        </is>
      </c>
      <c r="E1310" t="inlineStr">
        <is>
          <t>49936530607</t>
        </is>
      </c>
      <c r="F1310" t="inlineStr">
        <is>
          <t>2026-05-11 10:04:41</t>
        </is>
      </c>
      <c r="G1310" t="inlineStr">
        <is>
          <t>图文</t>
        </is>
      </c>
      <c r="H1310" t="inlineStr">
        <is>
          <t>手剥虾仁 无冰衣无添加 低脂餐一人食 上班带饭 顺丰包邮 5盒装</t>
        </is>
      </c>
      <c r="I1310" t="inlineStr">
        <is>
          <t>694baba01d450d00013662f0</t>
        </is>
      </c>
      <c r="J1310" t="inlineStr">
        <is>
          <t/>
        </is>
      </c>
      <c r="K1310" t="n">
        <v>0.0</v>
      </c>
      <c r="L1310" t="n">
        <v>0.0</v>
      </c>
      <c r="M1310" t="n">
        <v>0.0</v>
      </c>
      <c r="N1310" t="inlineStr">
        <is>
          <t/>
        </is>
      </c>
      <c r="O1310" t="n">
        <v>0.0</v>
      </c>
      <c r="P1310" t="n">
        <v>0.0</v>
      </c>
      <c r="Q1310" t="inlineStr">
        <is>
          <t/>
        </is>
      </c>
      <c r="R1310" t="inlineStr">
        <is>
          <t/>
        </is>
      </c>
      <c r="S1310" t="n">
        <v>0.0</v>
      </c>
      <c r="T1310" t="n">
        <v>0.0</v>
      </c>
      <c r="U1310" t="n">
        <v>0.0</v>
      </c>
      <c r="V1310" t="n">
        <v>0.0</v>
      </c>
      <c r="W1310" t="inlineStr">
        <is>
          <t/>
        </is>
      </c>
      <c r="X1310" t="n">
        <v>0.0</v>
      </c>
      <c r="Y1310" t="n">
        <v>0.0</v>
      </c>
      <c r="Z1310" t="n">
        <v>0.0</v>
      </c>
      <c r="AA1310" t="n">
        <v>0.0</v>
      </c>
      <c r="AB1310" t="n">
        <v>0.0</v>
      </c>
      <c r="AC1310" t="n">
        <v>0.0</v>
      </c>
      <c r="AD1310" t="n">
        <v>0.0</v>
      </c>
      <c r="AE1310" t="n">
        <v>0.0</v>
      </c>
      <c r="AF1310" t="n">
        <v>0.0</v>
      </c>
      <c r="AG1310" t="n">
        <v>0.0</v>
      </c>
      <c r="AH1310" t="n">
        <v>0.0</v>
      </c>
      <c r="AI1310" t="n">
        <v>0.0</v>
      </c>
      <c r="AJ1310" t="n">
        <v>0.0</v>
      </c>
      <c r="AK1310" t="inlineStr">
        <is>
          <t/>
        </is>
      </c>
      <c r="AL1310" t="inlineStr">
        <is>
          <t/>
        </is>
      </c>
    </row>
    <row r="1311">
      <c r="A1311" t="inlineStr">
        <is>
          <t>区区 300 来块够我吃一个月减脂餐了</t>
        </is>
      </c>
      <c r="B1311" t="inlineStr">
        <is>
          <t>6a00711300000000060337af</t>
        </is>
      </c>
      <c r="C1311" s="1310" t="n">
        <f>HYPERLINK("https://www.xiaohongshu.com/explore/6a00711300000000060337af?xsec_token=TBC4Bowzh3MiDD5QIQgjgpqbrok1Ga-ROrL2Cp23SdQk0=&amp;xsec_source=pc_trdark","https://www.xiaohongshu.com/explore/6a00711300000000060337af?xsec_token=TBC4Bowzh3MiDD5QIQgjgpqbrok1Ga-ROrL2Cp23SdQk0=&amp;xsec_source=pc_trdark")</f>
        <v>0.0</v>
      </c>
      <c r="D1311" t="inlineStr">
        <is>
          <t>婉婉上班吃什么</t>
        </is>
      </c>
      <c r="E1311" t="inlineStr">
        <is>
          <t>11434449706</t>
        </is>
      </c>
      <c r="F1311" t="inlineStr">
        <is>
          <t>2026-05-10 19:50:43</t>
        </is>
      </c>
      <c r="G1311" t="inlineStr">
        <is>
          <t>图文</t>
        </is>
      </c>
      <c r="H1311" t="inlineStr">
        <is>
          <t>智利尾端中段整条三文鱼 8斤深海鱼低脂餐囤货一周备菜顺丰包邮</t>
        </is>
      </c>
      <c r="I1311" t="inlineStr">
        <is>
          <t>69fab80d64eb410001ece0c0</t>
        </is>
      </c>
      <c r="J1311" t="inlineStr">
        <is>
          <t/>
        </is>
      </c>
      <c r="K1311" t="n">
        <v>0.0</v>
      </c>
      <c r="L1311" t="n">
        <v>0.0</v>
      </c>
      <c r="M1311" t="n">
        <v>0.0</v>
      </c>
      <c r="N1311" t="inlineStr">
        <is>
          <t/>
        </is>
      </c>
      <c r="O1311" t="n">
        <v>0.0</v>
      </c>
      <c r="P1311" t="n">
        <v>0.0</v>
      </c>
      <c r="Q1311" t="inlineStr">
        <is>
          <t/>
        </is>
      </c>
      <c r="R1311" t="inlineStr">
        <is>
          <t/>
        </is>
      </c>
      <c r="S1311" t="n">
        <v>0.0</v>
      </c>
      <c r="T1311" t="n">
        <v>0.0</v>
      </c>
      <c r="U1311" t="n">
        <v>0.0</v>
      </c>
      <c r="V1311" t="n">
        <v>0.0</v>
      </c>
      <c r="W1311" t="inlineStr">
        <is>
          <t/>
        </is>
      </c>
      <c r="X1311" t="n">
        <v>0.0</v>
      </c>
      <c r="Y1311" t="n">
        <v>0.0</v>
      </c>
      <c r="Z1311" t="n">
        <v>0.0</v>
      </c>
      <c r="AA1311" t="n">
        <v>0.0</v>
      </c>
      <c r="AB1311" t="n">
        <v>0.0</v>
      </c>
      <c r="AC1311" t="n">
        <v>0.0</v>
      </c>
      <c r="AD1311" t="n">
        <v>0.0</v>
      </c>
      <c r="AE1311" t="n">
        <v>0.0</v>
      </c>
      <c r="AF1311" t="n">
        <v>0.0</v>
      </c>
      <c r="AG1311" t="n">
        <v>0.0</v>
      </c>
      <c r="AH1311" t="n">
        <v>0.0</v>
      </c>
      <c r="AI1311" t="n">
        <v>0.0</v>
      </c>
      <c r="AJ1311" t="n">
        <v>0.0</v>
      </c>
      <c r="AK1311" t="inlineStr">
        <is>
          <t/>
        </is>
      </c>
      <c r="AL1311" t="inlineStr">
        <is>
          <t/>
        </is>
      </c>
    </row>
    <row r="1312">
      <c r="A1312" t="inlineStr">
        <is>
          <t>减脂期无限回购的整条三文鱼</t>
        </is>
      </c>
      <c r="B1312" t="inlineStr">
        <is>
          <t>6a006f4d00000000070210ef</t>
        </is>
      </c>
      <c r="C1312" s="1311" t="n">
        <f>HYPERLINK("https://www.xiaohongshu.com/explore/6a006f4d00000000070210ef?xsec_token=TBC4Bowzh3MiDD5QIQgjgpqcj3g7KLXS-lz_X4MmLNWAo=&amp;xsec_source=pc_trdark","https://www.xiaohongshu.com/explore/6a006f4d00000000070210ef?xsec_token=TBC4Bowzh3MiDD5QIQgjgpqcj3g7KLXS-lz_X4MmLNWAo=&amp;xsec_source=pc_trdark")</f>
        <v>0.0</v>
      </c>
      <c r="D1312" t="inlineStr">
        <is>
          <t>鲜水湾</t>
        </is>
      </c>
      <c r="E1312" t="inlineStr">
        <is>
          <t>49316638994</t>
        </is>
      </c>
      <c r="F1312" t="inlineStr">
        <is>
          <t>2026-05-10 19:43:09</t>
        </is>
      </c>
      <c r="G1312" t="inlineStr">
        <is>
          <t>图文</t>
        </is>
      </c>
      <c r="H1312" t="inlineStr">
        <is>
          <t>智利尾端中段整条三文鱼 8斤深海鱼低脂餐囤货一周备菜顺丰包邮</t>
        </is>
      </c>
      <c r="I1312" t="inlineStr">
        <is>
          <t>69fab80d64eb410001ece0c0</t>
        </is>
      </c>
      <c r="J1312" t="inlineStr">
        <is>
          <t/>
        </is>
      </c>
      <c r="K1312" t="n">
        <v>0.0</v>
      </c>
      <c r="L1312" t="n">
        <v>0.0</v>
      </c>
      <c r="M1312" t="n">
        <v>0.0</v>
      </c>
      <c r="N1312" t="inlineStr">
        <is>
          <t/>
        </is>
      </c>
      <c r="O1312" t="n">
        <v>0.0</v>
      </c>
      <c r="P1312" t="n">
        <v>0.0</v>
      </c>
      <c r="Q1312" t="inlineStr">
        <is>
          <t/>
        </is>
      </c>
      <c r="R1312" t="inlineStr">
        <is>
          <t/>
        </is>
      </c>
      <c r="S1312" t="n">
        <v>0.0</v>
      </c>
      <c r="T1312" t="n">
        <v>0.0</v>
      </c>
      <c r="U1312" t="n">
        <v>0.0</v>
      </c>
      <c r="V1312" t="n">
        <v>0.0</v>
      </c>
      <c r="W1312" t="inlineStr">
        <is>
          <t/>
        </is>
      </c>
      <c r="X1312" t="n">
        <v>0.0</v>
      </c>
      <c r="Y1312" t="n">
        <v>0.0</v>
      </c>
      <c r="Z1312" t="n">
        <v>0.0</v>
      </c>
      <c r="AA1312" t="n">
        <v>0.0</v>
      </c>
      <c r="AB1312" t="n">
        <v>0.0</v>
      </c>
      <c r="AC1312" t="n">
        <v>0.0</v>
      </c>
      <c r="AD1312" t="n">
        <v>0.0</v>
      </c>
      <c r="AE1312" t="n">
        <v>0.0</v>
      </c>
      <c r="AF1312" t="n">
        <v>0.0</v>
      </c>
      <c r="AG1312" t="n">
        <v>0.0</v>
      </c>
      <c r="AH1312" t="n">
        <v>0.0</v>
      </c>
      <c r="AI1312" t="n">
        <v>0.0</v>
      </c>
      <c r="AJ1312" t="n">
        <v>0.0</v>
      </c>
      <c r="AK1312" t="inlineStr">
        <is>
          <t/>
        </is>
      </c>
      <c r="AL1312" t="inlineStr">
        <is>
          <t/>
        </is>
      </c>
    </row>
    <row r="1313">
      <c r="A1313" t="inlineStr">
        <is>
          <t>空气炸锅+虾仁，减脂绝配😭</t>
        </is>
      </c>
      <c r="B1313" t="inlineStr">
        <is>
          <t>69ffd3d5000000003501cd76</t>
        </is>
      </c>
      <c r="C1313" s="1312" t="n">
        <f>HYPERLINK("https://www.xiaohongshu.com/explore/69ffd3d5000000003501cd76?xsec_token=TBHwg5rtdG9HGVQAn7m8NAqSJE5E__mElY64KMxbLYZzc=&amp;xsec_source=pc_trdark","https://www.xiaohongshu.com/explore/69ffd3d5000000003501cd76?xsec_token=TBHwg5rtdG9HGVQAn7m8NAqSJE5E__mElY64KMxbLYZzc=&amp;xsec_source=pc_trdark")</f>
        <v>0.0</v>
      </c>
      <c r="D1313" t="inlineStr">
        <is>
          <t>鲜水湾甄选</t>
        </is>
      </c>
      <c r="E1313" t="inlineStr">
        <is>
          <t>27401929161</t>
        </is>
      </c>
      <c r="F1313" t="inlineStr">
        <is>
          <t>2026-05-10 19:39:00</t>
        </is>
      </c>
      <c r="G1313" t="inlineStr">
        <is>
          <t>图文</t>
        </is>
      </c>
      <c r="H1313" t="inlineStr">
        <is>
          <t>手剥虾仁 无冰衣无添加 低脂餐一人食 上班带饭 顺丰包邮 5盒装</t>
        </is>
      </c>
      <c r="I1313" t="inlineStr">
        <is>
          <t>694baba01d450d00013662f0</t>
        </is>
      </c>
      <c r="J1313" t="inlineStr">
        <is>
          <t/>
        </is>
      </c>
      <c r="K1313" t="n">
        <v>0.0</v>
      </c>
      <c r="L1313" t="n">
        <v>0.0</v>
      </c>
      <c r="M1313" t="n">
        <v>0.0</v>
      </c>
      <c r="N1313" t="inlineStr">
        <is>
          <t/>
        </is>
      </c>
      <c r="O1313" t="n">
        <v>0.0</v>
      </c>
      <c r="P1313" t="n">
        <v>0.0</v>
      </c>
      <c r="Q1313" t="inlineStr">
        <is>
          <t/>
        </is>
      </c>
      <c r="R1313" t="inlineStr">
        <is>
          <t/>
        </is>
      </c>
      <c r="S1313" t="n">
        <v>0.0</v>
      </c>
      <c r="T1313" t="n">
        <v>0.0</v>
      </c>
      <c r="U1313" t="n">
        <v>0.0</v>
      </c>
      <c r="V1313" t="n">
        <v>0.0</v>
      </c>
      <c r="W1313" t="inlineStr">
        <is>
          <t/>
        </is>
      </c>
      <c r="X1313" t="n">
        <v>0.0</v>
      </c>
      <c r="Y1313" t="n">
        <v>0.0</v>
      </c>
      <c r="Z1313" t="n">
        <v>0.0</v>
      </c>
      <c r="AA1313" t="n">
        <v>0.0</v>
      </c>
      <c r="AB1313" t="n">
        <v>0.0</v>
      </c>
      <c r="AC1313" t="n">
        <v>0.0</v>
      </c>
      <c r="AD1313" t="n">
        <v>0.0</v>
      </c>
      <c r="AE1313" t="n">
        <v>0.0</v>
      </c>
      <c r="AF1313" t="n">
        <v>0.0</v>
      </c>
      <c r="AG1313" t="n">
        <v>0.0</v>
      </c>
      <c r="AH1313" t="n">
        <v>0.0</v>
      </c>
      <c r="AI1313" t="n">
        <v>0.0</v>
      </c>
      <c r="AJ1313" t="n">
        <v>0.0</v>
      </c>
      <c r="AK1313" t="inlineStr">
        <is>
          <t/>
        </is>
      </c>
      <c r="AL1313" t="inlineStr">
        <is>
          <t/>
        </is>
      </c>
    </row>
    <row r="1314">
      <c r="A1314" t="inlineStr">
        <is>
          <t>一个人住后疯狂囤虾仁😭</t>
        </is>
      </c>
      <c r="B1314" t="inlineStr">
        <is>
          <t>69ffd1e30000000036000c88</t>
        </is>
      </c>
      <c r="C1314" s="1313" t="n">
        <f>HYPERLINK("https://www.xiaohongshu.com/explore/69ffd1e30000000036000c88?xsec_token=TBHwg5rtdG9HGVQAn7m8NAqVeb08yNKO8nllmnZw4jfBQ=&amp;xsec_source=pc_trdark","https://www.xiaohongshu.com/explore/69ffd1e30000000036000c88?xsec_token=TBHwg5rtdG9HGVQAn7m8NAqVeb08yNKO8nllmnZw4jfBQ=&amp;xsec_source=pc_trdark")</f>
        <v>0.0</v>
      </c>
      <c r="D1314" t="inlineStr">
        <is>
          <t>鲜水湾甄选</t>
        </is>
      </c>
      <c r="E1314" t="inlineStr">
        <is>
          <t>27401929161</t>
        </is>
      </c>
      <c r="F1314" t="inlineStr">
        <is>
          <t>2026-05-10 10:31:00</t>
        </is>
      </c>
      <c r="G1314" t="inlineStr">
        <is>
          <t>图文</t>
        </is>
      </c>
      <c r="H1314" t="inlineStr">
        <is>
          <t>手剥虾仁 无冰衣无添加 低脂餐一人食 上班带饭 顺丰包邮 5盒装</t>
        </is>
      </c>
      <c r="I1314" t="inlineStr">
        <is>
          <t>694baba01d450d00013662f0</t>
        </is>
      </c>
      <c r="J1314" t="inlineStr">
        <is>
          <t/>
        </is>
      </c>
      <c r="K1314" t="n">
        <v>0.0</v>
      </c>
      <c r="L1314" t="n">
        <v>0.0</v>
      </c>
      <c r="M1314" t="n">
        <v>0.0</v>
      </c>
      <c r="N1314" t="inlineStr">
        <is>
          <t/>
        </is>
      </c>
      <c r="O1314" t="n">
        <v>0.0</v>
      </c>
      <c r="P1314" t="n">
        <v>0.0</v>
      </c>
      <c r="Q1314" t="inlineStr">
        <is>
          <t/>
        </is>
      </c>
      <c r="R1314" t="inlineStr">
        <is>
          <t/>
        </is>
      </c>
      <c r="S1314" t="n">
        <v>0.0</v>
      </c>
      <c r="T1314" t="n">
        <v>0.0</v>
      </c>
      <c r="U1314" t="n">
        <v>0.0</v>
      </c>
      <c r="V1314" t="n">
        <v>0.0</v>
      </c>
      <c r="W1314" t="inlineStr">
        <is>
          <t/>
        </is>
      </c>
      <c r="X1314" t="n">
        <v>0.0</v>
      </c>
      <c r="Y1314" t="n">
        <v>0.0</v>
      </c>
      <c r="Z1314" t="n">
        <v>0.0</v>
      </c>
      <c r="AA1314" t="n">
        <v>0.0</v>
      </c>
      <c r="AB1314" t="n">
        <v>0.0</v>
      </c>
      <c r="AC1314" t="n">
        <v>0.0</v>
      </c>
      <c r="AD1314" t="n">
        <v>0.0</v>
      </c>
      <c r="AE1314" t="n">
        <v>0.0</v>
      </c>
      <c r="AF1314" t="n">
        <v>0.0</v>
      </c>
      <c r="AG1314" t="n">
        <v>0.0</v>
      </c>
      <c r="AH1314" t="n">
        <v>0.0</v>
      </c>
      <c r="AI1314" t="n">
        <v>0.0</v>
      </c>
      <c r="AJ1314" t="n">
        <v>0.0</v>
      </c>
      <c r="AK1314" t="inlineStr">
        <is>
          <t/>
        </is>
      </c>
      <c r="AL1314" t="inlineStr">
        <is>
          <t/>
        </is>
      </c>
    </row>
    <row r="1315">
      <c r="A1315" t="inlineStr">
        <is>
          <t>原来低脂餐也能吃这么爽😭</t>
        </is>
      </c>
      <c r="B1315" t="inlineStr">
        <is>
          <t>69ffd157000000003502464e</t>
        </is>
      </c>
      <c r="C1315" s="1314" t="n">
        <f>HYPERLINK("https://www.xiaohongshu.com/explore/69ffd157000000003502464e?xsec_token=TBHwg5rtdG9HGVQAn7m8NAqVkaJyCYt096D-bWmZkC4zw=&amp;xsec_source=pc_trdark","https://www.xiaohongshu.com/explore/69ffd157000000003502464e?xsec_token=TBHwg5rtdG9HGVQAn7m8NAqVkaJyCYt096D-bWmZkC4zw=&amp;xsec_source=pc_trdark")</f>
        <v>0.0</v>
      </c>
      <c r="D1315" t="inlineStr">
        <is>
          <t>鲜水湾甄选</t>
        </is>
      </c>
      <c r="E1315" t="inlineStr">
        <is>
          <t>27401929161</t>
        </is>
      </c>
      <c r="F1315" t="inlineStr">
        <is>
          <t>2026-05-10 08:29:11</t>
        </is>
      </c>
      <c r="G1315" t="inlineStr">
        <is>
          <t>图文</t>
        </is>
      </c>
      <c r="H1315" t="inlineStr">
        <is>
          <t>手剥虾仁 无冰衣无添加 低脂餐一人食 上班带饭 顺丰包邮 5盒装</t>
        </is>
      </c>
      <c r="I1315" t="inlineStr">
        <is>
          <t>694baba01d450d00013662f0</t>
        </is>
      </c>
      <c r="J1315" t="inlineStr">
        <is>
          <t/>
        </is>
      </c>
      <c r="K1315" t="n">
        <v>0.0</v>
      </c>
      <c r="L1315" t="n">
        <v>0.0</v>
      </c>
      <c r="M1315" t="n">
        <v>0.0</v>
      </c>
      <c r="N1315" t="inlineStr">
        <is>
          <t/>
        </is>
      </c>
      <c r="O1315" t="n">
        <v>0.0</v>
      </c>
      <c r="P1315" t="n">
        <v>0.0</v>
      </c>
      <c r="Q1315" t="inlineStr">
        <is>
          <t/>
        </is>
      </c>
      <c r="R1315" t="inlineStr">
        <is>
          <t/>
        </is>
      </c>
      <c r="S1315" t="n">
        <v>0.0</v>
      </c>
      <c r="T1315" t="n">
        <v>0.0</v>
      </c>
      <c r="U1315" t="n">
        <v>0.0</v>
      </c>
      <c r="V1315" t="n">
        <v>0.0</v>
      </c>
      <c r="W1315" t="inlineStr">
        <is>
          <t/>
        </is>
      </c>
      <c r="X1315" t="n">
        <v>0.0</v>
      </c>
      <c r="Y1315" t="n">
        <v>0.0</v>
      </c>
      <c r="Z1315" t="n">
        <v>0.0</v>
      </c>
      <c r="AA1315" t="n">
        <v>0.0</v>
      </c>
      <c r="AB1315" t="n">
        <v>0.0</v>
      </c>
      <c r="AC1315" t="n">
        <v>0.0</v>
      </c>
      <c r="AD1315" t="n">
        <v>0.0</v>
      </c>
      <c r="AE1315" t="n">
        <v>0.0</v>
      </c>
      <c r="AF1315" t="n">
        <v>0.0</v>
      </c>
      <c r="AG1315" t="n">
        <v>0.0</v>
      </c>
      <c r="AH1315" t="n">
        <v>0.0</v>
      </c>
      <c r="AI1315" t="n">
        <v>0.0</v>
      </c>
      <c r="AJ1315" t="n">
        <v>0.0</v>
      </c>
      <c r="AK1315" t="inlineStr">
        <is>
          <t/>
        </is>
      </c>
      <c r="AL1315" t="inlineStr">
        <is>
          <t/>
        </is>
      </c>
    </row>
    <row r="1316">
      <c r="A1316" t="inlineStr">
        <is>
          <t>我妈：终于不天天吃外卖了🤣</t>
        </is>
      </c>
      <c r="B1316" t="inlineStr">
        <is>
          <t>69ffd0c4000000000702177c</t>
        </is>
      </c>
      <c r="C1316" s="1315" t="n">
        <f>HYPERLINK("https://www.xiaohongshu.com/explore/69ffd0c4000000000702177c?xsec_token=TBHwg5rtdG9HGVQAn7m8NAqUdO5bmYQj0-5XDp3IPGm94=&amp;xsec_source=pc_trdark","https://www.xiaohongshu.com/explore/69ffd0c4000000000702177c?xsec_token=TBHwg5rtdG9HGVQAn7m8NAqUdO5bmYQj0-5XDp3IPGm94=&amp;xsec_source=pc_trdark")</f>
        <v>0.0</v>
      </c>
      <c r="D1316" t="inlineStr">
        <is>
          <t>菲菲上班吃什么</t>
        </is>
      </c>
      <c r="E1316" t="inlineStr">
        <is>
          <t>49936530607</t>
        </is>
      </c>
      <c r="F1316" t="inlineStr">
        <is>
          <t>2026-05-10 19:26:00</t>
        </is>
      </c>
      <c r="G1316" t="inlineStr">
        <is>
          <t>图文</t>
        </is>
      </c>
      <c r="H1316" t="inlineStr">
        <is>
          <t>手剥虾仁 无冰衣无添加 低脂餐一人食 上班带饭 顺丰包邮 5盒装</t>
        </is>
      </c>
      <c r="I1316" t="inlineStr">
        <is>
          <t>694baba01d450d00013662f0</t>
        </is>
      </c>
      <c r="J1316" t="inlineStr">
        <is>
          <t/>
        </is>
      </c>
      <c r="K1316" t="n">
        <v>0.0</v>
      </c>
      <c r="L1316" t="n">
        <v>0.0</v>
      </c>
      <c r="M1316" t="n">
        <v>0.0</v>
      </c>
      <c r="N1316" t="inlineStr">
        <is>
          <t/>
        </is>
      </c>
      <c r="O1316" t="n">
        <v>0.0</v>
      </c>
      <c r="P1316" t="n">
        <v>0.0</v>
      </c>
      <c r="Q1316" t="inlineStr">
        <is>
          <t/>
        </is>
      </c>
      <c r="R1316" t="inlineStr">
        <is>
          <t/>
        </is>
      </c>
      <c r="S1316" t="n">
        <v>0.0</v>
      </c>
      <c r="T1316" t="n">
        <v>0.0</v>
      </c>
      <c r="U1316" t="n">
        <v>0.0</v>
      </c>
      <c r="V1316" t="n">
        <v>0.0</v>
      </c>
      <c r="W1316" t="inlineStr">
        <is>
          <t/>
        </is>
      </c>
      <c r="X1316" t="n">
        <v>0.0</v>
      </c>
      <c r="Y1316" t="n">
        <v>0.0</v>
      </c>
      <c r="Z1316" t="n">
        <v>0.0</v>
      </c>
      <c r="AA1316" t="n">
        <v>0.0</v>
      </c>
      <c r="AB1316" t="n">
        <v>0.0</v>
      </c>
      <c r="AC1316" t="n">
        <v>0.0</v>
      </c>
      <c r="AD1316" t="n">
        <v>0.0</v>
      </c>
      <c r="AE1316" t="n">
        <v>0.0</v>
      </c>
      <c r="AF1316" t="n">
        <v>0.0</v>
      </c>
      <c r="AG1316" t="n">
        <v>0.0</v>
      </c>
      <c r="AH1316" t="n">
        <v>0.0</v>
      </c>
      <c r="AI1316" t="n">
        <v>0.0</v>
      </c>
      <c r="AJ1316" t="n">
        <v>0.0</v>
      </c>
      <c r="AK1316" t="inlineStr">
        <is>
          <t/>
        </is>
      </c>
      <c r="AL1316" t="inlineStr">
        <is>
          <t/>
        </is>
      </c>
    </row>
    <row r="1317">
      <c r="A1317" t="inlineStr">
        <is>
          <t>减脂人冰箱里一定要有虾仁😭</t>
        </is>
      </c>
      <c r="B1317" t="inlineStr">
        <is>
          <t>69ffd05b0000000007021692</t>
        </is>
      </c>
      <c r="C1317" s="1316" t="n">
        <f>HYPERLINK("https://www.xiaohongshu.com/explore/69ffd05b0000000007021692?xsec_token=TBHwg5rtdG9HGVQAn7m8NAqQMwfPFPBIVD8VSgUCoMwGo=&amp;xsec_source=pc_trdark","https://www.xiaohongshu.com/explore/69ffd05b0000000007021692?xsec_token=TBHwg5rtdG9HGVQAn7m8NAqQMwfPFPBIVD8VSgUCoMwGo=&amp;xsec_source=pc_trdark")</f>
        <v>0.0</v>
      </c>
      <c r="D1317" t="inlineStr">
        <is>
          <t>菲菲上班吃什么</t>
        </is>
      </c>
      <c r="E1317" t="inlineStr">
        <is>
          <t>49936530607</t>
        </is>
      </c>
      <c r="F1317" t="inlineStr">
        <is>
          <t>2026-05-10 17:24:00</t>
        </is>
      </c>
      <c r="G1317" t="inlineStr">
        <is>
          <t>图文</t>
        </is>
      </c>
      <c r="H1317" t="inlineStr">
        <is>
          <t>手剥虾仁 无冰衣无添加 低脂餐一人食 上班带饭 顺丰包邮 5盒装</t>
        </is>
      </c>
      <c r="I1317" t="inlineStr">
        <is>
          <t>694baba01d450d00013662f0</t>
        </is>
      </c>
      <c r="J1317" t="inlineStr">
        <is>
          <t/>
        </is>
      </c>
      <c r="K1317" t="n">
        <v>0.0</v>
      </c>
      <c r="L1317" t="n">
        <v>0.0</v>
      </c>
      <c r="M1317" t="n">
        <v>0.0</v>
      </c>
      <c r="N1317" t="inlineStr">
        <is>
          <t/>
        </is>
      </c>
      <c r="O1317" t="n">
        <v>0.0</v>
      </c>
      <c r="P1317" t="n">
        <v>0.0</v>
      </c>
      <c r="Q1317" t="inlineStr">
        <is>
          <t/>
        </is>
      </c>
      <c r="R1317" t="inlineStr">
        <is>
          <t/>
        </is>
      </c>
      <c r="S1317" t="n">
        <v>0.0</v>
      </c>
      <c r="T1317" t="n">
        <v>0.0</v>
      </c>
      <c r="U1317" t="n">
        <v>0.0</v>
      </c>
      <c r="V1317" t="n">
        <v>0.0</v>
      </c>
      <c r="W1317" t="inlineStr">
        <is>
          <t/>
        </is>
      </c>
      <c r="X1317" t="n">
        <v>0.0</v>
      </c>
      <c r="Y1317" t="n">
        <v>0.0</v>
      </c>
      <c r="Z1317" t="n">
        <v>0.0</v>
      </c>
      <c r="AA1317" t="n">
        <v>0.0</v>
      </c>
      <c r="AB1317" t="n">
        <v>0.0</v>
      </c>
      <c r="AC1317" t="n">
        <v>0.0</v>
      </c>
      <c r="AD1317" t="n">
        <v>0.0</v>
      </c>
      <c r="AE1317" t="n">
        <v>0.0</v>
      </c>
      <c r="AF1317" t="n">
        <v>0.0</v>
      </c>
      <c r="AG1317" t="n">
        <v>0.0</v>
      </c>
      <c r="AH1317" t="n">
        <v>0.0</v>
      </c>
      <c r="AI1317" t="n">
        <v>0.0</v>
      </c>
      <c r="AJ1317" t="n">
        <v>0.0</v>
      </c>
      <c r="AK1317" t="inlineStr">
        <is>
          <t/>
        </is>
      </c>
      <c r="AL1317" t="inlineStr">
        <is>
          <t/>
        </is>
      </c>
    </row>
    <row r="1318">
      <c r="A1318" t="inlineStr">
        <is>
          <t>带饭被同事围观：你也吃太好了吧🍤</t>
        </is>
      </c>
      <c r="B1318" t="inlineStr">
        <is>
          <t>69ffcfa80000000008032c08</t>
        </is>
      </c>
      <c r="C1318" s="1317" t="n">
        <f>HYPERLINK("https://www.xiaohongshu.com/explore/69ffcfa80000000008032c08?xsec_token=TBHwg5rtdG9HGVQAn7m8NAqZ3xhx7o7j5zyAJJ2gd9324=&amp;xsec_source=pc_trdark","https://www.xiaohongshu.com/explore/69ffcfa80000000008032c08?xsec_token=TBHwg5rtdG9HGVQAn7m8NAqZ3xhx7o7j5zyAJJ2gd9324=&amp;xsec_source=pc_trdark")</f>
        <v>0.0</v>
      </c>
      <c r="D1318" t="inlineStr">
        <is>
          <t>菲菲上班吃什么</t>
        </is>
      </c>
      <c r="E1318" t="inlineStr">
        <is>
          <t>49936530607</t>
        </is>
      </c>
      <c r="F1318" t="inlineStr">
        <is>
          <t>2026-05-10 15:21:00</t>
        </is>
      </c>
      <c r="G1318" t="inlineStr">
        <is>
          <t>图文</t>
        </is>
      </c>
      <c r="H1318" t="inlineStr">
        <is>
          <t>手剥虾仁 无冰衣无添加 低脂餐一人食 上班带饭 顺丰包邮 5盒装</t>
        </is>
      </c>
      <c r="I1318" t="inlineStr">
        <is>
          <t>694baba01d450d00013662f0</t>
        </is>
      </c>
      <c r="J1318" t="inlineStr">
        <is>
          <t/>
        </is>
      </c>
      <c r="K1318" t="n">
        <v>0.0</v>
      </c>
      <c r="L1318" t="n">
        <v>0.0</v>
      </c>
      <c r="M1318" t="n">
        <v>0.0</v>
      </c>
      <c r="N1318" t="inlineStr">
        <is>
          <t/>
        </is>
      </c>
      <c r="O1318" t="n">
        <v>0.0</v>
      </c>
      <c r="P1318" t="n">
        <v>0.0</v>
      </c>
      <c r="Q1318" t="inlineStr">
        <is>
          <t/>
        </is>
      </c>
      <c r="R1318" t="inlineStr">
        <is>
          <t/>
        </is>
      </c>
      <c r="S1318" t="n">
        <v>0.0</v>
      </c>
      <c r="T1318" t="n">
        <v>0.0</v>
      </c>
      <c r="U1318" t="n">
        <v>0.0</v>
      </c>
      <c r="V1318" t="n">
        <v>0.0</v>
      </c>
      <c r="W1318" t="inlineStr">
        <is>
          <t/>
        </is>
      </c>
      <c r="X1318" t="n">
        <v>0.0</v>
      </c>
      <c r="Y1318" t="n">
        <v>0.0</v>
      </c>
      <c r="Z1318" t="n">
        <v>0.0</v>
      </c>
      <c r="AA1318" t="n">
        <v>0.0</v>
      </c>
      <c r="AB1318" t="n">
        <v>0.0</v>
      </c>
      <c r="AC1318" t="n">
        <v>0.0</v>
      </c>
      <c r="AD1318" t="n">
        <v>0.0</v>
      </c>
      <c r="AE1318" t="n">
        <v>0.0</v>
      </c>
      <c r="AF1318" t="n">
        <v>0.0</v>
      </c>
      <c r="AG1318" t="n">
        <v>0.0</v>
      </c>
      <c r="AH1318" t="n">
        <v>0.0</v>
      </c>
      <c r="AI1318" t="n">
        <v>0.0</v>
      </c>
      <c r="AJ1318" t="n">
        <v>0.0</v>
      </c>
      <c r="AK1318" t="inlineStr">
        <is>
          <t/>
        </is>
      </c>
      <c r="AL1318" t="inlineStr">
        <is>
          <t/>
        </is>
      </c>
    </row>
    <row r="1319">
      <c r="A1319" t="inlineStr">
        <is>
          <t>下班10分钟搞定晚餐，比外卖快🍤</t>
        </is>
      </c>
      <c r="B1319" t="inlineStr">
        <is>
          <t>69ffcee7000000000701120e</t>
        </is>
      </c>
      <c r="C1319" s="1318" t="n">
        <f>HYPERLINK("https://www.xiaohongshu.com/explore/69ffcee7000000000701120e?xsec_token=TBHwg5rtdG9HGVQAn7m8NAqZMNRWdjDFy_ya8Cq74Pcqg=&amp;xsec_source=pc_trdark","https://www.xiaohongshu.com/explore/69ffcee7000000000701120e?xsec_token=TBHwg5rtdG9HGVQAn7m8NAqZMNRWdjDFy_ya8Cq74Pcqg=&amp;xsec_source=pc_trdark")</f>
        <v>0.0</v>
      </c>
      <c r="D1319" t="inlineStr">
        <is>
          <t>菲菲上班吃什么</t>
        </is>
      </c>
      <c r="E1319" t="inlineStr">
        <is>
          <t>49936530607</t>
        </is>
      </c>
      <c r="F1319" t="inlineStr">
        <is>
          <t>2026-05-10 13:18:00</t>
        </is>
      </c>
      <c r="G1319" t="inlineStr">
        <is>
          <t>图文</t>
        </is>
      </c>
      <c r="H1319" t="inlineStr">
        <is>
          <t>手剥虾仁 无冰衣无添加 低脂餐一人食 上班带饭 顺丰包邮 5盒装</t>
        </is>
      </c>
      <c r="I1319" t="inlineStr">
        <is>
          <t>694baba01d450d00013662f0</t>
        </is>
      </c>
      <c r="J1319" t="inlineStr">
        <is>
          <t/>
        </is>
      </c>
      <c r="K1319" t="n">
        <v>0.0</v>
      </c>
      <c r="L1319" t="n">
        <v>0.0</v>
      </c>
      <c r="M1319" t="n">
        <v>0.0</v>
      </c>
      <c r="N1319" t="inlineStr">
        <is>
          <t/>
        </is>
      </c>
      <c r="O1319" t="n">
        <v>0.0</v>
      </c>
      <c r="P1319" t="n">
        <v>0.0</v>
      </c>
      <c r="Q1319" t="inlineStr">
        <is>
          <t/>
        </is>
      </c>
      <c r="R1319" t="inlineStr">
        <is>
          <t/>
        </is>
      </c>
      <c r="S1319" t="n">
        <v>0.0</v>
      </c>
      <c r="T1319" t="n">
        <v>0.0</v>
      </c>
      <c r="U1319" t="n">
        <v>0.0</v>
      </c>
      <c r="V1319" t="n">
        <v>0.0</v>
      </c>
      <c r="W1319" t="inlineStr">
        <is>
          <t/>
        </is>
      </c>
      <c r="X1319" t="n">
        <v>0.0</v>
      </c>
      <c r="Y1319" t="n">
        <v>0.0</v>
      </c>
      <c r="Z1319" t="n">
        <v>0.0</v>
      </c>
      <c r="AA1319" t="n">
        <v>0.0</v>
      </c>
      <c r="AB1319" t="n">
        <v>0.0</v>
      </c>
      <c r="AC1319" t="n">
        <v>0.0</v>
      </c>
      <c r="AD1319" t="n">
        <v>0.0</v>
      </c>
      <c r="AE1319" t="n">
        <v>0.0</v>
      </c>
      <c r="AF1319" t="n">
        <v>0.0</v>
      </c>
      <c r="AG1319" t="n">
        <v>0.0</v>
      </c>
      <c r="AH1319" t="n">
        <v>0.0</v>
      </c>
      <c r="AI1319" t="n">
        <v>0.0</v>
      </c>
      <c r="AJ1319" t="n">
        <v>0.0</v>
      </c>
      <c r="AK1319" t="inlineStr">
        <is>
          <t/>
        </is>
      </c>
      <c r="AL1319" t="inlineStr">
        <is>
          <t/>
        </is>
      </c>
    </row>
    <row r="1320">
      <c r="A1320" t="inlineStr">
        <is>
          <t>减脂期嘴馋？这一锅吃到撑也不怕🍲</t>
        </is>
      </c>
      <c r="B1320" t="inlineStr">
        <is>
          <t>69ffcd80000000000803e5e9</t>
        </is>
      </c>
      <c r="C1320" s="1319" t="n">
        <f>HYPERLINK("https://www.xiaohongshu.com/explore/69ffcd80000000000803e5e9?xsec_token=TBHwg5rtdG9HGVQAn7m8NAqajVD8JoP9HFgUTzi1CDvVc=&amp;xsec_source=pc_trdark","https://www.xiaohongshu.com/explore/69ffcd80000000000803e5e9?xsec_token=TBHwg5rtdG9HGVQAn7m8NAqajVD8JoP9HFgUTzi1CDvVc=&amp;xsec_source=pc_trdark")</f>
        <v>0.0</v>
      </c>
      <c r="D1320" t="inlineStr">
        <is>
          <t>菲菲上班吃什么</t>
        </is>
      </c>
      <c r="E1320" t="inlineStr">
        <is>
          <t>49936530607</t>
        </is>
      </c>
      <c r="F1320" t="inlineStr">
        <is>
          <t>2026-05-10 09:45:00</t>
        </is>
      </c>
      <c r="G1320" t="inlineStr">
        <is>
          <t>图文</t>
        </is>
      </c>
      <c r="H1320" t="inlineStr">
        <is>
          <t>手剥虾仁 无冰衣无添加 低脂餐一人食 上班带饭 顺丰包邮 5盒装</t>
        </is>
      </c>
      <c r="I1320" t="inlineStr">
        <is>
          <t>694baba01d450d00013662f0</t>
        </is>
      </c>
      <c r="J1320" t="inlineStr">
        <is>
          <t/>
        </is>
      </c>
      <c r="K1320" t="n">
        <v>0.0</v>
      </c>
      <c r="L1320" t="n">
        <v>0.0</v>
      </c>
      <c r="M1320" t="n">
        <v>0.0</v>
      </c>
      <c r="N1320" t="inlineStr">
        <is>
          <t/>
        </is>
      </c>
      <c r="O1320" t="n">
        <v>0.0</v>
      </c>
      <c r="P1320" t="n">
        <v>0.0</v>
      </c>
      <c r="Q1320" t="inlineStr">
        <is>
          <t/>
        </is>
      </c>
      <c r="R1320" t="inlineStr">
        <is>
          <t/>
        </is>
      </c>
      <c r="S1320" t="n">
        <v>0.0</v>
      </c>
      <c r="T1320" t="n">
        <v>0.0</v>
      </c>
      <c r="U1320" t="n">
        <v>0.0</v>
      </c>
      <c r="V1320" t="n">
        <v>0.0</v>
      </c>
      <c r="W1320" t="inlineStr">
        <is>
          <t/>
        </is>
      </c>
      <c r="X1320" t="n">
        <v>0.0</v>
      </c>
      <c r="Y1320" t="n">
        <v>0.0</v>
      </c>
      <c r="Z1320" t="n">
        <v>0.0</v>
      </c>
      <c r="AA1320" t="n">
        <v>0.0</v>
      </c>
      <c r="AB1320" t="n">
        <v>0.0</v>
      </c>
      <c r="AC1320" t="n">
        <v>0.0</v>
      </c>
      <c r="AD1320" t="n">
        <v>0.0</v>
      </c>
      <c r="AE1320" t="n">
        <v>0.0</v>
      </c>
      <c r="AF1320" t="n">
        <v>0.0</v>
      </c>
      <c r="AG1320" t="n">
        <v>0.0</v>
      </c>
      <c r="AH1320" t="n">
        <v>0.0</v>
      </c>
      <c r="AI1320" t="n">
        <v>0.0</v>
      </c>
      <c r="AJ1320" t="n">
        <v>0.0</v>
      </c>
      <c r="AK1320" t="inlineStr">
        <is>
          <t/>
        </is>
      </c>
      <c r="AL1320" t="inlineStr">
        <is>
          <t/>
        </is>
      </c>
    </row>
    <row r="1321">
      <c r="A1321" t="inlineStr">
        <is>
          <t>谁说一个人做饭麻烦？5分钟搞定👩‍🍳</t>
        </is>
      </c>
      <c r="B1321" t="inlineStr">
        <is>
          <t>69ffccb6000000000800363c</t>
        </is>
      </c>
      <c r="C1321" s="1320" t="n">
        <f>HYPERLINK("https://www.xiaohongshu.com/explore/69ffccb6000000000800363c?xsec_token=TBHwg5rtdG9HGVQAn7m8NAqaVuNkaz926hnpyktHQgd-0=&amp;xsec_source=pc_trdark","https://www.xiaohongshu.com/explore/69ffccb6000000000800363c?xsec_token=TBHwg5rtdG9HGVQAn7m8NAqaVuNkaz926hnpyktHQgd-0=&amp;xsec_source=pc_trdark")</f>
        <v>0.0</v>
      </c>
      <c r="D1321" t="inlineStr">
        <is>
          <t>菲菲上班吃什么</t>
        </is>
      </c>
      <c r="E1321" t="inlineStr">
        <is>
          <t>49936530607</t>
        </is>
      </c>
      <c r="F1321" t="inlineStr">
        <is>
          <t>2026-05-10 08:09:26</t>
        </is>
      </c>
      <c r="G1321" t="inlineStr">
        <is>
          <t>图文</t>
        </is>
      </c>
      <c r="H1321" t="inlineStr">
        <is>
          <t>手剥虾仁 无冰衣无添加 低脂餐一人食 上班带饭 顺丰包邮 5盒装</t>
        </is>
      </c>
      <c r="I1321" t="inlineStr">
        <is>
          <t>694baba01d450d00013662f0</t>
        </is>
      </c>
      <c r="J1321" t="inlineStr">
        <is>
          <t/>
        </is>
      </c>
      <c r="K1321" t="n">
        <v>0.0</v>
      </c>
      <c r="L1321" t="n">
        <v>0.0</v>
      </c>
      <c r="M1321" t="n">
        <v>0.0</v>
      </c>
      <c r="N1321" t="inlineStr">
        <is>
          <t/>
        </is>
      </c>
      <c r="O1321" t="n">
        <v>0.0</v>
      </c>
      <c r="P1321" t="n">
        <v>0.0</v>
      </c>
      <c r="Q1321" t="inlineStr">
        <is>
          <t/>
        </is>
      </c>
      <c r="R1321" t="inlineStr">
        <is>
          <t/>
        </is>
      </c>
      <c r="S1321" t="n">
        <v>0.0</v>
      </c>
      <c r="T1321" t="n">
        <v>0.0</v>
      </c>
      <c r="U1321" t="n">
        <v>0.0</v>
      </c>
      <c r="V1321" t="n">
        <v>0.0</v>
      </c>
      <c r="W1321" t="inlineStr">
        <is>
          <t/>
        </is>
      </c>
      <c r="X1321" t="n">
        <v>0.0</v>
      </c>
      <c r="Y1321" t="n">
        <v>0.0</v>
      </c>
      <c r="Z1321" t="n">
        <v>0.0</v>
      </c>
      <c r="AA1321" t="n">
        <v>0.0</v>
      </c>
      <c r="AB1321" t="n">
        <v>0.0</v>
      </c>
      <c r="AC1321" t="n">
        <v>0.0</v>
      </c>
      <c r="AD1321" t="n">
        <v>0.0</v>
      </c>
      <c r="AE1321" t="n">
        <v>0.0</v>
      </c>
      <c r="AF1321" t="n">
        <v>0.0</v>
      </c>
      <c r="AG1321" t="n">
        <v>0.0</v>
      </c>
      <c r="AH1321" t="n">
        <v>0.0</v>
      </c>
      <c r="AI1321" t="n">
        <v>0.0</v>
      </c>
      <c r="AJ1321" t="n">
        <v>0.0</v>
      </c>
      <c r="AK1321" t="inlineStr">
        <is>
          <t/>
        </is>
      </c>
      <c r="AL1321" t="inlineStr">
        <is>
          <t/>
        </is>
      </c>
    </row>
    <row r="1322">
      <c r="A1322" t="inlineStr">
        <is>
          <t>听顾客的话，推出一人食低卡小包装</t>
        </is>
      </c>
      <c r="B1322" t="inlineStr">
        <is>
          <t>69ff4a0d00000000220242c3</t>
        </is>
      </c>
      <c r="C1322" s="1321" t="n">
        <f>HYPERLINK("https://www.xiaohongshu.com/explore/69ff4a0d00000000220242c3?xsec_token=TBHwg5rtdG9HGVQAn7m8NAqbwSLrUk9Bovu_GbuUl6XcE=&amp;xsec_source=pc_trdark","https://www.xiaohongshu.com/explore/69ff4a0d00000000220242c3?xsec_token=TBHwg5rtdG9HGVQAn7m8NAqbwSLrUk9Bovu_GbuUl6XcE=&amp;xsec_source=pc_trdark")</f>
        <v>0.0</v>
      </c>
      <c r="D1322" t="inlineStr">
        <is>
          <t>鲜水湾</t>
        </is>
      </c>
      <c r="E1322" t="inlineStr">
        <is>
          <t>49316638994</t>
        </is>
      </c>
      <c r="F1322" t="inlineStr">
        <is>
          <t>2026-05-09 22:51:57</t>
        </is>
      </c>
      <c r="G1322" t="inlineStr">
        <is>
          <t>图文</t>
        </is>
      </c>
      <c r="H1322" t="inlineStr">
        <is>
          <t>手剥虾仁 无冰衣无添加 低脂餐一人食 上班带饭 顺丰包邮 5盒装</t>
        </is>
      </c>
      <c r="I1322" t="inlineStr">
        <is>
          <t>694baba01d450d00013662f0</t>
        </is>
      </c>
      <c r="J1322" t="inlineStr">
        <is>
          <t/>
        </is>
      </c>
      <c r="K1322" t="n">
        <v>0.0</v>
      </c>
      <c r="L1322" t="n">
        <v>0.0</v>
      </c>
      <c r="M1322" t="n">
        <v>0.0</v>
      </c>
      <c r="N1322" t="inlineStr">
        <is>
          <t/>
        </is>
      </c>
      <c r="O1322" t="n">
        <v>0.0</v>
      </c>
      <c r="P1322" t="n">
        <v>0.0</v>
      </c>
      <c r="Q1322" t="inlineStr">
        <is>
          <t/>
        </is>
      </c>
      <c r="R1322" t="inlineStr">
        <is>
          <t/>
        </is>
      </c>
      <c r="S1322" t="n">
        <v>0.0</v>
      </c>
      <c r="T1322" t="n">
        <v>0.0</v>
      </c>
      <c r="U1322" t="n">
        <v>0.0</v>
      </c>
      <c r="V1322" t="n">
        <v>0.0</v>
      </c>
      <c r="W1322" t="inlineStr">
        <is>
          <t/>
        </is>
      </c>
      <c r="X1322" t="n">
        <v>0.0</v>
      </c>
      <c r="Y1322" t="n">
        <v>0.0</v>
      </c>
      <c r="Z1322" t="n">
        <v>0.0</v>
      </c>
      <c r="AA1322" t="n">
        <v>0.0</v>
      </c>
      <c r="AB1322" t="n">
        <v>0.0</v>
      </c>
      <c r="AC1322" t="n">
        <v>0.0</v>
      </c>
      <c r="AD1322" t="n">
        <v>0.0</v>
      </c>
      <c r="AE1322" t="n">
        <v>0.0</v>
      </c>
      <c r="AF1322" t="n">
        <v>0.0</v>
      </c>
      <c r="AG1322" t="n">
        <v>0.0</v>
      </c>
      <c r="AH1322" t="n">
        <v>0.0</v>
      </c>
      <c r="AI1322" t="n">
        <v>0.0</v>
      </c>
      <c r="AJ1322" t="n">
        <v>0.0</v>
      </c>
      <c r="AK1322" t="inlineStr">
        <is>
          <t/>
        </is>
      </c>
      <c r="AL1322" t="inlineStr">
        <is>
          <t/>
        </is>
      </c>
    </row>
    <row r="1323">
      <c r="A1323" t="inlineStr">
        <is>
          <t>69块直接囤了我一周的减脂餐🥹</t>
        </is>
      </c>
      <c r="B1323" t="inlineStr">
        <is>
          <t>69fefea2000000001a035f12</t>
        </is>
      </c>
      <c r="C1323" s="1322" t="n">
        <f>HYPERLINK("https://www.xiaohongshu.com/explore/69fefea2000000001a035f12?xsec_token=TBW_z8KxT9AgMNTeavZZG2U2PwzRDJpRlu7fx-Zwc5qsE=&amp;xsec_source=pc_trdark","https://www.xiaohongshu.com/explore/69fefea2000000001a035f12?xsec_token=TBW_z8KxT9AgMNTeavZZG2U2PwzRDJpRlu7fx-Zwc5qsE=&amp;xsec_source=pc_trdark")</f>
        <v>0.0</v>
      </c>
      <c r="D1323" t="inlineStr">
        <is>
          <t>菲菲上班吃什么</t>
        </is>
      </c>
      <c r="E1323" t="inlineStr">
        <is>
          <t>49936530607</t>
        </is>
      </c>
      <c r="F1323" t="inlineStr">
        <is>
          <t>2026-05-09 20:43:00</t>
        </is>
      </c>
      <c r="G1323" t="inlineStr">
        <is>
          <t>图文</t>
        </is>
      </c>
      <c r="H1323" t="inlineStr">
        <is>
          <t>手剥虾仁 无冰衣无添加 低脂餐一人食 上班带饭 顺丰包邮 5盒装</t>
        </is>
      </c>
      <c r="I1323" t="inlineStr">
        <is>
          <t>694baba01d450d00013662f0</t>
        </is>
      </c>
      <c r="J1323" t="inlineStr">
        <is>
          <t/>
        </is>
      </c>
      <c r="K1323" t="n">
        <v>0.0</v>
      </c>
      <c r="L1323" t="n">
        <v>0.0</v>
      </c>
      <c r="M1323" t="n">
        <v>0.0</v>
      </c>
      <c r="N1323" t="inlineStr">
        <is>
          <t/>
        </is>
      </c>
      <c r="O1323" t="n">
        <v>0.0</v>
      </c>
      <c r="P1323" t="n">
        <v>0.0</v>
      </c>
      <c r="Q1323" t="inlineStr">
        <is>
          <t/>
        </is>
      </c>
      <c r="R1323" t="inlineStr">
        <is>
          <t/>
        </is>
      </c>
      <c r="S1323" t="n">
        <v>0.0</v>
      </c>
      <c r="T1323" t="n">
        <v>0.0</v>
      </c>
      <c r="U1323" t="n">
        <v>0.0</v>
      </c>
      <c r="V1323" t="n">
        <v>0.0</v>
      </c>
      <c r="W1323" t="inlineStr">
        <is>
          <t/>
        </is>
      </c>
      <c r="X1323" t="n">
        <v>0.0</v>
      </c>
      <c r="Y1323" t="n">
        <v>0.0</v>
      </c>
      <c r="Z1323" t="n">
        <v>0.0</v>
      </c>
      <c r="AA1323" t="n">
        <v>0.0</v>
      </c>
      <c r="AB1323" t="n">
        <v>0.0</v>
      </c>
      <c r="AC1323" t="n">
        <v>0.0</v>
      </c>
      <c r="AD1323" t="n">
        <v>0.0</v>
      </c>
      <c r="AE1323" t="n">
        <v>0.0</v>
      </c>
      <c r="AF1323" t="n">
        <v>0.0</v>
      </c>
      <c r="AG1323" t="n">
        <v>0.0</v>
      </c>
      <c r="AH1323" t="n">
        <v>0.0</v>
      </c>
      <c r="AI1323" t="n">
        <v>0.0</v>
      </c>
      <c r="AJ1323" t="n">
        <v>0.0</v>
      </c>
      <c r="AK1323" t="inlineStr">
        <is>
          <t/>
        </is>
      </c>
      <c r="AL1323" t="inlineStr">
        <is>
          <t/>
        </is>
      </c>
    </row>
    <row r="1324">
      <c r="A1324" t="inlineStr">
        <is>
          <t>冰箱有它，懒人一周带饭不重样🍱</t>
        </is>
      </c>
      <c r="B1324" t="inlineStr">
        <is>
          <t>69fefdcb0000000022025bfb</t>
        </is>
      </c>
      <c r="C1324" s="1323" t="n">
        <f>HYPERLINK("https://www.xiaohongshu.com/explore/69fefdcb0000000022025bfb?xsec_token=TBW_z8KxT9AgMNTeavZZG2UzbrZ2W-wbe4imAmoEo0M34=&amp;xsec_source=pc_trdark","https://www.xiaohongshu.com/explore/69fefdcb0000000022025bfb?xsec_token=TBW_z8KxT9AgMNTeavZZG2UzbrZ2W-wbe4imAmoEo0M34=&amp;xsec_source=pc_trdark")</f>
        <v>0.0</v>
      </c>
      <c r="D1324" t="inlineStr">
        <is>
          <t>菲菲上班吃什么</t>
        </is>
      </c>
      <c r="E1324" t="inlineStr">
        <is>
          <t>49936530607</t>
        </is>
      </c>
      <c r="F1324" t="inlineStr">
        <is>
          <t>2026-05-09 19:28:00</t>
        </is>
      </c>
      <c r="G1324" t="inlineStr">
        <is>
          <t>图文</t>
        </is>
      </c>
      <c r="H1324" t="inlineStr">
        <is>
          <t>手剥虾仁 无冰衣无添加 低脂餐一人食 上班带饭 顺丰包邮 5盒装</t>
        </is>
      </c>
      <c r="I1324" t="inlineStr">
        <is>
          <t>694baba01d450d00013662f0</t>
        </is>
      </c>
      <c r="J1324" t="inlineStr">
        <is>
          <t/>
        </is>
      </c>
      <c r="K1324" t="n">
        <v>0.0</v>
      </c>
      <c r="L1324" t="n">
        <v>0.0</v>
      </c>
      <c r="M1324" t="n">
        <v>0.0</v>
      </c>
      <c r="N1324" t="inlineStr">
        <is>
          <t/>
        </is>
      </c>
      <c r="O1324" t="n">
        <v>0.0</v>
      </c>
      <c r="P1324" t="n">
        <v>0.0</v>
      </c>
      <c r="Q1324" t="inlineStr">
        <is>
          <t/>
        </is>
      </c>
      <c r="R1324" t="inlineStr">
        <is>
          <t/>
        </is>
      </c>
      <c r="S1324" t="n">
        <v>0.0</v>
      </c>
      <c r="T1324" t="n">
        <v>0.0</v>
      </c>
      <c r="U1324" t="n">
        <v>0.0</v>
      </c>
      <c r="V1324" t="n">
        <v>0.0</v>
      </c>
      <c r="W1324" t="inlineStr">
        <is>
          <t/>
        </is>
      </c>
      <c r="X1324" t="n">
        <v>0.0</v>
      </c>
      <c r="Y1324" t="n">
        <v>0.0</v>
      </c>
      <c r="Z1324" t="n">
        <v>0.0</v>
      </c>
      <c r="AA1324" t="n">
        <v>0.0</v>
      </c>
      <c r="AB1324" t="n">
        <v>0.0</v>
      </c>
      <c r="AC1324" t="n">
        <v>0.0</v>
      </c>
      <c r="AD1324" t="n">
        <v>0.0</v>
      </c>
      <c r="AE1324" t="n">
        <v>0.0</v>
      </c>
      <c r="AF1324" t="n">
        <v>0.0</v>
      </c>
      <c r="AG1324" t="n">
        <v>0.0</v>
      </c>
      <c r="AH1324" t="n">
        <v>0.0</v>
      </c>
      <c r="AI1324" t="n">
        <v>0.0</v>
      </c>
      <c r="AJ1324" t="n">
        <v>0.0</v>
      </c>
      <c r="AK1324" t="inlineStr">
        <is>
          <t/>
        </is>
      </c>
      <c r="AL1324" t="inlineStr">
        <is>
          <t/>
        </is>
      </c>
    </row>
    <row r="1325">
      <c r="A1325" t="inlineStr">
        <is>
          <t>这个虾仁夯爆了！区区69块我吃一周了…</t>
        </is>
      </c>
      <c r="B1325" t="inlineStr">
        <is>
          <t>69fef8db000000002301d391</t>
        </is>
      </c>
      <c r="C1325" s="1324" t="n">
        <f>HYPERLINK("https://www.xiaohongshu.com/explore/69fef8db000000002301d391?xsec_token=TBW_z8KxT9AgMNTeavZZG2U6Vc17bFuYjZ7BTr6NTe8QA=&amp;xsec_source=pc_trdark","https://www.xiaohongshu.com/explore/69fef8db000000002301d391?xsec_token=TBW_z8KxT9AgMNTeavZZG2U6Vc17bFuYjZ7BTr6NTe8QA=&amp;xsec_source=pc_trdark")</f>
        <v>0.0</v>
      </c>
      <c r="D1325" t="inlineStr">
        <is>
          <t>菲菲上班吃什么</t>
        </is>
      </c>
      <c r="E1325" t="inlineStr">
        <is>
          <t>49936530607</t>
        </is>
      </c>
      <c r="F1325" t="inlineStr">
        <is>
          <t>2026-05-09 18:45:00</t>
        </is>
      </c>
      <c r="G1325" t="inlineStr">
        <is>
          <t>图文</t>
        </is>
      </c>
      <c r="H1325" t="inlineStr">
        <is>
          <t>手剥虾仁 无冰衣无添加 低脂餐一人食 上班带饭 顺丰包邮 5盒装</t>
        </is>
      </c>
      <c r="I1325" t="inlineStr">
        <is>
          <t>694baba01d450d00013662f0</t>
        </is>
      </c>
      <c r="J1325" t="inlineStr">
        <is>
          <t/>
        </is>
      </c>
      <c r="K1325" t="n">
        <v>0.0</v>
      </c>
      <c r="L1325" t="n">
        <v>0.0</v>
      </c>
      <c r="M1325" t="n">
        <v>0.0</v>
      </c>
      <c r="N1325" t="inlineStr">
        <is>
          <t/>
        </is>
      </c>
      <c r="O1325" t="n">
        <v>0.0</v>
      </c>
      <c r="P1325" t="n">
        <v>0.0</v>
      </c>
      <c r="Q1325" t="inlineStr">
        <is>
          <t/>
        </is>
      </c>
      <c r="R1325" t="inlineStr">
        <is>
          <t/>
        </is>
      </c>
      <c r="S1325" t="n">
        <v>0.0</v>
      </c>
      <c r="T1325" t="n">
        <v>0.0</v>
      </c>
      <c r="U1325" t="n">
        <v>0.0</v>
      </c>
      <c r="V1325" t="n">
        <v>0.0</v>
      </c>
      <c r="W1325" t="inlineStr">
        <is>
          <t/>
        </is>
      </c>
      <c r="X1325" t="n">
        <v>0.0</v>
      </c>
      <c r="Y1325" t="n">
        <v>0.0</v>
      </c>
      <c r="Z1325" t="n">
        <v>0.0</v>
      </c>
      <c r="AA1325" t="n">
        <v>0.0</v>
      </c>
      <c r="AB1325" t="n">
        <v>0.0</v>
      </c>
      <c r="AC1325" t="n">
        <v>0.0</v>
      </c>
      <c r="AD1325" t="n">
        <v>0.0</v>
      </c>
      <c r="AE1325" t="n">
        <v>0.0</v>
      </c>
      <c r="AF1325" t="n">
        <v>0.0</v>
      </c>
      <c r="AG1325" t="n">
        <v>0.0</v>
      </c>
      <c r="AH1325" t="n">
        <v>0.0</v>
      </c>
      <c r="AI1325" t="n">
        <v>0.0</v>
      </c>
      <c r="AJ1325" t="n">
        <v>0.0</v>
      </c>
      <c r="AK1325" t="inlineStr">
        <is>
          <t/>
        </is>
      </c>
      <c r="AL1325" t="inlineStr">
        <is>
          <t/>
        </is>
      </c>
    </row>
    <row r="1326">
      <c r="A1326" t="inlineStr">
        <is>
          <t>‼️69 元的购买力，解决一周工作餐</t>
        </is>
      </c>
      <c r="B1326" t="inlineStr">
        <is>
          <t>69fef82a000000002301cf56</t>
        </is>
      </c>
      <c r="C1326" s="1325" t="n">
        <f>HYPERLINK("https://www.xiaohongshu.com/explore/69fef82a000000002301cf56?xsec_token=TBW_z8KxT9AgMNTeavZZG2UxuGZ3KFcXMix6jH3RPhnKQ=&amp;xsec_source=pc_trdark","https://www.xiaohongshu.com/explore/69fef82a000000002301cf56?xsec_token=TBW_z8KxT9AgMNTeavZZG2UxuGZ3KFcXMix6jH3RPhnKQ=&amp;xsec_source=pc_trdark")</f>
        <v>0.0</v>
      </c>
      <c r="D1326" t="inlineStr">
        <is>
          <t>菲菲上班吃什么</t>
        </is>
      </c>
      <c r="E1326" t="inlineStr">
        <is>
          <t>49936530607</t>
        </is>
      </c>
      <c r="F1326" t="inlineStr">
        <is>
          <t>2026-05-09 17:32:00</t>
        </is>
      </c>
      <c r="G1326" t="inlineStr">
        <is>
          <t>图文</t>
        </is>
      </c>
      <c r="H1326" t="inlineStr">
        <is>
          <t>手剥虾仁 无冰衣无添加 低脂餐一人食 上班带饭 顺丰包邮 5盒装</t>
        </is>
      </c>
      <c r="I1326" t="inlineStr">
        <is>
          <t>694baba01d450d00013662f0</t>
        </is>
      </c>
      <c r="J1326" t="inlineStr">
        <is>
          <t/>
        </is>
      </c>
      <c r="K1326" t="n">
        <v>0.0</v>
      </c>
      <c r="L1326" t="n">
        <v>0.0</v>
      </c>
      <c r="M1326" t="n">
        <v>0.0</v>
      </c>
      <c r="N1326" t="inlineStr">
        <is>
          <t/>
        </is>
      </c>
      <c r="O1326" t="n">
        <v>0.0</v>
      </c>
      <c r="P1326" t="n">
        <v>0.0</v>
      </c>
      <c r="Q1326" t="inlineStr">
        <is>
          <t/>
        </is>
      </c>
      <c r="R1326" t="inlineStr">
        <is>
          <t/>
        </is>
      </c>
      <c r="S1326" t="n">
        <v>0.0</v>
      </c>
      <c r="T1326" t="n">
        <v>0.0</v>
      </c>
      <c r="U1326" t="n">
        <v>0.0</v>
      </c>
      <c r="V1326" t="n">
        <v>0.0</v>
      </c>
      <c r="W1326" t="inlineStr">
        <is>
          <t/>
        </is>
      </c>
      <c r="X1326" t="n">
        <v>0.0</v>
      </c>
      <c r="Y1326" t="n">
        <v>0.0</v>
      </c>
      <c r="Z1326" t="n">
        <v>0.0</v>
      </c>
      <c r="AA1326" t="n">
        <v>0.0</v>
      </c>
      <c r="AB1326" t="n">
        <v>0.0</v>
      </c>
      <c r="AC1326" t="n">
        <v>0.0</v>
      </c>
      <c r="AD1326" t="n">
        <v>0.0</v>
      </c>
      <c r="AE1326" t="n">
        <v>0.0</v>
      </c>
      <c r="AF1326" t="n">
        <v>0.0</v>
      </c>
      <c r="AG1326" t="n">
        <v>0.0</v>
      </c>
      <c r="AH1326" t="n">
        <v>0.0</v>
      </c>
      <c r="AI1326" t="n">
        <v>0.0</v>
      </c>
      <c r="AJ1326" t="n">
        <v>0.0</v>
      </c>
      <c r="AK1326" t="inlineStr">
        <is>
          <t/>
        </is>
      </c>
      <c r="AL1326" t="inlineStr">
        <is>
          <t/>
        </is>
      </c>
    </row>
    <row r="1327">
      <c r="A1327" t="inlineStr">
        <is>
          <t>独居的快乐：虾仁自由终于实现了🥹</t>
        </is>
      </c>
      <c r="B1327" t="inlineStr">
        <is>
          <t>69fef7b200000000350264e3</t>
        </is>
      </c>
      <c r="C1327" s="1326" t="n">
        <f>HYPERLINK("https://www.xiaohongshu.com/explore/69fef7b200000000350264e3?xsec_token=TBW_z8KxT9AgMNTeavZZG2U_0rmgHWUgFbX5NhIf7PuqE=&amp;xsec_source=pc_trdark","https://www.xiaohongshu.com/explore/69fef7b200000000350264e3?xsec_token=TBW_z8KxT9AgMNTeavZZG2U_0rmgHWUgFbX5NhIf7PuqE=&amp;xsec_source=pc_trdark")</f>
        <v>0.0</v>
      </c>
      <c r="D1327" t="inlineStr">
        <is>
          <t>鲜水湾甄选</t>
        </is>
      </c>
      <c r="E1327" t="inlineStr">
        <is>
          <t>27401929161</t>
        </is>
      </c>
      <c r="F1327" t="inlineStr">
        <is>
          <t>2026-05-09 21:30:00</t>
        </is>
      </c>
      <c r="G1327" t="inlineStr">
        <is>
          <t>图文</t>
        </is>
      </c>
      <c r="H1327" t="inlineStr">
        <is>
          <t>手剥虾仁 无冰衣无添加 低脂餐一人食 上班带饭 顺丰包邮 5盒装</t>
        </is>
      </c>
      <c r="I1327" t="inlineStr">
        <is>
          <t>694baba01d450d00013662f0</t>
        </is>
      </c>
      <c r="J1327" t="inlineStr">
        <is>
          <t/>
        </is>
      </c>
      <c r="K1327" t="n">
        <v>0.0</v>
      </c>
      <c r="L1327" t="n">
        <v>0.0</v>
      </c>
      <c r="M1327" t="n">
        <v>0.0</v>
      </c>
      <c r="N1327" t="inlineStr">
        <is>
          <t/>
        </is>
      </c>
      <c r="O1327" t="n">
        <v>0.0</v>
      </c>
      <c r="P1327" t="n">
        <v>0.0</v>
      </c>
      <c r="Q1327" t="inlineStr">
        <is>
          <t/>
        </is>
      </c>
      <c r="R1327" t="inlineStr">
        <is>
          <t/>
        </is>
      </c>
      <c r="S1327" t="n">
        <v>0.0</v>
      </c>
      <c r="T1327" t="n">
        <v>0.0</v>
      </c>
      <c r="U1327" t="n">
        <v>0.0</v>
      </c>
      <c r="V1327" t="n">
        <v>0.0</v>
      </c>
      <c r="W1327" t="inlineStr">
        <is>
          <t/>
        </is>
      </c>
      <c r="X1327" t="n">
        <v>0.0</v>
      </c>
      <c r="Y1327" t="n">
        <v>0.0</v>
      </c>
      <c r="Z1327" t="n">
        <v>0.0</v>
      </c>
      <c r="AA1327" t="n">
        <v>0.0</v>
      </c>
      <c r="AB1327" t="n">
        <v>0.0</v>
      </c>
      <c r="AC1327" t="n">
        <v>0.0</v>
      </c>
      <c r="AD1327" t="n">
        <v>0.0</v>
      </c>
      <c r="AE1327" t="n">
        <v>0.0</v>
      </c>
      <c r="AF1327" t="n">
        <v>0.0</v>
      </c>
      <c r="AG1327" t="n">
        <v>0.0</v>
      </c>
      <c r="AH1327" t="n">
        <v>0.0</v>
      </c>
      <c r="AI1327" t="n">
        <v>0.0</v>
      </c>
      <c r="AJ1327" t="n">
        <v>0.0</v>
      </c>
      <c r="AK1327" t="inlineStr">
        <is>
          <t/>
        </is>
      </c>
      <c r="AL1327" t="inlineStr">
        <is>
          <t/>
        </is>
      </c>
    </row>
    <row r="1328">
      <c r="A1328" t="inlineStr">
        <is>
          <t>也没人说越吃越⚡️！直接怒囤一个月的！</t>
        </is>
      </c>
      <c r="B1328" t="inlineStr">
        <is>
          <t>69fef627000000003600212a</t>
        </is>
      </c>
      <c r="C1328" s="1327" t="n">
        <f>HYPERLINK("https://www.xiaohongshu.com/explore/69fef627000000003600212a?xsec_token=TBW_z8KxT9AgMNTeavZZG2UzJUkGpYfEC4n1-18-vobPc=&amp;xsec_source=pc_trdark","https://www.xiaohongshu.com/explore/69fef627000000003600212a?xsec_token=TBW_z8KxT9AgMNTeavZZG2UzJUkGpYfEC4n1-18-vobPc=&amp;xsec_source=pc_trdark")</f>
        <v>0.0</v>
      </c>
      <c r="D1328" t="inlineStr">
        <is>
          <t>鲜水湾甄选</t>
        </is>
      </c>
      <c r="E1328" t="inlineStr">
        <is>
          <t>27401929161</t>
        </is>
      </c>
      <c r="F1328" t="inlineStr">
        <is>
          <t>2026-05-09 18:29:00</t>
        </is>
      </c>
      <c r="G1328" t="inlineStr">
        <is>
          <t>图文</t>
        </is>
      </c>
      <c r="H1328" t="inlineStr">
        <is>
          <t>手剥虾仁 无冰衣无添加 低脂餐一人食 上班带饭 顺丰包邮 5盒装</t>
        </is>
      </c>
      <c r="I1328" t="inlineStr">
        <is>
          <t>694baba01d450d00013662f0</t>
        </is>
      </c>
      <c r="J1328" t="inlineStr">
        <is>
          <t/>
        </is>
      </c>
      <c r="K1328" t="n">
        <v>0.0</v>
      </c>
      <c r="L1328" t="n">
        <v>0.0</v>
      </c>
      <c r="M1328" t="n">
        <v>0.0</v>
      </c>
      <c r="N1328" t="inlineStr">
        <is>
          <t/>
        </is>
      </c>
      <c r="O1328" t="n">
        <v>0.0</v>
      </c>
      <c r="P1328" t="n">
        <v>0.0</v>
      </c>
      <c r="Q1328" t="inlineStr">
        <is>
          <t/>
        </is>
      </c>
      <c r="R1328" t="inlineStr">
        <is>
          <t/>
        </is>
      </c>
      <c r="S1328" t="n">
        <v>0.0</v>
      </c>
      <c r="T1328" t="n">
        <v>0.0</v>
      </c>
      <c r="U1328" t="n">
        <v>0.0</v>
      </c>
      <c r="V1328" t="n">
        <v>0.0</v>
      </c>
      <c r="W1328" t="inlineStr">
        <is>
          <t/>
        </is>
      </c>
      <c r="X1328" t="n">
        <v>0.0</v>
      </c>
      <c r="Y1328" t="n">
        <v>0.0</v>
      </c>
      <c r="Z1328" t="n">
        <v>0.0</v>
      </c>
      <c r="AA1328" t="n">
        <v>0.0</v>
      </c>
      <c r="AB1328" t="n">
        <v>0.0</v>
      </c>
      <c r="AC1328" t="n">
        <v>0.0</v>
      </c>
      <c r="AD1328" t="n">
        <v>0.0</v>
      </c>
      <c r="AE1328" t="n">
        <v>0.0</v>
      </c>
      <c r="AF1328" t="n">
        <v>0.0</v>
      </c>
      <c r="AG1328" t="n">
        <v>0.0</v>
      </c>
      <c r="AH1328" t="n">
        <v>0.0</v>
      </c>
      <c r="AI1328" t="n">
        <v>0.0</v>
      </c>
      <c r="AJ1328" t="n">
        <v>0.0</v>
      </c>
      <c r="AK1328" t="inlineStr">
        <is>
          <t/>
        </is>
      </c>
      <c r="AL1328" t="inlineStr">
        <is>
          <t/>
        </is>
      </c>
    </row>
    <row r="1329">
      <c r="A1329" t="inlineStr">
        <is>
          <t>夏天能不能穿漂亮裙子，就靠你了！</t>
        </is>
      </c>
      <c r="B1329" t="inlineStr">
        <is>
          <t>69fec6ce0000000035038fa1</t>
        </is>
      </c>
      <c r="C1329" s="1328" t="n">
        <f>HYPERLINK("https://www.xiaohongshu.com/explore/69fec6ce0000000035038fa1?xsec_token=TBW_z8KxT9AgMNTeavZZG2UxJmYUPnAV8uivqY87pbHFw=&amp;xsec_source=pc_trdark","https://www.xiaohongshu.com/explore/69fec6ce0000000035038fa1?xsec_token=TBW_z8KxT9AgMNTeavZZG2UxJmYUPnAV8uivqY87pbHFw=&amp;xsec_source=pc_trdark")</f>
        <v>0.0</v>
      </c>
      <c r="D1329" t="inlineStr">
        <is>
          <t>鲜水湾甄选</t>
        </is>
      </c>
      <c r="E1329" t="inlineStr">
        <is>
          <t>27401929161</t>
        </is>
      </c>
      <c r="F1329" t="inlineStr">
        <is>
          <t>2026-05-09 13:31:58</t>
        </is>
      </c>
      <c r="G1329" t="inlineStr">
        <is>
          <t>图文</t>
        </is>
      </c>
      <c r="H1329" t="inlineStr">
        <is>
          <t>手剥虾仁 无冰衣无添加 低脂餐一人食 上班带饭 顺丰包邮 5盒装</t>
        </is>
      </c>
      <c r="I1329" t="inlineStr">
        <is>
          <t>694baba01d450d00013662f0</t>
        </is>
      </c>
      <c r="J1329" t="inlineStr">
        <is>
          <t/>
        </is>
      </c>
      <c r="K1329" t="n">
        <v>0.0</v>
      </c>
      <c r="L1329" t="n">
        <v>0.0</v>
      </c>
      <c r="M1329" t="n">
        <v>0.0</v>
      </c>
      <c r="N1329" t="inlineStr">
        <is>
          <t/>
        </is>
      </c>
      <c r="O1329" t="n">
        <v>0.0</v>
      </c>
      <c r="P1329" t="n">
        <v>0.0</v>
      </c>
      <c r="Q1329" t="inlineStr">
        <is>
          <t/>
        </is>
      </c>
      <c r="R1329" t="inlineStr">
        <is>
          <t/>
        </is>
      </c>
      <c r="S1329" t="n">
        <v>0.0</v>
      </c>
      <c r="T1329" t="n">
        <v>0.0</v>
      </c>
      <c r="U1329" t="n">
        <v>0.0</v>
      </c>
      <c r="V1329" t="n">
        <v>0.0</v>
      </c>
      <c r="W1329" t="inlineStr">
        <is>
          <t/>
        </is>
      </c>
      <c r="X1329" t="n">
        <v>0.0</v>
      </c>
      <c r="Y1329" t="n">
        <v>0.0</v>
      </c>
      <c r="Z1329" t="n">
        <v>0.0</v>
      </c>
      <c r="AA1329" t="n">
        <v>0.0</v>
      </c>
      <c r="AB1329" t="n">
        <v>0.0</v>
      </c>
      <c r="AC1329" t="n">
        <v>0.0</v>
      </c>
      <c r="AD1329" t="n">
        <v>0.0</v>
      </c>
      <c r="AE1329" t="n">
        <v>0.0</v>
      </c>
      <c r="AF1329" t="n">
        <v>0.0</v>
      </c>
      <c r="AG1329" t="n">
        <v>0.0</v>
      </c>
      <c r="AH1329" t="n">
        <v>0.0</v>
      </c>
      <c r="AI1329" t="n">
        <v>0.0</v>
      </c>
      <c r="AJ1329" t="n">
        <v>0.0</v>
      </c>
      <c r="AK1329" t="inlineStr">
        <is>
          <t/>
        </is>
      </c>
      <c r="AL1329" t="inlineStr">
        <is>
          <t/>
        </is>
      </c>
    </row>
    <row r="1330">
      <c r="A1330" t="inlineStr">
        <is>
          <t>夏日减脂，区区69块够我吃一周了😂</t>
        </is>
      </c>
      <c r="B1330" t="inlineStr">
        <is>
          <t>69fea847000000001f005eb5</t>
        </is>
      </c>
      <c r="C1330" s="1329" t="n">
        <f>HYPERLINK("https://www.xiaohongshu.com/explore/69fea847000000001f005eb5?xsec_token=TBW_z8KxT9AgMNTeavZZG2U_iL7doQdtbl13Nz8kBH-Ho=&amp;xsec_source=pc_trdark","https://www.xiaohongshu.com/explore/69fea847000000001f005eb5?xsec_token=TBW_z8KxT9AgMNTeavZZG2U_iL7doQdtbl13Nz8kBH-Ho=&amp;xsec_source=pc_trdark")</f>
        <v>0.0</v>
      </c>
      <c r="D1330" t="inlineStr">
        <is>
          <t>菲菲上班吃什么</t>
        </is>
      </c>
      <c r="E1330" t="inlineStr">
        <is>
          <t>49936530607</t>
        </is>
      </c>
      <c r="F1330" t="inlineStr">
        <is>
          <t>2026-05-09 11:21:43</t>
        </is>
      </c>
      <c r="G1330" t="inlineStr">
        <is>
          <t>图文</t>
        </is>
      </c>
      <c r="H1330" t="inlineStr">
        <is>
          <t>手剥虾仁 无冰衣无添加 低脂餐一人食 上班带饭 顺丰包邮 5盒装</t>
        </is>
      </c>
      <c r="I1330" t="inlineStr">
        <is>
          <t>694baba01d450d00013662f0</t>
        </is>
      </c>
      <c r="J1330" t="inlineStr">
        <is>
          <t/>
        </is>
      </c>
      <c r="K1330" t="n">
        <v>0.0</v>
      </c>
      <c r="L1330" t="n">
        <v>0.0</v>
      </c>
      <c r="M1330" t="n">
        <v>0.0</v>
      </c>
      <c r="N1330" t="inlineStr">
        <is>
          <t/>
        </is>
      </c>
      <c r="O1330" t="n">
        <v>0.0</v>
      </c>
      <c r="P1330" t="n">
        <v>0.0</v>
      </c>
      <c r="Q1330" t="inlineStr">
        <is>
          <t/>
        </is>
      </c>
      <c r="R1330" t="inlineStr">
        <is>
          <t/>
        </is>
      </c>
      <c r="S1330" t="n">
        <v>0.0</v>
      </c>
      <c r="T1330" t="n">
        <v>0.0</v>
      </c>
      <c r="U1330" t="n">
        <v>0.0</v>
      </c>
      <c r="V1330" t="n">
        <v>0.0</v>
      </c>
      <c r="W1330" t="inlineStr">
        <is>
          <t/>
        </is>
      </c>
      <c r="X1330" t="n">
        <v>0.0</v>
      </c>
      <c r="Y1330" t="n">
        <v>0.0</v>
      </c>
      <c r="Z1330" t="n">
        <v>0.0</v>
      </c>
      <c r="AA1330" t="n">
        <v>0.0</v>
      </c>
      <c r="AB1330" t="n">
        <v>0.0</v>
      </c>
      <c r="AC1330" t="n">
        <v>0.0</v>
      </c>
      <c r="AD1330" t="n">
        <v>0.0</v>
      </c>
      <c r="AE1330" t="n">
        <v>0.0</v>
      </c>
      <c r="AF1330" t="n">
        <v>0.0</v>
      </c>
      <c r="AG1330" t="n">
        <v>0.0</v>
      </c>
      <c r="AH1330" t="n">
        <v>0.0</v>
      </c>
      <c r="AI1330" t="n">
        <v>0.0</v>
      </c>
      <c r="AJ1330" t="n">
        <v>0.0</v>
      </c>
      <c r="AK1330" t="inlineStr">
        <is>
          <t/>
        </is>
      </c>
      <c r="AL1330" t="inlineStr">
        <is>
          <t/>
        </is>
      </c>
    </row>
    <row r="1331">
      <c r="A1331" t="inlineStr">
        <is>
          <t>在办公室吃了一天，整个办公室都在跟着回购！</t>
        </is>
      </c>
      <c r="B1331" t="inlineStr">
        <is>
          <t>69fe905f000000001f006c9c</t>
        </is>
      </c>
      <c r="C1331" s="1330" t="n">
        <f>HYPERLINK("https://www.xiaohongshu.com/explore/69fe905f000000001f006c9c?xsec_token=TBW_z8KxT9AgMNTeavZZG2UymzTgJPyMOzeSHXIRTV-ME=&amp;xsec_source=pc_trdark","https://www.xiaohongshu.com/explore/69fe905f000000001f006c9c?xsec_token=TBW_z8KxT9AgMNTeavZZG2UymzTgJPyMOzeSHXIRTV-ME=&amp;xsec_source=pc_trdark")</f>
        <v>0.0</v>
      </c>
      <c r="D1331" t="inlineStr">
        <is>
          <t>菲菲上班吃什么</t>
        </is>
      </c>
      <c r="E1331" t="inlineStr">
        <is>
          <t>49936530607</t>
        </is>
      </c>
      <c r="F1331" t="inlineStr">
        <is>
          <t>2026-05-09 09:52:00</t>
        </is>
      </c>
      <c r="G1331" t="inlineStr">
        <is>
          <t>图文</t>
        </is>
      </c>
      <c r="H1331" t="inlineStr">
        <is>
          <t>手剥虾仁 无冰衣无添加 低脂餐一人食 上班带饭 顺丰包邮 5盒装</t>
        </is>
      </c>
      <c r="I1331" t="inlineStr">
        <is>
          <t>694baba01d450d00013662f0</t>
        </is>
      </c>
      <c r="J1331" t="inlineStr">
        <is>
          <t/>
        </is>
      </c>
      <c r="K1331" t="n">
        <v>0.0</v>
      </c>
      <c r="L1331" t="n">
        <v>0.0</v>
      </c>
      <c r="M1331" t="n">
        <v>0.0</v>
      </c>
      <c r="N1331" t="inlineStr">
        <is>
          <t/>
        </is>
      </c>
      <c r="O1331" t="n">
        <v>0.0</v>
      </c>
      <c r="P1331" t="n">
        <v>0.0</v>
      </c>
      <c r="Q1331" t="inlineStr">
        <is>
          <t/>
        </is>
      </c>
      <c r="R1331" t="inlineStr">
        <is>
          <t/>
        </is>
      </c>
      <c r="S1331" t="n">
        <v>0.0</v>
      </c>
      <c r="T1331" t="n">
        <v>0.0</v>
      </c>
      <c r="U1331" t="n">
        <v>0.0</v>
      </c>
      <c r="V1331" t="n">
        <v>0.0</v>
      </c>
      <c r="W1331" t="inlineStr">
        <is>
          <t/>
        </is>
      </c>
      <c r="X1331" t="n">
        <v>0.0</v>
      </c>
      <c r="Y1331" t="n">
        <v>0.0</v>
      </c>
      <c r="Z1331" t="n">
        <v>0.0</v>
      </c>
      <c r="AA1331" t="n">
        <v>0.0</v>
      </c>
      <c r="AB1331" t="n">
        <v>0.0</v>
      </c>
      <c r="AC1331" t="n">
        <v>0.0</v>
      </c>
      <c r="AD1331" t="n">
        <v>0.0</v>
      </c>
      <c r="AE1331" t="n">
        <v>0.0</v>
      </c>
      <c r="AF1331" t="n">
        <v>0.0</v>
      </c>
      <c r="AG1331" t="n">
        <v>0.0</v>
      </c>
      <c r="AH1331" t="n">
        <v>0.0</v>
      </c>
      <c r="AI1331" t="n">
        <v>0.0</v>
      </c>
      <c r="AJ1331" t="n">
        <v>0.0</v>
      </c>
      <c r="AK1331" t="inlineStr">
        <is>
          <t/>
        </is>
      </c>
      <c r="AL1331" t="inlineStr">
        <is>
          <t/>
        </is>
      </c>
    </row>
    <row r="1332">
      <c r="A1332" t="inlineStr">
        <is>
          <t>100块吃不了一顿烧烤，但承包我一周减脂餐</t>
        </is>
      </c>
      <c r="B1332" t="inlineStr">
        <is>
          <t>69fe8ec1000000003501fcc9</t>
        </is>
      </c>
      <c r="C1332" s="1331" t="n">
        <f>HYPERLINK("https://www.xiaohongshu.com/explore/69fe8ec1000000003501fcc9?xsec_token=TBW_z8KxT9AgMNTeavZZG2Ux9-bEqKNBtebklyw2nXYHQ=&amp;xsec_source=pc_trdark","https://www.xiaohongshu.com/explore/69fe8ec1000000003501fcc9?xsec_token=TBW_z8KxT9AgMNTeavZZG2Ux9-bEqKNBtebklyw2nXYHQ=&amp;xsec_source=pc_trdark")</f>
        <v>0.0</v>
      </c>
      <c r="D1332" t="inlineStr">
        <is>
          <t>鲜水湾甄选</t>
        </is>
      </c>
      <c r="E1332" t="inlineStr">
        <is>
          <t>27401929161</t>
        </is>
      </c>
      <c r="F1332" t="inlineStr">
        <is>
          <t>2026-05-09 09:32:49</t>
        </is>
      </c>
      <c r="G1332" t="inlineStr">
        <is>
          <t>图文</t>
        </is>
      </c>
      <c r="H1332" t="inlineStr">
        <is>
          <t>手剥虾仁 无冰衣无添加 低脂餐一人食 上班带饭 顺丰包邮 5盒装</t>
        </is>
      </c>
      <c r="I1332" t="inlineStr">
        <is>
          <t>694baba01d450d00013662f0</t>
        </is>
      </c>
      <c r="J1332" t="inlineStr">
        <is>
          <t/>
        </is>
      </c>
      <c r="K1332" t="n">
        <v>0.0</v>
      </c>
      <c r="L1332" t="n">
        <v>0.0</v>
      </c>
      <c r="M1332" t="n">
        <v>0.0</v>
      </c>
      <c r="N1332" t="inlineStr">
        <is>
          <t/>
        </is>
      </c>
      <c r="O1332" t="n">
        <v>0.0</v>
      </c>
      <c r="P1332" t="n">
        <v>0.0</v>
      </c>
      <c r="Q1332" t="inlineStr">
        <is>
          <t/>
        </is>
      </c>
      <c r="R1332" t="inlineStr">
        <is>
          <t/>
        </is>
      </c>
      <c r="S1332" t="n">
        <v>0.0</v>
      </c>
      <c r="T1332" t="n">
        <v>0.0</v>
      </c>
      <c r="U1332" t="n">
        <v>0.0</v>
      </c>
      <c r="V1332" t="n">
        <v>0.0</v>
      </c>
      <c r="W1332" t="inlineStr">
        <is>
          <t/>
        </is>
      </c>
      <c r="X1332" t="n">
        <v>0.0</v>
      </c>
      <c r="Y1332" t="n">
        <v>0.0</v>
      </c>
      <c r="Z1332" t="n">
        <v>0.0</v>
      </c>
      <c r="AA1332" t="n">
        <v>0.0</v>
      </c>
      <c r="AB1332" t="n">
        <v>0.0</v>
      </c>
      <c r="AC1332" t="n">
        <v>0.0</v>
      </c>
      <c r="AD1332" t="n">
        <v>0.0</v>
      </c>
      <c r="AE1332" t="n">
        <v>0.0</v>
      </c>
      <c r="AF1332" t="n">
        <v>0.0</v>
      </c>
      <c r="AG1332" t="n">
        <v>0.0</v>
      </c>
      <c r="AH1332" t="n">
        <v>0.0</v>
      </c>
      <c r="AI1332" t="n">
        <v>0.0</v>
      </c>
      <c r="AJ1332" t="n">
        <v>0.0</v>
      </c>
      <c r="AK1332" t="inlineStr">
        <is>
          <t/>
        </is>
      </c>
      <c r="AL1332" t="inlineStr">
        <is>
          <t/>
        </is>
      </c>
    </row>
    <row r="1333">
      <c r="A1333" t="inlineStr">
        <is>
          <t>315 过后虾仁真的不敢乱买了🥲</t>
        </is>
      </c>
      <c r="B1333" t="inlineStr">
        <is>
          <t>69fe0711000000001f007960</t>
        </is>
      </c>
      <c r="C1333" s="1332" t="n">
        <f>HYPERLINK("https://www.xiaohongshu.com/explore/69fe0711000000001f007960?xsec_token=TBW_z8KxT9AgMNTeavZZG2U1I6wXyiExbGAqqOBCHeAsc=&amp;xsec_source=pc_trdark","https://www.xiaohongshu.com/explore/69fe0711000000001f007960?xsec_token=TBW_z8KxT9AgMNTeavZZG2U1I6wXyiExbGAqqOBCHeAsc=&amp;xsec_source=pc_trdark")</f>
        <v>0.0</v>
      </c>
      <c r="D1333" t="inlineStr">
        <is>
          <t>婉婉上班吃什么</t>
        </is>
      </c>
      <c r="E1333" t="inlineStr">
        <is>
          <t>11434449706</t>
        </is>
      </c>
      <c r="F1333" t="inlineStr">
        <is>
          <t>2026-05-08 23:53:53</t>
        </is>
      </c>
      <c r="G1333" t="inlineStr">
        <is>
          <t>图文</t>
        </is>
      </c>
      <c r="H1333" t="inlineStr">
        <is>
          <t>手剥虾仁 无冰衣无添加 低脂餐一人食 上班带饭 顺丰包邮 5盒装</t>
        </is>
      </c>
      <c r="I1333" t="inlineStr">
        <is>
          <t>694baba01d450d00013662f0</t>
        </is>
      </c>
      <c r="J1333" t="inlineStr">
        <is>
          <t/>
        </is>
      </c>
      <c r="K1333" t="n">
        <v>0.0</v>
      </c>
      <c r="L1333" t="n">
        <v>0.0</v>
      </c>
      <c r="M1333" t="n">
        <v>0.0</v>
      </c>
      <c r="N1333" t="inlineStr">
        <is>
          <t/>
        </is>
      </c>
      <c r="O1333" t="n">
        <v>0.0</v>
      </c>
      <c r="P1333" t="n">
        <v>0.0</v>
      </c>
      <c r="Q1333" t="inlineStr">
        <is>
          <t/>
        </is>
      </c>
      <c r="R1333" t="inlineStr">
        <is>
          <t/>
        </is>
      </c>
      <c r="S1333" t="n">
        <v>0.0</v>
      </c>
      <c r="T1333" t="n">
        <v>0.0</v>
      </c>
      <c r="U1333" t="n">
        <v>0.0</v>
      </c>
      <c r="V1333" t="n">
        <v>0.0</v>
      </c>
      <c r="W1333" t="inlineStr">
        <is>
          <t/>
        </is>
      </c>
      <c r="X1333" t="n">
        <v>0.0</v>
      </c>
      <c r="Y1333" t="n">
        <v>0.0</v>
      </c>
      <c r="Z1333" t="n">
        <v>0.0</v>
      </c>
      <c r="AA1333" t="n">
        <v>0.0</v>
      </c>
      <c r="AB1333" t="n">
        <v>0.0</v>
      </c>
      <c r="AC1333" t="n">
        <v>0.0</v>
      </c>
      <c r="AD1333" t="n">
        <v>0.0</v>
      </c>
      <c r="AE1333" t="n">
        <v>0.0</v>
      </c>
      <c r="AF1333" t="n">
        <v>0.0</v>
      </c>
      <c r="AG1333" t="n">
        <v>0.0</v>
      </c>
      <c r="AH1333" t="n">
        <v>0.0</v>
      </c>
      <c r="AI1333" t="n">
        <v>0.0</v>
      </c>
      <c r="AJ1333" t="n">
        <v>0.0</v>
      </c>
      <c r="AK1333" t="inlineStr">
        <is>
          <t/>
        </is>
      </c>
      <c r="AL1333" t="inlineStr">
        <is>
          <t/>
        </is>
      </c>
    </row>
    <row r="1334">
      <c r="A1334" t="inlineStr">
        <is>
          <t>区区69块，承包我一整个星期的饭😂</t>
        </is>
      </c>
      <c r="B1334" t="inlineStr">
        <is>
          <t>69fdf0370000000036001230</t>
        </is>
      </c>
      <c r="C1334" s="1333" t="n">
        <f>HYPERLINK("https://www.xiaohongshu.com/explore/69fdf0370000000036001230?xsec_token=TBsN-gaZoqyroonAOnMxE14E3TYcFpFpCk6koYWvsWzjM=&amp;xsec_source=pc_trdark","https://www.xiaohongshu.com/explore/69fdf0370000000036001230?xsec_token=TBsN-gaZoqyroonAOnMxE14E3TYcFpFpCk6koYWvsWzjM=&amp;xsec_source=pc_trdark")</f>
        <v>0.0</v>
      </c>
      <c r="D1334" t="inlineStr">
        <is>
          <t>鲜水湾甄选</t>
        </is>
      </c>
      <c r="E1334" t="inlineStr">
        <is>
          <t>27401929161</t>
        </is>
      </c>
      <c r="F1334" t="inlineStr">
        <is>
          <t>2026-05-09 00:53:00</t>
        </is>
      </c>
      <c r="G1334" t="inlineStr">
        <is>
          <t>图文</t>
        </is>
      </c>
      <c r="H1334" t="inlineStr">
        <is>
          <t>手剥虾仁 无冰衣无添加 低脂餐一人食 上班带饭 顺丰包邮 5盒装</t>
        </is>
      </c>
      <c r="I1334" t="inlineStr">
        <is>
          <t>694baba01d450d00013662f0</t>
        </is>
      </c>
      <c r="J1334" t="inlineStr">
        <is>
          <t/>
        </is>
      </c>
      <c r="K1334" t="n">
        <v>0.0</v>
      </c>
      <c r="L1334" t="n">
        <v>0.0</v>
      </c>
      <c r="M1334" t="n">
        <v>0.0</v>
      </c>
      <c r="N1334" t="inlineStr">
        <is>
          <t/>
        </is>
      </c>
      <c r="O1334" t="n">
        <v>0.0</v>
      </c>
      <c r="P1334" t="n">
        <v>0.0</v>
      </c>
      <c r="Q1334" t="inlineStr">
        <is>
          <t/>
        </is>
      </c>
      <c r="R1334" t="inlineStr">
        <is>
          <t/>
        </is>
      </c>
      <c r="S1334" t="n">
        <v>0.0</v>
      </c>
      <c r="T1334" t="n">
        <v>0.0</v>
      </c>
      <c r="U1334" t="n">
        <v>0.0</v>
      </c>
      <c r="V1334" t="n">
        <v>0.0</v>
      </c>
      <c r="W1334" t="inlineStr">
        <is>
          <t/>
        </is>
      </c>
      <c r="X1334" t="n">
        <v>0.0</v>
      </c>
      <c r="Y1334" t="n">
        <v>0.0</v>
      </c>
      <c r="Z1334" t="n">
        <v>0.0</v>
      </c>
      <c r="AA1334" t="n">
        <v>0.0</v>
      </c>
      <c r="AB1334" t="n">
        <v>0.0</v>
      </c>
      <c r="AC1334" t="n">
        <v>0.0</v>
      </c>
      <c r="AD1334" t="n">
        <v>0.0</v>
      </c>
      <c r="AE1334" t="n">
        <v>0.0</v>
      </c>
      <c r="AF1334" t="n">
        <v>0.0</v>
      </c>
      <c r="AG1334" t="n">
        <v>0.0</v>
      </c>
      <c r="AH1334" t="n">
        <v>0.0</v>
      </c>
      <c r="AI1334" t="n">
        <v>0.0</v>
      </c>
      <c r="AJ1334" t="n">
        <v>0.0</v>
      </c>
      <c r="AK1334" t="inlineStr">
        <is>
          <t/>
        </is>
      </c>
      <c r="AL1334" t="inlineStr">
        <is>
          <t/>
        </is>
      </c>
    </row>
    <row r="1335">
      <c r="A1335" t="inlineStr">
        <is>
          <t>区区69元，承包我一天的快乐！</t>
        </is>
      </c>
      <c r="B1335" t="inlineStr">
        <is>
          <t>69fdefab0000000035028d54</t>
        </is>
      </c>
      <c r="C1335" s="1334" t="n">
        <f>HYPERLINK("https://www.xiaohongshu.com/explore/69fdefab0000000035028d54?xsec_token=TBsN-gaZoqyroonAOnMxE14NHvbR7jXAXpQDmQjgnN-Js=&amp;xsec_source=pc_trdark","https://www.xiaohongshu.com/explore/69fdefab0000000035028d54?xsec_token=TBsN-gaZoqyroonAOnMxE14NHvbR7jXAXpQDmQjgnN-Js=&amp;xsec_source=pc_trdark")</f>
        <v>0.0</v>
      </c>
      <c r="D1335" t="inlineStr">
        <is>
          <t>鲜水湾甄选</t>
        </is>
      </c>
      <c r="E1335" t="inlineStr">
        <is>
          <t>27401929161</t>
        </is>
      </c>
      <c r="F1335" t="inlineStr">
        <is>
          <t>2026-05-08 23:24:00</t>
        </is>
      </c>
      <c r="G1335" t="inlineStr">
        <is>
          <t>图文</t>
        </is>
      </c>
      <c r="H1335" t="inlineStr">
        <is>
          <t>手剥虾仁 无冰衣无添加 低脂餐一人食 上班带饭 顺丰包邮 5盒装</t>
        </is>
      </c>
      <c r="I1335" t="inlineStr">
        <is>
          <t>694baba01d450d00013662f0</t>
        </is>
      </c>
      <c r="J1335" t="inlineStr">
        <is>
          <t/>
        </is>
      </c>
      <c r="K1335" t="n">
        <v>0.0</v>
      </c>
      <c r="L1335" t="n">
        <v>0.0</v>
      </c>
      <c r="M1335" t="n">
        <v>0.0</v>
      </c>
      <c r="N1335" t="inlineStr">
        <is>
          <t/>
        </is>
      </c>
      <c r="O1335" t="n">
        <v>0.0</v>
      </c>
      <c r="P1335" t="n">
        <v>0.0</v>
      </c>
      <c r="Q1335" t="inlineStr">
        <is>
          <t/>
        </is>
      </c>
      <c r="R1335" t="inlineStr">
        <is>
          <t/>
        </is>
      </c>
      <c r="S1335" t="n">
        <v>0.0</v>
      </c>
      <c r="T1335" t="n">
        <v>0.0</v>
      </c>
      <c r="U1335" t="n">
        <v>0.0</v>
      </c>
      <c r="V1335" t="n">
        <v>0.0</v>
      </c>
      <c r="W1335" t="inlineStr">
        <is>
          <t/>
        </is>
      </c>
      <c r="X1335" t="n">
        <v>0.0</v>
      </c>
      <c r="Y1335" t="n">
        <v>0.0</v>
      </c>
      <c r="Z1335" t="n">
        <v>0.0</v>
      </c>
      <c r="AA1335" t="n">
        <v>0.0</v>
      </c>
      <c r="AB1335" t="n">
        <v>0.0</v>
      </c>
      <c r="AC1335" t="n">
        <v>0.0</v>
      </c>
      <c r="AD1335" t="n">
        <v>0.0</v>
      </c>
      <c r="AE1335" t="n">
        <v>0.0</v>
      </c>
      <c r="AF1335" t="n">
        <v>0.0</v>
      </c>
      <c r="AG1335" t="n">
        <v>0.0</v>
      </c>
      <c r="AH1335" t="n">
        <v>0.0</v>
      </c>
      <c r="AI1335" t="n">
        <v>0.0</v>
      </c>
      <c r="AJ1335" t="n">
        <v>0.0</v>
      </c>
      <c r="AK1335" t="inlineStr">
        <is>
          <t/>
        </is>
      </c>
      <c r="AL1335" t="inlineStr">
        <is>
          <t/>
        </is>
      </c>
    </row>
    <row r="1336">
      <c r="A1336" t="inlineStr">
        <is>
          <t>天天带虾仁，同事问我月薪多少啊</t>
        </is>
      </c>
      <c r="B1336" t="inlineStr">
        <is>
          <t>69fded3b0000000023014094</t>
        </is>
      </c>
      <c r="C1336" s="1335" t="n">
        <f>HYPERLINK("https://www.xiaohongshu.com/explore/69fded3b0000000023014094?xsec_token=TBsN-gaZoqyroonAOnMxE14LZ3KWLXnuQg-kpt_V2LRLQ=&amp;xsec_source=pc_trdark","https://www.xiaohongshu.com/explore/69fded3b0000000023014094?xsec_token=TBsN-gaZoqyroonAOnMxE14LZ3KWLXnuQg-kpt_V2LRLQ=&amp;xsec_source=pc_trdark")</f>
        <v>0.0</v>
      </c>
      <c r="D1336" t="inlineStr">
        <is>
          <t>菲菲上班吃什么</t>
        </is>
      </c>
      <c r="E1336" t="inlineStr">
        <is>
          <t>49936530607</t>
        </is>
      </c>
      <c r="F1336" t="inlineStr">
        <is>
          <t>2026-05-09 04:03:00</t>
        </is>
      </c>
      <c r="G1336" t="inlineStr">
        <is>
          <t>图文</t>
        </is>
      </c>
      <c r="H1336" t="inlineStr">
        <is>
          <t>手剥虾仁 无冰衣无添加 低脂餐一人食 上班带饭 顺丰包邮 5盒装</t>
        </is>
      </c>
      <c r="I1336" t="inlineStr">
        <is>
          <t>694baba01d450d00013662f0</t>
        </is>
      </c>
      <c r="J1336" t="inlineStr">
        <is>
          <t/>
        </is>
      </c>
      <c r="K1336" t="n">
        <v>0.0</v>
      </c>
      <c r="L1336" t="n">
        <v>0.0</v>
      </c>
      <c r="M1336" t="n">
        <v>0.0</v>
      </c>
      <c r="N1336" t="inlineStr">
        <is>
          <t/>
        </is>
      </c>
      <c r="O1336" t="n">
        <v>0.0</v>
      </c>
      <c r="P1336" t="n">
        <v>0.0</v>
      </c>
      <c r="Q1336" t="inlineStr">
        <is>
          <t/>
        </is>
      </c>
      <c r="R1336" t="inlineStr">
        <is>
          <t/>
        </is>
      </c>
      <c r="S1336" t="n">
        <v>0.0</v>
      </c>
      <c r="T1336" t="n">
        <v>0.0</v>
      </c>
      <c r="U1336" t="n">
        <v>0.0</v>
      </c>
      <c r="V1336" t="n">
        <v>0.0</v>
      </c>
      <c r="W1336" t="inlineStr">
        <is>
          <t/>
        </is>
      </c>
      <c r="X1336" t="n">
        <v>0.0</v>
      </c>
      <c r="Y1336" t="n">
        <v>0.0</v>
      </c>
      <c r="Z1336" t="n">
        <v>0.0</v>
      </c>
      <c r="AA1336" t="n">
        <v>0.0</v>
      </c>
      <c r="AB1336" t="n">
        <v>0.0</v>
      </c>
      <c r="AC1336" t="n">
        <v>0.0</v>
      </c>
      <c r="AD1336" t="n">
        <v>0.0</v>
      </c>
      <c r="AE1336" t="n">
        <v>0.0</v>
      </c>
      <c r="AF1336" t="n">
        <v>0.0</v>
      </c>
      <c r="AG1336" t="n">
        <v>0.0</v>
      </c>
      <c r="AH1336" t="n">
        <v>0.0</v>
      </c>
      <c r="AI1336" t="n">
        <v>0.0</v>
      </c>
      <c r="AJ1336" t="n">
        <v>0.0</v>
      </c>
      <c r="AK1336" t="inlineStr">
        <is>
          <t/>
        </is>
      </c>
      <c r="AL1336" t="inlineStr">
        <is>
          <t/>
        </is>
      </c>
    </row>
    <row r="1337">
      <c r="A1337" t="inlineStr">
        <is>
          <t>早八打工人真的挖到宝！</t>
        </is>
      </c>
      <c r="B1337" t="inlineStr">
        <is>
          <t>69fdeccf000000001e00cd3c</t>
        </is>
      </c>
      <c r="C1337" s="1336" t="n">
        <f>HYPERLINK("https://www.xiaohongshu.com/explore/69fdeccf000000001e00cd3c?xsec_token=TBsN-gaZoqyroonAOnMxE14NqkLziaAfg_CR1KDDaAPi0=&amp;xsec_source=pc_trdark","https://www.xiaohongshu.com/explore/69fdeccf000000001e00cd3c?xsec_token=TBsN-gaZoqyroonAOnMxE14NqkLziaAfg_CR1KDDaAPi0=&amp;xsec_source=pc_trdark")</f>
        <v>0.0</v>
      </c>
      <c r="D1337" t="inlineStr">
        <is>
          <t>菲菲上班吃什么</t>
        </is>
      </c>
      <c r="E1337" t="inlineStr">
        <is>
          <t>49936530607</t>
        </is>
      </c>
      <c r="F1337" t="inlineStr">
        <is>
          <t>2026-05-09 03:01:00</t>
        </is>
      </c>
      <c r="G1337" t="inlineStr">
        <is>
          <t>图文</t>
        </is>
      </c>
      <c r="H1337" t="inlineStr">
        <is>
          <t>手剥虾仁 无冰衣无添加 低脂餐一人食 上班带饭 顺丰包邮 5盒装</t>
        </is>
      </c>
      <c r="I1337" t="inlineStr">
        <is>
          <t>694baba01d450d00013662f0</t>
        </is>
      </c>
      <c r="J1337" t="inlineStr">
        <is>
          <t/>
        </is>
      </c>
      <c r="K1337" t="n">
        <v>0.0</v>
      </c>
      <c r="L1337" t="n">
        <v>0.0</v>
      </c>
      <c r="M1337" t="n">
        <v>0.0</v>
      </c>
      <c r="N1337" t="inlineStr">
        <is>
          <t/>
        </is>
      </c>
      <c r="O1337" t="n">
        <v>0.0</v>
      </c>
      <c r="P1337" t="n">
        <v>0.0</v>
      </c>
      <c r="Q1337" t="inlineStr">
        <is>
          <t/>
        </is>
      </c>
      <c r="R1337" t="inlineStr">
        <is>
          <t/>
        </is>
      </c>
      <c r="S1337" t="n">
        <v>0.0</v>
      </c>
      <c r="T1337" t="n">
        <v>0.0</v>
      </c>
      <c r="U1337" t="n">
        <v>0.0</v>
      </c>
      <c r="V1337" t="n">
        <v>0.0</v>
      </c>
      <c r="W1337" t="inlineStr">
        <is>
          <t/>
        </is>
      </c>
      <c r="X1337" t="n">
        <v>0.0</v>
      </c>
      <c r="Y1337" t="n">
        <v>0.0</v>
      </c>
      <c r="Z1337" t="n">
        <v>0.0</v>
      </c>
      <c r="AA1337" t="n">
        <v>0.0</v>
      </c>
      <c r="AB1337" t="n">
        <v>0.0</v>
      </c>
      <c r="AC1337" t="n">
        <v>0.0</v>
      </c>
      <c r="AD1337" t="n">
        <v>0.0</v>
      </c>
      <c r="AE1337" t="n">
        <v>0.0</v>
      </c>
      <c r="AF1337" t="n">
        <v>0.0</v>
      </c>
      <c r="AG1337" t="n">
        <v>0.0</v>
      </c>
      <c r="AH1337" t="n">
        <v>0.0</v>
      </c>
      <c r="AI1337" t="n">
        <v>0.0</v>
      </c>
      <c r="AJ1337" t="n">
        <v>0.0</v>
      </c>
      <c r="AK1337" t="inlineStr">
        <is>
          <t/>
        </is>
      </c>
      <c r="AL1337" t="inlineStr">
        <is>
          <t/>
        </is>
      </c>
    </row>
    <row r="1338">
      <c r="A1338" t="inlineStr">
        <is>
          <t>区区69元，承包我一天的快乐！</t>
        </is>
      </c>
      <c r="B1338" t="inlineStr">
        <is>
          <t>69fdebc6000000002003bc89</t>
        </is>
      </c>
      <c r="C1338" s="1337" t="n">
        <f>HYPERLINK("https://www.xiaohongshu.com/explore/69fdebc6000000002003bc89?xsec_token=TBsN-gaZoqyroonAOnMxE14AsS3gpzNyEj2ZbLFw5K0g4=&amp;xsec_source=pc_trdark","https://www.xiaohongshu.com/explore/69fdebc6000000002003bc89?xsec_token=TBsN-gaZoqyroonAOnMxE14AsS3gpzNyEj2ZbLFw5K0g4=&amp;xsec_source=pc_trdark")</f>
        <v>0.0</v>
      </c>
      <c r="D1338" t="inlineStr">
        <is>
          <t>菲菲上班吃什么</t>
        </is>
      </c>
      <c r="E1338" t="inlineStr">
        <is>
          <t>49936530607</t>
        </is>
      </c>
      <c r="F1338" t="inlineStr">
        <is>
          <t>2026-05-09 00:47:00</t>
        </is>
      </c>
      <c r="G1338" t="inlineStr">
        <is>
          <t>图文</t>
        </is>
      </c>
      <c r="H1338" t="inlineStr">
        <is>
          <t>手剥虾仁 无冰衣无添加 低脂餐一人食 上班带饭 顺丰包邮 5盒装</t>
        </is>
      </c>
      <c r="I1338" t="inlineStr">
        <is>
          <t>694baba01d450d00013662f0</t>
        </is>
      </c>
      <c r="J1338" t="inlineStr">
        <is>
          <t/>
        </is>
      </c>
      <c r="K1338" t="n">
        <v>0.0</v>
      </c>
      <c r="L1338" t="n">
        <v>0.0</v>
      </c>
      <c r="M1338" t="n">
        <v>0.0</v>
      </c>
      <c r="N1338" t="inlineStr">
        <is>
          <t/>
        </is>
      </c>
      <c r="O1338" t="n">
        <v>0.0</v>
      </c>
      <c r="P1338" t="n">
        <v>0.0</v>
      </c>
      <c r="Q1338" t="inlineStr">
        <is>
          <t/>
        </is>
      </c>
      <c r="R1338" t="inlineStr">
        <is>
          <t/>
        </is>
      </c>
      <c r="S1338" t="n">
        <v>0.0</v>
      </c>
      <c r="T1338" t="n">
        <v>0.0</v>
      </c>
      <c r="U1338" t="n">
        <v>0.0</v>
      </c>
      <c r="V1338" t="n">
        <v>0.0</v>
      </c>
      <c r="W1338" t="inlineStr">
        <is>
          <t/>
        </is>
      </c>
      <c r="X1338" t="n">
        <v>0.0</v>
      </c>
      <c r="Y1338" t="n">
        <v>0.0</v>
      </c>
      <c r="Z1338" t="n">
        <v>0.0</v>
      </c>
      <c r="AA1338" t="n">
        <v>0.0</v>
      </c>
      <c r="AB1338" t="n">
        <v>0.0</v>
      </c>
      <c r="AC1338" t="n">
        <v>0.0</v>
      </c>
      <c r="AD1338" t="n">
        <v>0.0</v>
      </c>
      <c r="AE1338" t="n">
        <v>0.0</v>
      </c>
      <c r="AF1338" t="n">
        <v>0.0</v>
      </c>
      <c r="AG1338" t="n">
        <v>0.0</v>
      </c>
      <c r="AH1338" t="n">
        <v>0.0</v>
      </c>
      <c r="AI1338" t="n">
        <v>0.0</v>
      </c>
      <c r="AJ1338" t="n">
        <v>0.0</v>
      </c>
      <c r="AK1338" t="inlineStr">
        <is>
          <t/>
        </is>
      </c>
      <c r="AL1338" t="inlineStr">
        <is>
          <t/>
        </is>
      </c>
    </row>
    <row r="1339">
      <c r="A1339" t="inlineStr">
        <is>
          <t>🥹早八打工人真的挖到宝！</t>
        </is>
      </c>
      <c r="B1339" t="inlineStr">
        <is>
          <t>69fdeb20000000001b0223fd</t>
        </is>
      </c>
      <c r="C1339" s="1338" t="n">
        <f>HYPERLINK("https://www.xiaohongshu.com/explore/69fdeb20000000001b0223fd?xsec_token=TBsN-gaZoqyroonAOnMxE14D87I63rS20xHHn4-KwfOoY=&amp;xsec_source=pc_trdark","https://www.xiaohongshu.com/explore/69fdeb20000000001b0223fd?xsec_token=TBsN-gaZoqyroonAOnMxE14D87I63rS20xHHn4-KwfOoY=&amp;xsec_source=pc_trdark")</f>
        <v>0.0</v>
      </c>
      <c r="D1339" t="inlineStr">
        <is>
          <t>菲菲上班吃什么</t>
        </is>
      </c>
      <c r="E1339" t="inlineStr">
        <is>
          <t>49936530607</t>
        </is>
      </c>
      <c r="F1339" t="inlineStr">
        <is>
          <t>2026-05-08 23:14:00</t>
        </is>
      </c>
      <c r="G1339" t="inlineStr">
        <is>
          <t>图文</t>
        </is>
      </c>
      <c r="H1339" t="inlineStr">
        <is>
          <t>手剥虾仁 无冰衣无添加 低脂餐一人食 上班带饭 顺丰包邮 5盒装</t>
        </is>
      </c>
      <c r="I1339" t="inlineStr">
        <is>
          <t>694baba01d450d00013662f0</t>
        </is>
      </c>
      <c r="J1339" t="inlineStr">
        <is>
          <t/>
        </is>
      </c>
      <c r="K1339" t="n">
        <v>0.0</v>
      </c>
      <c r="L1339" t="n">
        <v>0.0</v>
      </c>
      <c r="M1339" t="n">
        <v>0.0</v>
      </c>
      <c r="N1339" t="inlineStr">
        <is>
          <t/>
        </is>
      </c>
      <c r="O1339" t="n">
        <v>0.0</v>
      </c>
      <c r="P1339" t="n">
        <v>0.0</v>
      </c>
      <c r="Q1339" t="inlineStr">
        <is>
          <t/>
        </is>
      </c>
      <c r="R1339" t="inlineStr">
        <is>
          <t/>
        </is>
      </c>
      <c r="S1339" t="n">
        <v>0.0</v>
      </c>
      <c r="T1339" t="n">
        <v>0.0</v>
      </c>
      <c r="U1339" t="n">
        <v>0.0</v>
      </c>
      <c r="V1339" t="n">
        <v>0.0</v>
      </c>
      <c r="W1339" t="inlineStr">
        <is>
          <t/>
        </is>
      </c>
      <c r="X1339" t="n">
        <v>0.0</v>
      </c>
      <c r="Y1339" t="n">
        <v>0.0</v>
      </c>
      <c r="Z1339" t="n">
        <v>0.0</v>
      </c>
      <c r="AA1339" t="n">
        <v>0.0</v>
      </c>
      <c r="AB1339" t="n">
        <v>0.0</v>
      </c>
      <c r="AC1339" t="n">
        <v>0.0</v>
      </c>
      <c r="AD1339" t="n">
        <v>0.0</v>
      </c>
      <c r="AE1339" t="n">
        <v>0.0</v>
      </c>
      <c r="AF1339" t="n">
        <v>0.0</v>
      </c>
      <c r="AG1339" t="n">
        <v>0.0</v>
      </c>
      <c r="AH1339" t="n">
        <v>0.0</v>
      </c>
      <c r="AI1339" t="n">
        <v>0.0</v>
      </c>
      <c r="AJ1339" t="n">
        <v>0.0</v>
      </c>
      <c r="AK1339" t="inlineStr">
        <is>
          <t/>
        </is>
      </c>
      <c r="AL1339" t="inlineStr">
        <is>
          <t/>
        </is>
      </c>
    </row>
    <row r="1340">
      <c r="A1340" t="inlineStr">
        <is>
          <t>以为69没多少，结果又够一周带饭了🤭</t>
        </is>
      </c>
      <c r="B1340" t="inlineStr">
        <is>
          <t>69fde8b7000000001a02f6fa</t>
        </is>
      </c>
      <c r="C1340" s="1339" t="n">
        <f>HYPERLINK("https://www.xiaohongshu.com/explore/69fde8b7000000001a02f6fa?xsec_token=TBsN-gaZoqyroonAOnMxE14Mz487lsqFLQIX34N-oUSSY=&amp;xsec_source=pc_trdark","https://www.xiaohongshu.com/explore/69fde8b7000000001a02f6fa?xsec_token=TBsN-gaZoqyroonAOnMxE14Mz487lsqFLQIX34N-oUSSY=&amp;xsec_source=pc_trdark")</f>
        <v>0.0</v>
      </c>
      <c r="D1340" t="inlineStr">
        <is>
          <t>菲菲上班吃什么</t>
        </is>
      </c>
      <c r="E1340" t="inlineStr">
        <is>
          <t>49936530607</t>
        </is>
      </c>
      <c r="F1340" t="inlineStr">
        <is>
          <t>2026-05-08 21:44:23</t>
        </is>
      </c>
      <c r="G1340" t="inlineStr">
        <is>
          <t>图文</t>
        </is>
      </c>
      <c r="H1340" t="inlineStr">
        <is>
          <t>手剥虾仁 无冰衣无添加 低脂餐一人食 上班带饭 顺丰包邮 5盒装</t>
        </is>
      </c>
      <c r="I1340" t="inlineStr">
        <is>
          <t>694baba01d450d00013662f0</t>
        </is>
      </c>
      <c r="J1340" t="inlineStr">
        <is>
          <t/>
        </is>
      </c>
      <c r="K1340" t="n">
        <v>0.0</v>
      </c>
      <c r="L1340" t="n">
        <v>0.0</v>
      </c>
      <c r="M1340" t="n">
        <v>0.0</v>
      </c>
      <c r="N1340" t="inlineStr">
        <is>
          <t/>
        </is>
      </c>
      <c r="O1340" t="n">
        <v>0.0</v>
      </c>
      <c r="P1340" t="n">
        <v>0.0</v>
      </c>
      <c r="Q1340" t="inlineStr">
        <is>
          <t/>
        </is>
      </c>
      <c r="R1340" t="inlineStr">
        <is>
          <t/>
        </is>
      </c>
      <c r="S1340" t="n">
        <v>0.0</v>
      </c>
      <c r="T1340" t="n">
        <v>0.0</v>
      </c>
      <c r="U1340" t="n">
        <v>0.0</v>
      </c>
      <c r="V1340" t="n">
        <v>0.0</v>
      </c>
      <c r="W1340" t="inlineStr">
        <is>
          <t/>
        </is>
      </c>
      <c r="X1340" t="n">
        <v>0.0</v>
      </c>
      <c r="Y1340" t="n">
        <v>0.0</v>
      </c>
      <c r="Z1340" t="n">
        <v>0.0</v>
      </c>
      <c r="AA1340" t="n">
        <v>0.0</v>
      </c>
      <c r="AB1340" t="n">
        <v>0.0</v>
      </c>
      <c r="AC1340" t="n">
        <v>0.0</v>
      </c>
      <c r="AD1340" t="n">
        <v>0.0</v>
      </c>
      <c r="AE1340" t="n">
        <v>0.0</v>
      </c>
      <c r="AF1340" t="n">
        <v>0.0</v>
      </c>
      <c r="AG1340" t="n">
        <v>0.0</v>
      </c>
      <c r="AH1340" t="n">
        <v>0.0</v>
      </c>
      <c r="AI1340" t="n">
        <v>0.0</v>
      </c>
      <c r="AJ1340" t="n">
        <v>0.0</v>
      </c>
      <c r="AK1340" t="inlineStr">
        <is>
          <t/>
        </is>
      </c>
      <c r="AL1340" t="inlineStr">
        <is>
          <t/>
        </is>
      </c>
    </row>
    <row r="1341">
      <c r="A1341" t="inlineStr">
        <is>
          <t>敞开吃吧！减脂期吃虾仁真的夯爆了🤣</t>
        </is>
      </c>
      <c r="B1341" t="inlineStr">
        <is>
          <t>69fda75500000000230040ec</t>
        </is>
      </c>
      <c r="C1341" s="1340" t="n">
        <f>HYPERLINK("https://www.xiaohongshu.com/explore/69fda75500000000230040ec?xsec_token=TBsN-gaZoqyroonAOnMxE14HpHPubrgLSBwQe2-8wILyM=&amp;xsec_source=pc_trdark","https://www.xiaohongshu.com/explore/69fda75500000000230040ec?xsec_token=TBsN-gaZoqyroonAOnMxE14HpHPubrgLSBwQe2-8wILyM=&amp;xsec_source=pc_trdark")</f>
        <v>0.0</v>
      </c>
      <c r="D1341" t="inlineStr">
        <is>
          <t>鲜水湾</t>
        </is>
      </c>
      <c r="E1341" t="inlineStr">
        <is>
          <t>49316638994</t>
        </is>
      </c>
      <c r="F1341" t="inlineStr">
        <is>
          <t>2026-05-08 17:05:25</t>
        </is>
      </c>
      <c r="G1341" t="inlineStr">
        <is>
          <t>图文</t>
        </is>
      </c>
      <c r="H1341" t="inlineStr">
        <is>
          <t>手剥虾仁 无冰衣无添加 低脂餐一人食 上班带饭 顺丰包邮 5盒装</t>
        </is>
      </c>
      <c r="I1341" t="inlineStr">
        <is>
          <t>694baba01d450d00013662f0</t>
        </is>
      </c>
      <c r="J1341" t="inlineStr">
        <is>
          <t/>
        </is>
      </c>
      <c r="K1341" t="n">
        <v>0.0</v>
      </c>
      <c r="L1341" t="n">
        <v>0.0</v>
      </c>
      <c r="M1341" t="n">
        <v>0.0</v>
      </c>
      <c r="N1341" t="inlineStr">
        <is>
          <t/>
        </is>
      </c>
      <c r="O1341" t="n">
        <v>0.0</v>
      </c>
      <c r="P1341" t="n">
        <v>0.0</v>
      </c>
      <c r="Q1341" t="inlineStr">
        <is>
          <t/>
        </is>
      </c>
      <c r="R1341" t="inlineStr">
        <is>
          <t/>
        </is>
      </c>
      <c r="S1341" t="n">
        <v>0.0</v>
      </c>
      <c r="T1341" t="n">
        <v>0.0</v>
      </c>
      <c r="U1341" t="n">
        <v>0.0</v>
      </c>
      <c r="V1341" t="n">
        <v>0.0</v>
      </c>
      <c r="W1341" t="inlineStr">
        <is>
          <t/>
        </is>
      </c>
      <c r="X1341" t="n">
        <v>0.0</v>
      </c>
      <c r="Y1341" t="n">
        <v>0.0</v>
      </c>
      <c r="Z1341" t="n">
        <v>0.0</v>
      </c>
      <c r="AA1341" t="n">
        <v>0.0</v>
      </c>
      <c r="AB1341" t="n">
        <v>0.0</v>
      </c>
      <c r="AC1341" t="n">
        <v>0.0</v>
      </c>
      <c r="AD1341" t="n">
        <v>0.0</v>
      </c>
      <c r="AE1341" t="n">
        <v>0.0</v>
      </c>
      <c r="AF1341" t="n">
        <v>0.0</v>
      </c>
      <c r="AG1341" t="n">
        <v>0.0</v>
      </c>
      <c r="AH1341" t="n">
        <v>0.0</v>
      </c>
      <c r="AI1341" t="n">
        <v>0.0</v>
      </c>
      <c r="AJ1341" t="n">
        <v>0.0</v>
      </c>
      <c r="AK1341" t="inlineStr">
        <is>
          <t/>
        </is>
      </c>
      <c r="AL1341" t="inlineStr">
        <is>
          <t/>
        </is>
      </c>
    </row>
    <row r="1342">
      <c r="A1342" t="inlineStr">
        <is>
          <t>减脂人的虾仁都是哪里买的啊😭</t>
        </is>
      </c>
      <c r="B1342" t="inlineStr">
        <is>
          <t>69fc54b1000000001a02f864</t>
        </is>
      </c>
      <c r="C1342" s="1341" t="n">
        <f>HYPERLINK("https://www.xiaohongshu.com/explore/69fc54b1000000001a02f864?xsec_token=TB1OifDdqM9yEX6kPeVGJETkynVg0cSUqk9hhynxHVUGU=&amp;xsec_source=pc_trdark","https://www.xiaohongshu.com/explore/69fc54b1000000001a02f864?xsec_token=TB1OifDdqM9yEX6kPeVGJETkynVg0cSUqk9hhynxHVUGU=&amp;xsec_source=pc_trdark")</f>
        <v>0.0</v>
      </c>
      <c r="D1342" t="inlineStr">
        <is>
          <t>鲜水湾</t>
        </is>
      </c>
      <c r="E1342" t="inlineStr">
        <is>
          <t>49316638994</t>
        </is>
      </c>
      <c r="F1342" t="inlineStr">
        <is>
          <t>2026-05-07 17:00:33</t>
        </is>
      </c>
      <c r="G1342" t="inlineStr">
        <is>
          <t>图文</t>
        </is>
      </c>
      <c r="H1342" t="inlineStr">
        <is>
          <t>手剥虾仁 无冰衣无添加 低脂餐一人食 上班带饭 顺丰包邮 5盒装</t>
        </is>
      </c>
      <c r="I1342" t="inlineStr">
        <is>
          <t>694baba01d450d00013662f0</t>
        </is>
      </c>
      <c r="J1342" t="inlineStr">
        <is>
          <t/>
        </is>
      </c>
      <c r="K1342" t="n">
        <v>0.0</v>
      </c>
      <c r="L1342" t="n">
        <v>0.0</v>
      </c>
      <c r="M1342" t="n">
        <v>0.0</v>
      </c>
      <c r="N1342" t="inlineStr">
        <is>
          <t/>
        </is>
      </c>
      <c r="O1342" t="n">
        <v>0.0</v>
      </c>
      <c r="P1342" t="n">
        <v>0.0</v>
      </c>
      <c r="Q1342" t="inlineStr">
        <is>
          <t/>
        </is>
      </c>
      <c r="R1342" t="inlineStr">
        <is>
          <t/>
        </is>
      </c>
      <c r="S1342" t="n">
        <v>0.0</v>
      </c>
      <c r="T1342" t="n">
        <v>0.0</v>
      </c>
      <c r="U1342" t="n">
        <v>0.0</v>
      </c>
      <c r="V1342" t="n">
        <v>0.0</v>
      </c>
      <c r="W1342" t="inlineStr">
        <is>
          <t/>
        </is>
      </c>
      <c r="X1342" t="n">
        <v>0.0</v>
      </c>
      <c r="Y1342" t="n">
        <v>0.0</v>
      </c>
      <c r="Z1342" t="n">
        <v>0.0</v>
      </c>
      <c r="AA1342" t="n">
        <v>0.0</v>
      </c>
      <c r="AB1342" t="n">
        <v>0.0</v>
      </c>
      <c r="AC1342" t="n">
        <v>0.0</v>
      </c>
      <c r="AD1342" t="n">
        <v>0.0</v>
      </c>
      <c r="AE1342" t="n">
        <v>0.0</v>
      </c>
      <c r="AF1342" t="n">
        <v>0.0</v>
      </c>
      <c r="AG1342" t="n">
        <v>0.0</v>
      </c>
      <c r="AH1342" t="n">
        <v>0.0</v>
      </c>
      <c r="AI1342" t="n">
        <v>0.0</v>
      </c>
      <c r="AJ1342" t="n">
        <v>0.0</v>
      </c>
      <c r="AK1342" t="inlineStr">
        <is>
          <t/>
        </is>
      </c>
      <c r="AL1342" t="inlineStr">
        <is>
          <t/>
        </is>
      </c>
    </row>
    <row r="1343">
      <c r="A1343" t="inlineStr">
        <is>
          <t>我也不想吃，但69块够我吃一周了</t>
        </is>
      </c>
      <c r="B1343" t="inlineStr">
        <is>
          <t>69fb41ac0000000035027985</t>
        </is>
      </c>
      <c r="C1343" s="1342" t="n">
        <f>HYPERLINK("https://www.xiaohongshu.com/explore/69fb41ac0000000035027985?xsec_token=TBI_QjbQZ5noU4wotSpiTIzpdscmS6ECGvb7_OTtfhnc0=&amp;xsec_source=pc_trdark","https://www.xiaohongshu.com/explore/69fb41ac0000000035027985?xsec_token=TBI_QjbQZ5noU4wotSpiTIzpdscmS6ECGvb7_OTtfhnc0=&amp;xsec_source=pc_trdark")</f>
        <v>0.0</v>
      </c>
      <c r="D1343" t="inlineStr">
        <is>
          <t>鲜水湾甄选</t>
        </is>
      </c>
      <c r="E1343" t="inlineStr">
        <is>
          <t>27401929161</t>
        </is>
      </c>
      <c r="F1343" t="inlineStr">
        <is>
          <t>2026-05-06 21:27:08</t>
        </is>
      </c>
      <c r="G1343" t="inlineStr">
        <is>
          <t>图文</t>
        </is>
      </c>
      <c r="H1343" t="inlineStr">
        <is>
          <t>手剥虾仁 无冰衣无添加 低脂餐一人食 上班带饭 顺丰包邮 5盒装</t>
        </is>
      </c>
      <c r="I1343" t="inlineStr">
        <is>
          <t>694baba01d450d00013662f0</t>
        </is>
      </c>
      <c r="J1343" t="inlineStr">
        <is>
          <t/>
        </is>
      </c>
      <c r="K1343" t="n">
        <v>0.0</v>
      </c>
      <c r="L1343" t="n">
        <v>0.0</v>
      </c>
      <c r="M1343" t="n">
        <v>0.0</v>
      </c>
      <c r="N1343" t="inlineStr">
        <is>
          <t/>
        </is>
      </c>
      <c r="O1343" t="n">
        <v>0.0</v>
      </c>
      <c r="P1343" t="n">
        <v>0.0</v>
      </c>
      <c r="Q1343" t="inlineStr">
        <is>
          <t/>
        </is>
      </c>
      <c r="R1343" t="inlineStr">
        <is>
          <t/>
        </is>
      </c>
      <c r="S1343" t="n">
        <v>0.0</v>
      </c>
      <c r="T1343" t="n">
        <v>0.0</v>
      </c>
      <c r="U1343" t="n">
        <v>0.0</v>
      </c>
      <c r="V1343" t="n">
        <v>0.0</v>
      </c>
      <c r="W1343" t="inlineStr">
        <is>
          <t/>
        </is>
      </c>
      <c r="X1343" t="n">
        <v>0.0</v>
      </c>
      <c r="Y1343" t="n">
        <v>0.0</v>
      </c>
      <c r="Z1343" t="n">
        <v>0.0</v>
      </c>
      <c r="AA1343" t="n">
        <v>0.0</v>
      </c>
      <c r="AB1343" t="n">
        <v>0.0</v>
      </c>
      <c r="AC1343" t="n">
        <v>0.0</v>
      </c>
      <c r="AD1343" t="n">
        <v>0.0</v>
      </c>
      <c r="AE1343" t="n">
        <v>0.0</v>
      </c>
      <c r="AF1343" t="n">
        <v>0.0</v>
      </c>
      <c r="AG1343" t="n">
        <v>0.0</v>
      </c>
      <c r="AH1343" t="n">
        <v>0.0</v>
      </c>
      <c r="AI1343" t="n">
        <v>0.0</v>
      </c>
      <c r="AJ1343" t="n">
        <v>0.0</v>
      </c>
      <c r="AK1343" t="inlineStr">
        <is>
          <t/>
        </is>
      </c>
      <c r="AL1343" t="inlineStr">
        <is>
          <t/>
        </is>
      </c>
    </row>
    <row r="1344">
      <c r="A1344" t="inlineStr">
        <is>
          <t>某姆很好！但是某姆没有小包装</t>
        </is>
      </c>
      <c r="B1344" t="inlineStr">
        <is>
          <t>69fb40e9000000001e00f886</t>
        </is>
      </c>
      <c r="C1344" s="1343" t="n">
        <f>HYPERLINK("https://www.xiaohongshu.com/explore/69fb40e9000000001e00f886?xsec_token=TBI_QjbQZ5noU4wotSpiTIzgAChmjPx8z2mKl4aLCr9gk=&amp;xsec_source=pc_trdark","https://www.xiaohongshu.com/explore/69fb40e9000000001e00f886?xsec_token=TBI_QjbQZ5noU4wotSpiTIzgAChmjPx8z2mKl4aLCr9gk=&amp;xsec_source=pc_trdark")</f>
        <v>0.0</v>
      </c>
      <c r="D1344" t="inlineStr">
        <is>
          <t>菲菲上班吃什么</t>
        </is>
      </c>
      <c r="E1344" t="inlineStr">
        <is>
          <t>49936530607</t>
        </is>
      </c>
      <c r="F1344" t="inlineStr">
        <is>
          <t>2026-05-06 21:23:53</t>
        </is>
      </c>
      <c r="G1344" t="inlineStr">
        <is>
          <t>图文</t>
        </is>
      </c>
      <c r="H1344" t="inlineStr">
        <is>
          <t>手剥虾仁 无冰衣无添加 低脂餐一人食 上班带饭 顺丰包邮 5盒装</t>
        </is>
      </c>
      <c r="I1344" t="inlineStr">
        <is>
          <t>694baba01d450d00013662f0</t>
        </is>
      </c>
      <c r="J1344" t="inlineStr">
        <is>
          <t/>
        </is>
      </c>
      <c r="K1344" t="n">
        <v>0.0</v>
      </c>
      <c r="L1344" t="n">
        <v>0.0</v>
      </c>
      <c r="M1344" t="n">
        <v>0.0</v>
      </c>
      <c r="N1344" t="inlineStr">
        <is>
          <t/>
        </is>
      </c>
      <c r="O1344" t="n">
        <v>0.0</v>
      </c>
      <c r="P1344" t="n">
        <v>0.0</v>
      </c>
      <c r="Q1344" t="inlineStr">
        <is>
          <t/>
        </is>
      </c>
      <c r="R1344" t="inlineStr">
        <is>
          <t/>
        </is>
      </c>
      <c r="S1344" t="n">
        <v>0.0</v>
      </c>
      <c r="T1344" t="n">
        <v>0.0</v>
      </c>
      <c r="U1344" t="n">
        <v>0.0</v>
      </c>
      <c r="V1344" t="n">
        <v>0.0</v>
      </c>
      <c r="W1344" t="inlineStr">
        <is>
          <t/>
        </is>
      </c>
      <c r="X1344" t="n">
        <v>0.0</v>
      </c>
      <c r="Y1344" t="n">
        <v>0.0</v>
      </c>
      <c r="Z1344" t="n">
        <v>0.0</v>
      </c>
      <c r="AA1344" t="n">
        <v>0.0</v>
      </c>
      <c r="AB1344" t="n">
        <v>0.0</v>
      </c>
      <c r="AC1344" t="n">
        <v>0.0</v>
      </c>
      <c r="AD1344" t="n">
        <v>0.0</v>
      </c>
      <c r="AE1344" t="n">
        <v>0.0</v>
      </c>
      <c r="AF1344" t="n">
        <v>0.0</v>
      </c>
      <c r="AG1344" t="n">
        <v>0.0</v>
      </c>
      <c r="AH1344" t="n">
        <v>0.0</v>
      </c>
      <c r="AI1344" t="n">
        <v>0.0</v>
      </c>
      <c r="AJ1344" t="n">
        <v>0.0</v>
      </c>
      <c r="AK1344" t="inlineStr">
        <is>
          <t/>
        </is>
      </c>
      <c r="AL1344" t="inlineStr">
        <is>
          <t/>
        </is>
      </c>
    </row>
    <row r="1345">
      <c r="A1345" t="inlineStr">
        <is>
          <t>同事说我每天吃虾仁太奢侈…</t>
        </is>
      </c>
      <c r="B1345" t="inlineStr">
        <is>
          <t>69fafdcc0000000023017f17</t>
        </is>
      </c>
      <c r="C1345" s="1344" t="n">
        <f>HYPERLINK("https://www.xiaohongshu.com/explore/69fafdcc0000000023017f17?xsec_token=TBSeeWqm6Ag3b0EvTciS62E0yfMFmNj-ZpMxNmQq8ATG8=&amp;xsec_source=pc_trdark","https://www.xiaohongshu.com/explore/69fafdcc0000000023017f17?xsec_token=TBSeeWqm6Ag3b0EvTciS62E0yfMFmNj-ZpMxNmQq8ATG8=&amp;xsec_source=pc_trdark")</f>
        <v>0.0</v>
      </c>
      <c r="D1345" t="inlineStr">
        <is>
          <t>菲菲上班吃什么</t>
        </is>
      </c>
      <c r="E1345" t="inlineStr">
        <is>
          <t>49936530607</t>
        </is>
      </c>
      <c r="F1345" t="inlineStr">
        <is>
          <t>2026-05-06 16:37:32</t>
        </is>
      </c>
      <c r="G1345" t="inlineStr">
        <is>
          <t>图文</t>
        </is>
      </c>
      <c r="H1345" t="inlineStr">
        <is>
          <t>手剥虾仁 无冰衣无添加 低脂餐一人食 上班带饭 顺丰包邮 5盒装</t>
        </is>
      </c>
      <c r="I1345" t="inlineStr">
        <is>
          <t>694baba01d450d00013662f0</t>
        </is>
      </c>
      <c r="J1345" t="inlineStr">
        <is>
          <t/>
        </is>
      </c>
      <c r="K1345" t="n">
        <v>0.0</v>
      </c>
      <c r="L1345" t="n">
        <v>0.0</v>
      </c>
      <c r="M1345" t="n">
        <v>0.0</v>
      </c>
      <c r="N1345" t="inlineStr">
        <is>
          <t/>
        </is>
      </c>
      <c r="O1345" t="n">
        <v>0.0</v>
      </c>
      <c r="P1345" t="n">
        <v>0.0</v>
      </c>
      <c r="Q1345" t="inlineStr">
        <is>
          <t/>
        </is>
      </c>
      <c r="R1345" t="inlineStr">
        <is>
          <t/>
        </is>
      </c>
      <c r="S1345" t="n">
        <v>0.0</v>
      </c>
      <c r="T1345" t="n">
        <v>0.0</v>
      </c>
      <c r="U1345" t="n">
        <v>0.0</v>
      </c>
      <c r="V1345" t="n">
        <v>0.0</v>
      </c>
      <c r="W1345" t="inlineStr">
        <is>
          <t/>
        </is>
      </c>
      <c r="X1345" t="n">
        <v>0.0</v>
      </c>
      <c r="Y1345" t="n">
        <v>0.0</v>
      </c>
      <c r="Z1345" t="n">
        <v>0.0</v>
      </c>
      <c r="AA1345" t="n">
        <v>0.0</v>
      </c>
      <c r="AB1345" t="n">
        <v>0.0</v>
      </c>
      <c r="AC1345" t="n">
        <v>0.0</v>
      </c>
      <c r="AD1345" t="n">
        <v>0.0</v>
      </c>
      <c r="AE1345" t="n">
        <v>0.0</v>
      </c>
      <c r="AF1345" t="n">
        <v>0.0</v>
      </c>
      <c r="AG1345" t="n">
        <v>0.0</v>
      </c>
      <c r="AH1345" t="n">
        <v>0.0</v>
      </c>
      <c r="AI1345" t="n">
        <v>0.0</v>
      </c>
      <c r="AJ1345" t="n">
        <v>0.0</v>
      </c>
      <c r="AK1345" t="inlineStr">
        <is>
          <t/>
        </is>
      </c>
      <c r="AL1345" t="inlineStr">
        <is>
          <t/>
        </is>
      </c>
    </row>
    <row r="1346">
      <c r="A1346" t="inlineStr">
        <is>
          <t>一人买，整个办公室都在跟着回购的虾仁</t>
        </is>
      </c>
      <c r="B1346" t="inlineStr">
        <is>
          <t>69fafcb5000000002301790e</t>
        </is>
      </c>
      <c r="C1346" s="1345" t="n">
        <f>HYPERLINK("https://www.xiaohongshu.com/explore/69fafcb5000000002301790e?xsec_token=TBSeeWqm6Ag3b0EvTciS62Ey2majO3jQ7MQF3xGhg2fuM=&amp;xsec_source=pc_trdark","https://www.xiaohongshu.com/explore/69fafcb5000000002301790e?xsec_token=TBSeeWqm6Ag3b0EvTciS62Ey2majO3jQ7MQF3xGhg2fuM=&amp;xsec_source=pc_trdark")</f>
        <v>0.0</v>
      </c>
      <c r="D1346" t="inlineStr">
        <is>
          <t>婉婉上班吃什么</t>
        </is>
      </c>
      <c r="E1346" t="inlineStr">
        <is>
          <t>11434449706</t>
        </is>
      </c>
      <c r="F1346" t="inlineStr">
        <is>
          <t>2026-05-06 16:32:53</t>
        </is>
      </c>
      <c r="G1346" t="inlineStr">
        <is>
          <t>图文</t>
        </is>
      </c>
      <c r="H1346" t="inlineStr">
        <is>
          <t>手剥虾仁 无冰衣无添加 低脂餐一人食 上班带饭 顺丰包邮 5盒装</t>
        </is>
      </c>
      <c r="I1346" t="inlineStr">
        <is>
          <t>694baba01d450d00013662f0</t>
        </is>
      </c>
      <c r="J1346" t="inlineStr">
        <is>
          <t/>
        </is>
      </c>
      <c r="K1346" t="n">
        <v>0.0</v>
      </c>
      <c r="L1346" t="n">
        <v>0.0</v>
      </c>
      <c r="M1346" t="n">
        <v>0.0</v>
      </c>
      <c r="N1346" t="inlineStr">
        <is>
          <t/>
        </is>
      </c>
      <c r="O1346" t="n">
        <v>0.0</v>
      </c>
      <c r="P1346" t="n">
        <v>0.0</v>
      </c>
      <c r="Q1346" t="inlineStr">
        <is>
          <t/>
        </is>
      </c>
      <c r="R1346" t="inlineStr">
        <is>
          <t/>
        </is>
      </c>
      <c r="S1346" t="n">
        <v>0.0</v>
      </c>
      <c r="T1346" t="n">
        <v>0.0</v>
      </c>
      <c r="U1346" t="n">
        <v>0.0</v>
      </c>
      <c r="V1346" t="n">
        <v>0.0</v>
      </c>
      <c r="W1346" t="inlineStr">
        <is>
          <t/>
        </is>
      </c>
      <c r="X1346" t="n">
        <v>0.0</v>
      </c>
      <c r="Y1346" t="n">
        <v>0.0</v>
      </c>
      <c r="Z1346" t="n">
        <v>0.0</v>
      </c>
      <c r="AA1346" t="n">
        <v>0.0</v>
      </c>
      <c r="AB1346" t="n">
        <v>0.0</v>
      </c>
      <c r="AC1346" t="n">
        <v>0.0</v>
      </c>
      <c r="AD1346" t="n">
        <v>0.0</v>
      </c>
      <c r="AE1346" t="n">
        <v>0.0</v>
      </c>
      <c r="AF1346" t="n">
        <v>0.0</v>
      </c>
      <c r="AG1346" t="n">
        <v>0.0</v>
      </c>
      <c r="AH1346" t="n">
        <v>0.0</v>
      </c>
      <c r="AI1346" t="n">
        <v>0.0</v>
      </c>
      <c r="AJ1346" t="n">
        <v>0.0</v>
      </c>
      <c r="AK1346" t="inlineStr">
        <is>
          <t/>
        </is>
      </c>
      <c r="AL1346" t="inlineStr">
        <is>
          <t/>
        </is>
      </c>
    </row>
    <row r="1347">
      <c r="A1347" t="inlineStr">
        <is>
          <t>一天一袋，才一杯奶茶钱！😂</t>
        </is>
      </c>
      <c r="B1347" t="inlineStr">
        <is>
          <t>69fa9ff5000000001a02d8ed</t>
        </is>
      </c>
      <c r="C1347" s="1346" t="n">
        <f>HYPERLINK("https://www.xiaohongshu.com/explore/69fa9ff5000000001a02d8ed?xsec_token=TBSeeWqm6Ag3b0EvTciS62EwZ0Q52ocdbvJ--cOWOIc7o=&amp;xsec_source=pc_trdark","https://www.xiaohongshu.com/explore/69fa9ff5000000001a02d8ed?xsec_token=TBSeeWqm6Ag3b0EvTciS62EwZ0Q52ocdbvJ--cOWOIc7o=&amp;xsec_source=pc_trdark")</f>
        <v>0.0</v>
      </c>
      <c r="D1347" t="inlineStr">
        <is>
          <t>鲜水湾</t>
        </is>
      </c>
      <c r="E1347" t="inlineStr">
        <is>
          <t>49316638994</t>
        </is>
      </c>
      <c r="F1347" t="inlineStr">
        <is>
          <t>2026-05-06 09:57:09</t>
        </is>
      </c>
      <c r="G1347" t="inlineStr">
        <is>
          <t>图文</t>
        </is>
      </c>
      <c r="H1347" t="inlineStr">
        <is>
          <t>手剥虾仁 无冰衣无添加 低脂餐一人食 上班带饭 顺丰包邮 5盒装</t>
        </is>
      </c>
      <c r="I1347" t="inlineStr">
        <is>
          <t>694baba01d450d00013662f0</t>
        </is>
      </c>
      <c r="J1347" t="inlineStr">
        <is>
          <t/>
        </is>
      </c>
      <c r="K1347" t="n">
        <v>0.0</v>
      </c>
      <c r="L1347" t="n">
        <v>0.0</v>
      </c>
      <c r="M1347" t="n">
        <v>0.0</v>
      </c>
      <c r="N1347" t="inlineStr">
        <is>
          <t/>
        </is>
      </c>
      <c r="O1347" t="n">
        <v>0.0</v>
      </c>
      <c r="P1347" t="n">
        <v>0.0</v>
      </c>
      <c r="Q1347" t="inlineStr">
        <is>
          <t/>
        </is>
      </c>
      <c r="R1347" t="inlineStr">
        <is>
          <t/>
        </is>
      </c>
      <c r="S1347" t="n">
        <v>0.0</v>
      </c>
      <c r="T1347" t="n">
        <v>0.0</v>
      </c>
      <c r="U1347" t="n">
        <v>0.0</v>
      </c>
      <c r="V1347" t="n">
        <v>0.0</v>
      </c>
      <c r="W1347" t="inlineStr">
        <is>
          <t/>
        </is>
      </c>
      <c r="X1347" t="n">
        <v>0.0</v>
      </c>
      <c r="Y1347" t="n">
        <v>0.0</v>
      </c>
      <c r="Z1347" t="n">
        <v>0.0</v>
      </c>
      <c r="AA1347" t="n">
        <v>0.0</v>
      </c>
      <c r="AB1347" t="n">
        <v>0.0</v>
      </c>
      <c r="AC1347" t="n">
        <v>0.0</v>
      </c>
      <c r="AD1347" t="n">
        <v>0.0</v>
      </c>
      <c r="AE1347" t="n">
        <v>0.0</v>
      </c>
      <c r="AF1347" t="n">
        <v>0.0</v>
      </c>
      <c r="AG1347" t="n">
        <v>0.0</v>
      </c>
      <c r="AH1347" t="n">
        <v>0.0</v>
      </c>
      <c r="AI1347" t="n">
        <v>0.0</v>
      </c>
      <c r="AJ1347" t="n">
        <v>0.0</v>
      </c>
      <c r="AK1347" t="inlineStr">
        <is>
          <t/>
        </is>
      </c>
      <c r="AL1347" t="inlineStr">
        <is>
          <t/>
        </is>
      </c>
    </row>
    <row r="1348">
      <c r="A1348" t="inlineStr">
        <is>
          <t>普通人减脂真不贵❗️69块直接吃满一周😋</t>
        </is>
      </c>
      <c r="B1348" t="inlineStr">
        <is>
          <t>69f9f42f0000000035032fcc</t>
        </is>
      </c>
      <c r="C1348" s="1347" t="n">
        <f>HYPERLINK("https://www.xiaohongshu.com/explore/69f9f42f0000000035032fcc?xsec_token=TBvNVyjO1TGQxpS9tMt6n8okFXHg0uZztVCTBNi_cLIpA=&amp;xsec_source=pc_trdark","https://www.xiaohongshu.com/explore/69f9f42f0000000035032fcc?xsec_token=TBvNVyjO1TGQxpS9tMt6n8okFXHg0uZztVCTBNi_cLIpA=&amp;xsec_source=pc_trdark")</f>
        <v>0.0</v>
      </c>
      <c r="D1348" t="inlineStr">
        <is>
          <t>鲜水湾甄选</t>
        </is>
      </c>
      <c r="E1348" t="inlineStr">
        <is>
          <t>27401929161</t>
        </is>
      </c>
      <c r="F1348" t="inlineStr">
        <is>
          <t>2026-05-05 21:44:15</t>
        </is>
      </c>
      <c r="G1348" t="inlineStr">
        <is>
          <t>图文</t>
        </is>
      </c>
      <c r="H1348" t="inlineStr">
        <is>
          <t>手剥虾仁 无冰衣无添加 低脂餐一人食 上班带饭 顺丰包邮 5盒装</t>
        </is>
      </c>
      <c r="I1348" t="inlineStr">
        <is>
          <t>694baba01d450d00013662f0</t>
        </is>
      </c>
      <c r="J1348" t="inlineStr">
        <is>
          <t/>
        </is>
      </c>
      <c r="K1348" t="n">
        <v>0.0</v>
      </c>
      <c r="L1348" t="n">
        <v>0.0</v>
      </c>
      <c r="M1348" t="n">
        <v>0.0</v>
      </c>
      <c r="N1348" t="inlineStr">
        <is>
          <t/>
        </is>
      </c>
      <c r="O1348" t="n">
        <v>0.0</v>
      </c>
      <c r="P1348" t="n">
        <v>0.0</v>
      </c>
      <c r="Q1348" t="inlineStr">
        <is>
          <t/>
        </is>
      </c>
      <c r="R1348" t="inlineStr">
        <is>
          <t/>
        </is>
      </c>
      <c r="S1348" t="n">
        <v>0.0</v>
      </c>
      <c r="T1348" t="n">
        <v>0.0</v>
      </c>
      <c r="U1348" t="n">
        <v>0.0</v>
      </c>
      <c r="V1348" t="n">
        <v>0.0</v>
      </c>
      <c r="W1348" t="inlineStr">
        <is>
          <t/>
        </is>
      </c>
      <c r="X1348" t="n">
        <v>0.0</v>
      </c>
      <c r="Y1348" t="n">
        <v>0.0</v>
      </c>
      <c r="Z1348" t="n">
        <v>0.0</v>
      </c>
      <c r="AA1348" t="n">
        <v>0.0</v>
      </c>
      <c r="AB1348" t="n">
        <v>0.0</v>
      </c>
      <c r="AC1348" t="n">
        <v>0.0</v>
      </c>
      <c r="AD1348" t="n">
        <v>0.0</v>
      </c>
      <c r="AE1348" t="n">
        <v>0.0</v>
      </c>
      <c r="AF1348" t="n">
        <v>0.0</v>
      </c>
      <c r="AG1348" t="n">
        <v>0.0</v>
      </c>
      <c r="AH1348" t="n">
        <v>0.0</v>
      </c>
      <c r="AI1348" t="n">
        <v>0.0</v>
      </c>
      <c r="AJ1348" t="n">
        <v>0.0</v>
      </c>
      <c r="AK1348" t="inlineStr">
        <is>
          <t/>
        </is>
      </c>
      <c r="AL1348" t="inlineStr">
        <is>
          <t/>
        </is>
      </c>
    </row>
    <row r="1349">
      <c r="A1349" t="inlineStr">
        <is>
          <t>话不多说❗520之前必冲到100斤</t>
        </is>
      </c>
      <c r="B1349" t="inlineStr">
        <is>
          <t>69f9de74000000003501de6b</t>
        </is>
      </c>
      <c r="C1349" s="1348" t="n">
        <f>HYPERLINK("https://www.xiaohongshu.com/explore/69f9de74000000003501de6b?xsec_token=TBvNVyjO1TGQxpS9tMt6n8oh7rloUn9-KOLDucI6oUi0w=&amp;xsec_source=pc_trdark","https://www.xiaohongshu.com/explore/69f9de74000000003501de6b?xsec_token=TBvNVyjO1TGQxpS9tMt6n8oh7rloUn9-KOLDucI6oUi0w=&amp;xsec_source=pc_trdark")</f>
        <v>0.0</v>
      </c>
      <c r="D1349" t="inlineStr">
        <is>
          <t>鲜水湾甄选</t>
        </is>
      </c>
      <c r="E1349" t="inlineStr">
        <is>
          <t>27401929161</t>
        </is>
      </c>
      <c r="F1349" t="inlineStr">
        <is>
          <t>2026-05-05 20:11:32</t>
        </is>
      </c>
      <c r="G1349" t="inlineStr">
        <is>
          <t>图文</t>
        </is>
      </c>
      <c r="H1349" t="inlineStr">
        <is>
          <t>手剥虾仁 无冰衣无添加 低脂餐一人食 上班带饭 顺丰包邮 5盒装</t>
        </is>
      </c>
      <c r="I1349" t="inlineStr">
        <is>
          <t>694baba01d450d00013662f0</t>
        </is>
      </c>
      <c r="J1349" t="inlineStr">
        <is>
          <t/>
        </is>
      </c>
      <c r="K1349" t="n">
        <v>0.0</v>
      </c>
      <c r="L1349" t="n">
        <v>0.0</v>
      </c>
      <c r="M1349" t="n">
        <v>0.0</v>
      </c>
      <c r="N1349" t="inlineStr">
        <is>
          <t/>
        </is>
      </c>
      <c r="O1349" t="n">
        <v>0.0</v>
      </c>
      <c r="P1349" t="n">
        <v>0.0</v>
      </c>
      <c r="Q1349" t="inlineStr">
        <is>
          <t/>
        </is>
      </c>
      <c r="R1349" t="inlineStr">
        <is>
          <t/>
        </is>
      </c>
      <c r="S1349" t="n">
        <v>0.0</v>
      </c>
      <c r="T1349" t="n">
        <v>0.0</v>
      </c>
      <c r="U1349" t="n">
        <v>0.0</v>
      </c>
      <c r="V1349" t="n">
        <v>0.0</v>
      </c>
      <c r="W1349" t="inlineStr">
        <is>
          <t/>
        </is>
      </c>
      <c r="X1349" t="n">
        <v>0.0</v>
      </c>
      <c r="Y1349" t="n">
        <v>0.0</v>
      </c>
      <c r="Z1349" t="n">
        <v>0.0</v>
      </c>
      <c r="AA1349" t="n">
        <v>0.0</v>
      </c>
      <c r="AB1349" t="n">
        <v>0.0</v>
      </c>
      <c r="AC1349" t="n">
        <v>0.0</v>
      </c>
      <c r="AD1349" t="n">
        <v>0.0</v>
      </c>
      <c r="AE1349" t="n">
        <v>0.0</v>
      </c>
      <c r="AF1349" t="n">
        <v>0.0</v>
      </c>
      <c r="AG1349" t="n">
        <v>0.0</v>
      </c>
      <c r="AH1349" t="n">
        <v>0.0</v>
      </c>
      <c r="AI1349" t="n">
        <v>0.0</v>
      </c>
      <c r="AJ1349" t="n">
        <v>0.0</v>
      </c>
      <c r="AK1349" t="inlineStr">
        <is>
          <t/>
        </is>
      </c>
      <c r="AL1349" t="inlineStr">
        <is>
          <t/>
        </is>
      </c>
    </row>
    <row r="1350">
      <c r="A1350" t="inlineStr">
        <is>
          <t>大意了！彻底低估69块的购买力</t>
        </is>
      </c>
      <c r="B1350" t="inlineStr">
        <is>
          <t>69f9de4000000000230148b4</t>
        </is>
      </c>
      <c r="C1350" s="1349" t="n">
        <f>HYPERLINK("https://www.xiaohongshu.com/explore/69f9de4000000000230148b4?xsec_token=TBvNVyjO1TGQxpS9tMt6n8on6Y6Myf5z1MUA4vFKakELM=&amp;xsec_source=pc_trdark","https://www.xiaohongshu.com/explore/69f9de4000000000230148b4?xsec_token=TBvNVyjO1TGQxpS9tMt6n8on6Y6Myf5z1MUA4vFKakELM=&amp;xsec_source=pc_trdark")</f>
        <v>0.0</v>
      </c>
      <c r="D1350" t="inlineStr">
        <is>
          <t>菲菲上班吃什么</t>
        </is>
      </c>
      <c r="E1350" t="inlineStr">
        <is>
          <t>49936530607</t>
        </is>
      </c>
      <c r="F1350" t="inlineStr">
        <is>
          <t>2026-05-05 20:10:40</t>
        </is>
      </c>
      <c r="G1350" t="inlineStr">
        <is>
          <t>图文</t>
        </is>
      </c>
      <c r="H1350" t="inlineStr">
        <is>
          <t>手剥虾仁 无冰衣无添加 低脂餐一人食 上班带饭 顺丰包邮 5盒装</t>
        </is>
      </c>
      <c r="I1350" t="inlineStr">
        <is>
          <t>694baba01d450d00013662f0</t>
        </is>
      </c>
      <c r="J1350" t="inlineStr">
        <is>
          <t/>
        </is>
      </c>
      <c r="K1350" t="n">
        <v>0.0</v>
      </c>
      <c r="L1350" t="n">
        <v>0.0</v>
      </c>
      <c r="M1350" t="n">
        <v>0.0</v>
      </c>
      <c r="N1350" t="inlineStr">
        <is>
          <t/>
        </is>
      </c>
      <c r="O1350" t="n">
        <v>0.0</v>
      </c>
      <c r="P1350" t="n">
        <v>0.0</v>
      </c>
      <c r="Q1350" t="inlineStr">
        <is>
          <t/>
        </is>
      </c>
      <c r="R1350" t="inlineStr">
        <is>
          <t/>
        </is>
      </c>
      <c r="S1350" t="n">
        <v>0.0</v>
      </c>
      <c r="T1350" t="n">
        <v>0.0</v>
      </c>
      <c r="U1350" t="n">
        <v>0.0</v>
      </c>
      <c r="V1350" t="n">
        <v>0.0</v>
      </c>
      <c r="W1350" t="inlineStr">
        <is>
          <t/>
        </is>
      </c>
      <c r="X1350" t="n">
        <v>0.0</v>
      </c>
      <c r="Y1350" t="n">
        <v>0.0</v>
      </c>
      <c r="Z1350" t="n">
        <v>0.0</v>
      </c>
      <c r="AA1350" t="n">
        <v>0.0</v>
      </c>
      <c r="AB1350" t="n">
        <v>0.0</v>
      </c>
      <c r="AC1350" t="n">
        <v>0.0</v>
      </c>
      <c r="AD1350" t="n">
        <v>0.0</v>
      </c>
      <c r="AE1350" t="n">
        <v>0.0</v>
      </c>
      <c r="AF1350" t="n">
        <v>0.0</v>
      </c>
      <c r="AG1350" t="n">
        <v>0.0</v>
      </c>
      <c r="AH1350" t="n">
        <v>0.0</v>
      </c>
      <c r="AI1350" t="n">
        <v>0.0</v>
      </c>
      <c r="AJ1350" t="n">
        <v>0.0</v>
      </c>
      <c r="AK1350" t="inlineStr">
        <is>
          <t/>
        </is>
      </c>
      <c r="AL1350" t="inlineStr">
        <is>
          <t/>
        </is>
      </c>
    </row>
    <row r="1351">
      <c r="A1351" t="inlineStr">
        <is>
          <t>这69块一周减脂餐！我直接大吃特吃！！！</t>
        </is>
      </c>
      <c r="B1351" t="inlineStr">
        <is>
          <t>69f9bae3000000001b023f84</t>
        </is>
      </c>
      <c r="C1351" s="1350" t="n">
        <f>HYPERLINK("https://www.xiaohongshu.com/explore/69f9bae3000000001b023f84?xsec_token=TBvNVyjO1TGQxpS9tMt6n8oqjxwtWRQnnGJq3Vkykl0Bg=&amp;xsec_source=pc_trdark","https://www.xiaohongshu.com/explore/69f9bae3000000001b023f84?xsec_token=TBvNVyjO1TGQxpS9tMt6n8oqjxwtWRQnnGJq3Vkykl0Bg=&amp;xsec_source=pc_trdark")</f>
        <v>0.0</v>
      </c>
      <c r="D1351" t="inlineStr">
        <is>
          <t>菲菲上班吃什么</t>
        </is>
      </c>
      <c r="E1351" t="inlineStr">
        <is>
          <t>49936530607</t>
        </is>
      </c>
      <c r="F1351" t="inlineStr">
        <is>
          <t>2026-05-05 17:39:47</t>
        </is>
      </c>
      <c r="G1351" t="inlineStr">
        <is>
          <t>图文</t>
        </is>
      </c>
      <c r="H1351" t="inlineStr">
        <is>
          <t>手剥虾仁 无冰衣无添加 低脂餐一人食 上班带饭 顺丰包邮 5盒装</t>
        </is>
      </c>
      <c r="I1351" t="inlineStr">
        <is>
          <t>694baba01d450d00013662f0</t>
        </is>
      </c>
      <c r="J1351" t="inlineStr">
        <is>
          <t/>
        </is>
      </c>
      <c r="K1351" t="n">
        <v>0.0</v>
      </c>
      <c r="L1351" t="n">
        <v>0.0</v>
      </c>
      <c r="M1351" t="n">
        <v>0.0</v>
      </c>
      <c r="N1351" t="inlineStr">
        <is>
          <t/>
        </is>
      </c>
      <c r="O1351" t="n">
        <v>0.0</v>
      </c>
      <c r="P1351" t="n">
        <v>0.0</v>
      </c>
      <c r="Q1351" t="inlineStr">
        <is>
          <t/>
        </is>
      </c>
      <c r="R1351" t="inlineStr">
        <is>
          <t/>
        </is>
      </c>
      <c r="S1351" t="n">
        <v>0.0</v>
      </c>
      <c r="T1351" t="n">
        <v>0.0</v>
      </c>
      <c r="U1351" t="n">
        <v>0.0</v>
      </c>
      <c r="V1351" t="n">
        <v>0.0</v>
      </c>
      <c r="W1351" t="inlineStr">
        <is>
          <t/>
        </is>
      </c>
      <c r="X1351" t="n">
        <v>0.0</v>
      </c>
      <c r="Y1351" t="n">
        <v>0.0</v>
      </c>
      <c r="Z1351" t="n">
        <v>0.0</v>
      </c>
      <c r="AA1351" t="n">
        <v>0.0</v>
      </c>
      <c r="AB1351" t="n">
        <v>0.0</v>
      </c>
      <c r="AC1351" t="n">
        <v>0.0</v>
      </c>
      <c r="AD1351" t="n">
        <v>0.0</v>
      </c>
      <c r="AE1351" t="n">
        <v>0.0</v>
      </c>
      <c r="AF1351" t="n">
        <v>0.0</v>
      </c>
      <c r="AG1351" t="n">
        <v>0.0</v>
      </c>
      <c r="AH1351" t="n">
        <v>0.0</v>
      </c>
      <c r="AI1351" t="n">
        <v>0.0</v>
      </c>
      <c r="AJ1351" t="n">
        <v>0.0</v>
      </c>
      <c r="AK1351" t="inlineStr">
        <is>
          <t/>
        </is>
      </c>
      <c r="AL1351" t="inlineStr">
        <is>
          <t/>
        </is>
      </c>
    </row>
    <row r="1352">
      <c r="A1352" t="inlineStr">
        <is>
          <t>真的小看69块了！直接解决我一整周减脂餐</t>
        </is>
      </c>
      <c r="B1352" t="inlineStr">
        <is>
          <t>69f89dab0000000023015c4e</t>
        </is>
      </c>
      <c r="C1352" s="1351" t="n">
        <f>HYPERLINK("https://www.xiaohongshu.com/explore/69f89dab0000000023015c4e?xsec_token=TBkBA6XU0_IUqvxj9keWfnf05-FWCb4JREE-MR4UqsgMY=&amp;xsec_source=pc_trdark","https://www.xiaohongshu.com/explore/69f89dab0000000023015c4e?xsec_token=TBkBA6XU0_IUqvxj9keWfnf05-FWCb4JREE-MR4UqsgMY=&amp;xsec_source=pc_trdark")</f>
        <v>0.0</v>
      </c>
      <c r="D1352" t="inlineStr">
        <is>
          <t>菲菲上班吃什么</t>
        </is>
      </c>
      <c r="E1352" t="inlineStr">
        <is>
          <t>49936530607</t>
        </is>
      </c>
      <c r="F1352" t="inlineStr">
        <is>
          <t>2026-05-04 21:22:51</t>
        </is>
      </c>
      <c r="G1352" t="inlineStr">
        <is>
          <t>图文</t>
        </is>
      </c>
      <c r="H1352" t="inlineStr">
        <is>
          <t>手剥虾仁 无冰衣无添加 低脂餐一人食 上班带饭 顺丰包邮 5盒装</t>
        </is>
      </c>
      <c r="I1352" t="inlineStr">
        <is>
          <t>694baba01d450d00013662f0</t>
        </is>
      </c>
      <c r="J1352" t="inlineStr">
        <is>
          <t/>
        </is>
      </c>
      <c r="K1352" t="n">
        <v>0.0</v>
      </c>
      <c r="L1352" t="n">
        <v>0.0</v>
      </c>
      <c r="M1352" t="n">
        <v>0.0</v>
      </c>
      <c r="N1352" t="inlineStr">
        <is>
          <t/>
        </is>
      </c>
      <c r="O1352" t="n">
        <v>0.0</v>
      </c>
      <c r="P1352" t="n">
        <v>0.0</v>
      </c>
      <c r="Q1352" t="inlineStr">
        <is>
          <t/>
        </is>
      </c>
      <c r="R1352" t="inlineStr">
        <is>
          <t/>
        </is>
      </c>
      <c r="S1352" t="n">
        <v>0.0</v>
      </c>
      <c r="T1352" t="n">
        <v>0.0</v>
      </c>
      <c r="U1352" t="n">
        <v>0.0</v>
      </c>
      <c r="V1352" t="n">
        <v>0.0</v>
      </c>
      <c r="W1352" t="inlineStr">
        <is>
          <t/>
        </is>
      </c>
      <c r="X1352" t="n">
        <v>0.0</v>
      </c>
      <c r="Y1352" t="n">
        <v>0.0</v>
      </c>
      <c r="Z1352" t="n">
        <v>0.0</v>
      </c>
      <c r="AA1352" t="n">
        <v>0.0</v>
      </c>
      <c r="AB1352" t="n">
        <v>0.0</v>
      </c>
      <c r="AC1352" t="n">
        <v>0.0</v>
      </c>
      <c r="AD1352" t="n">
        <v>0.0</v>
      </c>
      <c r="AE1352" t="n">
        <v>0.0</v>
      </c>
      <c r="AF1352" t="n">
        <v>0.0</v>
      </c>
      <c r="AG1352" t="n">
        <v>0.0</v>
      </c>
      <c r="AH1352" t="n">
        <v>0.0</v>
      </c>
      <c r="AI1352" t="n">
        <v>0.0</v>
      </c>
      <c r="AJ1352" t="n">
        <v>0.0</v>
      </c>
      <c r="AK1352" t="inlineStr">
        <is>
          <t/>
        </is>
      </c>
      <c r="AL1352" t="inlineStr">
        <is>
          <t/>
        </is>
      </c>
    </row>
    <row r="1353">
      <c r="A1353" t="inlineStr">
        <is>
          <t>减脂期蛋白质天花板！69直接吃够一整周</t>
        </is>
      </c>
      <c r="B1353" t="inlineStr">
        <is>
          <t>69f85d96000000001b022f2d</t>
        </is>
      </c>
      <c r="C1353" s="1352" t="n">
        <f>HYPERLINK("https://www.xiaohongshu.com/explore/69f85d96000000001b022f2d?xsec_token=TBkBA6XU0_IUqvxj9keWfnfxKCXKcfF7qOG7TRiXIcCvY=&amp;xsec_source=pc_trdark","https://www.xiaohongshu.com/explore/69f85d96000000001b022f2d?xsec_token=TBkBA6XU0_IUqvxj9keWfnfxKCXKcfF7qOG7TRiXIcCvY=&amp;xsec_source=pc_trdark")</f>
        <v>0.0</v>
      </c>
      <c r="D1353" t="inlineStr">
        <is>
          <t>菲菲上班吃什么</t>
        </is>
      </c>
      <c r="E1353" t="inlineStr">
        <is>
          <t>49936530607</t>
        </is>
      </c>
      <c r="F1353" t="inlineStr">
        <is>
          <t>2026-05-04 16:49:26</t>
        </is>
      </c>
      <c r="G1353" t="inlineStr">
        <is>
          <t>图文</t>
        </is>
      </c>
      <c r="H1353" t="inlineStr">
        <is>
          <t>手剥虾仁 无冰衣无添加 低脂餐一人食 上班带饭 顺丰包邮 5盒装</t>
        </is>
      </c>
      <c r="I1353" t="inlineStr">
        <is>
          <t>694baba01d450d00013662f0</t>
        </is>
      </c>
      <c r="J1353" t="inlineStr">
        <is>
          <t/>
        </is>
      </c>
      <c r="K1353" t="n">
        <v>0.0</v>
      </c>
      <c r="L1353" t="n">
        <v>0.0</v>
      </c>
      <c r="M1353" t="n">
        <v>0.0</v>
      </c>
      <c r="N1353" t="inlineStr">
        <is>
          <t/>
        </is>
      </c>
      <c r="O1353" t="n">
        <v>0.0</v>
      </c>
      <c r="P1353" t="n">
        <v>0.0</v>
      </c>
      <c r="Q1353" t="inlineStr">
        <is>
          <t/>
        </is>
      </c>
      <c r="R1353" t="inlineStr">
        <is>
          <t/>
        </is>
      </c>
      <c r="S1353" t="n">
        <v>0.0</v>
      </c>
      <c r="T1353" t="n">
        <v>0.0</v>
      </c>
      <c r="U1353" t="n">
        <v>0.0</v>
      </c>
      <c r="V1353" t="n">
        <v>0.0</v>
      </c>
      <c r="W1353" t="inlineStr">
        <is>
          <t/>
        </is>
      </c>
      <c r="X1353" t="n">
        <v>0.0</v>
      </c>
      <c r="Y1353" t="n">
        <v>0.0</v>
      </c>
      <c r="Z1353" t="n">
        <v>0.0</v>
      </c>
      <c r="AA1353" t="n">
        <v>0.0</v>
      </c>
      <c r="AB1353" t="n">
        <v>0.0</v>
      </c>
      <c r="AC1353" t="n">
        <v>0.0</v>
      </c>
      <c r="AD1353" t="n">
        <v>0.0</v>
      </c>
      <c r="AE1353" t="n">
        <v>0.0</v>
      </c>
      <c r="AF1353" t="n">
        <v>0.0</v>
      </c>
      <c r="AG1353" t="n">
        <v>0.0</v>
      </c>
      <c r="AH1353" t="n">
        <v>0.0</v>
      </c>
      <c r="AI1353" t="n">
        <v>0.0</v>
      </c>
      <c r="AJ1353" t="n">
        <v>0.0</v>
      </c>
      <c r="AK1353" t="inlineStr">
        <is>
          <t/>
        </is>
      </c>
      <c r="AL1353" t="inlineStr">
        <is>
          <t/>
        </is>
      </c>
    </row>
    <row r="1354">
      <c r="A1354" t="inlineStr">
        <is>
          <t>又囤一冰箱😋独立小包装太适合独居人了</t>
        </is>
      </c>
      <c r="B1354" t="inlineStr">
        <is>
          <t>69f85d3b000000003501c1fd</t>
        </is>
      </c>
      <c r="C1354" s="1353" t="n">
        <f>HYPERLINK("https://www.xiaohongshu.com/explore/69f85d3b000000003501c1fd?xsec_token=TBkBA6XU0_IUqvxj9keWfnf874X6IH7jy9V-J7OYElb2s=&amp;xsec_source=pc_trdark","https://www.xiaohongshu.com/explore/69f85d3b000000003501c1fd?xsec_token=TBkBA6XU0_IUqvxj9keWfnf874X6IH7jy9V-J7OYElb2s=&amp;xsec_source=pc_trdark")</f>
        <v>0.0</v>
      </c>
      <c r="D1354" t="inlineStr">
        <is>
          <t>鲜水湾甄选</t>
        </is>
      </c>
      <c r="E1354" t="inlineStr">
        <is>
          <t>27401929161</t>
        </is>
      </c>
      <c r="F1354" t="inlineStr">
        <is>
          <t>2026-05-04 16:47:55</t>
        </is>
      </c>
      <c r="G1354" t="inlineStr">
        <is>
          <t>图文</t>
        </is>
      </c>
      <c r="H1354" t="inlineStr">
        <is>
          <t>手剥虾仁 无冰衣无添加 低脂餐一人食 上班带饭 顺丰包邮 5盒装</t>
        </is>
      </c>
      <c r="I1354" t="inlineStr">
        <is>
          <t>694baba01d450d00013662f0</t>
        </is>
      </c>
      <c r="J1354" t="inlineStr">
        <is>
          <t/>
        </is>
      </c>
      <c r="K1354" t="n">
        <v>0.0</v>
      </c>
      <c r="L1354" t="n">
        <v>0.0</v>
      </c>
      <c r="M1354" t="n">
        <v>0.0</v>
      </c>
      <c r="N1354" t="inlineStr">
        <is>
          <t/>
        </is>
      </c>
      <c r="O1354" t="n">
        <v>0.0</v>
      </c>
      <c r="P1354" t="n">
        <v>0.0</v>
      </c>
      <c r="Q1354" t="inlineStr">
        <is>
          <t/>
        </is>
      </c>
      <c r="R1354" t="inlineStr">
        <is>
          <t/>
        </is>
      </c>
      <c r="S1354" t="n">
        <v>0.0</v>
      </c>
      <c r="T1354" t="n">
        <v>0.0</v>
      </c>
      <c r="U1354" t="n">
        <v>0.0</v>
      </c>
      <c r="V1354" t="n">
        <v>0.0</v>
      </c>
      <c r="W1354" t="inlineStr">
        <is>
          <t/>
        </is>
      </c>
      <c r="X1354" t="n">
        <v>0.0</v>
      </c>
      <c r="Y1354" t="n">
        <v>0.0</v>
      </c>
      <c r="Z1354" t="n">
        <v>0.0</v>
      </c>
      <c r="AA1354" t="n">
        <v>0.0</v>
      </c>
      <c r="AB1354" t="n">
        <v>0.0</v>
      </c>
      <c r="AC1354" t="n">
        <v>0.0</v>
      </c>
      <c r="AD1354" t="n">
        <v>0.0</v>
      </c>
      <c r="AE1354" t="n">
        <v>0.0</v>
      </c>
      <c r="AF1354" t="n">
        <v>0.0</v>
      </c>
      <c r="AG1354" t="n">
        <v>0.0</v>
      </c>
      <c r="AH1354" t="n">
        <v>0.0</v>
      </c>
      <c r="AI1354" t="n">
        <v>0.0</v>
      </c>
      <c r="AJ1354" t="n">
        <v>0.0</v>
      </c>
      <c r="AK1354" t="inlineStr">
        <is>
          <t/>
        </is>
      </c>
      <c r="AL1354" t="inlineStr">
        <is>
          <t/>
        </is>
      </c>
    </row>
    <row r="1355">
      <c r="A1355" t="inlineStr">
        <is>
          <t>减脂期吃虾仁被爸妈吐槽奢侈🥹</t>
        </is>
      </c>
      <c r="B1355" t="inlineStr">
        <is>
          <t>69f83629000000003502ae54</t>
        </is>
      </c>
      <c r="C1355" s="1354" t="n">
        <f>HYPERLINK("https://www.xiaohongshu.com/explore/69f83629000000003502ae54?xsec_token=TBkBA6XU0_IUqvxj9keWfnf_AW0_QFb7qivWox22Lt3Gw=&amp;xsec_source=pc_trdark","https://www.xiaohongshu.com/explore/69f83629000000003502ae54?xsec_token=TBkBA6XU0_IUqvxj9keWfnf_AW0_QFb7qivWox22Lt3Gw=&amp;xsec_source=pc_trdark")</f>
        <v>0.0</v>
      </c>
      <c r="D1355" t="inlineStr">
        <is>
          <t>鲜水湾甄选</t>
        </is>
      </c>
      <c r="E1355" t="inlineStr">
        <is>
          <t>27401929161</t>
        </is>
      </c>
      <c r="F1355" t="inlineStr">
        <is>
          <t>2026-05-04 14:01:13</t>
        </is>
      </c>
      <c r="G1355" t="inlineStr">
        <is>
          <t>图文</t>
        </is>
      </c>
      <c r="H1355" t="inlineStr">
        <is>
          <t>手剥虾仁 无冰衣无添加 低脂餐一人食 上班带饭 顺丰包邮 5盒装</t>
        </is>
      </c>
      <c r="I1355" t="inlineStr">
        <is>
          <t>694baba01d450d00013662f0</t>
        </is>
      </c>
      <c r="J1355" t="inlineStr">
        <is>
          <t/>
        </is>
      </c>
      <c r="K1355" t="n">
        <v>0.0</v>
      </c>
      <c r="L1355" t="n">
        <v>0.0</v>
      </c>
      <c r="M1355" t="n">
        <v>0.0</v>
      </c>
      <c r="N1355" t="inlineStr">
        <is>
          <t/>
        </is>
      </c>
      <c r="O1355" t="n">
        <v>0.0</v>
      </c>
      <c r="P1355" t="n">
        <v>0.0</v>
      </c>
      <c r="Q1355" t="inlineStr">
        <is>
          <t/>
        </is>
      </c>
      <c r="R1355" t="inlineStr">
        <is>
          <t/>
        </is>
      </c>
      <c r="S1355" t="n">
        <v>0.0</v>
      </c>
      <c r="T1355" t="n">
        <v>0.0</v>
      </c>
      <c r="U1355" t="n">
        <v>0.0</v>
      </c>
      <c r="V1355" t="n">
        <v>0.0</v>
      </c>
      <c r="W1355" t="inlineStr">
        <is>
          <t/>
        </is>
      </c>
      <c r="X1355" t="n">
        <v>0.0</v>
      </c>
      <c r="Y1355" t="n">
        <v>0.0</v>
      </c>
      <c r="Z1355" t="n">
        <v>0.0</v>
      </c>
      <c r="AA1355" t="n">
        <v>0.0</v>
      </c>
      <c r="AB1355" t="n">
        <v>0.0</v>
      </c>
      <c r="AC1355" t="n">
        <v>0.0</v>
      </c>
      <c r="AD1355" t="n">
        <v>0.0</v>
      </c>
      <c r="AE1355" t="n">
        <v>0.0</v>
      </c>
      <c r="AF1355" t="n">
        <v>0.0</v>
      </c>
      <c r="AG1355" t="n">
        <v>0.0</v>
      </c>
      <c r="AH1355" t="n">
        <v>0.0</v>
      </c>
      <c r="AI1355" t="n">
        <v>0.0</v>
      </c>
      <c r="AJ1355" t="n">
        <v>0.0</v>
      </c>
      <c r="AK1355" t="inlineStr">
        <is>
          <t/>
        </is>
      </c>
      <c r="AL1355" t="inlineStr">
        <is>
          <t/>
        </is>
      </c>
    </row>
    <row r="1356">
      <c r="A1356" t="inlineStr">
        <is>
          <t>独居女五一减脂｜低成本搞定轻食餐</t>
        </is>
      </c>
      <c r="B1356" t="inlineStr">
        <is>
          <t>69f81442000000003502bb5d</t>
        </is>
      </c>
      <c r="C1356" s="1355" t="n">
        <f>HYPERLINK("https://www.xiaohongshu.com/explore/69f81442000000003502bb5d?xsec_token=TBkBA6XU0_IUqvxj9keWfnf_v_5D6NxOihvll-LFGjPI0=&amp;xsec_source=pc_trdark","https://www.xiaohongshu.com/explore/69f81442000000003502bb5d?xsec_token=TBkBA6XU0_IUqvxj9keWfnf_v_5D6NxOihvll-LFGjPI0=&amp;xsec_source=pc_trdark")</f>
        <v>0.0</v>
      </c>
      <c r="D1356" t="inlineStr">
        <is>
          <t>鲜水湾甄选</t>
        </is>
      </c>
      <c r="E1356" t="inlineStr">
        <is>
          <t>27401929161</t>
        </is>
      </c>
      <c r="F1356" t="inlineStr">
        <is>
          <t>2026-05-04 11:36:35</t>
        </is>
      </c>
      <c r="G1356" t="inlineStr">
        <is>
          <t>图文</t>
        </is>
      </c>
      <c r="H1356" t="inlineStr">
        <is>
          <t>手剥虾仁 无冰衣无添加 低脂餐一人食 上班带饭 顺丰包邮 5盒装</t>
        </is>
      </c>
      <c r="I1356" t="inlineStr">
        <is>
          <t>694baba01d450d00013662f0</t>
        </is>
      </c>
      <c r="J1356" t="inlineStr">
        <is>
          <t/>
        </is>
      </c>
      <c r="K1356" t="n">
        <v>0.0</v>
      </c>
      <c r="L1356" t="n">
        <v>0.0</v>
      </c>
      <c r="M1356" t="n">
        <v>0.0</v>
      </c>
      <c r="N1356" t="inlineStr">
        <is>
          <t/>
        </is>
      </c>
      <c r="O1356" t="n">
        <v>0.0</v>
      </c>
      <c r="P1356" t="n">
        <v>0.0</v>
      </c>
      <c r="Q1356" t="inlineStr">
        <is>
          <t/>
        </is>
      </c>
      <c r="R1356" t="inlineStr">
        <is>
          <t/>
        </is>
      </c>
      <c r="S1356" t="n">
        <v>0.0</v>
      </c>
      <c r="T1356" t="n">
        <v>0.0</v>
      </c>
      <c r="U1356" t="n">
        <v>0.0</v>
      </c>
      <c r="V1356" t="n">
        <v>0.0</v>
      </c>
      <c r="W1356" t="inlineStr">
        <is>
          <t/>
        </is>
      </c>
      <c r="X1356" t="n">
        <v>0.0</v>
      </c>
      <c r="Y1356" t="n">
        <v>0.0</v>
      </c>
      <c r="Z1356" t="n">
        <v>0.0</v>
      </c>
      <c r="AA1356" t="n">
        <v>0.0</v>
      </c>
      <c r="AB1356" t="n">
        <v>0.0</v>
      </c>
      <c r="AC1356" t="n">
        <v>0.0</v>
      </c>
      <c r="AD1356" t="n">
        <v>0.0</v>
      </c>
      <c r="AE1356" t="n">
        <v>0.0</v>
      </c>
      <c r="AF1356" t="n">
        <v>0.0</v>
      </c>
      <c r="AG1356" t="n">
        <v>0.0</v>
      </c>
      <c r="AH1356" t="n">
        <v>0.0</v>
      </c>
      <c r="AI1356" t="n">
        <v>0.0</v>
      </c>
      <c r="AJ1356" t="n">
        <v>0.0</v>
      </c>
      <c r="AK1356" t="inlineStr">
        <is>
          <t/>
        </is>
      </c>
      <c r="AL1356" t="inlineStr">
        <is>
          <t/>
        </is>
      </c>
    </row>
    <row r="1357">
      <c r="A1357" t="inlineStr">
        <is>
          <t>练后补给最严厉的母亲</t>
        </is>
      </c>
      <c r="B1357" t="inlineStr">
        <is>
          <t>69f71e58000000003503103a</t>
        </is>
      </c>
      <c r="C1357" s="1356" t="n">
        <f>HYPERLINK("https://www.xiaohongshu.com/explore/69f71e58000000003503103a?xsec_token=TBGeqv5bONIIPR_YmoO2EAFDb-JyBr-cHG_0U1BORF52o=&amp;xsec_source=pc_trdark","https://www.xiaohongshu.com/explore/69f71e58000000003503103a?xsec_token=TBGeqv5bONIIPR_YmoO2EAFDb-JyBr-cHG_0U1BORF52o=&amp;xsec_source=pc_trdark")</f>
        <v>0.0</v>
      </c>
      <c r="D1357" t="inlineStr">
        <is>
          <t>鲜水湾甄选</t>
        </is>
      </c>
      <c r="E1357" t="inlineStr">
        <is>
          <t>27401929161</t>
        </is>
      </c>
      <c r="F1357" t="inlineStr">
        <is>
          <t>2026-05-03 18:07:20</t>
        </is>
      </c>
      <c r="G1357" t="inlineStr">
        <is>
          <t>图文</t>
        </is>
      </c>
      <c r="H1357" t="inlineStr">
        <is>
          <t>手剥虾仁 无冰衣无添加 低脂餐一人食 上班带饭 顺丰包邮 5盒装</t>
        </is>
      </c>
      <c r="I1357" t="inlineStr">
        <is>
          <t>694baba01d450d00013662f0</t>
        </is>
      </c>
      <c r="J1357" t="inlineStr">
        <is>
          <t/>
        </is>
      </c>
      <c r="K1357" t="n">
        <v>0.0</v>
      </c>
      <c r="L1357" t="n">
        <v>0.0</v>
      </c>
      <c r="M1357" t="n">
        <v>0.0</v>
      </c>
      <c r="N1357" t="inlineStr">
        <is>
          <t/>
        </is>
      </c>
      <c r="O1357" t="n">
        <v>0.0</v>
      </c>
      <c r="P1357" t="n">
        <v>0.0</v>
      </c>
      <c r="Q1357" t="inlineStr">
        <is>
          <t/>
        </is>
      </c>
      <c r="R1357" t="inlineStr">
        <is>
          <t/>
        </is>
      </c>
      <c r="S1357" t="n">
        <v>0.0</v>
      </c>
      <c r="T1357" t="n">
        <v>0.0</v>
      </c>
      <c r="U1357" t="n">
        <v>0.0</v>
      </c>
      <c r="V1357" t="n">
        <v>0.0</v>
      </c>
      <c r="W1357" t="inlineStr">
        <is>
          <t/>
        </is>
      </c>
      <c r="X1357" t="n">
        <v>0.0</v>
      </c>
      <c r="Y1357" t="n">
        <v>0.0</v>
      </c>
      <c r="Z1357" t="n">
        <v>0.0</v>
      </c>
      <c r="AA1357" t="n">
        <v>0.0</v>
      </c>
      <c r="AB1357" t="n">
        <v>0.0</v>
      </c>
      <c r="AC1357" t="n">
        <v>0.0</v>
      </c>
      <c r="AD1357" t="n">
        <v>0.0</v>
      </c>
      <c r="AE1357" t="n">
        <v>0.0</v>
      </c>
      <c r="AF1357" t="n">
        <v>0.0</v>
      </c>
      <c r="AG1357" t="n">
        <v>0.0</v>
      </c>
      <c r="AH1357" t="n">
        <v>0.0</v>
      </c>
      <c r="AI1357" t="n">
        <v>0.0</v>
      </c>
      <c r="AJ1357" t="n">
        <v>0.0</v>
      </c>
      <c r="AK1357" t="inlineStr">
        <is>
          <t/>
        </is>
      </c>
      <c r="AL1357" t="inlineStr">
        <is>
          <t/>
        </is>
      </c>
    </row>
    <row r="1358">
      <c r="A1358" t="inlineStr">
        <is>
          <t>这69块一周的减脂餐，吃！</t>
        </is>
      </c>
      <c r="B1358" t="inlineStr">
        <is>
          <t>69f71e28000000001a037687</t>
        </is>
      </c>
      <c r="C1358" s="1357" t="n">
        <f>HYPERLINK("https://www.xiaohongshu.com/explore/69f71e28000000001a037687?xsec_token=TBGeqv5bONIIPR_YmoO2EAFPyTDn3bLxG32_hH6Q5xo5c=&amp;xsec_source=pc_trdark","https://www.xiaohongshu.com/explore/69f71e28000000001a037687?xsec_token=TBGeqv5bONIIPR_YmoO2EAFPyTDn3bLxG32_hH6Q5xo5c=&amp;xsec_source=pc_trdark")</f>
        <v>0.0</v>
      </c>
      <c r="D1358" t="inlineStr">
        <is>
          <t>菲菲上班吃什么</t>
        </is>
      </c>
      <c r="E1358" t="inlineStr">
        <is>
          <t>49936530607</t>
        </is>
      </c>
      <c r="F1358" t="inlineStr">
        <is>
          <t>2026-05-03 18:06:32</t>
        </is>
      </c>
      <c r="G1358" t="inlineStr">
        <is>
          <t>图文</t>
        </is>
      </c>
      <c r="H1358" t="inlineStr">
        <is>
          <t>手剥虾仁 无冰衣无添加 低脂餐一人食 上班带饭 顺丰包邮 5盒装</t>
        </is>
      </c>
      <c r="I1358" t="inlineStr">
        <is>
          <t>694baba01d450d00013662f0</t>
        </is>
      </c>
      <c r="J1358" t="inlineStr">
        <is>
          <t/>
        </is>
      </c>
      <c r="K1358" t="n">
        <v>0.0</v>
      </c>
      <c r="L1358" t="n">
        <v>0.0</v>
      </c>
      <c r="M1358" t="n">
        <v>0.0</v>
      </c>
      <c r="N1358" t="inlineStr">
        <is>
          <t/>
        </is>
      </c>
      <c r="O1358" t="n">
        <v>0.0</v>
      </c>
      <c r="P1358" t="n">
        <v>0.0</v>
      </c>
      <c r="Q1358" t="inlineStr">
        <is>
          <t/>
        </is>
      </c>
      <c r="R1358" t="inlineStr">
        <is>
          <t/>
        </is>
      </c>
      <c r="S1358" t="n">
        <v>0.0</v>
      </c>
      <c r="T1358" t="n">
        <v>0.0</v>
      </c>
      <c r="U1358" t="n">
        <v>0.0</v>
      </c>
      <c r="V1358" t="n">
        <v>0.0</v>
      </c>
      <c r="W1358" t="inlineStr">
        <is>
          <t/>
        </is>
      </c>
      <c r="X1358" t="n">
        <v>0.0</v>
      </c>
      <c r="Y1358" t="n">
        <v>0.0</v>
      </c>
      <c r="Z1358" t="n">
        <v>0.0</v>
      </c>
      <c r="AA1358" t="n">
        <v>0.0</v>
      </c>
      <c r="AB1358" t="n">
        <v>0.0</v>
      </c>
      <c r="AC1358" t="n">
        <v>0.0</v>
      </c>
      <c r="AD1358" t="n">
        <v>0.0</v>
      </c>
      <c r="AE1358" t="n">
        <v>0.0</v>
      </c>
      <c r="AF1358" t="n">
        <v>0.0</v>
      </c>
      <c r="AG1358" t="n">
        <v>0.0</v>
      </c>
      <c r="AH1358" t="n">
        <v>0.0</v>
      </c>
      <c r="AI1358" t="n">
        <v>0.0</v>
      </c>
      <c r="AJ1358" t="n">
        <v>0.0</v>
      </c>
      <c r="AK1358" t="inlineStr">
        <is>
          <t/>
        </is>
      </c>
      <c r="AL1358" t="inlineStr">
        <is>
          <t/>
        </is>
      </c>
    </row>
    <row r="1359">
      <c r="A1359" t="inlineStr">
        <is>
          <t>减脂期的快乐！是69r吃一周的虾仁给的🍤</t>
        </is>
      </c>
      <c r="B1359" t="inlineStr">
        <is>
          <t>69f6f7590000000035032ed5</t>
        </is>
      </c>
      <c r="C1359" s="1358" t="n">
        <f>HYPERLINK("https://www.xiaohongshu.com/explore/69f6f7590000000035032ed5?xsec_token=TB20o0qnmsBxzTgkEtNK91jU7vWDTakP7icGTM_7e3VRs=&amp;xsec_source=pc_trdark","https://www.xiaohongshu.com/explore/69f6f7590000000035032ed5?xsec_token=TB20o0qnmsBxzTgkEtNK91jU7vWDTakP7icGTM_7e3VRs=&amp;xsec_source=pc_trdark")</f>
        <v>0.0</v>
      </c>
      <c r="D1359" t="inlineStr">
        <is>
          <t>鲜水湾甄选</t>
        </is>
      </c>
      <c r="E1359" t="inlineStr">
        <is>
          <t>27401929161</t>
        </is>
      </c>
      <c r="F1359" t="inlineStr">
        <is>
          <t>2026-05-03 15:20:58</t>
        </is>
      </c>
      <c r="G1359" t="inlineStr">
        <is>
          <t>图文</t>
        </is>
      </c>
      <c r="H1359" t="inlineStr">
        <is>
          <t>手剥虾仁 无冰衣无添加 低脂餐一人食 上班带饭 顺丰包邮 5盒装</t>
        </is>
      </c>
      <c r="I1359" t="inlineStr">
        <is>
          <t>694baba01d450d00013662f0</t>
        </is>
      </c>
      <c r="J1359" t="inlineStr">
        <is>
          <t/>
        </is>
      </c>
      <c r="K1359" t="n">
        <v>0.0</v>
      </c>
      <c r="L1359" t="n">
        <v>0.0</v>
      </c>
      <c r="M1359" t="n">
        <v>0.0</v>
      </c>
      <c r="N1359" t="inlineStr">
        <is>
          <t/>
        </is>
      </c>
      <c r="O1359" t="n">
        <v>0.0</v>
      </c>
      <c r="P1359" t="n">
        <v>0.0</v>
      </c>
      <c r="Q1359" t="inlineStr">
        <is>
          <t/>
        </is>
      </c>
      <c r="R1359" t="inlineStr">
        <is>
          <t/>
        </is>
      </c>
      <c r="S1359" t="n">
        <v>0.0</v>
      </c>
      <c r="T1359" t="n">
        <v>0.0</v>
      </c>
      <c r="U1359" t="n">
        <v>0.0</v>
      </c>
      <c r="V1359" t="n">
        <v>0.0</v>
      </c>
      <c r="W1359" t="inlineStr">
        <is>
          <t/>
        </is>
      </c>
      <c r="X1359" t="n">
        <v>0.0</v>
      </c>
      <c r="Y1359" t="n">
        <v>0.0</v>
      </c>
      <c r="Z1359" t="n">
        <v>0.0</v>
      </c>
      <c r="AA1359" t="n">
        <v>0.0</v>
      </c>
      <c r="AB1359" t="n">
        <v>0.0</v>
      </c>
      <c r="AC1359" t="n">
        <v>0.0</v>
      </c>
      <c r="AD1359" t="n">
        <v>0.0</v>
      </c>
      <c r="AE1359" t="n">
        <v>0.0</v>
      </c>
      <c r="AF1359" t="n">
        <v>0.0</v>
      </c>
      <c r="AG1359" t="n">
        <v>0.0</v>
      </c>
      <c r="AH1359" t="n">
        <v>0.0</v>
      </c>
      <c r="AI1359" t="n">
        <v>0.0</v>
      </c>
      <c r="AJ1359" t="n">
        <v>0.0</v>
      </c>
      <c r="AK1359" t="inlineStr">
        <is>
          <t/>
        </is>
      </c>
      <c r="AL1359" t="inlineStr">
        <is>
          <t/>
        </is>
      </c>
    </row>
    <row r="1360">
      <c r="A1360" t="inlineStr">
        <is>
          <t>我称它为我春日减脂大功臣！</t>
        </is>
      </c>
      <c r="B1360" t="inlineStr">
        <is>
          <t>69f6bac10000000035029cc5</t>
        </is>
      </c>
      <c r="C1360" s="1359" t="n">
        <f>HYPERLINK("https://www.xiaohongshu.com/explore/69f6bac10000000035029cc5?xsec_token=TB20o0qnmsBxzTgkEtNK91jeSKtyeO3TbeU1rpDFjHABg=&amp;xsec_source=pc_trdark","https://www.xiaohongshu.com/explore/69f6bac10000000035029cc5?xsec_token=TB20o0qnmsBxzTgkEtNK91jeSKtyeO3TbeU1rpDFjHABg=&amp;xsec_source=pc_trdark")</f>
        <v>0.0</v>
      </c>
      <c r="D1360" t="inlineStr">
        <is>
          <t>鲜水湾甄选</t>
        </is>
      </c>
      <c r="E1360" t="inlineStr">
        <is>
          <t>27401929161</t>
        </is>
      </c>
      <c r="F1360" t="inlineStr">
        <is>
          <t>2026-05-03 11:02:25</t>
        </is>
      </c>
      <c r="G1360" t="inlineStr">
        <is>
          <t>图文</t>
        </is>
      </c>
      <c r="H1360" t="inlineStr">
        <is>
          <t>手剥虾仁 无冰衣无添加 低脂餐一人食 上班带饭 顺丰包邮 5盒装</t>
        </is>
      </c>
      <c r="I1360" t="inlineStr">
        <is>
          <t>694baba01d450d00013662f0</t>
        </is>
      </c>
      <c r="J1360" t="inlineStr">
        <is>
          <t/>
        </is>
      </c>
      <c r="K1360" t="n">
        <v>0.0</v>
      </c>
      <c r="L1360" t="n">
        <v>0.0</v>
      </c>
      <c r="M1360" t="n">
        <v>0.0</v>
      </c>
      <c r="N1360" t="inlineStr">
        <is>
          <t/>
        </is>
      </c>
      <c r="O1360" t="n">
        <v>0.0</v>
      </c>
      <c r="P1360" t="n">
        <v>0.0</v>
      </c>
      <c r="Q1360" t="inlineStr">
        <is>
          <t/>
        </is>
      </c>
      <c r="R1360" t="inlineStr">
        <is>
          <t/>
        </is>
      </c>
      <c r="S1360" t="n">
        <v>0.0</v>
      </c>
      <c r="T1360" t="n">
        <v>0.0</v>
      </c>
      <c r="U1360" t="n">
        <v>0.0</v>
      </c>
      <c r="V1360" t="n">
        <v>0.0</v>
      </c>
      <c r="W1360" t="inlineStr">
        <is>
          <t/>
        </is>
      </c>
      <c r="X1360" t="n">
        <v>0.0</v>
      </c>
      <c r="Y1360" t="n">
        <v>0.0</v>
      </c>
      <c r="Z1360" t="n">
        <v>0.0</v>
      </c>
      <c r="AA1360" t="n">
        <v>0.0</v>
      </c>
      <c r="AB1360" t="n">
        <v>0.0</v>
      </c>
      <c r="AC1360" t="n">
        <v>0.0</v>
      </c>
      <c r="AD1360" t="n">
        <v>0.0</v>
      </c>
      <c r="AE1360" t="n">
        <v>0.0</v>
      </c>
      <c r="AF1360" t="n">
        <v>0.0</v>
      </c>
      <c r="AG1360" t="n">
        <v>0.0</v>
      </c>
      <c r="AH1360" t="n">
        <v>0.0</v>
      </c>
      <c r="AI1360" t="n">
        <v>0.0</v>
      </c>
      <c r="AJ1360" t="n">
        <v>0.0</v>
      </c>
      <c r="AK1360" t="inlineStr">
        <is>
          <t/>
        </is>
      </c>
      <c r="AL1360" t="inlineStr">
        <is>
          <t/>
        </is>
      </c>
    </row>
    <row r="1361">
      <c r="A1361" t="inlineStr">
        <is>
          <t>五一别人特种兵旅游，我靠69块偷偷逆袭…</t>
        </is>
      </c>
      <c r="B1361" t="inlineStr">
        <is>
          <t>69f6ba59000000002300616c</t>
        </is>
      </c>
      <c r="C1361" s="1360" t="n">
        <f>HYPERLINK("https://www.xiaohongshu.com/explore/69f6ba59000000002300616c?xsec_token=TB20o0qnmsBxzTgkEtNK91jR6NOidkPBP4omlOgxbO7Tg=&amp;xsec_source=pc_trdark","https://www.xiaohongshu.com/explore/69f6ba59000000002300616c?xsec_token=TB20o0qnmsBxzTgkEtNK91jR6NOidkPBP4omlOgxbO7Tg=&amp;xsec_source=pc_trdark")</f>
        <v>0.0</v>
      </c>
      <c r="D1361" t="inlineStr">
        <is>
          <t>菲菲上班吃什么</t>
        </is>
      </c>
      <c r="E1361" t="inlineStr">
        <is>
          <t>49936530607</t>
        </is>
      </c>
      <c r="F1361" t="inlineStr">
        <is>
          <t>2026-05-03 11:00:41</t>
        </is>
      </c>
      <c r="G1361" t="inlineStr">
        <is>
          <t>图文</t>
        </is>
      </c>
      <c r="H1361" t="inlineStr">
        <is>
          <t>手剥虾仁 无冰衣无添加 低脂餐一人食 上班带饭 顺丰包邮 5盒装</t>
        </is>
      </c>
      <c r="I1361" t="inlineStr">
        <is>
          <t>694baba01d450d00013662f0</t>
        </is>
      </c>
      <c r="J1361" t="inlineStr">
        <is>
          <t/>
        </is>
      </c>
      <c r="K1361" t="n">
        <v>0.0</v>
      </c>
      <c r="L1361" t="n">
        <v>0.0</v>
      </c>
      <c r="M1361" t="n">
        <v>0.0</v>
      </c>
      <c r="N1361" t="inlineStr">
        <is>
          <t/>
        </is>
      </c>
      <c r="O1361" t="n">
        <v>0.0</v>
      </c>
      <c r="P1361" t="n">
        <v>0.0</v>
      </c>
      <c r="Q1361" t="inlineStr">
        <is>
          <t/>
        </is>
      </c>
      <c r="R1361" t="inlineStr">
        <is>
          <t/>
        </is>
      </c>
      <c r="S1361" t="n">
        <v>0.0</v>
      </c>
      <c r="T1361" t="n">
        <v>0.0</v>
      </c>
      <c r="U1361" t="n">
        <v>0.0</v>
      </c>
      <c r="V1361" t="n">
        <v>0.0</v>
      </c>
      <c r="W1361" t="inlineStr">
        <is>
          <t/>
        </is>
      </c>
      <c r="X1361" t="n">
        <v>0.0</v>
      </c>
      <c r="Y1361" t="n">
        <v>0.0</v>
      </c>
      <c r="Z1361" t="n">
        <v>0.0</v>
      </c>
      <c r="AA1361" t="n">
        <v>0.0</v>
      </c>
      <c r="AB1361" t="n">
        <v>0.0</v>
      </c>
      <c r="AC1361" t="n">
        <v>0.0</v>
      </c>
      <c r="AD1361" t="n">
        <v>0.0</v>
      </c>
      <c r="AE1361" t="n">
        <v>0.0</v>
      </c>
      <c r="AF1361" t="n">
        <v>0.0</v>
      </c>
      <c r="AG1361" t="n">
        <v>0.0</v>
      </c>
      <c r="AH1361" t="n">
        <v>0.0</v>
      </c>
      <c r="AI1361" t="n">
        <v>0.0</v>
      </c>
      <c r="AJ1361" t="n">
        <v>0.0</v>
      </c>
      <c r="AK1361" t="inlineStr">
        <is>
          <t/>
        </is>
      </c>
      <c r="AL1361" t="inlineStr">
        <is>
          <t/>
        </is>
      </c>
    </row>
    <row r="1362">
      <c r="A1362" t="inlineStr">
        <is>
          <t>减脂吃虾仁，居然被说瞎讲究？</t>
        </is>
      </c>
      <c r="B1362" t="inlineStr">
        <is>
          <t>69f5f297000000003502c36c</t>
        </is>
      </c>
      <c r="C1362" s="1361" t="n">
        <f>HYPERLINK("https://www.xiaohongshu.com/explore/69f5f297000000003502c36c?xsec_token=TB1sypu4FwtYdfi9RYa_cO60H8UrYW-fpHWyTLH2oU3_w=&amp;xsec_source=pc_trdark","https://www.xiaohongshu.com/explore/69f5f297000000003502c36c?xsec_token=TB1sypu4FwtYdfi9RYa_cO60H8UrYW-fpHWyTLH2oU3_w=&amp;xsec_source=pc_trdark")</f>
        <v>0.0</v>
      </c>
      <c r="D1362" t="inlineStr">
        <is>
          <t>鲜水湾甄选</t>
        </is>
      </c>
      <c r="E1362" t="inlineStr">
        <is>
          <t>27401929161</t>
        </is>
      </c>
      <c r="F1362" t="inlineStr">
        <is>
          <t>2026-05-02 20:48:23</t>
        </is>
      </c>
      <c r="G1362" t="inlineStr">
        <is>
          <t>图文</t>
        </is>
      </c>
      <c r="H1362" t="inlineStr">
        <is>
          <t>手剥虾仁 无冰衣无添加 低脂餐一人食 上班带饭 顺丰包邮 5盒装</t>
        </is>
      </c>
      <c r="I1362" t="inlineStr">
        <is>
          <t>694baba01d450d00013662f0</t>
        </is>
      </c>
      <c r="J1362" t="inlineStr">
        <is>
          <t/>
        </is>
      </c>
      <c r="K1362" t="n">
        <v>0.0</v>
      </c>
      <c r="L1362" t="n">
        <v>0.0</v>
      </c>
      <c r="M1362" t="n">
        <v>0.0</v>
      </c>
      <c r="N1362" t="inlineStr">
        <is>
          <t/>
        </is>
      </c>
      <c r="O1362" t="n">
        <v>0.0</v>
      </c>
      <c r="P1362" t="n">
        <v>0.0</v>
      </c>
      <c r="Q1362" t="inlineStr">
        <is>
          <t/>
        </is>
      </c>
      <c r="R1362" t="inlineStr">
        <is>
          <t/>
        </is>
      </c>
      <c r="S1362" t="n">
        <v>0.0</v>
      </c>
      <c r="T1362" t="n">
        <v>0.0</v>
      </c>
      <c r="U1362" t="n">
        <v>0.0</v>
      </c>
      <c r="V1362" t="n">
        <v>0.0</v>
      </c>
      <c r="W1362" t="inlineStr">
        <is>
          <t/>
        </is>
      </c>
      <c r="X1362" t="n">
        <v>0.0</v>
      </c>
      <c r="Y1362" t="n">
        <v>0.0</v>
      </c>
      <c r="Z1362" t="n">
        <v>0.0</v>
      </c>
      <c r="AA1362" t="n">
        <v>0.0</v>
      </c>
      <c r="AB1362" t="n">
        <v>0.0</v>
      </c>
      <c r="AC1362" t="n">
        <v>0.0</v>
      </c>
      <c r="AD1362" t="n">
        <v>0.0</v>
      </c>
      <c r="AE1362" t="n">
        <v>0.0</v>
      </c>
      <c r="AF1362" t="n">
        <v>0.0</v>
      </c>
      <c r="AG1362" t="n">
        <v>0.0</v>
      </c>
      <c r="AH1362" t="n">
        <v>0.0</v>
      </c>
      <c r="AI1362" t="n">
        <v>0.0</v>
      </c>
      <c r="AJ1362" t="n">
        <v>0.0</v>
      </c>
      <c r="AK1362" t="inlineStr">
        <is>
          <t/>
        </is>
      </c>
      <c r="AL1362" t="inlineStr">
        <is>
          <t/>
        </is>
      </c>
    </row>
    <row r="1363">
      <c r="A1363" t="inlineStr">
        <is>
          <t>小红书跟风入的虾仁！69r居然吃了一周</t>
        </is>
      </c>
      <c r="B1363" t="inlineStr">
        <is>
          <t>69f5cf5a0000000035038f01</t>
        </is>
      </c>
      <c r="C1363" s="1362" t="n">
        <f>HYPERLINK("https://www.xiaohongshu.com/explore/69f5cf5a0000000035038f01?xsec_token=TB1sypu4FwtYdfi9RYa_cO6w7-0GfwP6DHXw8Rxadakx4=&amp;xsec_source=pc_trdark","https://www.xiaohongshu.com/explore/69f5cf5a0000000035038f01?xsec_token=TB1sypu4FwtYdfi9RYa_cO6w7-0GfwP6DHXw8Rxadakx4=&amp;xsec_source=pc_trdark")</f>
        <v>0.0</v>
      </c>
      <c r="D1363" t="inlineStr">
        <is>
          <t>鲜水湾甄选</t>
        </is>
      </c>
      <c r="E1363" t="inlineStr">
        <is>
          <t>27401929161</t>
        </is>
      </c>
      <c r="F1363" t="inlineStr">
        <is>
          <t>2026-05-02 18:18:03</t>
        </is>
      </c>
      <c r="G1363" t="inlineStr">
        <is>
          <t>图文</t>
        </is>
      </c>
      <c r="H1363" t="inlineStr">
        <is>
          <t>手剥虾仁 无冰衣无添加 低脂餐一人食 上班带饭 顺丰包邮 5盒装</t>
        </is>
      </c>
      <c r="I1363" t="inlineStr">
        <is>
          <t>694baba01d450d00013662f0</t>
        </is>
      </c>
      <c r="J1363" t="inlineStr">
        <is>
          <t/>
        </is>
      </c>
      <c r="K1363" t="n">
        <v>0.0</v>
      </c>
      <c r="L1363" t="n">
        <v>0.0</v>
      </c>
      <c r="M1363" t="n">
        <v>0.0</v>
      </c>
      <c r="N1363" t="inlineStr">
        <is>
          <t/>
        </is>
      </c>
      <c r="O1363" t="n">
        <v>0.0</v>
      </c>
      <c r="P1363" t="n">
        <v>0.0</v>
      </c>
      <c r="Q1363" t="inlineStr">
        <is>
          <t/>
        </is>
      </c>
      <c r="R1363" t="inlineStr">
        <is>
          <t/>
        </is>
      </c>
      <c r="S1363" t="n">
        <v>0.0</v>
      </c>
      <c r="T1363" t="n">
        <v>0.0</v>
      </c>
      <c r="U1363" t="n">
        <v>0.0</v>
      </c>
      <c r="V1363" t="n">
        <v>0.0</v>
      </c>
      <c r="W1363" t="inlineStr">
        <is>
          <t/>
        </is>
      </c>
      <c r="X1363" t="n">
        <v>0.0</v>
      </c>
      <c r="Y1363" t="n">
        <v>0.0</v>
      </c>
      <c r="Z1363" t="n">
        <v>0.0</v>
      </c>
      <c r="AA1363" t="n">
        <v>0.0</v>
      </c>
      <c r="AB1363" t="n">
        <v>0.0</v>
      </c>
      <c r="AC1363" t="n">
        <v>0.0</v>
      </c>
      <c r="AD1363" t="n">
        <v>0.0</v>
      </c>
      <c r="AE1363" t="n">
        <v>0.0</v>
      </c>
      <c r="AF1363" t="n">
        <v>0.0</v>
      </c>
      <c r="AG1363" t="n">
        <v>0.0</v>
      </c>
      <c r="AH1363" t="n">
        <v>0.0</v>
      </c>
      <c r="AI1363" t="n">
        <v>0.0</v>
      </c>
      <c r="AJ1363" t="n">
        <v>0.0</v>
      </c>
      <c r="AK1363" t="inlineStr">
        <is>
          <t/>
        </is>
      </c>
      <c r="AL1363" t="inlineStr">
        <is>
          <t/>
        </is>
      </c>
    </row>
    <row r="1364">
      <c r="A1364" t="inlineStr">
        <is>
          <t>来抄作业——69💰吃一周减脂餐</t>
        </is>
      </c>
      <c r="B1364" t="inlineStr">
        <is>
          <t>69f5cf0b000000001a02cee2</t>
        </is>
      </c>
      <c r="C1364" s="1363" t="n">
        <f>HYPERLINK("https://www.xiaohongshu.com/explore/69f5cf0b000000001a02cee2?xsec_token=TB1sypu4FwtYdfi9RYa_cO63SnHbPQm1ID3pdofJ8OUp8=&amp;xsec_source=pc_trdark","https://www.xiaohongshu.com/explore/69f5cf0b000000001a02cee2?xsec_token=TB1sypu4FwtYdfi9RYa_cO63SnHbPQm1ID3pdofJ8OUp8=&amp;xsec_source=pc_trdark")</f>
        <v>0.0</v>
      </c>
      <c r="D1364" t="inlineStr">
        <is>
          <t>菲菲上班吃什么</t>
        </is>
      </c>
      <c r="E1364" t="inlineStr">
        <is>
          <t>49936530607</t>
        </is>
      </c>
      <c r="F1364" t="inlineStr">
        <is>
          <t>2026-05-02 18:16:44</t>
        </is>
      </c>
      <c r="G1364" t="inlineStr">
        <is>
          <t>图文</t>
        </is>
      </c>
      <c r="H1364" t="inlineStr">
        <is>
          <t>手剥虾仁 无冰衣无添加 低脂餐一人食 上班带饭 顺丰包邮 5盒装</t>
        </is>
      </c>
      <c r="I1364" t="inlineStr">
        <is>
          <t>694baba01d450d00013662f0</t>
        </is>
      </c>
      <c r="J1364" t="inlineStr">
        <is>
          <t/>
        </is>
      </c>
      <c r="K1364" t="n">
        <v>0.0</v>
      </c>
      <c r="L1364" t="n">
        <v>0.0</v>
      </c>
      <c r="M1364" t="n">
        <v>0.0</v>
      </c>
      <c r="N1364" t="inlineStr">
        <is>
          <t/>
        </is>
      </c>
      <c r="O1364" t="n">
        <v>0.0</v>
      </c>
      <c r="P1364" t="n">
        <v>0.0</v>
      </c>
      <c r="Q1364" t="inlineStr">
        <is>
          <t/>
        </is>
      </c>
      <c r="R1364" t="inlineStr">
        <is>
          <t/>
        </is>
      </c>
      <c r="S1364" t="n">
        <v>0.0</v>
      </c>
      <c r="T1364" t="n">
        <v>0.0</v>
      </c>
      <c r="U1364" t="n">
        <v>0.0</v>
      </c>
      <c r="V1364" t="n">
        <v>0.0</v>
      </c>
      <c r="W1364" t="inlineStr">
        <is>
          <t/>
        </is>
      </c>
      <c r="X1364" t="n">
        <v>0.0</v>
      </c>
      <c r="Y1364" t="n">
        <v>0.0</v>
      </c>
      <c r="Z1364" t="n">
        <v>0.0</v>
      </c>
      <c r="AA1364" t="n">
        <v>0.0</v>
      </c>
      <c r="AB1364" t="n">
        <v>0.0</v>
      </c>
      <c r="AC1364" t="n">
        <v>0.0</v>
      </c>
      <c r="AD1364" t="n">
        <v>0.0</v>
      </c>
      <c r="AE1364" t="n">
        <v>0.0</v>
      </c>
      <c r="AF1364" t="n">
        <v>0.0</v>
      </c>
      <c r="AG1364" t="n">
        <v>0.0</v>
      </c>
      <c r="AH1364" t="n">
        <v>0.0</v>
      </c>
      <c r="AI1364" t="n">
        <v>0.0</v>
      </c>
      <c r="AJ1364" t="n">
        <v>0.0</v>
      </c>
      <c r="AK1364" t="inlineStr">
        <is>
          <t/>
        </is>
      </c>
      <c r="AL1364" t="inlineStr">
        <is>
          <t/>
        </is>
      </c>
    </row>
    <row r="1365">
      <c r="A1365" t="inlineStr">
        <is>
          <t>100块吃不了一顿火锅却承包我一周轻食餐</t>
        </is>
      </c>
      <c r="B1365" t="inlineStr">
        <is>
          <t>69f5bd47000000002003a148</t>
        </is>
      </c>
      <c r="C1365" s="1364" t="n">
        <f>HYPERLINK("https://www.xiaohongshu.com/explore/69f5bd47000000002003a148?xsec_token=TB1sypu4FwtYdfi9RYa_cO6wtkUjYpR_ToTIF53PFBLVs=&amp;xsec_source=pc_trdark","https://www.xiaohongshu.com/explore/69f5bd47000000002003a148?xsec_token=TB1sypu4FwtYdfi9RYa_cO6wtkUjYpR_ToTIF53PFBLVs=&amp;xsec_source=pc_trdark")</f>
        <v>0.0</v>
      </c>
      <c r="D1365" t="inlineStr">
        <is>
          <t>菲菲上班吃什么</t>
        </is>
      </c>
      <c r="E1365" t="inlineStr">
        <is>
          <t>49936530607</t>
        </is>
      </c>
      <c r="F1365" t="inlineStr">
        <is>
          <t>2026-05-02 17:00:55</t>
        </is>
      </c>
      <c r="G1365" t="inlineStr">
        <is>
          <t>图文</t>
        </is>
      </c>
      <c r="H1365" t="inlineStr">
        <is>
          <t>手剥虾仁 无冰衣无添加 低脂餐一人食 上班带饭 顺丰包邮 5盒装</t>
        </is>
      </c>
      <c r="I1365" t="inlineStr">
        <is>
          <t>694baba01d450d00013662f0</t>
        </is>
      </c>
      <c r="J1365" t="inlineStr">
        <is>
          <t/>
        </is>
      </c>
      <c r="K1365" t="n">
        <v>0.0</v>
      </c>
      <c r="L1365" t="n">
        <v>0.0</v>
      </c>
      <c r="M1365" t="n">
        <v>0.0</v>
      </c>
      <c r="N1365" t="inlineStr">
        <is>
          <t/>
        </is>
      </c>
      <c r="O1365" t="n">
        <v>0.0</v>
      </c>
      <c r="P1365" t="n">
        <v>0.0</v>
      </c>
      <c r="Q1365" t="inlineStr">
        <is>
          <t/>
        </is>
      </c>
      <c r="R1365" t="inlineStr">
        <is>
          <t/>
        </is>
      </c>
      <c r="S1365" t="n">
        <v>0.0</v>
      </c>
      <c r="T1365" t="n">
        <v>0.0</v>
      </c>
      <c r="U1365" t="n">
        <v>0.0</v>
      </c>
      <c r="V1365" t="n">
        <v>0.0</v>
      </c>
      <c r="W1365" t="inlineStr">
        <is>
          <t/>
        </is>
      </c>
      <c r="X1365" t="n">
        <v>0.0</v>
      </c>
      <c r="Y1365" t="n">
        <v>0.0</v>
      </c>
      <c r="Z1365" t="n">
        <v>0.0</v>
      </c>
      <c r="AA1365" t="n">
        <v>0.0</v>
      </c>
      <c r="AB1365" t="n">
        <v>0.0</v>
      </c>
      <c r="AC1365" t="n">
        <v>0.0</v>
      </c>
      <c r="AD1365" t="n">
        <v>0.0</v>
      </c>
      <c r="AE1365" t="n">
        <v>0.0</v>
      </c>
      <c r="AF1365" t="n">
        <v>0.0</v>
      </c>
      <c r="AG1365" t="n">
        <v>0.0</v>
      </c>
      <c r="AH1365" t="n">
        <v>0.0</v>
      </c>
      <c r="AI1365" t="n">
        <v>0.0</v>
      </c>
      <c r="AJ1365" t="n">
        <v>0.0</v>
      </c>
      <c r="AK1365" t="inlineStr">
        <is>
          <t/>
        </is>
      </c>
      <c r="AL1365" t="inlineStr">
        <is>
          <t/>
        </is>
      </c>
    </row>
    <row r="1366">
      <c r="A1366" t="inlineStr">
        <is>
          <t>脱脂牛马的工作餐，终于又一次100斤了🍤</t>
        </is>
      </c>
      <c r="B1366" t="inlineStr">
        <is>
          <t>69f59b4f000000001a037907</t>
        </is>
      </c>
      <c r="C1366" s="1365" t="n">
        <f>HYPERLINK("https://www.xiaohongshu.com/explore/69f59b4f000000001a037907?xsec_token=TB1sypu4FwtYdfi9RYa_cO6_e38Q6wbdZVvc6fsqlecmo=&amp;xsec_source=pc_trdark","https://www.xiaohongshu.com/explore/69f59b4f000000001a037907?xsec_token=TB1sypu4FwtYdfi9RYa_cO6_e38Q6wbdZVvc6fsqlecmo=&amp;xsec_source=pc_trdark")</f>
        <v>0.0</v>
      </c>
      <c r="D1366" t="inlineStr">
        <is>
          <t>菲菲上班吃什么</t>
        </is>
      </c>
      <c r="E1366" t="inlineStr">
        <is>
          <t>49936530607</t>
        </is>
      </c>
      <c r="F1366" t="inlineStr">
        <is>
          <t>2026-05-02 14:35:59</t>
        </is>
      </c>
      <c r="G1366" t="inlineStr">
        <is>
          <t>图文</t>
        </is>
      </c>
      <c r="H1366" t="inlineStr">
        <is>
          <t>手剥虾仁 无冰衣无添加 低脂餐一人食 上班带饭 顺丰包邮 5盒装</t>
        </is>
      </c>
      <c r="I1366" t="inlineStr">
        <is>
          <t>694baba01d450d00013662f0</t>
        </is>
      </c>
      <c r="J1366" t="inlineStr">
        <is>
          <t/>
        </is>
      </c>
      <c r="K1366" t="n">
        <v>0.0</v>
      </c>
      <c r="L1366" t="n">
        <v>0.0</v>
      </c>
      <c r="M1366" t="n">
        <v>0.0</v>
      </c>
      <c r="N1366" t="inlineStr">
        <is>
          <t/>
        </is>
      </c>
      <c r="O1366" t="n">
        <v>0.0</v>
      </c>
      <c r="P1366" t="n">
        <v>0.0</v>
      </c>
      <c r="Q1366" t="inlineStr">
        <is>
          <t/>
        </is>
      </c>
      <c r="R1366" t="inlineStr">
        <is>
          <t/>
        </is>
      </c>
      <c r="S1366" t="n">
        <v>0.0</v>
      </c>
      <c r="T1366" t="n">
        <v>0.0</v>
      </c>
      <c r="U1366" t="n">
        <v>0.0</v>
      </c>
      <c r="V1366" t="n">
        <v>0.0</v>
      </c>
      <c r="W1366" t="inlineStr">
        <is>
          <t/>
        </is>
      </c>
      <c r="X1366" t="n">
        <v>0.0</v>
      </c>
      <c r="Y1366" t="n">
        <v>0.0</v>
      </c>
      <c r="Z1366" t="n">
        <v>0.0</v>
      </c>
      <c r="AA1366" t="n">
        <v>0.0</v>
      </c>
      <c r="AB1366" t="n">
        <v>0.0</v>
      </c>
      <c r="AC1366" t="n">
        <v>0.0</v>
      </c>
      <c r="AD1366" t="n">
        <v>0.0</v>
      </c>
      <c r="AE1366" t="n">
        <v>0.0</v>
      </c>
      <c r="AF1366" t="n">
        <v>0.0</v>
      </c>
      <c r="AG1366" t="n">
        <v>0.0</v>
      </c>
      <c r="AH1366" t="n">
        <v>0.0</v>
      </c>
      <c r="AI1366" t="n">
        <v>0.0</v>
      </c>
      <c r="AJ1366" t="n">
        <v>0.0</v>
      </c>
      <c r="AK1366" t="inlineStr">
        <is>
          <t/>
        </is>
      </c>
      <c r="AL1366" t="inlineStr">
        <is>
          <t/>
        </is>
      </c>
    </row>
    <row r="1367">
      <c r="A1367" t="inlineStr">
        <is>
          <t>这才是真虾仁！减脂期买过坠满意的一次</t>
        </is>
      </c>
      <c r="B1367" t="inlineStr">
        <is>
          <t>69f49a9a0000000035029c1d</t>
        </is>
      </c>
      <c r="C1367" s="1366" t="n">
        <f>HYPERLINK("https://www.xiaohongshu.com/explore/69f49a9a0000000035029c1d?xsec_token=TBXXG03Nicui0Qip9bKum1M8HcbojBYDm1_r0CVtZ0udQ=&amp;xsec_source=pc_trdark","https://www.xiaohongshu.com/explore/69f49a9a0000000035029c1d?xsec_token=TBXXG03Nicui0Qip9bKum1M8HcbojBYDm1_r0CVtZ0udQ=&amp;xsec_source=pc_trdark")</f>
        <v>0.0</v>
      </c>
      <c r="D1367" t="inlineStr">
        <is>
          <t>鲜水湾甄选</t>
        </is>
      </c>
      <c r="E1367" t="inlineStr">
        <is>
          <t>27401929161</t>
        </is>
      </c>
      <c r="F1367" t="inlineStr">
        <is>
          <t>2026-05-01 20:20:42</t>
        </is>
      </c>
      <c r="G1367" t="inlineStr">
        <is>
          <t>图文</t>
        </is>
      </c>
      <c r="H1367" t="inlineStr">
        <is>
          <t>手剥虾仁 无冰衣无添加 低脂餐一人食 上班带饭 顺丰包邮 5盒装</t>
        </is>
      </c>
      <c r="I1367" t="inlineStr">
        <is>
          <t>694baba01d450d00013662f0</t>
        </is>
      </c>
      <c r="J1367" t="inlineStr">
        <is>
          <t/>
        </is>
      </c>
      <c r="K1367" t="n">
        <v>0.0</v>
      </c>
      <c r="L1367" t="n">
        <v>0.0</v>
      </c>
      <c r="M1367" t="n">
        <v>0.0</v>
      </c>
      <c r="N1367" t="inlineStr">
        <is>
          <t/>
        </is>
      </c>
      <c r="O1367" t="n">
        <v>0.0</v>
      </c>
      <c r="P1367" t="n">
        <v>0.0</v>
      </c>
      <c r="Q1367" t="inlineStr">
        <is>
          <t/>
        </is>
      </c>
      <c r="R1367" t="inlineStr">
        <is>
          <t/>
        </is>
      </c>
      <c r="S1367" t="n">
        <v>0.0</v>
      </c>
      <c r="T1367" t="n">
        <v>0.0</v>
      </c>
      <c r="U1367" t="n">
        <v>0.0</v>
      </c>
      <c r="V1367" t="n">
        <v>0.0</v>
      </c>
      <c r="W1367" t="inlineStr">
        <is>
          <t/>
        </is>
      </c>
      <c r="X1367" t="n">
        <v>0.0</v>
      </c>
      <c r="Y1367" t="n">
        <v>0.0</v>
      </c>
      <c r="Z1367" t="n">
        <v>0.0</v>
      </c>
      <c r="AA1367" t="n">
        <v>0.0</v>
      </c>
      <c r="AB1367" t="n">
        <v>0.0</v>
      </c>
      <c r="AC1367" t="n">
        <v>0.0</v>
      </c>
      <c r="AD1367" t="n">
        <v>0.0</v>
      </c>
      <c r="AE1367" t="n">
        <v>0.0</v>
      </c>
      <c r="AF1367" t="n">
        <v>0.0</v>
      </c>
      <c r="AG1367" t="n">
        <v>0.0</v>
      </c>
      <c r="AH1367" t="n">
        <v>0.0</v>
      </c>
      <c r="AI1367" t="n">
        <v>0.0</v>
      </c>
      <c r="AJ1367" t="n">
        <v>0.0</v>
      </c>
      <c r="AK1367" t="inlineStr">
        <is>
          <t/>
        </is>
      </c>
      <c r="AL1367" t="inlineStr">
        <is>
          <t/>
        </is>
      </c>
    </row>
    <row r="1368">
      <c r="A1368" t="inlineStr">
        <is>
          <t>近期在小红书花的最值的69元🍤</t>
        </is>
      </c>
      <c r="B1368" t="inlineStr">
        <is>
          <t>69f484fe000000001a02ef9c</t>
        </is>
      </c>
      <c r="C1368" s="1367" t="n">
        <f>HYPERLINK("https://www.xiaohongshu.com/explore/69f484fe000000001a02ef9c?xsec_token=TBXXG03Nicui0Qip9bKum1M2A8YTb6tMuNVTYK89qlzAE=&amp;xsec_source=pc_trdark","https://www.xiaohongshu.com/explore/69f484fe000000001a02ef9c?xsec_token=TBXXG03Nicui0Qip9bKum1M2A8YTb6tMuNVTYK89qlzAE=&amp;xsec_source=pc_trdark")</f>
        <v>0.0</v>
      </c>
      <c r="D1368" t="inlineStr">
        <is>
          <t>菲菲上班吃什么</t>
        </is>
      </c>
      <c r="E1368" t="inlineStr">
        <is>
          <t>49936530607</t>
        </is>
      </c>
      <c r="F1368" t="inlineStr">
        <is>
          <t>2026-05-01 18:48:30</t>
        </is>
      </c>
      <c r="G1368" t="inlineStr">
        <is>
          <t>图文</t>
        </is>
      </c>
      <c r="H1368" t="inlineStr">
        <is>
          <t>手剥虾仁 无冰衣无添加 低脂餐一人食 上班带饭 顺丰包邮 5盒装</t>
        </is>
      </c>
      <c r="I1368" t="inlineStr">
        <is>
          <t>694baba01d450d00013662f0</t>
        </is>
      </c>
      <c r="J1368" t="inlineStr">
        <is>
          <t/>
        </is>
      </c>
      <c r="K1368" t="n">
        <v>0.0</v>
      </c>
      <c r="L1368" t="n">
        <v>0.0</v>
      </c>
      <c r="M1368" t="n">
        <v>0.0</v>
      </c>
      <c r="N1368" t="inlineStr">
        <is>
          <t/>
        </is>
      </c>
      <c r="O1368" t="n">
        <v>0.0</v>
      </c>
      <c r="P1368" t="n">
        <v>0.0</v>
      </c>
      <c r="Q1368" t="inlineStr">
        <is>
          <t/>
        </is>
      </c>
      <c r="R1368" t="inlineStr">
        <is>
          <t/>
        </is>
      </c>
      <c r="S1368" t="n">
        <v>0.0</v>
      </c>
      <c r="T1368" t="n">
        <v>0.0</v>
      </c>
      <c r="U1368" t="n">
        <v>0.0</v>
      </c>
      <c r="V1368" t="n">
        <v>0.0</v>
      </c>
      <c r="W1368" t="inlineStr">
        <is>
          <t/>
        </is>
      </c>
      <c r="X1368" t="n">
        <v>0.0</v>
      </c>
      <c r="Y1368" t="n">
        <v>0.0</v>
      </c>
      <c r="Z1368" t="n">
        <v>0.0</v>
      </c>
      <c r="AA1368" t="n">
        <v>0.0</v>
      </c>
      <c r="AB1368" t="n">
        <v>0.0</v>
      </c>
      <c r="AC1368" t="n">
        <v>0.0</v>
      </c>
      <c r="AD1368" t="n">
        <v>0.0</v>
      </c>
      <c r="AE1368" t="n">
        <v>0.0</v>
      </c>
      <c r="AF1368" t="n">
        <v>0.0</v>
      </c>
      <c r="AG1368" t="n">
        <v>0.0</v>
      </c>
      <c r="AH1368" t="n">
        <v>0.0</v>
      </c>
      <c r="AI1368" t="n">
        <v>0.0</v>
      </c>
      <c r="AJ1368" t="n">
        <v>0.0</v>
      </c>
      <c r="AK1368" t="inlineStr">
        <is>
          <t/>
        </is>
      </c>
      <c r="AL1368" t="inlineStr">
        <is>
          <t/>
        </is>
      </c>
    </row>
    <row r="1369">
      <c r="A1369" t="inlineStr">
        <is>
          <t>减脂人的冰箱是这样的！</t>
        </is>
      </c>
      <c r="B1369" t="inlineStr">
        <is>
          <t>69f48416000000003503b93a</t>
        </is>
      </c>
      <c r="C1369" s="1368" t="n">
        <f>HYPERLINK("https://www.xiaohongshu.com/explore/69f48416000000003503b93a?xsec_token=TBXXG03Nicui0Qip9bKum1M-sFgMDMVc4IhqwvKTajX0w=&amp;xsec_source=pc_trdark","https://www.xiaohongshu.com/explore/69f48416000000003503b93a?xsec_token=TBXXG03Nicui0Qip9bKum1M-sFgMDMVc4IhqwvKTajX0w=&amp;xsec_source=pc_trdark")</f>
        <v>0.0</v>
      </c>
      <c r="D1369" t="inlineStr">
        <is>
          <t>鲜水湾甄选</t>
        </is>
      </c>
      <c r="E1369" t="inlineStr">
        <is>
          <t>27401929161</t>
        </is>
      </c>
      <c r="F1369" t="inlineStr">
        <is>
          <t>2026-05-01 18:44:38</t>
        </is>
      </c>
      <c r="G1369" t="inlineStr">
        <is>
          <t>图文</t>
        </is>
      </c>
      <c r="H1369" t="inlineStr">
        <is>
          <t>手剥虾仁 无冰衣无添加 低脂餐一人食 上班带饭 顺丰包邮 5盒装</t>
        </is>
      </c>
      <c r="I1369" t="inlineStr">
        <is>
          <t>694baba01d450d00013662f0</t>
        </is>
      </c>
      <c r="J1369" t="inlineStr">
        <is>
          <t/>
        </is>
      </c>
      <c r="K1369" t="n">
        <v>0.0</v>
      </c>
      <c r="L1369" t="n">
        <v>0.0</v>
      </c>
      <c r="M1369" t="n">
        <v>0.0</v>
      </c>
      <c r="N1369" t="inlineStr">
        <is>
          <t/>
        </is>
      </c>
      <c r="O1369" t="n">
        <v>0.0</v>
      </c>
      <c r="P1369" t="n">
        <v>0.0</v>
      </c>
      <c r="Q1369" t="inlineStr">
        <is>
          <t/>
        </is>
      </c>
      <c r="R1369" t="inlineStr">
        <is>
          <t/>
        </is>
      </c>
      <c r="S1369" t="n">
        <v>0.0</v>
      </c>
      <c r="T1369" t="n">
        <v>0.0</v>
      </c>
      <c r="U1369" t="n">
        <v>0.0</v>
      </c>
      <c r="V1369" t="n">
        <v>0.0</v>
      </c>
      <c r="W1369" t="inlineStr">
        <is>
          <t/>
        </is>
      </c>
      <c r="X1369" t="n">
        <v>0.0</v>
      </c>
      <c r="Y1369" t="n">
        <v>0.0</v>
      </c>
      <c r="Z1369" t="n">
        <v>0.0</v>
      </c>
      <c r="AA1369" t="n">
        <v>0.0</v>
      </c>
      <c r="AB1369" t="n">
        <v>0.0</v>
      </c>
      <c r="AC1369" t="n">
        <v>0.0</v>
      </c>
      <c r="AD1369" t="n">
        <v>0.0</v>
      </c>
      <c r="AE1369" t="n">
        <v>0.0</v>
      </c>
      <c r="AF1369" t="n">
        <v>0.0</v>
      </c>
      <c r="AG1369" t="n">
        <v>0.0</v>
      </c>
      <c r="AH1369" t="n">
        <v>0.0</v>
      </c>
      <c r="AI1369" t="n">
        <v>0.0</v>
      </c>
      <c r="AJ1369" t="n">
        <v>0.0</v>
      </c>
      <c r="AK1369" t="inlineStr">
        <is>
          <t/>
        </is>
      </c>
      <c r="AL1369" t="inlineStr">
        <is>
          <t/>
        </is>
      </c>
    </row>
    <row r="1370">
      <c r="A1370" t="inlineStr">
        <is>
          <t>减脂人带饭都方便了！！！</t>
        </is>
      </c>
      <c r="B1370" t="inlineStr">
        <is>
          <t>69f45e600000000023015477</t>
        </is>
      </c>
      <c r="C1370" s="1369" t="n">
        <f>HYPERLINK("https://www.xiaohongshu.com/explore/69f45e600000000023015477?xsec_token=TBXXG03Nicui0Qip9bKum1M7aYsBGN7QhUAlwH7mR08WM=&amp;xsec_source=pc_trdark","https://www.xiaohongshu.com/explore/69f45e600000000023015477?xsec_token=TBXXG03Nicui0Qip9bKum1M7aYsBGN7QhUAlwH7mR08WM=&amp;xsec_source=pc_trdark")</f>
        <v>0.0</v>
      </c>
      <c r="D1370" t="inlineStr">
        <is>
          <t>菲菲上班吃什么</t>
        </is>
      </c>
      <c r="E1370" t="inlineStr">
        <is>
          <t>49936530607</t>
        </is>
      </c>
      <c r="F1370" t="inlineStr">
        <is>
          <t>2026-05-01 16:03:45</t>
        </is>
      </c>
      <c r="G1370" t="inlineStr">
        <is>
          <t>图文</t>
        </is>
      </c>
      <c r="H1370" t="inlineStr">
        <is>
          <t>手剥虾仁 无冰衣无添加 低脂餐一人食 上班带饭 顺丰包邮 5盒装</t>
        </is>
      </c>
      <c r="I1370" t="inlineStr">
        <is>
          <t>694baba01d450d00013662f0</t>
        </is>
      </c>
      <c r="J1370" t="inlineStr">
        <is>
          <t/>
        </is>
      </c>
      <c r="K1370" t="n">
        <v>0.0</v>
      </c>
      <c r="L1370" t="n">
        <v>0.0</v>
      </c>
      <c r="M1370" t="n">
        <v>0.0</v>
      </c>
      <c r="N1370" t="inlineStr">
        <is>
          <t/>
        </is>
      </c>
      <c r="O1370" t="n">
        <v>0.0</v>
      </c>
      <c r="P1370" t="n">
        <v>0.0</v>
      </c>
      <c r="Q1370" t="inlineStr">
        <is>
          <t/>
        </is>
      </c>
      <c r="R1370" t="inlineStr">
        <is>
          <t/>
        </is>
      </c>
      <c r="S1370" t="n">
        <v>0.0</v>
      </c>
      <c r="T1370" t="n">
        <v>0.0</v>
      </c>
      <c r="U1370" t="n">
        <v>0.0</v>
      </c>
      <c r="V1370" t="n">
        <v>0.0</v>
      </c>
      <c r="W1370" t="inlineStr">
        <is>
          <t/>
        </is>
      </c>
      <c r="X1370" t="n">
        <v>0.0</v>
      </c>
      <c r="Y1370" t="n">
        <v>0.0</v>
      </c>
      <c r="Z1370" t="n">
        <v>0.0</v>
      </c>
      <c r="AA1370" t="n">
        <v>0.0</v>
      </c>
      <c r="AB1370" t="n">
        <v>0.0</v>
      </c>
      <c r="AC1370" t="n">
        <v>0.0</v>
      </c>
      <c r="AD1370" t="n">
        <v>0.0</v>
      </c>
      <c r="AE1370" t="n">
        <v>0.0</v>
      </c>
      <c r="AF1370" t="n">
        <v>0.0</v>
      </c>
      <c r="AG1370" t="n">
        <v>0.0</v>
      </c>
      <c r="AH1370" t="n">
        <v>0.0</v>
      </c>
      <c r="AI1370" t="n">
        <v>0.0</v>
      </c>
      <c r="AJ1370" t="n">
        <v>0.0</v>
      </c>
      <c r="AK1370" t="inlineStr">
        <is>
          <t/>
        </is>
      </c>
      <c r="AL1370" t="inlineStr">
        <is>
          <t/>
        </is>
      </c>
    </row>
    <row r="1371">
      <c r="A1371" t="inlineStr">
        <is>
          <t>就是这个！100来块钱承包了我半个月的轻食</t>
        </is>
      </c>
      <c r="B1371" t="inlineStr">
        <is>
          <t>69f412a200000000360006f7</t>
        </is>
      </c>
      <c r="C1371" s="1370" t="n">
        <f>HYPERLINK("https://www.xiaohongshu.com/explore/69f412a200000000360006f7?xsec_token=TBXXG03Nicui0Qip9bKum1M9WMuA2oBj5JlQ-RsqICT4s=&amp;xsec_source=pc_trdark","https://www.xiaohongshu.com/explore/69f412a200000000360006f7?xsec_token=TBXXG03Nicui0Qip9bKum1M9WMuA2oBj5JlQ-RsqICT4s=&amp;xsec_source=pc_trdark")</f>
        <v>0.0</v>
      </c>
      <c r="D1371" t="inlineStr">
        <is>
          <t>鲜水湾甄选</t>
        </is>
      </c>
      <c r="E1371" t="inlineStr">
        <is>
          <t>27401929161</t>
        </is>
      </c>
      <c r="F1371" t="inlineStr">
        <is>
          <t>2026-05-01 10:40:34</t>
        </is>
      </c>
      <c r="G1371" t="inlineStr">
        <is>
          <t>图文</t>
        </is>
      </c>
      <c r="H1371" t="inlineStr">
        <is>
          <t>手剥虾仁 无冰衣无添加 低脂餐一人食 上班带饭 顺丰包邮 5盒装</t>
        </is>
      </c>
      <c r="I1371" t="inlineStr">
        <is>
          <t>694baba01d450d00013662f0</t>
        </is>
      </c>
      <c r="J1371" t="inlineStr">
        <is>
          <t/>
        </is>
      </c>
      <c r="K1371" t="n">
        <v>0.0</v>
      </c>
      <c r="L1371" t="n">
        <v>0.0</v>
      </c>
      <c r="M1371" t="n">
        <v>0.0</v>
      </c>
      <c r="N1371" t="inlineStr">
        <is>
          <t/>
        </is>
      </c>
      <c r="O1371" t="n">
        <v>0.0</v>
      </c>
      <c r="P1371" t="n">
        <v>0.0</v>
      </c>
      <c r="Q1371" t="inlineStr">
        <is>
          <t/>
        </is>
      </c>
      <c r="R1371" t="inlineStr">
        <is>
          <t/>
        </is>
      </c>
      <c r="S1371" t="n">
        <v>0.0</v>
      </c>
      <c r="T1371" t="n">
        <v>0.0</v>
      </c>
      <c r="U1371" t="n">
        <v>0.0</v>
      </c>
      <c r="V1371" t="n">
        <v>0.0</v>
      </c>
      <c r="W1371" t="inlineStr">
        <is>
          <t/>
        </is>
      </c>
      <c r="X1371" t="n">
        <v>0.0</v>
      </c>
      <c r="Y1371" t="n">
        <v>0.0</v>
      </c>
      <c r="Z1371" t="n">
        <v>0.0</v>
      </c>
      <c r="AA1371" t="n">
        <v>0.0</v>
      </c>
      <c r="AB1371" t="n">
        <v>0.0</v>
      </c>
      <c r="AC1371" t="n">
        <v>0.0</v>
      </c>
      <c r="AD1371" t="n">
        <v>0.0</v>
      </c>
      <c r="AE1371" t="n">
        <v>0.0</v>
      </c>
      <c r="AF1371" t="n">
        <v>0.0</v>
      </c>
      <c r="AG1371" t="n">
        <v>0.0</v>
      </c>
      <c r="AH1371" t="n">
        <v>0.0</v>
      </c>
      <c r="AI1371" t="n">
        <v>0.0</v>
      </c>
      <c r="AJ1371" t="n">
        <v>0.0</v>
      </c>
      <c r="AK1371" t="inlineStr">
        <is>
          <t/>
        </is>
      </c>
      <c r="AL1371" t="inlineStr">
        <is>
          <t/>
        </is>
      </c>
    </row>
    <row r="1372">
      <c r="A1372" t="inlineStr">
        <is>
          <t>同事家尝了一口…囤了一冰箱！！！</t>
        </is>
      </c>
      <c r="B1372" t="inlineStr">
        <is>
          <t>69f412660000000022025f7f</t>
        </is>
      </c>
      <c r="C1372" s="1371" t="n">
        <f>HYPERLINK("https://www.xiaohongshu.com/explore/69f412660000000022025f7f?xsec_token=TBXXG03Nicui0Qip9bKum1M0uqfZ6Z5jnxVQKQenBYrpw=&amp;xsec_source=pc_trdark","https://www.xiaohongshu.com/explore/69f412660000000022025f7f?xsec_token=TBXXG03Nicui0Qip9bKum1M0uqfZ6Z5jnxVQKQenBYrpw=&amp;xsec_source=pc_trdark")</f>
        <v>0.0</v>
      </c>
      <c r="D1372" t="inlineStr">
        <is>
          <t>菲菲上班吃什么</t>
        </is>
      </c>
      <c r="E1372" t="inlineStr">
        <is>
          <t>49936530607</t>
        </is>
      </c>
      <c r="F1372" t="inlineStr">
        <is>
          <t>2026-05-01 10:39:34</t>
        </is>
      </c>
      <c r="G1372" t="inlineStr">
        <is>
          <t>图文</t>
        </is>
      </c>
      <c r="H1372" t="inlineStr">
        <is>
          <t>手剥虾仁 无冰衣无添加 低脂餐一人食 上班带饭 顺丰包邮 5盒装</t>
        </is>
      </c>
      <c r="I1372" t="inlineStr">
        <is>
          <t>694baba01d450d00013662f0</t>
        </is>
      </c>
      <c r="J1372" t="inlineStr">
        <is>
          <t/>
        </is>
      </c>
      <c r="K1372" t="n">
        <v>0.0</v>
      </c>
      <c r="L1372" t="n">
        <v>0.0</v>
      </c>
      <c r="M1372" t="n">
        <v>0.0</v>
      </c>
      <c r="N1372" t="inlineStr">
        <is>
          <t/>
        </is>
      </c>
      <c r="O1372" t="n">
        <v>0.0</v>
      </c>
      <c r="P1372" t="n">
        <v>0.0</v>
      </c>
      <c r="Q1372" t="inlineStr">
        <is>
          <t/>
        </is>
      </c>
      <c r="R1372" t="inlineStr">
        <is>
          <t/>
        </is>
      </c>
      <c r="S1372" t="n">
        <v>0.0</v>
      </c>
      <c r="T1372" t="n">
        <v>0.0</v>
      </c>
      <c r="U1372" t="n">
        <v>0.0</v>
      </c>
      <c r="V1372" t="n">
        <v>0.0</v>
      </c>
      <c r="W1372" t="inlineStr">
        <is>
          <t/>
        </is>
      </c>
      <c r="X1372" t="n">
        <v>0.0</v>
      </c>
      <c r="Y1372" t="n">
        <v>0.0</v>
      </c>
      <c r="Z1372" t="n">
        <v>0.0</v>
      </c>
      <c r="AA1372" t="n">
        <v>0.0</v>
      </c>
      <c r="AB1372" t="n">
        <v>0.0</v>
      </c>
      <c r="AC1372" t="n">
        <v>0.0</v>
      </c>
      <c r="AD1372" t="n">
        <v>0.0</v>
      </c>
      <c r="AE1372" t="n">
        <v>0.0</v>
      </c>
      <c r="AF1372" t="n">
        <v>0.0</v>
      </c>
      <c r="AG1372" t="n">
        <v>0.0</v>
      </c>
      <c r="AH1372" t="n">
        <v>0.0</v>
      </c>
      <c r="AI1372" t="n">
        <v>0.0</v>
      </c>
      <c r="AJ1372" t="n">
        <v>0.0</v>
      </c>
      <c r="AK1372" t="inlineStr">
        <is>
          <t/>
        </is>
      </c>
      <c r="AL1372" t="inlineStr">
        <is>
          <t/>
        </is>
      </c>
    </row>
    <row r="1373">
      <c r="A1373" t="inlineStr">
        <is>
          <t>本以为69块没多少，没想到吃了整整一周…</t>
        </is>
      </c>
      <c r="B1373" t="inlineStr">
        <is>
          <t>69f35b35000000003501fa9e</t>
        </is>
      </c>
      <c r="C1373" s="1372" t="n">
        <f>HYPERLINK("https://www.xiaohongshu.com/explore/69f35b35000000003501fa9e?xsec_token=TBx93XfWzGohdywDZFOL5vkeZIzq2Dwmzs-vbICf7SpmE=&amp;xsec_source=pc_trdark","https://www.xiaohongshu.com/explore/69f35b35000000003501fa9e?xsec_token=TBx93XfWzGohdywDZFOL5vkeZIzq2Dwmzs-vbICf7SpmE=&amp;xsec_source=pc_trdark")</f>
        <v>0.0</v>
      </c>
      <c r="D1373" t="inlineStr">
        <is>
          <t>鲜水湾甄选</t>
        </is>
      </c>
      <c r="E1373" t="inlineStr">
        <is>
          <t>27401929161</t>
        </is>
      </c>
      <c r="F1373" t="inlineStr">
        <is>
          <t>2026-04-30 21:37:57</t>
        </is>
      </c>
      <c r="G1373" t="inlineStr">
        <is>
          <t>图文</t>
        </is>
      </c>
      <c r="H1373" t="inlineStr">
        <is>
          <t>手剥虾仁 无冰衣无添加 低脂餐一人食 上班带饭 顺丰包邮 5盒装</t>
        </is>
      </c>
      <c r="I1373" t="inlineStr">
        <is>
          <t>694baba01d450d00013662f0</t>
        </is>
      </c>
      <c r="J1373" t="inlineStr">
        <is>
          <t/>
        </is>
      </c>
      <c r="K1373" t="n">
        <v>0.0</v>
      </c>
      <c r="L1373" t="n">
        <v>0.0</v>
      </c>
      <c r="M1373" t="n">
        <v>0.0</v>
      </c>
      <c r="N1373" t="inlineStr">
        <is>
          <t/>
        </is>
      </c>
      <c r="O1373" t="n">
        <v>0.0</v>
      </c>
      <c r="P1373" t="n">
        <v>0.0</v>
      </c>
      <c r="Q1373" t="inlineStr">
        <is>
          <t/>
        </is>
      </c>
      <c r="R1373" t="inlineStr">
        <is>
          <t/>
        </is>
      </c>
      <c r="S1373" t="n">
        <v>0.0</v>
      </c>
      <c r="T1373" t="n">
        <v>0.0</v>
      </c>
      <c r="U1373" t="n">
        <v>0.0</v>
      </c>
      <c r="V1373" t="n">
        <v>0.0</v>
      </c>
      <c r="W1373" t="inlineStr">
        <is>
          <t/>
        </is>
      </c>
      <c r="X1373" t="n">
        <v>0.0</v>
      </c>
      <c r="Y1373" t="n">
        <v>0.0</v>
      </c>
      <c r="Z1373" t="n">
        <v>0.0</v>
      </c>
      <c r="AA1373" t="n">
        <v>0.0</v>
      </c>
      <c r="AB1373" t="n">
        <v>0.0</v>
      </c>
      <c r="AC1373" t="n">
        <v>0.0</v>
      </c>
      <c r="AD1373" t="n">
        <v>0.0</v>
      </c>
      <c r="AE1373" t="n">
        <v>0.0</v>
      </c>
      <c r="AF1373" t="n">
        <v>0.0</v>
      </c>
      <c r="AG1373" t="n">
        <v>0.0</v>
      </c>
      <c r="AH1373" t="n">
        <v>0.0</v>
      </c>
      <c r="AI1373" t="n">
        <v>0.0</v>
      </c>
      <c r="AJ1373" t="n">
        <v>0.0</v>
      </c>
      <c r="AK1373" t="inlineStr">
        <is>
          <t/>
        </is>
      </c>
      <c r="AL1373" t="inlineStr">
        <is>
          <t/>
        </is>
      </c>
    </row>
    <row r="1374">
      <c r="A1374" t="inlineStr">
        <is>
          <t>对不起，是我低估100来块的购买力了🍤</t>
        </is>
      </c>
      <c r="B1374" t="inlineStr">
        <is>
          <t>69f34fb3000000003502fe4e</t>
        </is>
      </c>
      <c r="C1374" s="1373" t="n">
        <f>HYPERLINK("https://www.xiaohongshu.com/explore/69f34fb3000000003502fe4e?xsec_token=TBx93XfWzGohdywDZFOL5vkcOTpz_lcpyBja5CLm01pZ4=&amp;xsec_source=pc_trdark","https://www.xiaohongshu.com/explore/69f34fb3000000003502fe4e?xsec_token=TBx93XfWzGohdywDZFOL5vkcOTpz_lcpyBja5CLm01pZ4=&amp;xsec_source=pc_trdark")</f>
        <v>0.0</v>
      </c>
      <c r="D1374" t="inlineStr">
        <is>
          <t>鲜水湾甄选</t>
        </is>
      </c>
      <c r="E1374" t="inlineStr">
        <is>
          <t>27401929161</t>
        </is>
      </c>
      <c r="F1374" t="inlineStr">
        <is>
          <t>2026-04-30 20:48:51</t>
        </is>
      </c>
      <c r="G1374" t="inlineStr">
        <is>
          <t>图文</t>
        </is>
      </c>
      <c r="H1374" t="inlineStr">
        <is>
          <t>手剥虾仁 无冰衣无添加 低脂餐一人食 上班带饭 顺丰包邮 5盒装</t>
        </is>
      </c>
      <c r="I1374" t="inlineStr">
        <is>
          <t>694baba01d450d00013662f0</t>
        </is>
      </c>
      <c r="J1374" t="inlineStr">
        <is>
          <t/>
        </is>
      </c>
      <c r="K1374" t="n">
        <v>0.0</v>
      </c>
      <c r="L1374" t="n">
        <v>0.0</v>
      </c>
      <c r="M1374" t="n">
        <v>0.0</v>
      </c>
      <c r="N1374" t="inlineStr">
        <is>
          <t/>
        </is>
      </c>
      <c r="O1374" t="n">
        <v>0.0</v>
      </c>
      <c r="P1374" t="n">
        <v>0.0</v>
      </c>
      <c r="Q1374" t="inlineStr">
        <is>
          <t/>
        </is>
      </c>
      <c r="R1374" t="inlineStr">
        <is>
          <t/>
        </is>
      </c>
      <c r="S1374" t="n">
        <v>0.0</v>
      </c>
      <c r="T1374" t="n">
        <v>0.0</v>
      </c>
      <c r="U1374" t="n">
        <v>0.0</v>
      </c>
      <c r="V1374" t="n">
        <v>0.0</v>
      </c>
      <c r="W1374" t="inlineStr">
        <is>
          <t/>
        </is>
      </c>
      <c r="X1374" t="n">
        <v>0.0</v>
      </c>
      <c r="Y1374" t="n">
        <v>0.0</v>
      </c>
      <c r="Z1374" t="n">
        <v>0.0</v>
      </c>
      <c r="AA1374" t="n">
        <v>0.0</v>
      </c>
      <c r="AB1374" t="n">
        <v>0.0</v>
      </c>
      <c r="AC1374" t="n">
        <v>0.0</v>
      </c>
      <c r="AD1374" t="n">
        <v>0.0</v>
      </c>
      <c r="AE1374" t="n">
        <v>0.0</v>
      </c>
      <c r="AF1374" t="n">
        <v>0.0</v>
      </c>
      <c r="AG1374" t="n">
        <v>0.0</v>
      </c>
      <c r="AH1374" t="n">
        <v>0.0</v>
      </c>
      <c r="AI1374" t="n">
        <v>0.0</v>
      </c>
      <c r="AJ1374" t="n">
        <v>0.0</v>
      </c>
      <c r="AK1374" t="inlineStr">
        <is>
          <t/>
        </is>
      </c>
      <c r="AL1374" t="inlineStr">
        <is>
          <t/>
        </is>
      </c>
    </row>
    <row r="1375">
      <c r="A1375" t="inlineStr">
        <is>
          <t>打工人带饭的尽头，原来是极简</t>
        </is>
      </c>
      <c r="B1375" t="inlineStr">
        <is>
          <t>69f34f7d000000001f0039a5</t>
        </is>
      </c>
      <c r="C1375" s="1374" t="n">
        <f>HYPERLINK("https://www.xiaohongshu.com/explore/69f34f7d000000001f0039a5?xsec_token=TBx93XfWzGohdywDZFOL5vkesLBsodHkH96WMGWQPk-tU=&amp;xsec_source=pc_trdark","https://www.xiaohongshu.com/explore/69f34f7d000000001f0039a5?xsec_token=TBx93XfWzGohdywDZFOL5vkesLBsodHkH96WMGWQPk-tU=&amp;xsec_source=pc_trdark")</f>
        <v>0.0</v>
      </c>
      <c r="D1375" t="inlineStr">
        <is>
          <t>菲菲上班吃什么</t>
        </is>
      </c>
      <c r="E1375" t="inlineStr">
        <is>
          <t>49936530607</t>
        </is>
      </c>
      <c r="F1375" t="inlineStr">
        <is>
          <t>2026-04-30 20:47:57</t>
        </is>
      </c>
      <c r="G1375" t="inlineStr">
        <is>
          <t>图文</t>
        </is>
      </c>
      <c r="H1375" t="inlineStr">
        <is>
          <t>手剥虾仁 无冰衣无添加 低脂餐一人食 上班带饭 顺丰包邮 5盒装</t>
        </is>
      </c>
      <c r="I1375" t="inlineStr">
        <is>
          <t>694baba01d450d00013662f0</t>
        </is>
      </c>
      <c r="J1375" t="inlineStr">
        <is>
          <t/>
        </is>
      </c>
      <c r="K1375" t="n">
        <v>0.0</v>
      </c>
      <c r="L1375" t="n">
        <v>0.0</v>
      </c>
      <c r="M1375" t="n">
        <v>0.0</v>
      </c>
      <c r="N1375" t="inlineStr">
        <is>
          <t/>
        </is>
      </c>
      <c r="O1375" t="n">
        <v>0.0</v>
      </c>
      <c r="P1375" t="n">
        <v>0.0</v>
      </c>
      <c r="Q1375" t="inlineStr">
        <is>
          <t/>
        </is>
      </c>
      <c r="R1375" t="inlineStr">
        <is>
          <t/>
        </is>
      </c>
      <c r="S1375" t="n">
        <v>0.0</v>
      </c>
      <c r="T1375" t="n">
        <v>0.0</v>
      </c>
      <c r="U1375" t="n">
        <v>0.0</v>
      </c>
      <c r="V1375" t="n">
        <v>0.0</v>
      </c>
      <c r="W1375" t="inlineStr">
        <is>
          <t/>
        </is>
      </c>
      <c r="X1375" t="n">
        <v>0.0</v>
      </c>
      <c r="Y1375" t="n">
        <v>0.0</v>
      </c>
      <c r="Z1375" t="n">
        <v>0.0</v>
      </c>
      <c r="AA1375" t="n">
        <v>0.0</v>
      </c>
      <c r="AB1375" t="n">
        <v>0.0</v>
      </c>
      <c r="AC1375" t="n">
        <v>0.0</v>
      </c>
      <c r="AD1375" t="n">
        <v>0.0</v>
      </c>
      <c r="AE1375" t="n">
        <v>0.0</v>
      </c>
      <c r="AF1375" t="n">
        <v>0.0</v>
      </c>
      <c r="AG1375" t="n">
        <v>0.0</v>
      </c>
      <c r="AH1375" t="n">
        <v>0.0</v>
      </c>
      <c r="AI1375" t="n">
        <v>0.0</v>
      </c>
      <c r="AJ1375" t="n">
        <v>0.0</v>
      </c>
      <c r="AK1375" t="inlineStr">
        <is>
          <t/>
        </is>
      </c>
      <c r="AL1375" t="inlineStr">
        <is>
          <t/>
        </is>
      </c>
    </row>
    <row r="1376">
      <c r="A1376" t="inlineStr">
        <is>
          <t>上班搭子对我每天吃虾仁表示很奢侈🤫</t>
        </is>
      </c>
      <c r="B1376" t="inlineStr">
        <is>
          <t>69f3252c00000000230075c4</t>
        </is>
      </c>
      <c r="C1376" s="1375" t="n">
        <f>HYPERLINK("https://www.xiaohongshu.com/explore/69f3252c00000000230075c4?xsec_token=TBx93XfWzGohdywDZFOL5vkZQsVTWWhcSY_Dca1R9gCmw=&amp;xsec_source=pc_trdark","https://www.xiaohongshu.com/explore/69f3252c00000000230075c4?xsec_token=TBx93XfWzGohdywDZFOL5vkZQsVTWWhcSY_Dca1R9gCmw=&amp;xsec_source=pc_trdark")</f>
        <v>0.0</v>
      </c>
      <c r="D1376" t="inlineStr">
        <is>
          <t>菲菲上班吃什么</t>
        </is>
      </c>
      <c r="E1376" t="inlineStr">
        <is>
          <t>49936530607</t>
        </is>
      </c>
      <c r="F1376" t="inlineStr">
        <is>
          <t>2026-04-30 17:47:24</t>
        </is>
      </c>
      <c r="G1376" t="inlineStr">
        <is>
          <t>图文</t>
        </is>
      </c>
      <c r="H1376" t="inlineStr">
        <is>
          <t>手剥虾仁 无冰衣无添加 低脂餐一人食 上班带饭 顺丰包邮 5盒装</t>
        </is>
      </c>
      <c r="I1376" t="inlineStr">
        <is>
          <t>694baba01d450d00013662f0</t>
        </is>
      </c>
      <c r="J1376" t="inlineStr">
        <is>
          <t/>
        </is>
      </c>
      <c r="K1376" t="n">
        <v>0.0</v>
      </c>
      <c r="L1376" t="n">
        <v>0.0</v>
      </c>
      <c r="M1376" t="n">
        <v>0.0</v>
      </c>
      <c r="N1376" t="inlineStr">
        <is>
          <t/>
        </is>
      </c>
      <c r="O1376" t="n">
        <v>0.0</v>
      </c>
      <c r="P1376" t="n">
        <v>0.0</v>
      </c>
      <c r="Q1376" t="inlineStr">
        <is>
          <t/>
        </is>
      </c>
      <c r="R1376" t="inlineStr">
        <is>
          <t/>
        </is>
      </c>
      <c r="S1376" t="n">
        <v>0.0</v>
      </c>
      <c r="T1376" t="n">
        <v>0.0</v>
      </c>
      <c r="U1376" t="n">
        <v>0.0</v>
      </c>
      <c r="V1376" t="n">
        <v>0.0</v>
      </c>
      <c r="W1376" t="inlineStr">
        <is>
          <t/>
        </is>
      </c>
      <c r="X1376" t="n">
        <v>0.0</v>
      </c>
      <c r="Y1376" t="n">
        <v>0.0</v>
      </c>
      <c r="Z1376" t="n">
        <v>0.0</v>
      </c>
      <c r="AA1376" t="n">
        <v>0.0</v>
      </c>
      <c r="AB1376" t="n">
        <v>0.0</v>
      </c>
      <c r="AC1376" t="n">
        <v>0.0</v>
      </c>
      <c r="AD1376" t="n">
        <v>0.0</v>
      </c>
      <c r="AE1376" t="n">
        <v>0.0</v>
      </c>
      <c r="AF1376" t="n">
        <v>0.0</v>
      </c>
      <c r="AG1376" t="n">
        <v>0.0</v>
      </c>
      <c r="AH1376" t="n">
        <v>0.0</v>
      </c>
      <c r="AI1376" t="n">
        <v>0.0</v>
      </c>
      <c r="AJ1376" t="n">
        <v>0.0</v>
      </c>
      <c r="AK1376" t="inlineStr">
        <is>
          <t/>
        </is>
      </c>
      <c r="AL1376" t="inlineStr">
        <is>
          <t/>
        </is>
      </c>
    </row>
    <row r="1377">
      <c r="A1377" t="inlineStr">
        <is>
          <t>安利给减脂期姐妹，69r实现虾仁自由！</t>
        </is>
      </c>
      <c r="B1377" t="inlineStr">
        <is>
          <t>69f3249c000000003501ec2f</t>
        </is>
      </c>
      <c r="C1377" s="1376" t="n">
        <f>HYPERLINK("https://www.xiaohongshu.com/explore/69f3249c000000003501ec2f?xsec_token=TBx93XfWzGohdywDZFOL5vkbyqvSMRyjzOOply3vnsoNs=&amp;xsec_source=pc_trdark","https://www.xiaohongshu.com/explore/69f3249c000000003501ec2f?xsec_token=TBx93XfWzGohdywDZFOL5vkbyqvSMRyjzOOply3vnsoNs=&amp;xsec_source=pc_trdark")</f>
        <v>0.0</v>
      </c>
      <c r="D1377" t="inlineStr">
        <is>
          <t>鲜水湾甄选</t>
        </is>
      </c>
      <c r="E1377" t="inlineStr">
        <is>
          <t>27401929161</t>
        </is>
      </c>
      <c r="F1377" t="inlineStr">
        <is>
          <t>2026-04-30 17:45:00</t>
        </is>
      </c>
      <c r="G1377" t="inlineStr">
        <is>
          <t>图文</t>
        </is>
      </c>
      <c r="H1377" t="inlineStr">
        <is>
          <t>手剥虾仁 无冰衣无添加 低脂餐一人食 上班带饭 顺丰包邮 5盒装</t>
        </is>
      </c>
      <c r="I1377" t="inlineStr">
        <is>
          <t>694baba01d450d00013662f0</t>
        </is>
      </c>
      <c r="J1377" t="inlineStr">
        <is>
          <t/>
        </is>
      </c>
      <c r="K1377" t="n">
        <v>0.0</v>
      </c>
      <c r="L1377" t="n">
        <v>0.0</v>
      </c>
      <c r="M1377" t="n">
        <v>0.0</v>
      </c>
      <c r="N1377" t="inlineStr">
        <is>
          <t/>
        </is>
      </c>
      <c r="O1377" t="n">
        <v>0.0</v>
      </c>
      <c r="P1377" t="n">
        <v>0.0</v>
      </c>
      <c r="Q1377" t="inlineStr">
        <is>
          <t/>
        </is>
      </c>
      <c r="R1377" t="inlineStr">
        <is>
          <t/>
        </is>
      </c>
      <c r="S1377" t="n">
        <v>0.0</v>
      </c>
      <c r="T1377" t="n">
        <v>0.0</v>
      </c>
      <c r="U1377" t="n">
        <v>0.0</v>
      </c>
      <c r="V1377" t="n">
        <v>0.0</v>
      </c>
      <c r="W1377" t="inlineStr">
        <is>
          <t/>
        </is>
      </c>
      <c r="X1377" t="n">
        <v>0.0</v>
      </c>
      <c r="Y1377" t="n">
        <v>0.0</v>
      </c>
      <c r="Z1377" t="n">
        <v>0.0</v>
      </c>
      <c r="AA1377" t="n">
        <v>0.0</v>
      </c>
      <c r="AB1377" t="n">
        <v>0.0</v>
      </c>
      <c r="AC1377" t="n">
        <v>0.0</v>
      </c>
      <c r="AD1377" t="n">
        <v>0.0</v>
      </c>
      <c r="AE1377" t="n">
        <v>0.0</v>
      </c>
      <c r="AF1377" t="n">
        <v>0.0</v>
      </c>
      <c r="AG1377" t="n">
        <v>0.0</v>
      </c>
      <c r="AH1377" t="n">
        <v>0.0</v>
      </c>
      <c r="AI1377" t="n">
        <v>0.0</v>
      </c>
      <c r="AJ1377" t="n">
        <v>0.0</v>
      </c>
      <c r="AK1377" t="inlineStr">
        <is>
          <t/>
        </is>
      </c>
      <c r="AL1377" t="inlineStr">
        <is>
          <t/>
        </is>
      </c>
    </row>
    <row r="1378">
      <c r="A1378" t="inlineStr">
        <is>
          <t>区区69块，直接承包我一整周减脂餐</t>
        </is>
      </c>
      <c r="B1378" t="inlineStr">
        <is>
          <t>69f308bf0000000035039e76</t>
        </is>
      </c>
      <c r="C1378" s="1377" t="n">
        <f>HYPERLINK("https://www.xiaohongshu.com/explore/69f308bf0000000035039e76?xsec_token=TBx93XfWzGohdywDZFOL5vke0IxjYC4nBjrX4S5eWy1vw=&amp;xsec_source=pc_trdark","https://www.xiaohongshu.com/explore/69f308bf0000000035039e76?xsec_token=TBx93XfWzGohdywDZFOL5vke0IxjYC4nBjrX4S5eWy1vw=&amp;xsec_source=pc_trdark")</f>
        <v>0.0</v>
      </c>
      <c r="D1378" t="inlineStr">
        <is>
          <t>鲜水湾甄选</t>
        </is>
      </c>
      <c r="E1378" t="inlineStr">
        <is>
          <t>27401929161</t>
        </is>
      </c>
      <c r="F1378" t="inlineStr">
        <is>
          <t>2026-04-30 15:46:07</t>
        </is>
      </c>
      <c r="G1378" t="inlineStr">
        <is>
          <t>图文</t>
        </is>
      </c>
      <c r="H1378" t="inlineStr">
        <is>
          <t>手剥虾仁 无冰衣无添加 低脂餐一人食 上班带饭 顺丰包邮 5盒装</t>
        </is>
      </c>
      <c r="I1378" t="inlineStr">
        <is>
          <t>694baba01d450d00013662f0</t>
        </is>
      </c>
      <c r="J1378" t="inlineStr">
        <is>
          <t/>
        </is>
      </c>
      <c r="K1378" t="n">
        <v>0.0</v>
      </c>
      <c r="L1378" t="n">
        <v>0.0</v>
      </c>
      <c r="M1378" t="n">
        <v>0.0</v>
      </c>
      <c r="N1378" t="inlineStr">
        <is>
          <t/>
        </is>
      </c>
      <c r="O1378" t="n">
        <v>0.0</v>
      </c>
      <c r="P1378" t="n">
        <v>0.0</v>
      </c>
      <c r="Q1378" t="inlineStr">
        <is>
          <t/>
        </is>
      </c>
      <c r="R1378" t="inlineStr">
        <is>
          <t/>
        </is>
      </c>
      <c r="S1378" t="n">
        <v>0.0</v>
      </c>
      <c r="T1378" t="n">
        <v>0.0</v>
      </c>
      <c r="U1378" t="n">
        <v>0.0</v>
      </c>
      <c r="V1378" t="n">
        <v>0.0</v>
      </c>
      <c r="W1378" t="inlineStr">
        <is>
          <t/>
        </is>
      </c>
      <c r="X1378" t="n">
        <v>0.0</v>
      </c>
      <c r="Y1378" t="n">
        <v>0.0</v>
      </c>
      <c r="Z1378" t="n">
        <v>0.0</v>
      </c>
      <c r="AA1378" t="n">
        <v>0.0</v>
      </c>
      <c r="AB1378" t="n">
        <v>0.0</v>
      </c>
      <c r="AC1378" t="n">
        <v>0.0</v>
      </c>
      <c r="AD1378" t="n">
        <v>0.0</v>
      </c>
      <c r="AE1378" t="n">
        <v>0.0</v>
      </c>
      <c r="AF1378" t="n">
        <v>0.0</v>
      </c>
      <c r="AG1378" t="n">
        <v>0.0</v>
      </c>
      <c r="AH1378" t="n">
        <v>0.0</v>
      </c>
      <c r="AI1378" t="n">
        <v>0.0</v>
      </c>
      <c r="AJ1378" t="n">
        <v>0.0</v>
      </c>
      <c r="AK1378" t="inlineStr">
        <is>
          <t/>
        </is>
      </c>
      <c r="AL1378" t="inlineStr">
        <is>
          <t/>
        </is>
      </c>
    </row>
    <row r="1379">
      <c r="A1379" t="inlineStr">
        <is>
          <t>还以为69没多少，结果够我吃一整周了～</t>
        </is>
      </c>
      <c r="B1379" t="inlineStr">
        <is>
          <t>69f2e895000000002301cce4</t>
        </is>
      </c>
      <c r="C1379" s="1378" t="n">
        <f>HYPERLINK("https://www.xiaohongshu.com/explore/69f2e895000000002301cce4?xsec_token=TBvWHBo3-qwEN9bVc9g-yUNYdIziwGSQvPIP8ipwuiPnU=&amp;xsec_source=pc_trdark","https://www.xiaohongshu.com/explore/69f2e895000000002301cce4?xsec_token=TBvWHBo3-qwEN9bVc9g-yUNYdIziwGSQvPIP8ipwuiPnU=&amp;xsec_source=pc_trdark")</f>
        <v>0.0</v>
      </c>
      <c r="D1379" t="inlineStr">
        <is>
          <t>菲菲上班吃什么</t>
        </is>
      </c>
      <c r="E1379" t="inlineStr">
        <is>
          <t>49936530607</t>
        </is>
      </c>
      <c r="F1379" t="inlineStr">
        <is>
          <t>2026-04-30 13:28:53</t>
        </is>
      </c>
      <c r="G1379" t="inlineStr">
        <is>
          <t>图文</t>
        </is>
      </c>
      <c r="H1379" t="inlineStr">
        <is>
          <t>手剥虾仁 无冰衣无添加 低脂餐一人食 上班带饭 顺丰包邮 5盒装</t>
        </is>
      </c>
      <c r="I1379" t="inlineStr">
        <is>
          <t>694baba01d450d00013662f0</t>
        </is>
      </c>
      <c r="J1379" t="inlineStr">
        <is>
          <t/>
        </is>
      </c>
      <c r="K1379" t="n">
        <v>0.0</v>
      </c>
      <c r="L1379" t="n">
        <v>0.0</v>
      </c>
      <c r="M1379" t="n">
        <v>0.0</v>
      </c>
      <c r="N1379" t="inlineStr">
        <is>
          <t/>
        </is>
      </c>
      <c r="O1379" t="n">
        <v>0.0</v>
      </c>
      <c r="P1379" t="n">
        <v>0.0</v>
      </c>
      <c r="Q1379" t="inlineStr">
        <is>
          <t/>
        </is>
      </c>
      <c r="R1379" t="inlineStr">
        <is>
          <t/>
        </is>
      </c>
      <c r="S1379" t="n">
        <v>0.0</v>
      </c>
      <c r="T1379" t="n">
        <v>0.0</v>
      </c>
      <c r="U1379" t="n">
        <v>0.0</v>
      </c>
      <c r="V1379" t="n">
        <v>0.0</v>
      </c>
      <c r="W1379" t="inlineStr">
        <is>
          <t/>
        </is>
      </c>
      <c r="X1379" t="n">
        <v>0.0</v>
      </c>
      <c r="Y1379" t="n">
        <v>0.0</v>
      </c>
      <c r="Z1379" t="n">
        <v>0.0</v>
      </c>
      <c r="AA1379" t="n">
        <v>0.0</v>
      </c>
      <c r="AB1379" t="n">
        <v>0.0</v>
      </c>
      <c r="AC1379" t="n">
        <v>0.0</v>
      </c>
      <c r="AD1379" t="n">
        <v>0.0</v>
      </c>
      <c r="AE1379" t="n">
        <v>0.0</v>
      </c>
      <c r="AF1379" t="n">
        <v>0.0</v>
      </c>
      <c r="AG1379" t="n">
        <v>0.0</v>
      </c>
      <c r="AH1379" t="n">
        <v>0.0</v>
      </c>
      <c r="AI1379" t="n">
        <v>0.0</v>
      </c>
      <c r="AJ1379" t="n">
        <v>0.0</v>
      </c>
      <c r="AK1379" t="inlineStr">
        <is>
          <t/>
        </is>
      </c>
      <c r="AL1379" t="inlineStr">
        <is>
          <t/>
        </is>
      </c>
    </row>
    <row r="1380">
      <c r="A1380" t="inlineStr">
        <is>
          <t>出了小包装之后，太适合上班带饭了</t>
        </is>
      </c>
      <c r="B1380" t="inlineStr">
        <is>
          <t>69f2bfe0000000001e00fd23</t>
        </is>
      </c>
      <c r="C1380" s="1379" t="n">
        <f>HYPERLINK("https://www.xiaohongshu.com/explore/69f2bfe0000000001e00fd23?xsec_token=TBvWHBo3-qwEN9bVc9g-yUNbpggw9Z5xC2Iyq6X1ean5E=&amp;xsec_source=pc_trdark","https://www.xiaohongshu.com/explore/69f2bfe0000000001e00fd23?xsec_token=TBvWHBo3-qwEN9bVc9g-yUNbpggw9Z5xC2Iyq6X1ean5E=&amp;xsec_source=pc_trdark")</f>
        <v>0.0</v>
      </c>
      <c r="D1380" t="inlineStr">
        <is>
          <t>菲菲上班吃什么</t>
        </is>
      </c>
      <c r="E1380" t="inlineStr">
        <is>
          <t>49936530607</t>
        </is>
      </c>
      <c r="F1380" t="inlineStr">
        <is>
          <t>2026-04-30 10:35:12</t>
        </is>
      </c>
      <c r="G1380" t="inlineStr">
        <is>
          <t>图文</t>
        </is>
      </c>
      <c r="H1380" t="inlineStr">
        <is>
          <t>手剥虾仁 无冰衣无添加 低脂餐一人食 上班带饭 顺丰包邮 5盒装</t>
        </is>
      </c>
      <c r="I1380" t="inlineStr">
        <is>
          <t>694baba01d450d00013662f0</t>
        </is>
      </c>
      <c r="J1380" t="inlineStr">
        <is>
          <t/>
        </is>
      </c>
      <c r="K1380" t="n">
        <v>0.0</v>
      </c>
      <c r="L1380" t="n">
        <v>0.0</v>
      </c>
      <c r="M1380" t="n">
        <v>0.0</v>
      </c>
      <c r="N1380" t="inlineStr">
        <is>
          <t/>
        </is>
      </c>
      <c r="O1380" t="n">
        <v>0.0</v>
      </c>
      <c r="P1380" t="n">
        <v>0.0</v>
      </c>
      <c r="Q1380" t="inlineStr">
        <is>
          <t/>
        </is>
      </c>
      <c r="R1380" t="inlineStr">
        <is>
          <t/>
        </is>
      </c>
      <c r="S1380" t="n">
        <v>0.0</v>
      </c>
      <c r="T1380" t="n">
        <v>0.0</v>
      </c>
      <c r="U1380" t="n">
        <v>0.0</v>
      </c>
      <c r="V1380" t="n">
        <v>0.0</v>
      </c>
      <c r="W1380" t="inlineStr">
        <is>
          <t/>
        </is>
      </c>
      <c r="X1380" t="n">
        <v>0.0</v>
      </c>
      <c r="Y1380" t="n">
        <v>0.0</v>
      </c>
      <c r="Z1380" t="n">
        <v>0.0</v>
      </c>
      <c r="AA1380" t="n">
        <v>0.0</v>
      </c>
      <c r="AB1380" t="n">
        <v>0.0</v>
      </c>
      <c r="AC1380" t="n">
        <v>0.0</v>
      </c>
      <c r="AD1380" t="n">
        <v>0.0</v>
      </c>
      <c r="AE1380" t="n">
        <v>0.0</v>
      </c>
      <c r="AF1380" t="n">
        <v>0.0</v>
      </c>
      <c r="AG1380" t="n">
        <v>0.0</v>
      </c>
      <c r="AH1380" t="n">
        <v>0.0</v>
      </c>
      <c r="AI1380" t="n">
        <v>0.0</v>
      </c>
      <c r="AJ1380" t="n">
        <v>0.0</v>
      </c>
      <c r="AK1380" t="inlineStr">
        <is>
          <t/>
        </is>
      </c>
      <c r="AL1380" t="inlineStr">
        <is>
          <t/>
        </is>
      </c>
    </row>
    <row r="1381">
      <c r="A1381" t="inlineStr">
        <is>
          <t>果然带饭的尽头是极简🍤</t>
        </is>
      </c>
      <c r="B1381" t="inlineStr">
        <is>
          <t>69f202fc0000000023007ae1</t>
        </is>
      </c>
      <c r="C1381" s="1380" t="n">
        <f>HYPERLINK("https://www.xiaohongshu.com/explore/69f202fc0000000023007ae1?xsec_token=TBvWHBo3-qwEN9bVc9g-yUNX0nxxq1NXpoByzGA3psU8U=&amp;xsec_source=pc_trdark","https://www.xiaohongshu.com/explore/69f202fc0000000023007ae1?xsec_token=TBvWHBo3-qwEN9bVc9g-yUNX0nxxq1NXpoByzGA3psU8U=&amp;xsec_source=pc_trdark")</f>
        <v>0.0</v>
      </c>
      <c r="D1381" t="inlineStr">
        <is>
          <t>菲菲上班吃什么</t>
        </is>
      </c>
      <c r="E1381" t="inlineStr">
        <is>
          <t>49936530607</t>
        </is>
      </c>
      <c r="F1381" t="inlineStr">
        <is>
          <t>2026-04-29 21:09:16</t>
        </is>
      </c>
      <c r="G1381" t="inlineStr">
        <is>
          <t>图文</t>
        </is>
      </c>
      <c r="H1381" t="inlineStr">
        <is>
          <t>手剥虾仁 无冰衣无添加 低脂餐一人食 上班带饭 顺丰包邮 5盒装</t>
        </is>
      </c>
      <c r="I1381" t="inlineStr">
        <is>
          <t>694baba01d450d00013662f0</t>
        </is>
      </c>
      <c r="J1381" t="inlineStr">
        <is>
          <t/>
        </is>
      </c>
      <c r="K1381" t="n">
        <v>0.0</v>
      </c>
      <c r="L1381" t="n">
        <v>0.0</v>
      </c>
      <c r="M1381" t="n">
        <v>0.0</v>
      </c>
      <c r="N1381" t="inlineStr">
        <is>
          <t/>
        </is>
      </c>
      <c r="O1381" t="n">
        <v>0.0</v>
      </c>
      <c r="P1381" t="n">
        <v>0.0</v>
      </c>
      <c r="Q1381" t="inlineStr">
        <is>
          <t/>
        </is>
      </c>
      <c r="R1381" t="inlineStr">
        <is>
          <t/>
        </is>
      </c>
      <c r="S1381" t="n">
        <v>0.0</v>
      </c>
      <c r="T1381" t="n">
        <v>0.0</v>
      </c>
      <c r="U1381" t="n">
        <v>0.0</v>
      </c>
      <c r="V1381" t="n">
        <v>0.0</v>
      </c>
      <c r="W1381" t="inlineStr">
        <is>
          <t/>
        </is>
      </c>
      <c r="X1381" t="n">
        <v>0.0</v>
      </c>
      <c r="Y1381" t="n">
        <v>0.0</v>
      </c>
      <c r="Z1381" t="n">
        <v>0.0</v>
      </c>
      <c r="AA1381" t="n">
        <v>0.0</v>
      </c>
      <c r="AB1381" t="n">
        <v>0.0</v>
      </c>
      <c r="AC1381" t="n">
        <v>0.0</v>
      </c>
      <c r="AD1381" t="n">
        <v>0.0</v>
      </c>
      <c r="AE1381" t="n">
        <v>0.0</v>
      </c>
      <c r="AF1381" t="n">
        <v>0.0</v>
      </c>
      <c r="AG1381" t="n">
        <v>0.0</v>
      </c>
      <c r="AH1381" t="n">
        <v>0.0</v>
      </c>
      <c r="AI1381" t="n">
        <v>0.0</v>
      </c>
      <c r="AJ1381" t="n">
        <v>0.0</v>
      </c>
      <c r="AK1381" t="inlineStr">
        <is>
          <t/>
        </is>
      </c>
      <c r="AL1381" t="inlineStr">
        <is>
          <t/>
        </is>
      </c>
    </row>
    <row r="1382">
      <c r="A1382" t="inlineStr">
        <is>
          <t>和⛰️姆说拜拜了，还是小包装更适合独居人</t>
        </is>
      </c>
      <c r="B1382" t="inlineStr">
        <is>
          <t>69f202ce000000003503ba47</t>
        </is>
      </c>
      <c r="C1382" s="1381" t="n">
        <f>HYPERLINK("https://www.xiaohongshu.com/explore/69f202ce000000003503ba47?xsec_token=TBvWHBo3-qwEN9bVc9g-yUNf5IqE3ReAnAcMZ8j5_yQEs=&amp;xsec_source=pc_trdark","https://www.xiaohongshu.com/explore/69f202ce000000003503ba47?xsec_token=TBvWHBo3-qwEN9bVc9g-yUNf5IqE3ReAnAcMZ8j5_yQEs=&amp;xsec_source=pc_trdark")</f>
        <v>0.0</v>
      </c>
      <c r="D1382" t="inlineStr">
        <is>
          <t>鲜水湾甄选</t>
        </is>
      </c>
      <c r="E1382" t="inlineStr">
        <is>
          <t>27401929161</t>
        </is>
      </c>
      <c r="F1382" t="inlineStr">
        <is>
          <t>2026-04-29 21:08:30</t>
        </is>
      </c>
      <c r="G1382" t="inlineStr">
        <is>
          <t>图文</t>
        </is>
      </c>
      <c r="H1382" t="inlineStr">
        <is>
          <t>手剥虾仁 无冰衣无添加 低脂餐一人食 上班带饭 顺丰包邮 5盒装</t>
        </is>
      </c>
      <c r="I1382" t="inlineStr">
        <is>
          <t>694baba01d450d00013662f0</t>
        </is>
      </c>
      <c r="J1382" t="inlineStr">
        <is>
          <t/>
        </is>
      </c>
      <c r="K1382" t="n">
        <v>0.0</v>
      </c>
      <c r="L1382" t="n">
        <v>0.0</v>
      </c>
      <c r="M1382" t="n">
        <v>0.0</v>
      </c>
      <c r="N1382" t="inlineStr">
        <is>
          <t/>
        </is>
      </c>
      <c r="O1382" t="n">
        <v>0.0</v>
      </c>
      <c r="P1382" t="n">
        <v>0.0</v>
      </c>
      <c r="Q1382" t="inlineStr">
        <is>
          <t/>
        </is>
      </c>
      <c r="R1382" t="inlineStr">
        <is>
          <t/>
        </is>
      </c>
      <c r="S1382" t="n">
        <v>0.0</v>
      </c>
      <c r="T1382" t="n">
        <v>0.0</v>
      </c>
      <c r="U1382" t="n">
        <v>0.0</v>
      </c>
      <c r="V1382" t="n">
        <v>0.0</v>
      </c>
      <c r="W1382" t="inlineStr">
        <is>
          <t/>
        </is>
      </c>
      <c r="X1382" t="n">
        <v>0.0</v>
      </c>
      <c r="Y1382" t="n">
        <v>0.0</v>
      </c>
      <c r="Z1382" t="n">
        <v>0.0</v>
      </c>
      <c r="AA1382" t="n">
        <v>0.0</v>
      </c>
      <c r="AB1382" t="n">
        <v>0.0</v>
      </c>
      <c r="AC1382" t="n">
        <v>0.0</v>
      </c>
      <c r="AD1382" t="n">
        <v>0.0</v>
      </c>
      <c r="AE1382" t="n">
        <v>0.0</v>
      </c>
      <c r="AF1382" t="n">
        <v>0.0</v>
      </c>
      <c r="AG1382" t="n">
        <v>0.0</v>
      </c>
      <c r="AH1382" t="n">
        <v>0.0</v>
      </c>
      <c r="AI1382" t="n">
        <v>0.0</v>
      </c>
      <c r="AJ1382" t="n">
        <v>0.0</v>
      </c>
      <c r="AK1382" t="inlineStr">
        <is>
          <t/>
        </is>
      </c>
      <c r="AL1382" t="inlineStr">
        <is>
          <t/>
        </is>
      </c>
    </row>
    <row r="1383">
      <c r="A1383" t="inlineStr">
        <is>
          <t>被问爆了！69块真的能吃一周减脂餐🍤</t>
        </is>
      </c>
      <c r="B1383" t="inlineStr">
        <is>
          <t>69f1d2c9000000001e00d450</t>
        </is>
      </c>
      <c r="C1383" s="1382" t="n">
        <f>HYPERLINK("https://www.xiaohongshu.com/explore/69f1d2c9000000001e00d450?xsec_token=TBLt8Y96Ok9n09b_UIgIegbhB38l-VZOb87vP17G5pLCw=&amp;xsec_source=pc_trdark","https://www.xiaohongshu.com/explore/69f1d2c9000000001e00d450?xsec_token=TBLt8Y96Ok9n09b_UIgIegbhB38l-VZOb87vP17G5pLCw=&amp;xsec_source=pc_trdark")</f>
        <v>0.0</v>
      </c>
      <c r="D1383" t="inlineStr">
        <is>
          <t>菲菲上班吃什么</t>
        </is>
      </c>
      <c r="E1383" t="inlineStr">
        <is>
          <t>49936530607</t>
        </is>
      </c>
      <c r="F1383" t="inlineStr">
        <is>
          <t>2026-04-29 17:43:37</t>
        </is>
      </c>
      <c r="G1383" t="inlineStr">
        <is>
          <t>图文</t>
        </is>
      </c>
      <c r="H1383" t="inlineStr">
        <is>
          <t>手剥虾仁 无冰衣无添加 低脂餐一人食 上班带饭 顺丰包邮 5盒装</t>
        </is>
      </c>
      <c r="I1383" t="inlineStr">
        <is>
          <t>694baba01d450d00013662f0</t>
        </is>
      </c>
      <c r="J1383" t="inlineStr">
        <is>
          <t/>
        </is>
      </c>
      <c r="K1383" t="n">
        <v>0.0</v>
      </c>
      <c r="L1383" t="n">
        <v>0.0</v>
      </c>
      <c r="M1383" t="n">
        <v>0.0</v>
      </c>
      <c r="N1383" t="inlineStr">
        <is>
          <t/>
        </is>
      </c>
      <c r="O1383" t="n">
        <v>0.0</v>
      </c>
      <c r="P1383" t="n">
        <v>0.0</v>
      </c>
      <c r="Q1383" t="inlineStr">
        <is>
          <t/>
        </is>
      </c>
      <c r="R1383" t="inlineStr">
        <is>
          <t/>
        </is>
      </c>
      <c r="S1383" t="n">
        <v>0.0</v>
      </c>
      <c r="T1383" t="n">
        <v>0.0</v>
      </c>
      <c r="U1383" t="n">
        <v>0.0</v>
      </c>
      <c r="V1383" t="n">
        <v>0.0</v>
      </c>
      <c r="W1383" t="inlineStr">
        <is>
          <t/>
        </is>
      </c>
      <c r="X1383" t="n">
        <v>0.0</v>
      </c>
      <c r="Y1383" t="n">
        <v>0.0</v>
      </c>
      <c r="Z1383" t="n">
        <v>0.0</v>
      </c>
      <c r="AA1383" t="n">
        <v>0.0</v>
      </c>
      <c r="AB1383" t="n">
        <v>0.0</v>
      </c>
      <c r="AC1383" t="n">
        <v>0.0</v>
      </c>
      <c r="AD1383" t="n">
        <v>0.0</v>
      </c>
      <c r="AE1383" t="n">
        <v>0.0</v>
      </c>
      <c r="AF1383" t="n">
        <v>0.0</v>
      </c>
      <c r="AG1383" t="n">
        <v>0.0</v>
      </c>
      <c r="AH1383" t="n">
        <v>0.0</v>
      </c>
      <c r="AI1383" t="n">
        <v>0.0</v>
      </c>
      <c r="AJ1383" t="n">
        <v>0.0</v>
      </c>
      <c r="AK1383" t="inlineStr">
        <is>
          <t/>
        </is>
      </c>
      <c r="AL1383" t="inlineStr">
        <is>
          <t/>
        </is>
      </c>
    </row>
    <row r="1384">
      <c r="A1384" t="inlineStr">
        <is>
          <t>普通人减脂省钱分享：100+吃半个月</t>
        </is>
      </c>
      <c r="B1384" t="inlineStr">
        <is>
          <t>69f16b51000000003501f685</t>
        </is>
      </c>
      <c r="C1384" s="1383" t="n">
        <f>HYPERLINK("https://www.xiaohongshu.com/explore/69f16b51000000003501f685?xsec_token=TBLt8Y96Ok9n09b_UIgIegbk1U6kjZS4TbVFe4E6UCV4E=&amp;xsec_source=pc_trdark","https://www.xiaohongshu.com/explore/69f16b51000000003501f685?xsec_token=TBLt8Y96Ok9n09b_UIgIegbk1U6kjZS4TbVFe4E6UCV4E=&amp;xsec_source=pc_trdark")</f>
        <v>0.0</v>
      </c>
      <c r="D1384" t="inlineStr">
        <is>
          <t>鲜水湾甄选</t>
        </is>
      </c>
      <c r="E1384" t="inlineStr">
        <is>
          <t>27401929161</t>
        </is>
      </c>
      <c r="F1384" t="inlineStr">
        <is>
          <t>2026-04-29 10:22:09</t>
        </is>
      </c>
      <c r="G1384" t="inlineStr">
        <is>
          <t>图文</t>
        </is>
      </c>
      <c r="H1384" t="inlineStr">
        <is>
          <t>手剥虾仁 无冰衣无添加 低脂餐一人食 上班带饭 顺丰包邮 5盒装</t>
        </is>
      </c>
      <c r="I1384" t="inlineStr">
        <is>
          <t>694baba01d450d00013662f0</t>
        </is>
      </c>
      <c r="J1384" t="inlineStr">
        <is>
          <t/>
        </is>
      </c>
      <c r="K1384" t="n">
        <v>0.0</v>
      </c>
      <c r="L1384" t="n">
        <v>0.0</v>
      </c>
      <c r="M1384" t="n">
        <v>0.0</v>
      </c>
      <c r="N1384" t="inlineStr">
        <is>
          <t/>
        </is>
      </c>
      <c r="O1384" t="n">
        <v>0.0</v>
      </c>
      <c r="P1384" t="n">
        <v>0.0</v>
      </c>
      <c r="Q1384" t="inlineStr">
        <is>
          <t/>
        </is>
      </c>
      <c r="R1384" t="inlineStr">
        <is>
          <t/>
        </is>
      </c>
      <c r="S1384" t="n">
        <v>0.0</v>
      </c>
      <c r="T1384" t="n">
        <v>0.0</v>
      </c>
      <c r="U1384" t="n">
        <v>0.0</v>
      </c>
      <c r="V1384" t="n">
        <v>0.0</v>
      </c>
      <c r="W1384" t="inlineStr">
        <is>
          <t/>
        </is>
      </c>
      <c r="X1384" t="n">
        <v>0.0</v>
      </c>
      <c r="Y1384" t="n">
        <v>0.0</v>
      </c>
      <c r="Z1384" t="n">
        <v>0.0</v>
      </c>
      <c r="AA1384" t="n">
        <v>0.0</v>
      </c>
      <c r="AB1384" t="n">
        <v>0.0</v>
      </c>
      <c r="AC1384" t="n">
        <v>0.0</v>
      </c>
      <c r="AD1384" t="n">
        <v>0.0</v>
      </c>
      <c r="AE1384" t="n">
        <v>0.0</v>
      </c>
      <c r="AF1384" t="n">
        <v>0.0</v>
      </c>
      <c r="AG1384" t="n">
        <v>0.0</v>
      </c>
      <c r="AH1384" t="n">
        <v>0.0</v>
      </c>
      <c r="AI1384" t="n">
        <v>0.0</v>
      </c>
      <c r="AJ1384" t="n">
        <v>0.0</v>
      </c>
      <c r="AK1384" t="inlineStr">
        <is>
          <t/>
        </is>
      </c>
      <c r="AL1384" t="inlineStr">
        <is>
          <t/>
        </is>
      </c>
    </row>
    <row r="1385">
      <c r="A1385" t="inlineStr">
        <is>
          <t>其实，300 块够吃一个月三文鱼了🥹</t>
        </is>
      </c>
      <c r="B1385" t="inlineStr">
        <is>
          <t>69f0c994000000001a036c00</t>
        </is>
      </c>
      <c r="C1385" s="1384" t="n">
        <f>HYPERLINK("https://www.xiaohongshu.com/explore/69f0c994000000001a036c00?xsec_token=TBvHxiGmj2CedfPdQHdLJBmGKrLxN2jXjznLh73RKvXKo=&amp;xsec_source=pc_trdark","https://www.xiaohongshu.com/explore/69f0c994000000001a036c00?xsec_token=TBvHxiGmj2CedfPdQHdLJBmGKrLxN2jXjznLh73RKvXKo=&amp;xsec_source=pc_trdark")</f>
        <v>0.0</v>
      </c>
      <c r="D1385" t="inlineStr">
        <is>
          <t>鲜水湾</t>
        </is>
      </c>
      <c r="E1385" t="inlineStr">
        <is>
          <t>49316638994</t>
        </is>
      </c>
      <c r="F1385" t="inlineStr">
        <is>
          <t>2026-04-28 22:52:04</t>
        </is>
      </c>
      <c r="G1385" t="inlineStr">
        <is>
          <t>图文</t>
        </is>
      </c>
      <c r="H1385" t="inlineStr">
        <is>
          <t>智利尾端中段整条三文鱼 8斤深海鱼低脂餐囤货一周备菜顺丰包邮</t>
        </is>
      </c>
      <c r="I1385" t="inlineStr">
        <is>
          <t>69fab80d64eb410001ece0c0</t>
        </is>
      </c>
      <c r="J1385" t="inlineStr">
        <is>
          <t/>
        </is>
      </c>
      <c r="K1385" t="n">
        <v>0.0</v>
      </c>
      <c r="L1385" t="n">
        <v>0.0</v>
      </c>
      <c r="M1385" t="n">
        <v>0.0</v>
      </c>
      <c r="N1385" t="inlineStr">
        <is>
          <t/>
        </is>
      </c>
      <c r="O1385" t="n">
        <v>0.0</v>
      </c>
      <c r="P1385" t="n">
        <v>0.0</v>
      </c>
      <c r="Q1385" t="inlineStr">
        <is>
          <t/>
        </is>
      </c>
      <c r="R1385" t="inlineStr">
        <is>
          <t/>
        </is>
      </c>
      <c r="S1385" t="n">
        <v>0.0</v>
      </c>
      <c r="T1385" t="n">
        <v>0.0</v>
      </c>
      <c r="U1385" t="n">
        <v>0.0</v>
      </c>
      <c r="V1385" t="n">
        <v>0.0</v>
      </c>
      <c r="W1385" t="inlineStr">
        <is>
          <t/>
        </is>
      </c>
      <c r="X1385" t="n">
        <v>0.0</v>
      </c>
      <c r="Y1385" t="n">
        <v>0.0</v>
      </c>
      <c r="Z1385" t="n">
        <v>0.0</v>
      </c>
      <c r="AA1385" t="n">
        <v>0.0</v>
      </c>
      <c r="AB1385" t="n">
        <v>0.0</v>
      </c>
      <c r="AC1385" t="n">
        <v>0.0</v>
      </c>
      <c r="AD1385" t="n">
        <v>0.0</v>
      </c>
      <c r="AE1385" t="n">
        <v>0.0</v>
      </c>
      <c r="AF1385" t="n">
        <v>0.0</v>
      </c>
      <c r="AG1385" t="n">
        <v>0.0</v>
      </c>
      <c r="AH1385" t="n">
        <v>0.0</v>
      </c>
      <c r="AI1385" t="n">
        <v>0.0</v>
      </c>
      <c r="AJ1385" t="n">
        <v>0.0</v>
      </c>
      <c r="AK1385" t="inlineStr">
        <is>
          <t/>
        </is>
      </c>
      <c r="AL1385" t="inlineStr">
        <is>
          <t/>
        </is>
      </c>
    </row>
    <row r="1386">
      <c r="A1386" t="inlineStr">
        <is>
          <t>不敢相信🫢69块承包了我一周的减脂餐</t>
        </is>
      </c>
      <c r="B1386" t="inlineStr">
        <is>
          <t>69f0bd9b000000001a037154</t>
        </is>
      </c>
      <c r="C1386" s="1385" t="n">
        <f>HYPERLINK("https://www.xiaohongshu.com/explore/69f0bd9b000000001a037154?xsec_token=TBvHxiGmj2CedfPdQHdLJBmMCfqTm_ey4fpgpgCCV_3rk=&amp;xsec_source=pc_trdark","https://www.xiaohongshu.com/explore/69f0bd9b000000001a037154?xsec_token=TBvHxiGmj2CedfPdQHdLJBmMCfqTm_ey4fpgpgCCV_3rk=&amp;xsec_source=pc_trdark")</f>
        <v>0.0</v>
      </c>
      <c r="D1386" t="inlineStr">
        <is>
          <t>菲菲上班吃什么</t>
        </is>
      </c>
      <c r="E1386" t="inlineStr">
        <is>
          <t>49936530607</t>
        </is>
      </c>
      <c r="F1386" t="inlineStr">
        <is>
          <t>2026-04-28 22:00:59</t>
        </is>
      </c>
      <c r="G1386" t="inlineStr">
        <is>
          <t>图文</t>
        </is>
      </c>
      <c r="H1386" t="inlineStr">
        <is>
          <t>手剥虾仁 无冰衣无添加 低脂餐一人食 上班带饭 顺丰包邮 5盒装</t>
        </is>
      </c>
      <c r="I1386" t="inlineStr">
        <is>
          <t>694baba01d450d00013662f0</t>
        </is>
      </c>
      <c r="J1386" t="inlineStr">
        <is>
          <t/>
        </is>
      </c>
      <c r="K1386" t="n">
        <v>0.0</v>
      </c>
      <c r="L1386" t="n">
        <v>0.0</v>
      </c>
      <c r="M1386" t="n">
        <v>0.0</v>
      </c>
      <c r="N1386" t="inlineStr">
        <is>
          <t/>
        </is>
      </c>
      <c r="O1386" t="n">
        <v>0.0</v>
      </c>
      <c r="P1386" t="n">
        <v>0.0</v>
      </c>
      <c r="Q1386" t="inlineStr">
        <is>
          <t/>
        </is>
      </c>
      <c r="R1386" t="inlineStr">
        <is>
          <t/>
        </is>
      </c>
      <c r="S1386" t="n">
        <v>0.0</v>
      </c>
      <c r="T1386" t="n">
        <v>0.0</v>
      </c>
      <c r="U1386" t="n">
        <v>0.0</v>
      </c>
      <c r="V1386" t="n">
        <v>0.0</v>
      </c>
      <c r="W1386" t="inlineStr">
        <is>
          <t/>
        </is>
      </c>
      <c r="X1386" t="n">
        <v>0.0</v>
      </c>
      <c r="Y1386" t="n">
        <v>0.0</v>
      </c>
      <c r="Z1386" t="n">
        <v>0.0</v>
      </c>
      <c r="AA1386" t="n">
        <v>0.0</v>
      </c>
      <c r="AB1386" t="n">
        <v>0.0</v>
      </c>
      <c r="AC1386" t="n">
        <v>0.0</v>
      </c>
      <c r="AD1386" t="n">
        <v>0.0</v>
      </c>
      <c r="AE1386" t="n">
        <v>0.0</v>
      </c>
      <c r="AF1386" t="n">
        <v>0.0</v>
      </c>
      <c r="AG1386" t="n">
        <v>0.0</v>
      </c>
      <c r="AH1386" t="n">
        <v>0.0</v>
      </c>
      <c r="AI1386" t="n">
        <v>0.0</v>
      </c>
      <c r="AJ1386" t="n">
        <v>0.0</v>
      </c>
      <c r="AK1386" t="inlineStr">
        <is>
          <t/>
        </is>
      </c>
      <c r="AL1386" t="inlineStr">
        <is>
          <t/>
        </is>
      </c>
    </row>
    <row r="1387">
      <c r="A1387" t="inlineStr">
        <is>
          <t>夏天快来了，我决定花100多吃半个月减脂餐</t>
        </is>
      </c>
      <c r="B1387" t="inlineStr">
        <is>
          <t>69f0b1ba0000000035028de2</t>
        </is>
      </c>
      <c r="C1387" s="1386" t="n">
        <f>HYPERLINK("https://www.xiaohongshu.com/explore/69f0b1ba0000000035028de2?xsec_token=TBvHxiGmj2CedfPdQHdLJBmNjARiisTAol7MJL84moc14=&amp;xsec_source=pc_trdark","https://www.xiaohongshu.com/explore/69f0b1ba0000000035028de2?xsec_token=TBvHxiGmj2CedfPdQHdLJBmNjARiisTAol7MJL84moc14=&amp;xsec_source=pc_trdark")</f>
        <v>0.0</v>
      </c>
      <c r="D1387" t="inlineStr">
        <is>
          <t>鲜水湾甄选</t>
        </is>
      </c>
      <c r="E1387" t="inlineStr">
        <is>
          <t>27401929161</t>
        </is>
      </c>
      <c r="F1387" t="inlineStr">
        <is>
          <t>2026-04-28 21:10:18</t>
        </is>
      </c>
      <c r="G1387" t="inlineStr">
        <is>
          <t>图文</t>
        </is>
      </c>
      <c r="H1387" t="inlineStr">
        <is>
          <t>手剥虾仁 无冰衣无添加 低脂餐一人食 上班带饭 顺丰包邮 5盒装</t>
        </is>
      </c>
      <c r="I1387" t="inlineStr">
        <is>
          <t>694baba01d450d00013662f0</t>
        </is>
      </c>
      <c r="J1387" t="inlineStr">
        <is>
          <t/>
        </is>
      </c>
      <c r="K1387" t="n">
        <v>0.0</v>
      </c>
      <c r="L1387" t="n">
        <v>0.0</v>
      </c>
      <c r="M1387" t="n">
        <v>0.0</v>
      </c>
      <c r="N1387" t="inlineStr">
        <is>
          <t/>
        </is>
      </c>
      <c r="O1387" t="n">
        <v>0.0</v>
      </c>
      <c r="P1387" t="n">
        <v>0.0</v>
      </c>
      <c r="Q1387" t="inlineStr">
        <is>
          <t/>
        </is>
      </c>
      <c r="R1387" t="inlineStr">
        <is>
          <t/>
        </is>
      </c>
      <c r="S1387" t="n">
        <v>0.0</v>
      </c>
      <c r="T1387" t="n">
        <v>0.0</v>
      </c>
      <c r="U1387" t="n">
        <v>0.0</v>
      </c>
      <c r="V1387" t="n">
        <v>0.0</v>
      </c>
      <c r="W1387" t="inlineStr">
        <is>
          <t/>
        </is>
      </c>
      <c r="X1387" t="n">
        <v>0.0</v>
      </c>
      <c r="Y1387" t="n">
        <v>0.0</v>
      </c>
      <c r="Z1387" t="n">
        <v>0.0</v>
      </c>
      <c r="AA1387" t="n">
        <v>0.0</v>
      </c>
      <c r="AB1387" t="n">
        <v>0.0</v>
      </c>
      <c r="AC1387" t="n">
        <v>0.0</v>
      </c>
      <c r="AD1387" t="n">
        <v>0.0</v>
      </c>
      <c r="AE1387" t="n">
        <v>0.0</v>
      </c>
      <c r="AF1387" t="n">
        <v>0.0</v>
      </c>
      <c r="AG1387" t="n">
        <v>0.0</v>
      </c>
      <c r="AH1387" t="n">
        <v>0.0</v>
      </c>
      <c r="AI1387" t="n">
        <v>0.0</v>
      </c>
      <c r="AJ1387" t="n">
        <v>0.0</v>
      </c>
      <c r="AK1387" t="inlineStr">
        <is>
          <t/>
        </is>
      </c>
      <c r="AL1387" t="inlineStr">
        <is>
          <t/>
        </is>
      </c>
    </row>
    <row r="1388">
      <c r="A1388" t="inlineStr">
        <is>
          <t>真的掉秤🍤减脂期直接锁死这虾仁！</t>
        </is>
      </c>
      <c r="B1388" t="inlineStr">
        <is>
          <t>69f0b187000000001f003829</t>
        </is>
      </c>
      <c r="C1388" s="1387" t="n">
        <f>HYPERLINK("https://www.xiaohongshu.com/explore/69f0b187000000001f003829?xsec_token=TBvHxiGmj2CedfPdQHdLJBmFXch8Neo45hLYRspkSqSm4=&amp;xsec_source=pc_trdark","https://www.xiaohongshu.com/explore/69f0b187000000001f003829?xsec_token=TBvHxiGmj2CedfPdQHdLJBmFXch8Neo45hLYRspkSqSm4=&amp;xsec_source=pc_trdark")</f>
        <v>0.0</v>
      </c>
      <c r="D1388" t="inlineStr">
        <is>
          <t>菲菲上班吃什么</t>
        </is>
      </c>
      <c r="E1388" t="inlineStr">
        <is>
          <t>49936530607</t>
        </is>
      </c>
      <c r="F1388" t="inlineStr">
        <is>
          <t>2026-04-28 21:09:27</t>
        </is>
      </c>
      <c r="G1388" t="inlineStr">
        <is>
          <t>图文</t>
        </is>
      </c>
      <c r="H1388" t="inlineStr">
        <is>
          <t>手剥虾仁 无冰衣无添加 低脂餐一人食 上班带饭 顺丰包邮 5盒装</t>
        </is>
      </c>
      <c r="I1388" t="inlineStr">
        <is>
          <t>694baba01d450d00013662f0</t>
        </is>
      </c>
      <c r="J1388" t="inlineStr">
        <is>
          <t/>
        </is>
      </c>
      <c r="K1388" t="n">
        <v>0.0</v>
      </c>
      <c r="L1388" t="n">
        <v>0.0</v>
      </c>
      <c r="M1388" t="n">
        <v>0.0</v>
      </c>
      <c r="N1388" t="inlineStr">
        <is>
          <t/>
        </is>
      </c>
      <c r="O1388" t="n">
        <v>0.0</v>
      </c>
      <c r="P1388" t="n">
        <v>0.0</v>
      </c>
      <c r="Q1388" t="inlineStr">
        <is>
          <t/>
        </is>
      </c>
      <c r="R1388" t="inlineStr">
        <is>
          <t/>
        </is>
      </c>
      <c r="S1388" t="n">
        <v>0.0</v>
      </c>
      <c r="T1388" t="n">
        <v>0.0</v>
      </c>
      <c r="U1388" t="n">
        <v>0.0</v>
      </c>
      <c r="V1388" t="n">
        <v>0.0</v>
      </c>
      <c r="W1388" t="inlineStr">
        <is>
          <t/>
        </is>
      </c>
      <c r="X1388" t="n">
        <v>0.0</v>
      </c>
      <c r="Y1388" t="n">
        <v>0.0</v>
      </c>
      <c r="Z1388" t="n">
        <v>0.0</v>
      </c>
      <c r="AA1388" t="n">
        <v>0.0</v>
      </c>
      <c r="AB1388" t="n">
        <v>0.0</v>
      </c>
      <c r="AC1388" t="n">
        <v>0.0</v>
      </c>
      <c r="AD1388" t="n">
        <v>0.0</v>
      </c>
      <c r="AE1388" t="n">
        <v>0.0</v>
      </c>
      <c r="AF1388" t="n">
        <v>0.0</v>
      </c>
      <c r="AG1388" t="n">
        <v>0.0</v>
      </c>
      <c r="AH1388" t="n">
        <v>0.0</v>
      </c>
      <c r="AI1388" t="n">
        <v>0.0</v>
      </c>
      <c r="AJ1388" t="n">
        <v>0.0</v>
      </c>
      <c r="AK1388" t="inlineStr">
        <is>
          <t/>
        </is>
      </c>
      <c r="AL1388" t="inlineStr">
        <is>
          <t/>
        </is>
      </c>
    </row>
    <row r="1389">
      <c r="A1389" t="inlineStr">
        <is>
          <t>普通人减脂真不贵，69够吃一周了🥹</t>
        </is>
      </c>
      <c r="B1389" t="inlineStr">
        <is>
          <t>69f0a7de0000000023006b3c</t>
        </is>
      </c>
      <c r="C1389" s="1388" t="n">
        <f>HYPERLINK("https://www.xiaohongshu.com/explore/69f0a7de0000000023006b3c?xsec_token=TBvHxiGmj2CedfPdQHdLJBmEzONIsIUUcBjBJWYlPtpcc=&amp;xsec_source=pc_trdark","https://www.xiaohongshu.com/explore/69f0a7de0000000023006b3c?xsec_token=TBvHxiGmj2CedfPdQHdLJBmEzONIsIUUcBjBJWYlPtpcc=&amp;xsec_source=pc_trdark")</f>
        <v>0.0</v>
      </c>
      <c r="D1389" t="inlineStr">
        <is>
          <t>鲜水湾</t>
        </is>
      </c>
      <c r="E1389" t="inlineStr">
        <is>
          <t>49316638994</t>
        </is>
      </c>
      <c r="F1389" t="inlineStr">
        <is>
          <t>2026-04-28 20:28:14</t>
        </is>
      </c>
      <c r="G1389" t="inlineStr">
        <is>
          <t>图文</t>
        </is>
      </c>
      <c r="H1389" t="inlineStr">
        <is>
          <t>手剥虾仁 无冰衣无添加 低脂餐一人食 上班带饭 顺丰包邮 5盒装</t>
        </is>
      </c>
      <c r="I1389" t="inlineStr">
        <is>
          <t>694baba01d450d00013662f0</t>
        </is>
      </c>
      <c r="J1389" t="inlineStr">
        <is>
          <t/>
        </is>
      </c>
      <c r="K1389" t="n">
        <v>0.0</v>
      </c>
      <c r="L1389" t="n">
        <v>0.0</v>
      </c>
      <c r="M1389" t="n">
        <v>0.0</v>
      </c>
      <c r="N1389" t="inlineStr">
        <is>
          <t/>
        </is>
      </c>
      <c r="O1389" t="n">
        <v>0.0</v>
      </c>
      <c r="P1389" t="n">
        <v>0.0</v>
      </c>
      <c r="Q1389" t="inlineStr">
        <is>
          <t/>
        </is>
      </c>
      <c r="R1389" t="inlineStr">
        <is>
          <t/>
        </is>
      </c>
      <c r="S1389" t="n">
        <v>0.0</v>
      </c>
      <c r="T1389" t="n">
        <v>0.0</v>
      </c>
      <c r="U1389" t="n">
        <v>0.0</v>
      </c>
      <c r="V1389" t="n">
        <v>0.0</v>
      </c>
      <c r="W1389" t="inlineStr">
        <is>
          <t/>
        </is>
      </c>
      <c r="X1389" t="n">
        <v>0.0</v>
      </c>
      <c r="Y1389" t="n">
        <v>0.0</v>
      </c>
      <c r="Z1389" t="n">
        <v>0.0</v>
      </c>
      <c r="AA1389" t="n">
        <v>0.0</v>
      </c>
      <c r="AB1389" t="n">
        <v>0.0</v>
      </c>
      <c r="AC1389" t="n">
        <v>0.0</v>
      </c>
      <c r="AD1389" t="n">
        <v>0.0</v>
      </c>
      <c r="AE1389" t="n">
        <v>0.0</v>
      </c>
      <c r="AF1389" t="n">
        <v>0.0</v>
      </c>
      <c r="AG1389" t="n">
        <v>0.0</v>
      </c>
      <c r="AH1389" t="n">
        <v>0.0</v>
      </c>
      <c r="AI1389" t="n">
        <v>0.0</v>
      </c>
      <c r="AJ1389" t="n">
        <v>0.0</v>
      </c>
      <c r="AK1389" t="inlineStr">
        <is>
          <t/>
        </is>
      </c>
      <c r="AL1389" t="inlineStr">
        <is>
          <t/>
        </is>
      </c>
    </row>
    <row r="1390">
      <c r="A1390" t="inlineStr">
        <is>
          <t>区区69块承包我一周的减脂餐😂</t>
        </is>
      </c>
      <c r="B1390" t="inlineStr">
        <is>
          <t>69f0a64a000000001a037412</t>
        </is>
      </c>
      <c r="C1390" s="1389" t="n">
        <f>HYPERLINK("https://www.xiaohongshu.com/explore/69f0a64a000000001a037412?xsec_token=TBvHxiGmj2CedfPdQHdLJBmJPajlvWIoKRnPdRMIQcAsI=&amp;xsec_source=pc_trdark","https://www.xiaohongshu.com/explore/69f0a64a000000001a037412?xsec_token=TBvHxiGmj2CedfPdQHdLJBmJPajlvWIoKRnPdRMIQcAsI=&amp;xsec_source=pc_trdark")</f>
        <v>0.0</v>
      </c>
      <c r="D1390" t="inlineStr">
        <is>
          <t>婉婉上班吃什么</t>
        </is>
      </c>
      <c r="E1390" t="inlineStr">
        <is>
          <t>11434449706</t>
        </is>
      </c>
      <c r="F1390" t="inlineStr">
        <is>
          <t>2026-04-28 20:21:30</t>
        </is>
      </c>
      <c r="G1390" t="inlineStr">
        <is>
          <t>图文</t>
        </is>
      </c>
      <c r="H1390" t="inlineStr">
        <is>
          <t>手剥虾仁 无冰衣无添加 低脂餐一人食 上班带饭 顺丰包邮 5盒装</t>
        </is>
      </c>
      <c r="I1390" t="inlineStr">
        <is>
          <t>694baba01d450d00013662f0</t>
        </is>
      </c>
      <c r="J1390" t="inlineStr">
        <is>
          <t/>
        </is>
      </c>
      <c r="K1390" t="n">
        <v>0.0</v>
      </c>
      <c r="L1390" t="n">
        <v>0.0</v>
      </c>
      <c r="M1390" t="n">
        <v>0.0</v>
      </c>
      <c r="N1390" t="inlineStr">
        <is>
          <t/>
        </is>
      </c>
      <c r="O1390" t="n">
        <v>0.0</v>
      </c>
      <c r="P1390" t="n">
        <v>0.0</v>
      </c>
      <c r="Q1390" t="inlineStr">
        <is>
          <t/>
        </is>
      </c>
      <c r="R1390" t="inlineStr">
        <is>
          <t/>
        </is>
      </c>
      <c r="S1390" t="n">
        <v>0.0</v>
      </c>
      <c r="T1390" t="n">
        <v>0.0</v>
      </c>
      <c r="U1390" t="n">
        <v>0.0</v>
      </c>
      <c r="V1390" t="n">
        <v>0.0</v>
      </c>
      <c r="W1390" t="inlineStr">
        <is>
          <t/>
        </is>
      </c>
      <c r="X1390" t="n">
        <v>0.0</v>
      </c>
      <c r="Y1390" t="n">
        <v>0.0</v>
      </c>
      <c r="Z1390" t="n">
        <v>0.0</v>
      </c>
      <c r="AA1390" t="n">
        <v>0.0</v>
      </c>
      <c r="AB1390" t="n">
        <v>0.0</v>
      </c>
      <c r="AC1390" t="n">
        <v>0.0</v>
      </c>
      <c r="AD1390" t="n">
        <v>0.0</v>
      </c>
      <c r="AE1390" t="n">
        <v>0.0</v>
      </c>
      <c r="AF1390" t="n">
        <v>0.0</v>
      </c>
      <c r="AG1390" t="n">
        <v>0.0</v>
      </c>
      <c r="AH1390" t="n">
        <v>0.0</v>
      </c>
      <c r="AI1390" t="n">
        <v>0.0</v>
      </c>
      <c r="AJ1390" t="n">
        <v>0.0</v>
      </c>
      <c r="AK1390" t="inlineStr">
        <is>
          <t/>
        </is>
      </c>
      <c r="AL1390" t="inlineStr">
        <is>
          <t/>
        </is>
      </c>
    </row>
    <row r="1391">
      <c r="A1391" t="inlineStr">
        <is>
          <t>最懂早八打工人的0添加小包装</t>
        </is>
      </c>
      <c r="B1391" t="inlineStr">
        <is>
          <t>69f0a45b000000001f006525</t>
        </is>
      </c>
      <c r="C1391" s="1390" t="n">
        <f>HYPERLINK("https://www.xiaohongshu.com/explore/69f0a45b000000001f006525?xsec_token=TBvHxiGmj2CedfPdQHdLJBmOi1rgpmTpyLK9X9ZHN8g7E=&amp;xsec_source=pc_trdark","https://www.xiaohongshu.com/explore/69f0a45b000000001f006525?xsec_token=TBvHxiGmj2CedfPdQHdLJBmOi1rgpmTpyLK9X9ZHN8g7E=&amp;xsec_source=pc_trdark")</f>
        <v>0.0</v>
      </c>
      <c r="D1391" t="inlineStr">
        <is>
          <t>菲菲上班吃什么</t>
        </is>
      </c>
      <c r="E1391" t="inlineStr">
        <is>
          <t>49936530607</t>
        </is>
      </c>
      <c r="F1391" t="inlineStr">
        <is>
          <t>2026-04-28 20:13:15</t>
        </is>
      </c>
      <c r="G1391" t="inlineStr">
        <is>
          <t>图文</t>
        </is>
      </c>
      <c r="H1391" t="inlineStr">
        <is>
          <t>手剥虾仁 无冰衣无添加 低脂餐一人食 上班带饭 顺丰包邮 5盒装</t>
        </is>
      </c>
      <c r="I1391" t="inlineStr">
        <is>
          <t>694baba01d450d00013662f0</t>
        </is>
      </c>
      <c r="J1391" t="inlineStr">
        <is>
          <t/>
        </is>
      </c>
      <c r="K1391" t="n">
        <v>0.0</v>
      </c>
      <c r="L1391" t="n">
        <v>0.0</v>
      </c>
      <c r="M1391" t="n">
        <v>0.0</v>
      </c>
      <c r="N1391" t="inlineStr">
        <is>
          <t/>
        </is>
      </c>
      <c r="O1391" t="n">
        <v>0.0</v>
      </c>
      <c r="P1391" t="n">
        <v>0.0</v>
      </c>
      <c r="Q1391" t="inlineStr">
        <is>
          <t/>
        </is>
      </c>
      <c r="R1391" t="inlineStr">
        <is>
          <t/>
        </is>
      </c>
      <c r="S1391" t="n">
        <v>0.0</v>
      </c>
      <c r="T1391" t="n">
        <v>0.0</v>
      </c>
      <c r="U1391" t="n">
        <v>0.0</v>
      </c>
      <c r="V1391" t="n">
        <v>0.0</v>
      </c>
      <c r="W1391" t="inlineStr">
        <is>
          <t/>
        </is>
      </c>
      <c r="X1391" t="n">
        <v>0.0</v>
      </c>
      <c r="Y1391" t="n">
        <v>0.0</v>
      </c>
      <c r="Z1391" t="n">
        <v>0.0</v>
      </c>
      <c r="AA1391" t="n">
        <v>0.0</v>
      </c>
      <c r="AB1391" t="n">
        <v>0.0</v>
      </c>
      <c r="AC1391" t="n">
        <v>0.0</v>
      </c>
      <c r="AD1391" t="n">
        <v>0.0</v>
      </c>
      <c r="AE1391" t="n">
        <v>0.0</v>
      </c>
      <c r="AF1391" t="n">
        <v>0.0</v>
      </c>
      <c r="AG1391" t="n">
        <v>0.0</v>
      </c>
      <c r="AH1391" t="n">
        <v>0.0</v>
      </c>
      <c r="AI1391" t="n">
        <v>0.0</v>
      </c>
      <c r="AJ1391" t="n">
        <v>0.0</v>
      </c>
      <c r="AK1391" t="inlineStr">
        <is>
          <t/>
        </is>
      </c>
      <c r="AL1391" t="inlineStr">
        <is>
          <t/>
        </is>
      </c>
    </row>
    <row r="1392">
      <c r="A1392" t="inlineStr">
        <is>
          <t>69r就解决我一周减脂晚餐！！！</t>
        </is>
      </c>
      <c r="B1392" t="inlineStr">
        <is>
          <t>69f0a4280000000035026ce4</t>
        </is>
      </c>
      <c r="C1392" s="1391" t="n">
        <f>HYPERLINK("https://www.xiaohongshu.com/explore/69f0a4280000000035026ce4?xsec_token=TBvHxiGmj2CedfPdQHdLJBmBHTYocQ_M73gMFkCIwoXBM=&amp;xsec_source=pc_trdark","https://www.xiaohongshu.com/explore/69f0a4280000000035026ce4?xsec_token=TBvHxiGmj2CedfPdQHdLJBmBHTYocQ_M73gMFkCIwoXBM=&amp;xsec_source=pc_trdark")</f>
        <v>0.0</v>
      </c>
      <c r="D1392" t="inlineStr">
        <is>
          <t>鲜水湾甄选</t>
        </is>
      </c>
      <c r="E1392" t="inlineStr">
        <is>
          <t>27401929161</t>
        </is>
      </c>
      <c r="F1392" t="inlineStr">
        <is>
          <t>2026-04-28 20:12:24</t>
        </is>
      </c>
      <c r="G1392" t="inlineStr">
        <is>
          <t>图文</t>
        </is>
      </c>
      <c r="H1392" t="inlineStr">
        <is>
          <t>手剥虾仁 无冰衣无添加 低脂餐一人食 上班带饭 顺丰包邮 5盒装</t>
        </is>
      </c>
      <c r="I1392" t="inlineStr">
        <is>
          <t>694baba01d450d00013662f0</t>
        </is>
      </c>
      <c r="J1392" t="inlineStr">
        <is>
          <t/>
        </is>
      </c>
      <c r="K1392" t="n">
        <v>0.0</v>
      </c>
      <c r="L1392" t="n">
        <v>0.0</v>
      </c>
      <c r="M1392" t="n">
        <v>0.0</v>
      </c>
      <c r="N1392" t="inlineStr">
        <is>
          <t/>
        </is>
      </c>
      <c r="O1392" t="n">
        <v>0.0</v>
      </c>
      <c r="P1392" t="n">
        <v>0.0</v>
      </c>
      <c r="Q1392" t="inlineStr">
        <is>
          <t/>
        </is>
      </c>
      <c r="R1392" t="inlineStr">
        <is>
          <t/>
        </is>
      </c>
      <c r="S1392" t="n">
        <v>0.0</v>
      </c>
      <c r="T1392" t="n">
        <v>0.0</v>
      </c>
      <c r="U1392" t="n">
        <v>0.0</v>
      </c>
      <c r="V1392" t="n">
        <v>0.0</v>
      </c>
      <c r="W1392" t="inlineStr">
        <is>
          <t/>
        </is>
      </c>
      <c r="X1392" t="n">
        <v>0.0</v>
      </c>
      <c r="Y1392" t="n">
        <v>0.0</v>
      </c>
      <c r="Z1392" t="n">
        <v>0.0</v>
      </c>
      <c r="AA1392" t="n">
        <v>0.0</v>
      </c>
      <c r="AB1392" t="n">
        <v>0.0</v>
      </c>
      <c r="AC1392" t="n">
        <v>0.0</v>
      </c>
      <c r="AD1392" t="n">
        <v>0.0</v>
      </c>
      <c r="AE1392" t="n">
        <v>0.0</v>
      </c>
      <c r="AF1392" t="n">
        <v>0.0</v>
      </c>
      <c r="AG1392" t="n">
        <v>0.0</v>
      </c>
      <c r="AH1392" t="n">
        <v>0.0</v>
      </c>
      <c r="AI1392" t="n">
        <v>0.0</v>
      </c>
      <c r="AJ1392" t="n">
        <v>0.0</v>
      </c>
      <c r="AK1392" t="inlineStr">
        <is>
          <t/>
        </is>
      </c>
      <c r="AL1392" t="inlineStr">
        <is>
          <t/>
        </is>
      </c>
    </row>
    <row r="1393">
      <c r="A1393" t="inlineStr">
        <is>
          <t>我妈问我：你天天吃虾仁，是不是涨工资了😂</t>
        </is>
      </c>
      <c r="B1393" t="inlineStr">
        <is>
          <t>69f0839f0000000036002d3a</t>
        </is>
      </c>
      <c r="C1393" s="1392" t="n">
        <f>HYPERLINK("https://www.xiaohongshu.com/explore/69f0839f0000000036002d3a?xsec_token=TBvHxiGmj2CedfPdQHdLJBmHi4cKa8OW_RpwCjE8ZXQxA=&amp;xsec_source=pc_trdark","https://www.xiaohongshu.com/explore/69f0839f0000000036002d3a?xsec_token=TBvHxiGmj2CedfPdQHdLJBmHi4cKa8OW_RpwCjE8ZXQxA=&amp;xsec_source=pc_trdark")</f>
        <v>0.0</v>
      </c>
      <c r="D1393" t="inlineStr">
        <is>
          <t>鲜水湾甄选</t>
        </is>
      </c>
      <c r="E1393" t="inlineStr">
        <is>
          <t>27401929161</t>
        </is>
      </c>
      <c r="F1393" t="inlineStr">
        <is>
          <t>2026-04-28 17:53:35</t>
        </is>
      </c>
      <c r="G1393" t="inlineStr">
        <is>
          <t>图文</t>
        </is>
      </c>
      <c r="H1393" t="inlineStr">
        <is>
          <t>手剥虾仁 无冰衣无添加 低脂餐一人食 上班带饭 顺丰包邮 5盒装</t>
        </is>
      </c>
      <c r="I1393" t="inlineStr">
        <is>
          <t>694baba01d450d00013662f0</t>
        </is>
      </c>
      <c r="J1393" t="inlineStr">
        <is>
          <t/>
        </is>
      </c>
      <c r="K1393" t="n">
        <v>0.0</v>
      </c>
      <c r="L1393" t="n">
        <v>0.0</v>
      </c>
      <c r="M1393" t="n">
        <v>0.0</v>
      </c>
      <c r="N1393" t="inlineStr">
        <is>
          <t/>
        </is>
      </c>
      <c r="O1393" t="n">
        <v>0.0</v>
      </c>
      <c r="P1393" t="n">
        <v>0.0</v>
      </c>
      <c r="Q1393" t="inlineStr">
        <is>
          <t/>
        </is>
      </c>
      <c r="R1393" t="inlineStr">
        <is>
          <t/>
        </is>
      </c>
      <c r="S1393" t="n">
        <v>0.0</v>
      </c>
      <c r="T1393" t="n">
        <v>0.0</v>
      </c>
      <c r="U1393" t="n">
        <v>0.0</v>
      </c>
      <c r="V1393" t="n">
        <v>0.0</v>
      </c>
      <c r="W1393" t="inlineStr">
        <is>
          <t/>
        </is>
      </c>
      <c r="X1393" t="n">
        <v>0.0</v>
      </c>
      <c r="Y1393" t="n">
        <v>0.0</v>
      </c>
      <c r="Z1393" t="n">
        <v>0.0</v>
      </c>
      <c r="AA1393" t="n">
        <v>0.0</v>
      </c>
      <c r="AB1393" t="n">
        <v>0.0</v>
      </c>
      <c r="AC1393" t="n">
        <v>0.0</v>
      </c>
      <c r="AD1393" t="n">
        <v>0.0</v>
      </c>
      <c r="AE1393" t="n">
        <v>0.0</v>
      </c>
      <c r="AF1393" t="n">
        <v>0.0</v>
      </c>
      <c r="AG1393" t="n">
        <v>0.0</v>
      </c>
      <c r="AH1393" t="n">
        <v>0.0</v>
      </c>
      <c r="AI1393" t="n">
        <v>0.0</v>
      </c>
      <c r="AJ1393" t="n">
        <v>0.0</v>
      </c>
      <c r="AK1393" t="inlineStr">
        <is>
          <t/>
        </is>
      </c>
      <c r="AL1393" t="inlineStr">
        <is>
          <t/>
        </is>
      </c>
    </row>
    <row r="1394">
      <c r="A1394" t="inlineStr">
        <is>
          <t>打工人超省事减脂餐，69可以吃一周🥹</t>
        </is>
      </c>
      <c r="B1394" t="inlineStr">
        <is>
          <t>69f07efa000000001e00ec9a</t>
        </is>
      </c>
      <c r="C1394" s="1393" t="n">
        <f>HYPERLINK("https://www.xiaohongshu.com/explore/69f07efa000000001e00ec9a?xsec_token=TBvHxiGmj2CedfPdQHdLJBmHjKUz1bFCbt0vvHLi_BTko=&amp;xsec_source=pc_trdark","https://www.xiaohongshu.com/explore/69f07efa000000001e00ec9a?xsec_token=TBvHxiGmj2CedfPdQHdLJBmHjKUz1bFCbt0vvHLi_BTko=&amp;xsec_source=pc_trdark")</f>
        <v>0.0</v>
      </c>
      <c r="D1394" t="inlineStr">
        <is>
          <t>菲菲上班吃什么</t>
        </is>
      </c>
      <c r="E1394" t="inlineStr">
        <is>
          <t>49936530607</t>
        </is>
      </c>
      <c r="F1394" t="inlineStr">
        <is>
          <t>2026-04-28 17:33:46</t>
        </is>
      </c>
      <c r="G1394" t="inlineStr">
        <is>
          <t>图文</t>
        </is>
      </c>
      <c r="H1394" t="inlineStr">
        <is>
          <t>手剥虾仁 无冰衣无添加 低脂餐一人食 上班带饭 顺丰包邮 5盒装</t>
        </is>
      </c>
      <c r="I1394" t="inlineStr">
        <is>
          <t>694baba01d450d00013662f0</t>
        </is>
      </c>
      <c r="J1394" t="inlineStr">
        <is>
          <t/>
        </is>
      </c>
      <c r="K1394" t="n">
        <v>0.0</v>
      </c>
      <c r="L1394" t="n">
        <v>0.0</v>
      </c>
      <c r="M1394" t="n">
        <v>0.0</v>
      </c>
      <c r="N1394" t="inlineStr">
        <is>
          <t/>
        </is>
      </c>
      <c r="O1394" t="n">
        <v>0.0</v>
      </c>
      <c r="P1394" t="n">
        <v>0.0</v>
      </c>
      <c r="Q1394" t="inlineStr">
        <is>
          <t/>
        </is>
      </c>
      <c r="R1394" t="inlineStr">
        <is>
          <t/>
        </is>
      </c>
      <c r="S1394" t="n">
        <v>0.0</v>
      </c>
      <c r="T1394" t="n">
        <v>0.0</v>
      </c>
      <c r="U1394" t="n">
        <v>0.0</v>
      </c>
      <c r="V1394" t="n">
        <v>0.0</v>
      </c>
      <c r="W1394" t="inlineStr">
        <is>
          <t/>
        </is>
      </c>
      <c r="X1394" t="n">
        <v>0.0</v>
      </c>
      <c r="Y1394" t="n">
        <v>0.0</v>
      </c>
      <c r="Z1394" t="n">
        <v>0.0</v>
      </c>
      <c r="AA1394" t="n">
        <v>0.0</v>
      </c>
      <c r="AB1394" t="n">
        <v>0.0</v>
      </c>
      <c r="AC1394" t="n">
        <v>0.0</v>
      </c>
      <c r="AD1394" t="n">
        <v>0.0</v>
      </c>
      <c r="AE1394" t="n">
        <v>0.0</v>
      </c>
      <c r="AF1394" t="n">
        <v>0.0</v>
      </c>
      <c r="AG1394" t="n">
        <v>0.0</v>
      </c>
      <c r="AH1394" t="n">
        <v>0.0</v>
      </c>
      <c r="AI1394" t="n">
        <v>0.0</v>
      </c>
      <c r="AJ1394" t="n">
        <v>0.0</v>
      </c>
      <c r="AK1394" t="inlineStr">
        <is>
          <t/>
        </is>
      </c>
      <c r="AL1394" t="inlineStr">
        <is>
          <t/>
        </is>
      </c>
    </row>
    <row r="1395">
      <c r="A1395" t="inlineStr">
        <is>
          <t>69元的购买力，解决一周工作餐</t>
        </is>
      </c>
      <c r="B1395" t="inlineStr">
        <is>
          <t>69f04016000000001a035b4b</t>
        </is>
      </c>
      <c r="C1395" s="1394" t="n">
        <f>HYPERLINK("https://www.xiaohongshu.com/explore/69f04016000000001a035b4b?xsec_token=TBvHxiGmj2CedfPdQHdLJBmKYFLlWKfNd1tBw1AtTh2NM=&amp;xsec_source=pc_trdark","https://www.xiaohongshu.com/explore/69f04016000000001a035b4b?xsec_token=TBvHxiGmj2CedfPdQHdLJBmKYFLlWKfNd1tBw1AtTh2NM=&amp;xsec_source=pc_trdark")</f>
        <v>0.0</v>
      </c>
      <c r="D1395" t="inlineStr">
        <is>
          <t>菲菲上班吃什么</t>
        </is>
      </c>
      <c r="E1395" t="inlineStr">
        <is>
          <t>49936530607</t>
        </is>
      </c>
      <c r="F1395" t="inlineStr">
        <is>
          <t>2026-04-28 13:05:26</t>
        </is>
      </c>
      <c r="G1395" t="inlineStr">
        <is>
          <t>图文</t>
        </is>
      </c>
      <c r="H1395" t="inlineStr">
        <is>
          <t>手剥虾仁 无冰衣无添加 低脂餐一人食 上班带饭 顺丰包邮 5盒装</t>
        </is>
      </c>
      <c r="I1395" t="inlineStr">
        <is>
          <t>694baba01d450d00013662f0</t>
        </is>
      </c>
      <c r="J1395" t="inlineStr">
        <is>
          <t/>
        </is>
      </c>
      <c r="K1395" t="n">
        <v>0.0</v>
      </c>
      <c r="L1395" t="n">
        <v>0.0</v>
      </c>
      <c r="M1395" t="n">
        <v>0.0</v>
      </c>
      <c r="N1395" t="inlineStr">
        <is>
          <t/>
        </is>
      </c>
      <c r="O1395" t="n">
        <v>0.0</v>
      </c>
      <c r="P1395" t="n">
        <v>0.0</v>
      </c>
      <c r="Q1395" t="inlineStr">
        <is>
          <t/>
        </is>
      </c>
      <c r="R1395" t="inlineStr">
        <is>
          <t/>
        </is>
      </c>
      <c r="S1395" t="n">
        <v>0.0</v>
      </c>
      <c r="T1395" t="n">
        <v>0.0</v>
      </c>
      <c r="U1395" t="n">
        <v>0.0</v>
      </c>
      <c r="V1395" t="n">
        <v>0.0</v>
      </c>
      <c r="W1395" t="inlineStr">
        <is>
          <t/>
        </is>
      </c>
      <c r="X1395" t="n">
        <v>0.0</v>
      </c>
      <c r="Y1395" t="n">
        <v>0.0</v>
      </c>
      <c r="Z1395" t="n">
        <v>0.0</v>
      </c>
      <c r="AA1395" t="n">
        <v>0.0</v>
      </c>
      <c r="AB1395" t="n">
        <v>0.0</v>
      </c>
      <c r="AC1395" t="n">
        <v>0.0</v>
      </c>
      <c r="AD1395" t="n">
        <v>0.0</v>
      </c>
      <c r="AE1395" t="n">
        <v>0.0</v>
      </c>
      <c r="AF1395" t="n">
        <v>0.0</v>
      </c>
      <c r="AG1395" t="n">
        <v>0.0</v>
      </c>
      <c r="AH1395" t="n">
        <v>0.0</v>
      </c>
      <c r="AI1395" t="n">
        <v>0.0</v>
      </c>
      <c r="AJ1395" t="n">
        <v>0.0</v>
      </c>
      <c r="AK1395" t="inlineStr">
        <is>
          <t/>
        </is>
      </c>
      <c r="AL1395" t="inlineStr">
        <is>
          <t/>
        </is>
      </c>
    </row>
    <row r="1396">
      <c r="A1396" t="inlineStr">
        <is>
          <t>真的低估了10来块钱的购买力🥹</t>
        </is>
      </c>
      <c r="B1396" t="inlineStr">
        <is>
          <t>69f0212b0000000035029d26</t>
        </is>
      </c>
      <c r="C1396" s="1395" t="n">
        <f>HYPERLINK("https://www.xiaohongshu.com/explore/69f0212b0000000035029d26?xsec_token=TBvHxiGmj2CedfPdQHdLJBmJZkSkEbWhmD9ZioUfUEyYc=&amp;xsec_source=pc_trdark","https://www.xiaohongshu.com/explore/69f0212b0000000035029d26?xsec_token=TBvHxiGmj2CedfPdQHdLJBmJZkSkEbWhmD9ZioUfUEyYc=&amp;xsec_source=pc_trdark")</f>
        <v>0.0</v>
      </c>
      <c r="D1396" t="inlineStr">
        <is>
          <t>鲜水湾甄选</t>
        </is>
      </c>
      <c r="E1396" t="inlineStr">
        <is>
          <t>27401929161</t>
        </is>
      </c>
      <c r="F1396" t="inlineStr">
        <is>
          <t>2026-04-28 10:53:31</t>
        </is>
      </c>
      <c r="G1396" t="inlineStr">
        <is>
          <t>图文</t>
        </is>
      </c>
      <c r="H1396" t="inlineStr">
        <is>
          <t>手剥虾仁 无冰衣无添加 低脂餐一人食 上班带饭 顺丰包邮 5盒装</t>
        </is>
      </c>
      <c r="I1396" t="inlineStr">
        <is>
          <t>694baba01d450d00013662f0</t>
        </is>
      </c>
      <c r="J1396" t="inlineStr">
        <is>
          <t/>
        </is>
      </c>
      <c r="K1396" t="n">
        <v>0.0</v>
      </c>
      <c r="L1396" t="n">
        <v>0.0</v>
      </c>
      <c r="M1396" t="n">
        <v>0.0</v>
      </c>
      <c r="N1396" t="inlineStr">
        <is>
          <t/>
        </is>
      </c>
      <c r="O1396" t="n">
        <v>0.0</v>
      </c>
      <c r="P1396" t="n">
        <v>0.0</v>
      </c>
      <c r="Q1396" t="inlineStr">
        <is>
          <t/>
        </is>
      </c>
      <c r="R1396" t="inlineStr">
        <is>
          <t/>
        </is>
      </c>
      <c r="S1396" t="n">
        <v>0.0</v>
      </c>
      <c r="T1396" t="n">
        <v>0.0</v>
      </c>
      <c r="U1396" t="n">
        <v>0.0</v>
      </c>
      <c r="V1396" t="n">
        <v>0.0</v>
      </c>
      <c r="W1396" t="inlineStr">
        <is>
          <t/>
        </is>
      </c>
      <c r="X1396" t="n">
        <v>0.0</v>
      </c>
      <c r="Y1396" t="n">
        <v>0.0</v>
      </c>
      <c r="Z1396" t="n">
        <v>0.0</v>
      </c>
      <c r="AA1396" t="n">
        <v>0.0</v>
      </c>
      <c r="AB1396" t="n">
        <v>0.0</v>
      </c>
      <c r="AC1396" t="n">
        <v>0.0</v>
      </c>
      <c r="AD1396" t="n">
        <v>0.0</v>
      </c>
      <c r="AE1396" t="n">
        <v>0.0</v>
      </c>
      <c r="AF1396" t="n">
        <v>0.0</v>
      </c>
      <c r="AG1396" t="n">
        <v>0.0</v>
      </c>
      <c r="AH1396" t="n">
        <v>0.0</v>
      </c>
      <c r="AI1396" t="n">
        <v>0.0</v>
      </c>
      <c r="AJ1396" t="n">
        <v>0.0</v>
      </c>
      <c r="AK1396" t="inlineStr">
        <is>
          <t/>
        </is>
      </c>
      <c r="AL1396" t="inlineStr">
        <is>
          <t/>
        </is>
      </c>
    </row>
    <row r="1397">
      <c r="A1397" t="inlineStr">
        <is>
          <t>告别⛰️姆大包装！小份虾仁才是独居福音</t>
        </is>
      </c>
      <c r="B1397" t="inlineStr">
        <is>
          <t>69f01d81000000001a03791f</t>
        </is>
      </c>
      <c r="C1397" s="1396" t="n">
        <f>HYPERLINK("https://www.xiaohongshu.com/explore/69f01d81000000001a03791f?xsec_token=TBvHxiGmj2CedfPdQHdLJBmGmKOAqrU0XDxjyFk_L_6f0=&amp;xsec_source=pc_trdark","https://www.xiaohongshu.com/explore/69f01d81000000001a03791f?xsec_token=TBvHxiGmj2CedfPdQHdLJBmGmKOAqrU0XDxjyFk_L_6f0=&amp;xsec_source=pc_trdark")</f>
        <v>0.0</v>
      </c>
      <c r="D1397" t="inlineStr">
        <is>
          <t>菲菲上班吃什么</t>
        </is>
      </c>
      <c r="E1397" t="inlineStr">
        <is>
          <t>49936530607</t>
        </is>
      </c>
      <c r="F1397" t="inlineStr">
        <is>
          <t>2026-04-28 10:37:53</t>
        </is>
      </c>
      <c r="G1397" t="inlineStr">
        <is>
          <t>图文</t>
        </is>
      </c>
      <c r="H1397" t="inlineStr">
        <is>
          <t>手剥虾仁 无冰衣无添加 低脂餐一人食 上班带饭 顺丰包邮 5盒装</t>
        </is>
      </c>
      <c r="I1397" t="inlineStr">
        <is>
          <t>694baba01d450d00013662f0</t>
        </is>
      </c>
      <c r="J1397" t="inlineStr">
        <is>
          <t/>
        </is>
      </c>
      <c r="K1397" t="n">
        <v>0.0</v>
      </c>
      <c r="L1397" t="n">
        <v>0.0</v>
      </c>
      <c r="M1397" t="n">
        <v>0.0</v>
      </c>
      <c r="N1397" t="inlineStr">
        <is>
          <t/>
        </is>
      </c>
      <c r="O1397" t="n">
        <v>0.0</v>
      </c>
      <c r="P1397" t="n">
        <v>0.0</v>
      </c>
      <c r="Q1397" t="inlineStr">
        <is>
          <t/>
        </is>
      </c>
      <c r="R1397" t="inlineStr">
        <is>
          <t/>
        </is>
      </c>
      <c r="S1397" t="n">
        <v>0.0</v>
      </c>
      <c r="T1397" t="n">
        <v>0.0</v>
      </c>
      <c r="U1397" t="n">
        <v>0.0</v>
      </c>
      <c r="V1397" t="n">
        <v>0.0</v>
      </c>
      <c r="W1397" t="inlineStr">
        <is>
          <t/>
        </is>
      </c>
      <c r="X1397" t="n">
        <v>0.0</v>
      </c>
      <c r="Y1397" t="n">
        <v>0.0</v>
      </c>
      <c r="Z1397" t="n">
        <v>0.0</v>
      </c>
      <c r="AA1397" t="n">
        <v>0.0</v>
      </c>
      <c r="AB1397" t="n">
        <v>0.0</v>
      </c>
      <c r="AC1397" t="n">
        <v>0.0</v>
      </c>
      <c r="AD1397" t="n">
        <v>0.0</v>
      </c>
      <c r="AE1397" t="n">
        <v>0.0</v>
      </c>
      <c r="AF1397" t="n">
        <v>0.0</v>
      </c>
      <c r="AG1397" t="n">
        <v>0.0</v>
      </c>
      <c r="AH1397" t="n">
        <v>0.0</v>
      </c>
      <c r="AI1397" t="n">
        <v>0.0</v>
      </c>
      <c r="AJ1397" t="n">
        <v>0.0</v>
      </c>
      <c r="AK1397" t="inlineStr">
        <is>
          <t/>
        </is>
      </c>
      <c r="AL1397" t="inlineStr">
        <is>
          <t/>
        </is>
      </c>
    </row>
    <row r="1398">
      <c r="A1398" t="inlineStr">
        <is>
          <t>同事跟风囤虾仁，办公室人手一份😂</t>
        </is>
      </c>
      <c r="B1398" t="inlineStr">
        <is>
          <t>69f014f0000000001a03505a</t>
        </is>
      </c>
      <c r="C1398" s="1397" t="n">
        <f>HYPERLINK("https://www.xiaohongshu.com/explore/69f014f0000000001a03505a?xsec_token=TBvHxiGmj2CedfPdQHdLJBmGQ-aBF3KEa8RO6rv-4wu88=&amp;xsec_source=pc_trdark","https://www.xiaohongshu.com/explore/69f014f0000000001a03505a?xsec_token=TBvHxiGmj2CedfPdQHdLJBmGQ-aBF3KEa8RO6rv-4wu88=&amp;xsec_source=pc_trdark")</f>
        <v>0.0</v>
      </c>
      <c r="D1398" t="inlineStr">
        <is>
          <t>菲菲上班吃什么</t>
        </is>
      </c>
      <c r="E1398" t="inlineStr">
        <is>
          <t>49936530607</t>
        </is>
      </c>
      <c r="F1398" t="inlineStr">
        <is>
          <t>2026-04-28 10:01:21</t>
        </is>
      </c>
      <c r="G1398" t="inlineStr">
        <is>
          <t>图文</t>
        </is>
      </c>
      <c r="H1398" t="inlineStr">
        <is>
          <t>手剥虾仁 无冰衣无添加 低脂餐一人食 上班带饭 顺丰包邮 5盒装</t>
        </is>
      </c>
      <c r="I1398" t="inlineStr">
        <is>
          <t>694baba01d450d00013662f0</t>
        </is>
      </c>
      <c r="J1398" t="inlineStr">
        <is>
          <t/>
        </is>
      </c>
      <c r="K1398" t="n">
        <v>0.0</v>
      </c>
      <c r="L1398" t="n">
        <v>0.0</v>
      </c>
      <c r="M1398" t="n">
        <v>0.0</v>
      </c>
      <c r="N1398" t="inlineStr">
        <is>
          <t/>
        </is>
      </c>
      <c r="O1398" t="n">
        <v>0.0</v>
      </c>
      <c r="P1398" t="n">
        <v>0.0</v>
      </c>
      <c r="Q1398" t="inlineStr">
        <is>
          <t/>
        </is>
      </c>
      <c r="R1398" t="inlineStr">
        <is>
          <t/>
        </is>
      </c>
      <c r="S1398" t="n">
        <v>0.0</v>
      </c>
      <c r="T1398" t="n">
        <v>0.0</v>
      </c>
      <c r="U1398" t="n">
        <v>0.0</v>
      </c>
      <c r="V1398" t="n">
        <v>0.0</v>
      </c>
      <c r="W1398" t="inlineStr">
        <is>
          <t/>
        </is>
      </c>
      <c r="X1398" t="n">
        <v>0.0</v>
      </c>
      <c r="Y1398" t="n">
        <v>0.0</v>
      </c>
      <c r="Z1398" t="n">
        <v>0.0</v>
      </c>
      <c r="AA1398" t="n">
        <v>0.0</v>
      </c>
      <c r="AB1398" t="n">
        <v>0.0</v>
      </c>
      <c r="AC1398" t="n">
        <v>0.0</v>
      </c>
      <c r="AD1398" t="n">
        <v>0.0</v>
      </c>
      <c r="AE1398" t="n">
        <v>0.0</v>
      </c>
      <c r="AF1398" t="n">
        <v>0.0</v>
      </c>
      <c r="AG1398" t="n">
        <v>0.0</v>
      </c>
      <c r="AH1398" t="n">
        <v>0.0</v>
      </c>
      <c r="AI1398" t="n">
        <v>0.0</v>
      </c>
      <c r="AJ1398" t="n">
        <v>0.0</v>
      </c>
      <c r="AK1398" t="inlineStr">
        <is>
          <t/>
        </is>
      </c>
      <c r="AL1398" t="inlineStr">
        <is>
          <t/>
        </is>
      </c>
    </row>
    <row r="1399">
      <c r="A1399" t="inlineStr">
        <is>
          <t>感受一下300来块的购买力，顺丰包邮</t>
        </is>
      </c>
      <c r="B1399" t="inlineStr">
        <is>
          <t>69f00d8d000000002301ccda</t>
        </is>
      </c>
      <c r="C1399" s="1398" t="n">
        <f>HYPERLINK("https://www.xiaohongshu.com/explore/69f00d8d000000002301ccda?xsec_token=TBvHxiGmj2CedfPdQHdLJBmOm9KOId16twHD_TtxXP5ao=&amp;xsec_source=pc_trdark","https://www.xiaohongshu.com/explore/69f00d8d000000002301ccda?xsec_token=TBvHxiGmj2CedfPdQHdLJBmOm9KOId16twHD_TtxXP5ao=&amp;xsec_source=pc_trdark")</f>
        <v>0.0</v>
      </c>
      <c r="D1399" t="inlineStr">
        <is>
          <t>婉婉上班吃什么</t>
        </is>
      </c>
      <c r="E1399" t="inlineStr">
        <is>
          <t>11434449706</t>
        </is>
      </c>
      <c r="F1399" t="inlineStr">
        <is>
          <t>2026-04-28 09:29:49</t>
        </is>
      </c>
      <c r="G1399" t="inlineStr">
        <is>
          <t>图文</t>
        </is>
      </c>
      <c r="H1399" t="inlineStr">
        <is>
          <t>智利三文鱼切块·整条三文鱼·深海鱼一人食健康饮食</t>
        </is>
      </c>
      <c r="I1399" t="inlineStr">
        <is>
          <t>691ac562a524ee0001b51d7b</t>
        </is>
      </c>
      <c r="J1399" t="inlineStr">
        <is>
          <t/>
        </is>
      </c>
      <c r="K1399" t="n">
        <v>0.0</v>
      </c>
      <c r="L1399" t="n">
        <v>0.0</v>
      </c>
      <c r="M1399" t="n">
        <v>0.0</v>
      </c>
      <c r="N1399" t="inlineStr">
        <is>
          <t/>
        </is>
      </c>
      <c r="O1399" t="n">
        <v>0.0</v>
      </c>
      <c r="P1399" t="n">
        <v>0.0</v>
      </c>
      <c r="Q1399" t="inlineStr">
        <is>
          <t/>
        </is>
      </c>
      <c r="R1399" t="inlineStr">
        <is>
          <t/>
        </is>
      </c>
      <c r="S1399" t="n">
        <v>0.0</v>
      </c>
      <c r="T1399" t="n">
        <v>0.0</v>
      </c>
      <c r="U1399" t="n">
        <v>0.0</v>
      </c>
      <c r="V1399" t="n">
        <v>0.0</v>
      </c>
      <c r="W1399" t="inlineStr">
        <is>
          <t/>
        </is>
      </c>
      <c r="X1399" t="n">
        <v>0.0</v>
      </c>
      <c r="Y1399" t="n">
        <v>0.0</v>
      </c>
      <c r="Z1399" t="n">
        <v>0.0</v>
      </c>
      <c r="AA1399" t="n">
        <v>0.0</v>
      </c>
      <c r="AB1399" t="n">
        <v>0.0</v>
      </c>
      <c r="AC1399" t="n">
        <v>0.0</v>
      </c>
      <c r="AD1399" t="n">
        <v>0.0</v>
      </c>
      <c r="AE1399" t="n">
        <v>0.0</v>
      </c>
      <c r="AF1399" t="n">
        <v>0.0</v>
      </c>
      <c r="AG1399" t="n">
        <v>0.0</v>
      </c>
      <c r="AH1399" t="n">
        <v>0.0</v>
      </c>
      <c r="AI1399" t="n">
        <v>0.0</v>
      </c>
      <c r="AJ1399" t="n">
        <v>0.0</v>
      </c>
      <c r="AK1399" t="inlineStr">
        <is>
          <t/>
        </is>
      </c>
      <c r="AL1399" t="inlineStr">
        <is>
          <t/>
        </is>
      </c>
    </row>
    <row r="1400">
      <c r="A1400" t="inlineStr">
        <is>
          <t>同事对于我每天吃一盒虾仁，表示很奢侈</t>
        </is>
      </c>
      <c r="B1400" t="inlineStr">
        <is>
          <t>69ef61be00000000230047d2</t>
        </is>
      </c>
      <c r="C1400" s="1399" t="n">
        <f>HYPERLINK("https://www.xiaohongshu.com/explore/69ef61be00000000230047d2?xsec_token=TB8YlxxIf2o_Xr_LAif13-vKsHgDdnpoAhq23hDuqGNCA=&amp;xsec_source=pc_trdark","https://www.xiaohongshu.com/explore/69ef61be00000000230047d2?xsec_token=TB8YlxxIf2o_Xr_LAif13-vKsHgDdnpoAhq23hDuqGNCA=&amp;xsec_source=pc_trdark")</f>
        <v>0.0</v>
      </c>
      <c r="D1400" t="inlineStr">
        <is>
          <t>菲菲上班吃什么</t>
        </is>
      </c>
      <c r="E1400" t="inlineStr">
        <is>
          <t>49936530607</t>
        </is>
      </c>
      <c r="F1400" t="inlineStr">
        <is>
          <t>2026-04-27 21:16:46</t>
        </is>
      </c>
      <c r="G1400" t="inlineStr">
        <is>
          <t>图文</t>
        </is>
      </c>
      <c r="H1400" t="inlineStr">
        <is>
          <t>手剥虾仁 无冰衣无添加 低脂餐一人食 上班带饭 顺丰包邮 5盒装</t>
        </is>
      </c>
      <c r="I1400" t="inlineStr">
        <is>
          <t>694baba01d450d00013662f0</t>
        </is>
      </c>
      <c r="J1400" t="inlineStr">
        <is>
          <t/>
        </is>
      </c>
      <c r="K1400" t="n">
        <v>0.0</v>
      </c>
      <c r="L1400" t="n">
        <v>0.0</v>
      </c>
      <c r="M1400" t="n">
        <v>0.0</v>
      </c>
      <c r="N1400" t="inlineStr">
        <is>
          <t/>
        </is>
      </c>
      <c r="O1400" t="n">
        <v>0.0</v>
      </c>
      <c r="P1400" t="n">
        <v>0.0</v>
      </c>
      <c r="Q1400" t="inlineStr">
        <is>
          <t/>
        </is>
      </c>
      <c r="R1400" t="inlineStr">
        <is>
          <t/>
        </is>
      </c>
      <c r="S1400" t="n">
        <v>0.0</v>
      </c>
      <c r="T1400" t="n">
        <v>0.0</v>
      </c>
      <c r="U1400" t="n">
        <v>0.0</v>
      </c>
      <c r="V1400" t="n">
        <v>0.0</v>
      </c>
      <c r="W1400" t="inlineStr">
        <is>
          <t/>
        </is>
      </c>
      <c r="X1400" t="n">
        <v>0.0</v>
      </c>
      <c r="Y1400" t="n">
        <v>0.0</v>
      </c>
      <c r="Z1400" t="n">
        <v>0.0</v>
      </c>
      <c r="AA1400" t="n">
        <v>0.0</v>
      </c>
      <c r="AB1400" t="n">
        <v>0.0</v>
      </c>
      <c r="AC1400" t="n">
        <v>0.0</v>
      </c>
      <c r="AD1400" t="n">
        <v>0.0</v>
      </c>
      <c r="AE1400" t="n">
        <v>0.0</v>
      </c>
      <c r="AF1400" t="n">
        <v>0.0</v>
      </c>
      <c r="AG1400" t="n">
        <v>0.0</v>
      </c>
      <c r="AH1400" t="n">
        <v>0.0</v>
      </c>
      <c r="AI1400" t="n">
        <v>0.0</v>
      </c>
      <c r="AJ1400" t="n">
        <v>0.0</v>
      </c>
      <c r="AK1400" t="inlineStr">
        <is>
          <t/>
        </is>
      </c>
      <c r="AL1400" t="inlineStr">
        <is>
          <t/>
        </is>
      </c>
    </row>
    <row r="1401">
      <c r="A1401" t="inlineStr">
        <is>
          <t>放弃⛰️姆了！这种小包装虾仁太有性价比！</t>
        </is>
      </c>
      <c r="B1401" t="inlineStr">
        <is>
          <t>69ef561c000000002301f64d</t>
        </is>
      </c>
      <c r="C1401" s="1400" t="n">
        <f>HYPERLINK("https://www.xiaohongshu.com/explore/69ef561c000000002301f64d?xsec_token=TB8YlxxIf2o_Xr_LAif13-vH4F2K91aQ2bVaG3O6ve5JM=&amp;xsec_source=pc_trdark","https://www.xiaohongshu.com/explore/69ef561c000000002301f64d?xsec_token=TB8YlxxIf2o_Xr_LAif13-vH4F2K91aQ2bVaG3O6ve5JM=&amp;xsec_source=pc_trdark")</f>
        <v>0.0</v>
      </c>
      <c r="D1401" t="inlineStr">
        <is>
          <t>菲菲上班吃什么</t>
        </is>
      </c>
      <c r="E1401" t="inlineStr">
        <is>
          <t>49936530607</t>
        </is>
      </c>
      <c r="F1401" t="inlineStr">
        <is>
          <t>2026-04-27 20:27:08</t>
        </is>
      </c>
      <c r="G1401" t="inlineStr">
        <is>
          <t>图文</t>
        </is>
      </c>
      <c r="H1401" t="inlineStr">
        <is>
          <t>手剥虾仁 无冰衣无添加 低脂餐一人食 上班带饭 顺丰包邮 5盒装</t>
        </is>
      </c>
      <c r="I1401" t="inlineStr">
        <is>
          <t>694baba01d450d00013662f0</t>
        </is>
      </c>
      <c r="J1401" t="inlineStr">
        <is>
          <t/>
        </is>
      </c>
      <c r="K1401" t="n">
        <v>0.0</v>
      </c>
      <c r="L1401" t="n">
        <v>0.0</v>
      </c>
      <c r="M1401" t="n">
        <v>0.0</v>
      </c>
      <c r="N1401" t="inlineStr">
        <is>
          <t/>
        </is>
      </c>
      <c r="O1401" t="n">
        <v>0.0</v>
      </c>
      <c r="P1401" t="n">
        <v>0.0</v>
      </c>
      <c r="Q1401" t="inlineStr">
        <is>
          <t/>
        </is>
      </c>
      <c r="R1401" t="inlineStr">
        <is>
          <t/>
        </is>
      </c>
      <c r="S1401" t="n">
        <v>0.0</v>
      </c>
      <c r="T1401" t="n">
        <v>0.0</v>
      </c>
      <c r="U1401" t="n">
        <v>0.0</v>
      </c>
      <c r="V1401" t="n">
        <v>0.0</v>
      </c>
      <c r="W1401" t="inlineStr">
        <is>
          <t/>
        </is>
      </c>
      <c r="X1401" t="n">
        <v>0.0</v>
      </c>
      <c r="Y1401" t="n">
        <v>0.0</v>
      </c>
      <c r="Z1401" t="n">
        <v>0.0</v>
      </c>
      <c r="AA1401" t="n">
        <v>0.0</v>
      </c>
      <c r="AB1401" t="n">
        <v>0.0</v>
      </c>
      <c r="AC1401" t="n">
        <v>0.0</v>
      </c>
      <c r="AD1401" t="n">
        <v>0.0</v>
      </c>
      <c r="AE1401" t="n">
        <v>0.0</v>
      </c>
      <c r="AF1401" t="n">
        <v>0.0</v>
      </c>
      <c r="AG1401" t="n">
        <v>0.0</v>
      </c>
      <c r="AH1401" t="n">
        <v>0.0</v>
      </c>
      <c r="AI1401" t="n">
        <v>0.0</v>
      </c>
      <c r="AJ1401" t="n">
        <v>0.0</v>
      </c>
      <c r="AK1401" t="inlineStr">
        <is>
          <t/>
        </is>
      </c>
      <c r="AL1401" t="inlineStr">
        <is>
          <t/>
        </is>
      </c>
    </row>
    <row r="1402">
      <c r="A1402" t="inlineStr">
        <is>
          <t>100来块钱解决我半个月的减脂餐🤩</t>
        </is>
      </c>
      <c r="B1402" t="inlineStr">
        <is>
          <t>69ef44ed000000001e00c782</t>
        </is>
      </c>
      <c r="C1402" s="1401" t="n">
        <f>HYPERLINK("https://www.xiaohongshu.com/explore/69ef44ed000000001e00c782?xsec_token=TB8YlxxIf2o_Xr_LAif13-vJxzPYr0b4SufP7ZPVmalX8=&amp;xsec_source=pc_trdark","https://www.xiaohongshu.com/explore/69ef44ed000000001e00c782?xsec_token=TB8YlxxIf2o_Xr_LAif13-vJxzPYr0b4SufP7ZPVmalX8=&amp;xsec_source=pc_trdark")</f>
        <v>0.0</v>
      </c>
      <c r="D1402" t="inlineStr">
        <is>
          <t>菲菲上班吃什么</t>
        </is>
      </c>
      <c r="E1402" t="inlineStr">
        <is>
          <t>49936530607</t>
        </is>
      </c>
      <c r="F1402" t="inlineStr">
        <is>
          <t>2026-04-27 19:13:49</t>
        </is>
      </c>
      <c r="G1402" t="inlineStr">
        <is>
          <t>图文</t>
        </is>
      </c>
      <c r="H1402" t="inlineStr">
        <is>
          <t>手剥虾仁 无冰衣无添加 低脂餐一人食 上班带饭 顺丰包邮 5盒装</t>
        </is>
      </c>
      <c r="I1402" t="inlineStr">
        <is>
          <t>694baba01d450d00013662f0</t>
        </is>
      </c>
      <c r="J1402" t="inlineStr">
        <is>
          <t/>
        </is>
      </c>
      <c r="K1402" t="n">
        <v>0.0</v>
      </c>
      <c r="L1402" t="n">
        <v>0.0</v>
      </c>
      <c r="M1402" t="n">
        <v>0.0</v>
      </c>
      <c r="N1402" t="inlineStr">
        <is>
          <t/>
        </is>
      </c>
      <c r="O1402" t="n">
        <v>0.0</v>
      </c>
      <c r="P1402" t="n">
        <v>0.0</v>
      </c>
      <c r="Q1402" t="inlineStr">
        <is>
          <t/>
        </is>
      </c>
      <c r="R1402" t="inlineStr">
        <is>
          <t/>
        </is>
      </c>
      <c r="S1402" t="n">
        <v>0.0</v>
      </c>
      <c r="T1402" t="n">
        <v>0.0</v>
      </c>
      <c r="U1402" t="n">
        <v>0.0</v>
      </c>
      <c r="V1402" t="n">
        <v>0.0</v>
      </c>
      <c r="W1402" t="inlineStr">
        <is>
          <t/>
        </is>
      </c>
      <c r="X1402" t="n">
        <v>0.0</v>
      </c>
      <c r="Y1402" t="n">
        <v>0.0</v>
      </c>
      <c r="Z1402" t="n">
        <v>0.0</v>
      </c>
      <c r="AA1402" t="n">
        <v>0.0</v>
      </c>
      <c r="AB1402" t="n">
        <v>0.0</v>
      </c>
      <c r="AC1402" t="n">
        <v>0.0</v>
      </c>
      <c r="AD1402" t="n">
        <v>0.0</v>
      </c>
      <c r="AE1402" t="n">
        <v>0.0</v>
      </c>
      <c r="AF1402" t="n">
        <v>0.0</v>
      </c>
      <c r="AG1402" t="n">
        <v>0.0</v>
      </c>
      <c r="AH1402" t="n">
        <v>0.0</v>
      </c>
      <c r="AI1402" t="n">
        <v>0.0</v>
      </c>
      <c r="AJ1402" t="n">
        <v>0.0</v>
      </c>
      <c r="AK1402" t="inlineStr">
        <is>
          <t/>
        </is>
      </c>
      <c r="AL1402" t="inlineStr">
        <is>
          <t/>
        </is>
      </c>
    </row>
    <row r="1403">
      <c r="A1403" t="inlineStr">
        <is>
          <t>凭一己之力带动办公室买了十份虾仁🍤</t>
        </is>
      </c>
      <c r="B1403" t="inlineStr">
        <is>
          <t>69ef2630000000001e00dae9</t>
        </is>
      </c>
      <c r="C1403" s="1402" t="n">
        <f>HYPERLINK("https://www.xiaohongshu.com/explore/69ef2630000000001e00dae9?xsec_token=TB8YlxxIf2o_Xr_LAif13-vIRFBeOuwJi4YHwNRBbMDAk=&amp;xsec_source=pc_trdark","https://www.xiaohongshu.com/explore/69ef2630000000001e00dae9?xsec_token=TB8YlxxIf2o_Xr_LAif13-vIRFBeOuwJi4YHwNRBbMDAk=&amp;xsec_source=pc_trdark")</f>
        <v>0.0</v>
      </c>
      <c r="D1403" t="inlineStr">
        <is>
          <t>菲菲上班吃什么</t>
        </is>
      </c>
      <c r="E1403" t="inlineStr">
        <is>
          <t>49936530607</t>
        </is>
      </c>
      <c r="F1403" t="inlineStr">
        <is>
          <t>2026-04-27 17:02:40</t>
        </is>
      </c>
      <c r="G1403" t="inlineStr">
        <is>
          <t>图文</t>
        </is>
      </c>
      <c r="H1403" t="inlineStr">
        <is>
          <t>手剥虾仁 无冰衣无添加 低脂餐一人食 上班带饭 顺丰包邮 5盒装</t>
        </is>
      </c>
      <c r="I1403" t="inlineStr">
        <is>
          <t>694baba01d450d00013662f0</t>
        </is>
      </c>
      <c r="J1403" t="inlineStr">
        <is>
          <t/>
        </is>
      </c>
      <c r="K1403" t="n">
        <v>0.0</v>
      </c>
      <c r="L1403" t="n">
        <v>0.0</v>
      </c>
      <c r="M1403" t="n">
        <v>0.0</v>
      </c>
      <c r="N1403" t="inlineStr">
        <is>
          <t/>
        </is>
      </c>
      <c r="O1403" t="n">
        <v>0.0</v>
      </c>
      <c r="P1403" t="n">
        <v>0.0</v>
      </c>
      <c r="Q1403" t="inlineStr">
        <is>
          <t/>
        </is>
      </c>
      <c r="R1403" t="inlineStr">
        <is>
          <t/>
        </is>
      </c>
      <c r="S1403" t="n">
        <v>0.0</v>
      </c>
      <c r="T1403" t="n">
        <v>0.0</v>
      </c>
      <c r="U1403" t="n">
        <v>0.0</v>
      </c>
      <c r="V1403" t="n">
        <v>0.0</v>
      </c>
      <c r="W1403" t="inlineStr">
        <is>
          <t/>
        </is>
      </c>
      <c r="X1403" t="n">
        <v>0.0</v>
      </c>
      <c r="Y1403" t="n">
        <v>0.0</v>
      </c>
      <c r="Z1403" t="n">
        <v>0.0</v>
      </c>
      <c r="AA1403" t="n">
        <v>0.0</v>
      </c>
      <c r="AB1403" t="n">
        <v>0.0</v>
      </c>
      <c r="AC1403" t="n">
        <v>0.0</v>
      </c>
      <c r="AD1403" t="n">
        <v>0.0</v>
      </c>
      <c r="AE1403" t="n">
        <v>0.0</v>
      </c>
      <c r="AF1403" t="n">
        <v>0.0</v>
      </c>
      <c r="AG1403" t="n">
        <v>0.0</v>
      </c>
      <c r="AH1403" t="n">
        <v>0.0</v>
      </c>
      <c r="AI1403" t="n">
        <v>0.0</v>
      </c>
      <c r="AJ1403" t="n">
        <v>0.0</v>
      </c>
      <c r="AK1403" t="inlineStr">
        <is>
          <t/>
        </is>
      </c>
      <c r="AL1403" t="inlineStr">
        <is>
          <t/>
        </is>
      </c>
    </row>
    <row r="1404">
      <c r="A1404" t="inlineStr">
        <is>
          <t>不夸张，我在xhs买的虾仁从未失手过</t>
        </is>
      </c>
      <c r="B1404" t="inlineStr">
        <is>
          <t>69ef149c0000000035022ac6</t>
        </is>
      </c>
      <c r="C1404" s="1403" t="n">
        <f>HYPERLINK("https://www.xiaohongshu.com/explore/69ef149c0000000035022ac6?xsec_token=TB8YlxxIf2o_Xr_LAif13-vO2SSM2wLcw6LcagAI2aS6M=&amp;xsec_source=pc_trdark","https://www.xiaohongshu.com/explore/69ef149c0000000035022ac6?xsec_token=TB8YlxxIf2o_Xr_LAif13-vO2SSM2wLcw6LcagAI2aS6M=&amp;xsec_source=pc_trdark")</f>
        <v>0.0</v>
      </c>
      <c r="D1404" t="inlineStr">
        <is>
          <t>鲜水湾甄选</t>
        </is>
      </c>
      <c r="E1404" t="inlineStr">
        <is>
          <t>27401929161</t>
        </is>
      </c>
      <c r="F1404" t="inlineStr">
        <is>
          <t>2026-04-27 15:47:40</t>
        </is>
      </c>
      <c r="G1404" t="inlineStr">
        <is>
          <t>图文</t>
        </is>
      </c>
      <c r="H1404" t="inlineStr">
        <is>
          <t>手剥虾仁 无冰衣无添加 低脂餐一人食 上班带饭 顺丰包邮 5盒装</t>
        </is>
      </c>
      <c r="I1404" t="inlineStr">
        <is>
          <t>694baba01d450d00013662f0</t>
        </is>
      </c>
      <c r="J1404" t="inlineStr">
        <is>
          <t/>
        </is>
      </c>
      <c r="K1404" t="n">
        <v>0.0</v>
      </c>
      <c r="L1404" t="n">
        <v>0.0</v>
      </c>
      <c r="M1404" t="n">
        <v>0.0</v>
      </c>
      <c r="N1404" t="inlineStr">
        <is>
          <t/>
        </is>
      </c>
      <c r="O1404" t="n">
        <v>0.0</v>
      </c>
      <c r="P1404" t="n">
        <v>0.0</v>
      </c>
      <c r="Q1404" t="inlineStr">
        <is>
          <t/>
        </is>
      </c>
      <c r="R1404" t="inlineStr">
        <is>
          <t/>
        </is>
      </c>
      <c r="S1404" t="n">
        <v>0.0</v>
      </c>
      <c r="T1404" t="n">
        <v>0.0</v>
      </c>
      <c r="U1404" t="n">
        <v>0.0</v>
      </c>
      <c r="V1404" t="n">
        <v>0.0</v>
      </c>
      <c r="W1404" t="inlineStr">
        <is>
          <t/>
        </is>
      </c>
      <c r="X1404" t="n">
        <v>0.0</v>
      </c>
      <c r="Y1404" t="n">
        <v>0.0</v>
      </c>
      <c r="Z1404" t="n">
        <v>0.0</v>
      </c>
      <c r="AA1404" t="n">
        <v>0.0</v>
      </c>
      <c r="AB1404" t="n">
        <v>0.0</v>
      </c>
      <c r="AC1404" t="n">
        <v>0.0</v>
      </c>
      <c r="AD1404" t="n">
        <v>0.0</v>
      </c>
      <c r="AE1404" t="n">
        <v>0.0</v>
      </c>
      <c r="AF1404" t="n">
        <v>0.0</v>
      </c>
      <c r="AG1404" t="n">
        <v>0.0</v>
      </c>
      <c r="AH1404" t="n">
        <v>0.0</v>
      </c>
      <c r="AI1404" t="n">
        <v>0.0</v>
      </c>
      <c r="AJ1404" t="n">
        <v>0.0</v>
      </c>
      <c r="AK1404" t="inlineStr">
        <is>
          <t/>
        </is>
      </c>
      <c r="AL1404" t="inlineStr">
        <is>
          <t/>
        </is>
      </c>
    </row>
    <row r="1405">
      <c r="A1405" t="inlineStr">
        <is>
          <t>上班带饭真的很省钱……</t>
        </is>
      </c>
      <c r="B1405" t="inlineStr">
        <is>
          <t>69ef13e0000000002202a49b</t>
        </is>
      </c>
      <c r="C1405" s="1404" t="n">
        <f>HYPERLINK("https://www.xiaohongshu.com/explore/69ef13e0000000002202a49b?xsec_token=TB8YlxxIf2o_Xr_LAif13-vFHEedhAgopoffHHef_l8bs=&amp;xsec_source=pc_trdark","https://www.xiaohongshu.com/explore/69ef13e0000000002202a49b?xsec_token=TB8YlxxIf2o_Xr_LAif13-vFHEedhAgopoffHHef_l8bs=&amp;xsec_source=pc_trdark")</f>
        <v>0.0</v>
      </c>
      <c r="D1405" t="inlineStr">
        <is>
          <t>菲菲上班吃什么</t>
        </is>
      </c>
      <c r="E1405" t="inlineStr">
        <is>
          <t>49936530607</t>
        </is>
      </c>
      <c r="F1405" t="inlineStr">
        <is>
          <t>2026-04-27 15:44:32</t>
        </is>
      </c>
      <c r="G1405" t="inlineStr">
        <is>
          <t>视频</t>
        </is>
      </c>
      <c r="H1405" t="inlineStr">
        <is>
          <t>手剥虾仁 无冰衣无添加 低脂餐一人食 上班带饭 顺丰包邮 5盒装</t>
        </is>
      </c>
      <c r="I1405" t="inlineStr">
        <is>
          <t>694baba01d450d00013662f0</t>
        </is>
      </c>
      <c r="J1405" t="n">
        <v>26.0</v>
      </c>
      <c r="K1405" t="n">
        <v>0.0</v>
      </c>
      <c r="L1405" t="n">
        <v>0.0</v>
      </c>
      <c r="M1405" t="n">
        <v>0.0</v>
      </c>
      <c r="N1405" t="inlineStr">
        <is>
          <t/>
        </is>
      </c>
      <c r="O1405" t="n">
        <v>0.0</v>
      </c>
      <c r="P1405" t="n">
        <v>0.0</v>
      </c>
      <c r="Q1405" t="inlineStr">
        <is>
          <t/>
        </is>
      </c>
      <c r="R1405" t="inlineStr">
        <is>
          <t/>
        </is>
      </c>
      <c r="S1405" t="n">
        <v>0.0</v>
      </c>
      <c r="T1405" t="n">
        <v>0.0</v>
      </c>
      <c r="U1405" t="n">
        <v>0.0</v>
      </c>
      <c r="V1405" t="n">
        <v>0.0</v>
      </c>
      <c r="W1405" t="inlineStr">
        <is>
          <t/>
        </is>
      </c>
      <c r="X1405" t="n">
        <v>0.0</v>
      </c>
      <c r="Y1405" t="n">
        <v>0.0</v>
      </c>
      <c r="Z1405" t="n">
        <v>0.0</v>
      </c>
      <c r="AA1405" t="n">
        <v>0.0</v>
      </c>
      <c r="AB1405" t="n">
        <v>0.0</v>
      </c>
      <c r="AC1405" t="n">
        <v>0.0</v>
      </c>
      <c r="AD1405" t="n">
        <v>0.0</v>
      </c>
      <c r="AE1405" t="n">
        <v>0.0</v>
      </c>
      <c r="AF1405" t="n">
        <v>0.0</v>
      </c>
      <c r="AG1405" t="n">
        <v>0.0</v>
      </c>
      <c r="AH1405" t="n">
        <v>0.0</v>
      </c>
      <c r="AI1405" t="n">
        <v>0.0</v>
      </c>
      <c r="AJ1405" t="n">
        <v>0.0</v>
      </c>
      <c r="AK1405" t="inlineStr">
        <is>
          <t/>
        </is>
      </c>
      <c r="AL1405" t="inlineStr">
        <is>
          <t/>
        </is>
      </c>
    </row>
    <row r="1406">
      <c r="A1406" t="inlineStr">
        <is>
          <t>给公司所有人准备的减脂餐！</t>
        </is>
      </c>
      <c r="B1406" t="inlineStr">
        <is>
          <t>69ef0957000000002301777f</t>
        </is>
      </c>
      <c r="C1406" s="1405" t="n">
        <f>HYPERLINK("https://www.xiaohongshu.com/explore/69ef0957000000002301777f?xsec_token=TB8YlxxIf2o_Xr_LAif13-vANf0BmtqC1xLmrK-56SK9c=&amp;xsec_source=pc_trdark","https://www.xiaohongshu.com/explore/69ef0957000000002301777f?xsec_token=TB8YlxxIf2o_Xr_LAif13-vANf0BmtqC1xLmrK-56SK9c=&amp;xsec_source=pc_trdark")</f>
        <v>0.0</v>
      </c>
      <c r="D1406" t="inlineStr">
        <is>
          <t>鲜水湾</t>
        </is>
      </c>
      <c r="E1406" t="inlineStr">
        <is>
          <t>49316638994</t>
        </is>
      </c>
      <c r="F1406" t="inlineStr">
        <is>
          <t>2026-04-27 14:59:35</t>
        </is>
      </c>
      <c r="G1406" t="inlineStr">
        <is>
          <t>图文</t>
        </is>
      </c>
      <c r="H1406" t="inlineStr">
        <is>
          <t>手剥虾仁 无冰衣无添加 低脂餐一人食 上班带饭 顺丰包邮 5盒装</t>
        </is>
      </c>
      <c r="I1406" t="inlineStr">
        <is>
          <t>694baba01d450d00013662f0</t>
        </is>
      </c>
      <c r="J1406" t="inlineStr">
        <is>
          <t/>
        </is>
      </c>
      <c r="K1406" t="n">
        <v>0.0</v>
      </c>
      <c r="L1406" t="n">
        <v>0.0</v>
      </c>
      <c r="M1406" t="n">
        <v>0.0</v>
      </c>
      <c r="N1406" t="inlineStr">
        <is>
          <t/>
        </is>
      </c>
      <c r="O1406" t="n">
        <v>0.0</v>
      </c>
      <c r="P1406" t="n">
        <v>0.0</v>
      </c>
      <c r="Q1406" t="inlineStr">
        <is>
          <t/>
        </is>
      </c>
      <c r="R1406" t="inlineStr">
        <is>
          <t/>
        </is>
      </c>
      <c r="S1406" t="n">
        <v>0.0</v>
      </c>
      <c r="T1406" t="n">
        <v>0.0</v>
      </c>
      <c r="U1406" t="n">
        <v>0.0</v>
      </c>
      <c r="V1406" t="n">
        <v>0.0</v>
      </c>
      <c r="W1406" t="inlineStr">
        <is>
          <t/>
        </is>
      </c>
      <c r="X1406" t="n">
        <v>0.0</v>
      </c>
      <c r="Y1406" t="n">
        <v>0.0</v>
      </c>
      <c r="Z1406" t="n">
        <v>0.0</v>
      </c>
      <c r="AA1406" t="n">
        <v>0.0</v>
      </c>
      <c r="AB1406" t="n">
        <v>0.0</v>
      </c>
      <c r="AC1406" t="n">
        <v>0.0</v>
      </c>
      <c r="AD1406" t="n">
        <v>0.0</v>
      </c>
      <c r="AE1406" t="n">
        <v>0.0</v>
      </c>
      <c r="AF1406" t="n">
        <v>0.0</v>
      </c>
      <c r="AG1406" t="n">
        <v>0.0</v>
      </c>
      <c r="AH1406" t="n">
        <v>0.0</v>
      </c>
      <c r="AI1406" t="n">
        <v>0.0</v>
      </c>
      <c r="AJ1406" t="n">
        <v>0.0</v>
      </c>
      <c r="AK1406" t="inlineStr">
        <is>
          <t/>
        </is>
      </c>
      <c r="AL1406" t="inlineStr">
        <is>
          <t/>
        </is>
      </c>
    </row>
    <row r="1407">
      <c r="A1407" t="inlineStr">
        <is>
          <t>区区69元，承包我一周减脂快乐😁</t>
        </is>
      </c>
      <c r="B1407" t="inlineStr">
        <is>
          <t>69ef00850000000035023c95</t>
        </is>
      </c>
      <c r="C1407" s="1406" t="n">
        <f>HYPERLINK("https://www.xiaohongshu.com/explore/69ef00850000000035023c95?xsec_token=TB8YlxxIf2o_Xr_LAif13-vKDcD0Rc7g2gyaq52lqdqvI=&amp;xsec_source=pc_trdark","https://www.xiaohongshu.com/explore/69ef00850000000035023c95?xsec_token=TB8YlxxIf2o_Xr_LAif13-vKDcD0Rc7g2gyaq52lqdqvI=&amp;xsec_source=pc_trdark")</f>
        <v>0.0</v>
      </c>
      <c r="D1407" t="inlineStr">
        <is>
          <t>鲜水湾甄选</t>
        </is>
      </c>
      <c r="E1407" t="inlineStr">
        <is>
          <t>27401929161</t>
        </is>
      </c>
      <c r="F1407" t="inlineStr">
        <is>
          <t>2026-04-27 14:21:57</t>
        </is>
      </c>
      <c r="G1407" t="inlineStr">
        <is>
          <t>图文</t>
        </is>
      </c>
      <c r="H1407" t="inlineStr">
        <is>
          <t>手剥虾仁 无冰衣无添加 低脂餐一人食 上班带饭 顺丰包邮 5盒装</t>
        </is>
      </c>
      <c r="I1407" t="inlineStr">
        <is>
          <t>694baba01d450d00013662f0</t>
        </is>
      </c>
      <c r="J1407" t="inlineStr">
        <is>
          <t/>
        </is>
      </c>
      <c r="K1407" t="n">
        <v>0.0</v>
      </c>
      <c r="L1407" t="n">
        <v>0.0</v>
      </c>
      <c r="M1407" t="n">
        <v>0.0</v>
      </c>
      <c r="N1407" t="inlineStr">
        <is>
          <t/>
        </is>
      </c>
      <c r="O1407" t="n">
        <v>0.0</v>
      </c>
      <c r="P1407" t="n">
        <v>0.0</v>
      </c>
      <c r="Q1407" t="inlineStr">
        <is>
          <t/>
        </is>
      </c>
      <c r="R1407" t="inlineStr">
        <is>
          <t/>
        </is>
      </c>
      <c r="S1407" t="n">
        <v>0.0</v>
      </c>
      <c r="T1407" t="n">
        <v>0.0</v>
      </c>
      <c r="U1407" t="n">
        <v>0.0</v>
      </c>
      <c r="V1407" t="n">
        <v>0.0</v>
      </c>
      <c r="W1407" t="inlineStr">
        <is>
          <t/>
        </is>
      </c>
      <c r="X1407" t="n">
        <v>0.0</v>
      </c>
      <c r="Y1407" t="n">
        <v>0.0</v>
      </c>
      <c r="Z1407" t="n">
        <v>0.0</v>
      </c>
      <c r="AA1407" t="n">
        <v>0.0</v>
      </c>
      <c r="AB1407" t="n">
        <v>0.0</v>
      </c>
      <c r="AC1407" t="n">
        <v>0.0</v>
      </c>
      <c r="AD1407" t="n">
        <v>0.0</v>
      </c>
      <c r="AE1407" t="n">
        <v>0.0</v>
      </c>
      <c r="AF1407" t="n">
        <v>0.0</v>
      </c>
      <c r="AG1407" t="n">
        <v>0.0</v>
      </c>
      <c r="AH1407" t="n">
        <v>0.0</v>
      </c>
      <c r="AI1407" t="n">
        <v>0.0</v>
      </c>
      <c r="AJ1407" t="n">
        <v>0.0</v>
      </c>
      <c r="AK1407" t="inlineStr">
        <is>
          <t/>
        </is>
      </c>
      <c r="AL1407" t="inlineStr">
        <is>
          <t/>
        </is>
      </c>
    </row>
    <row r="1408">
      <c r="A1408" t="inlineStr">
        <is>
          <t>打工人带饭续命🍤百元囤虾仁太香了</t>
        </is>
      </c>
      <c r="B1408" t="inlineStr">
        <is>
          <t>69eecd09000000001b023abd</t>
        </is>
      </c>
      <c r="C1408" s="1407" t="n">
        <f>HYPERLINK("https://www.xiaohongshu.com/explore/69eecd09000000001b023abd?xsec_token=TB3JCI8OO3ItJ5gw9_OIE0bBAbSvAey4tWsnfr8u5jOsI=&amp;xsec_source=pc_trdark","https://www.xiaohongshu.com/explore/69eecd09000000001b023abd?xsec_token=TB3JCI8OO3ItJ5gw9_OIE0bBAbSvAey4tWsnfr8u5jOsI=&amp;xsec_source=pc_trdark")</f>
        <v>0.0</v>
      </c>
      <c r="D1408" t="inlineStr">
        <is>
          <t>菲菲上班吃什么</t>
        </is>
      </c>
      <c r="E1408" t="inlineStr">
        <is>
          <t>49936530607</t>
        </is>
      </c>
      <c r="F1408" t="inlineStr">
        <is>
          <t>2026-04-27 10:42:18</t>
        </is>
      </c>
      <c r="G1408" t="inlineStr">
        <is>
          <t>图文</t>
        </is>
      </c>
      <c r="H1408" t="inlineStr">
        <is>
          <t>手剥虾仁 无冰衣无添加 低脂餐一人食 上班带饭 顺丰包邮 5盒装</t>
        </is>
      </c>
      <c r="I1408" t="inlineStr">
        <is>
          <t>694baba01d450d00013662f0</t>
        </is>
      </c>
      <c r="J1408" t="inlineStr">
        <is>
          <t/>
        </is>
      </c>
      <c r="K1408" t="n">
        <v>0.0</v>
      </c>
      <c r="L1408" t="n">
        <v>0.0</v>
      </c>
      <c r="M1408" t="n">
        <v>0.0</v>
      </c>
      <c r="N1408" t="inlineStr">
        <is>
          <t/>
        </is>
      </c>
      <c r="O1408" t="n">
        <v>0.0</v>
      </c>
      <c r="P1408" t="n">
        <v>0.0</v>
      </c>
      <c r="Q1408" t="inlineStr">
        <is>
          <t/>
        </is>
      </c>
      <c r="R1408" t="inlineStr">
        <is>
          <t/>
        </is>
      </c>
      <c r="S1408" t="n">
        <v>0.0</v>
      </c>
      <c r="T1408" t="n">
        <v>0.0</v>
      </c>
      <c r="U1408" t="n">
        <v>0.0</v>
      </c>
      <c r="V1408" t="n">
        <v>0.0</v>
      </c>
      <c r="W1408" t="inlineStr">
        <is>
          <t/>
        </is>
      </c>
      <c r="X1408" t="n">
        <v>0.0</v>
      </c>
      <c r="Y1408" t="n">
        <v>0.0</v>
      </c>
      <c r="Z1408" t="n">
        <v>0.0</v>
      </c>
      <c r="AA1408" t="n">
        <v>0.0</v>
      </c>
      <c r="AB1408" t="n">
        <v>0.0</v>
      </c>
      <c r="AC1408" t="n">
        <v>0.0</v>
      </c>
      <c r="AD1408" t="n">
        <v>0.0</v>
      </c>
      <c r="AE1408" t="n">
        <v>0.0</v>
      </c>
      <c r="AF1408" t="n">
        <v>0.0</v>
      </c>
      <c r="AG1408" t="n">
        <v>0.0</v>
      </c>
      <c r="AH1408" t="n">
        <v>0.0</v>
      </c>
      <c r="AI1408" t="n">
        <v>0.0</v>
      </c>
      <c r="AJ1408" t="n">
        <v>0.0</v>
      </c>
      <c r="AK1408" t="inlineStr">
        <is>
          <t/>
        </is>
      </c>
      <c r="AL1408" t="inlineStr">
        <is>
          <t/>
        </is>
      </c>
    </row>
    <row r="1409">
      <c r="A1409" t="inlineStr">
        <is>
          <t>我宣布，三文鱼就是管理期的神！</t>
        </is>
      </c>
      <c r="B1409" t="inlineStr">
        <is>
          <t>69eeca9a00000000220286a8</t>
        </is>
      </c>
      <c r="C1409" s="1408" t="n">
        <f>HYPERLINK("https://www.xiaohongshu.com/explore/69eeca9a00000000220286a8?xsec_token=TB3JCI8OO3ItJ5gw9_OIE0bHPjOSWuiepy70YEjK9DQrU=&amp;xsec_source=pc_trdark","https://www.xiaohongshu.com/explore/69eeca9a00000000220286a8?xsec_token=TB3JCI8OO3ItJ5gw9_OIE0bHPjOSWuiepy70YEjK9DQrU=&amp;xsec_source=pc_trdark")</f>
        <v>0.0</v>
      </c>
      <c r="D1409" t="inlineStr">
        <is>
          <t>婉婉上班吃什么</t>
        </is>
      </c>
      <c r="E1409" t="inlineStr">
        <is>
          <t>11434449706</t>
        </is>
      </c>
      <c r="F1409" t="inlineStr">
        <is>
          <t>2026-04-27 10:31:54</t>
        </is>
      </c>
      <c r="G1409" t="inlineStr">
        <is>
          <t>图文</t>
        </is>
      </c>
      <c r="H1409" t="inlineStr">
        <is>
          <t>智利尾端中段整条三文鱼 8斤深海鱼低脂餐囤货一周备菜顺丰包邮</t>
        </is>
      </c>
      <c r="I1409" t="inlineStr">
        <is>
          <t>69fab80d64eb410001ece0c0</t>
        </is>
      </c>
      <c r="J1409" t="inlineStr">
        <is>
          <t/>
        </is>
      </c>
      <c r="K1409" t="n">
        <v>0.0</v>
      </c>
      <c r="L1409" t="n">
        <v>0.0</v>
      </c>
      <c r="M1409" t="n">
        <v>0.0</v>
      </c>
      <c r="N1409" t="inlineStr">
        <is>
          <t/>
        </is>
      </c>
      <c r="O1409" t="n">
        <v>0.0</v>
      </c>
      <c r="P1409" t="n">
        <v>0.0</v>
      </c>
      <c r="Q1409" t="inlineStr">
        <is>
          <t/>
        </is>
      </c>
      <c r="R1409" t="inlineStr">
        <is>
          <t/>
        </is>
      </c>
      <c r="S1409" t="n">
        <v>0.0</v>
      </c>
      <c r="T1409" t="n">
        <v>0.0</v>
      </c>
      <c r="U1409" t="n">
        <v>0.0</v>
      </c>
      <c r="V1409" t="n">
        <v>0.0</v>
      </c>
      <c r="W1409" t="inlineStr">
        <is>
          <t/>
        </is>
      </c>
      <c r="X1409" t="n">
        <v>0.0</v>
      </c>
      <c r="Y1409" t="n">
        <v>0.0</v>
      </c>
      <c r="Z1409" t="n">
        <v>0.0</v>
      </c>
      <c r="AA1409" t="n">
        <v>0.0</v>
      </c>
      <c r="AB1409" t="n">
        <v>0.0</v>
      </c>
      <c r="AC1409" t="n">
        <v>0.0</v>
      </c>
      <c r="AD1409" t="n">
        <v>0.0</v>
      </c>
      <c r="AE1409" t="n">
        <v>0.0</v>
      </c>
      <c r="AF1409" t="n">
        <v>0.0</v>
      </c>
      <c r="AG1409" t="n">
        <v>0.0</v>
      </c>
      <c r="AH1409" t="n">
        <v>0.0</v>
      </c>
      <c r="AI1409" t="n">
        <v>0.0</v>
      </c>
      <c r="AJ1409" t="n">
        <v>0.0</v>
      </c>
      <c r="AK1409" t="inlineStr">
        <is>
          <t/>
        </is>
      </c>
      <c r="AL1409" t="inlineStr">
        <is>
          <t/>
        </is>
      </c>
    </row>
    <row r="1410">
      <c r="A1410" t="inlineStr">
        <is>
          <t>真的感受到100来块的杀伤力了</t>
        </is>
      </c>
      <c r="B1410" t="inlineStr">
        <is>
          <t>69ee2588000000002301fcd6</t>
        </is>
      </c>
      <c r="C1410" s="1409" t="n">
        <f>HYPERLINK("https://www.xiaohongshu.com/explore/69ee2588000000002301fcd6?xsec_token=TB3JCI8OO3ItJ5gw9_OIE0bMylJqi2GkI1aihxbFWUmwE=&amp;xsec_source=pc_trdark","https://www.xiaohongshu.com/explore/69ee2588000000002301fcd6?xsec_token=TB3JCI8OO3ItJ5gw9_OIE0bMylJqi2GkI1aihxbFWUmwE=&amp;xsec_source=pc_trdark")</f>
        <v>0.0</v>
      </c>
      <c r="D1410" t="inlineStr">
        <is>
          <t>婉婉上班吃什么</t>
        </is>
      </c>
      <c r="E1410" t="inlineStr">
        <is>
          <t>11434449706</t>
        </is>
      </c>
      <c r="F1410" t="inlineStr">
        <is>
          <t>2026-04-26 22:47:36</t>
        </is>
      </c>
      <c r="G1410" t="inlineStr">
        <is>
          <t>图文</t>
        </is>
      </c>
      <c r="H1410" t="inlineStr">
        <is>
          <t>手剥虾仁 无冰衣无添加 低脂餐一人食 上班带饭 顺丰包邮 5盒装</t>
        </is>
      </c>
      <c r="I1410" t="inlineStr">
        <is>
          <t>694baba01d450d00013662f0</t>
        </is>
      </c>
      <c r="J1410" t="inlineStr">
        <is>
          <t/>
        </is>
      </c>
      <c r="K1410" t="n">
        <v>0.0</v>
      </c>
      <c r="L1410" t="n">
        <v>0.0</v>
      </c>
      <c r="M1410" t="n">
        <v>0.0</v>
      </c>
      <c r="N1410" t="inlineStr">
        <is>
          <t/>
        </is>
      </c>
      <c r="O1410" t="n">
        <v>0.0</v>
      </c>
      <c r="P1410" t="n">
        <v>0.0</v>
      </c>
      <c r="Q1410" t="inlineStr">
        <is>
          <t/>
        </is>
      </c>
      <c r="R1410" t="inlineStr">
        <is>
          <t/>
        </is>
      </c>
      <c r="S1410" t="n">
        <v>0.0</v>
      </c>
      <c r="T1410" t="n">
        <v>0.0</v>
      </c>
      <c r="U1410" t="n">
        <v>0.0</v>
      </c>
      <c r="V1410" t="n">
        <v>0.0</v>
      </c>
      <c r="W1410" t="inlineStr">
        <is>
          <t/>
        </is>
      </c>
      <c r="X1410" t="n">
        <v>0.0</v>
      </c>
      <c r="Y1410" t="n">
        <v>0.0</v>
      </c>
      <c r="Z1410" t="n">
        <v>0.0</v>
      </c>
      <c r="AA1410" t="n">
        <v>0.0</v>
      </c>
      <c r="AB1410" t="n">
        <v>0.0</v>
      </c>
      <c r="AC1410" t="n">
        <v>0.0</v>
      </c>
      <c r="AD1410" t="n">
        <v>0.0</v>
      </c>
      <c r="AE1410" t="n">
        <v>0.0</v>
      </c>
      <c r="AF1410" t="n">
        <v>0.0</v>
      </c>
      <c r="AG1410" t="n">
        <v>0.0</v>
      </c>
      <c r="AH1410" t="n">
        <v>0.0</v>
      </c>
      <c r="AI1410" t="n">
        <v>0.0</v>
      </c>
      <c r="AJ1410" t="n">
        <v>0.0</v>
      </c>
      <c r="AK1410" t="inlineStr">
        <is>
          <t/>
        </is>
      </c>
      <c r="AL1410" t="inlineStr">
        <is>
          <t/>
        </is>
      </c>
    </row>
    <row r="1411">
      <c r="A1411" t="inlineStr">
        <is>
          <t>瘦都是我应得的！吃不腻的减脂餐</t>
        </is>
      </c>
      <c r="B1411" t="inlineStr">
        <is>
          <t>69ee0ef7000000003501d209</t>
        </is>
      </c>
      <c r="C1411" s="1410" t="n">
        <f>HYPERLINK("https://www.xiaohongshu.com/explore/69ee0ef7000000003501d209?xsec_token=TB3JCI8OO3ItJ5gw9_OIE0bPmFnobP9frmjE_tldzCq18=&amp;xsec_source=pc_trdark","https://www.xiaohongshu.com/explore/69ee0ef7000000003501d209?xsec_token=TB3JCI8OO3ItJ5gw9_OIE0bPmFnobP9frmjE_tldzCq18=&amp;xsec_source=pc_trdark")</f>
        <v>0.0</v>
      </c>
      <c r="D1411" t="inlineStr">
        <is>
          <t>鲜水湾甄选</t>
        </is>
      </c>
      <c r="E1411" t="inlineStr">
        <is>
          <t>27401929161</t>
        </is>
      </c>
      <c r="F1411" t="inlineStr">
        <is>
          <t>2026-04-26 21:11:19</t>
        </is>
      </c>
      <c r="G1411" t="inlineStr">
        <is>
          <t>图文</t>
        </is>
      </c>
      <c r="H1411" t="inlineStr">
        <is>
          <t>手剥虾仁 无冰衣无添加 低脂餐一人食 上班带饭 顺丰包邮 5盒装</t>
        </is>
      </c>
      <c r="I1411" t="inlineStr">
        <is>
          <t>694baba01d450d00013662f0</t>
        </is>
      </c>
      <c r="J1411" t="inlineStr">
        <is>
          <t/>
        </is>
      </c>
      <c r="K1411" t="n">
        <v>0.0</v>
      </c>
      <c r="L1411" t="n">
        <v>0.0</v>
      </c>
      <c r="M1411" t="n">
        <v>0.0</v>
      </c>
      <c r="N1411" t="inlineStr">
        <is>
          <t/>
        </is>
      </c>
      <c r="O1411" t="n">
        <v>0.0</v>
      </c>
      <c r="P1411" t="n">
        <v>0.0</v>
      </c>
      <c r="Q1411" t="inlineStr">
        <is>
          <t/>
        </is>
      </c>
      <c r="R1411" t="inlineStr">
        <is>
          <t/>
        </is>
      </c>
      <c r="S1411" t="n">
        <v>0.0</v>
      </c>
      <c r="T1411" t="n">
        <v>0.0</v>
      </c>
      <c r="U1411" t="n">
        <v>0.0</v>
      </c>
      <c r="V1411" t="n">
        <v>0.0</v>
      </c>
      <c r="W1411" t="inlineStr">
        <is>
          <t/>
        </is>
      </c>
      <c r="X1411" t="n">
        <v>0.0</v>
      </c>
      <c r="Y1411" t="n">
        <v>0.0</v>
      </c>
      <c r="Z1411" t="n">
        <v>0.0</v>
      </c>
      <c r="AA1411" t="n">
        <v>0.0</v>
      </c>
      <c r="AB1411" t="n">
        <v>0.0</v>
      </c>
      <c r="AC1411" t="n">
        <v>0.0</v>
      </c>
      <c r="AD1411" t="n">
        <v>0.0</v>
      </c>
      <c r="AE1411" t="n">
        <v>0.0</v>
      </c>
      <c r="AF1411" t="n">
        <v>0.0</v>
      </c>
      <c r="AG1411" t="n">
        <v>0.0</v>
      </c>
      <c r="AH1411" t="n">
        <v>0.0</v>
      </c>
      <c r="AI1411" t="n">
        <v>0.0</v>
      </c>
      <c r="AJ1411" t="n">
        <v>0.0</v>
      </c>
      <c r="AK1411" t="inlineStr">
        <is>
          <t/>
        </is>
      </c>
      <c r="AL1411" t="inlineStr">
        <is>
          <t/>
        </is>
      </c>
    </row>
    <row r="1412">
      <c r="A1412" t="inlineStr">
        <is>
          <t>很难不爱！超懂独居健身人的小包装虾仁🍤</t>
        </is>
      </c>
      <c r="B1412" t="inlineStr">
        <is>
          <t>69ee02c8000000003502085f</t>
        </is>
      </c>
      <c r="C1412" s="1411" t="n">
        <f>HYPERLINK("https://www.xiaohongshu.com/explore/69ee02c8000000003502085f?xsec_token=TB3JCI8OO3ItJ5gw9_OIE0bAJ6jqklp2cY_dKhOgfY5Qs=&amp;xsec_source=pc_trdark","https://www.xiaohongshu.com/explore/69ee02c8000000003502085f?xsec_token=TB3JCI8OO3ItJ5gw9_OIE0bAJ6jqklp2cY_dKhOgfY5Qs=&amp;xsec_source=pc_trdark")</f>
        <v>0.0</v>
      </c>
      <c r="D1412" t="inlineStr">
        <is>
          <t>鲜水湾甄选</t>
        </is>
      </c>
      <c r="E1412" t="inlineStr">
        <is>
          <t>27401929161</t>
        </is>
      </c>
      <c r="F1412" t="inlineStr">
        <is>
          <t>2026-04-26 20:19:21</t>
        </is>
      </c>
      <c r="G1412" t="inlineStr">
        <is>
          <t>图文</t>
        </is>
      </c>
      <c r="H1412" t="inlineStr">
        <is>
          <t>手剥虾仁 无冰衣无添加 低脂餐一人食 上班带饭 顺丰包邮 5盒装</t>
        </is>
      </c>
      <c r="I1412" t="inlineStr">
        <is>
          <t>694baba01d450d00013662f0</t>
        </is>
      </c>
      <c r="J1412" t="inlineStr">
        <is>
          <t/>
        </is>
      </c>
      <c r="K1412" t="n">
        <v>0.0</v>
      </c>
      <c r="L1412" t="n">
        <v>0.0</v>
      </c>
      <c r="M1412" t="n">
        <v>0.0</v>
      </c>
      <c r="N1412" t="inlineStr">
        <is>
          <t/>
        </is>
      </c>
      <c r="O1412" t="n">
        <v>0.0</v>
      </c>
      <c r="P1412" t="n">
        <v>0.0</v>
      </c>
      <c r="Q1412" t="inlineStr">
        <is>
          <t/>
        </is>
      </c>
      <c r="R1412" t="inlineStr">
        <is>
          <t/>
        </is>
      </c>
      <c r="S1412" t="n">
        <v>0.0</v>
      </c>
      <c r="T1412" t="n">
        <v>0.0</v>
      </c>
      <c r="U1412" t="n">
        <v>0.0</v>
      </c>
      <c r="V1412" t="n">
        <v>0.0</v>
      </c>
      <c r="W1412" t="inlineStr">
        <is>
          <t/>
        </is>
      </c>
      <c r="X1412" t="n">
        <v>0.0</v>
      </c>
      <c r="Y1412" t="n">
        <v>0.0</v>
      </c>
      <c r="Z1412" t="n">
        <v>0.0</v>
      </c>
      <c r="AA1412" t="n">
        <v>0.0</v>
      </c>
      <c r="AB1412" t="n">
        <v>0.0</v>
      </c>
      <c r="AC1412" t="n">
        <v>0.0</v>
      </c>
      <c r="AD1412" t="n">
        <v>0.0</v>
      </c>
      <c r="AE1412" t="n">
        <v>0.0</v>
      </c>
      <c r="AF1412" t="n">
        <v>0.0</v>
      </c>
      <c r="AG1412" t="n">
        <v>0.0</v>
      </c>
      <c r="AH1412" t="n">
        <v>0.0</v>
      </c>
      <c r="AI1412" t="n">
        <v>0.0</v>
      </c>
      <c r="AJ1412" t="n">
        <v>0.0</v>
      </c>
      <c r="AK1412" t="inlineStr">
        <is>
          <t/>
        </is>
      </c>
      <c r="AL1412" t="inlineStr">
        <is>
          <t/>
        </is>
      </c>
    </row>
    <row r="1413">
      <c r="A1413" t="inlineStr">
        <is>
          <t>我妈说我每天都吃虾仁太奢侈🥹</t>
        </is>
      </c>
      <c r="B1413" t="inlineStr">
        <is>
          <t>69ee02870000000022026a6f</t>
        </is>
      </c>
      <c r="C1413" s="1412" t="n">
        <f>HYPERLINK("https://www.xiaohongshu.com/explore/69ee02870000000022026a6f?xsec_token=TB3JCI8OO3ItJ5gw9_OIE0bJ5zPSTaoVzVu3WuxrwLQLo=&amp;xsec_source=pc_trdark","https://www.xiaohongshu.com/explore/69ee02870000000022026a6f?xsec_token=TB3JCI8OO3ItJ5gw9_OIE0bJ5zPSTaoVzVu3WuxrwLQLo=&amp;xsec_source=pc_trdark")</f>
        <v>0.0</v>
      </c>
      <c r="D1413" t="inlineStr">
        <is>
          <t>菲菲上班吃什么</t>
        </is>
      </c>
      <c r="E1413" t="inlineStr">
        <is>
          <t>49936530607</t>
        </is>
      </c>
      <c r="F1413" t="inlineStr">
        <is>
          <t>2026-04-26 20:18:15</t>
        </is>
      </c>
      <c r="G1413" t="inlineStr">
        <is>
          <t>图文</t>
        </is>
      </c>
      <c r="H1413" t="inlineStr">
        <is>
          <t>手剥虾仁 无冰衣无添加 低脂餐一人食 上班带饭 顺丰包邮 5盒装</t>
        </is>
      </c>
      <c r="I1413" t="inlineStr">
        <is>
          <t>694baba01d450d00013662f0</t>
        </is>
      </c>
      <c r="J1413" t="inlineStr">
        <is>
          <t/>
        </is>
      </c>
      <c r="K1413" t="n">
        <v>0.0</v>
      </c>
      <c r="L1413" t="n">
        <v>0.0</v>
      </c>
      <c r="M1413" t="n">
        <v>0.0</v>
      </c>
      <c r="N1413" t="inlineStr">
        <is>
          <t/>
        </is>
      </c>
      <c r="O1413" t="n">
        <v>0.0</v>
      </c>
      <c r="P1413" t="n">
        <v>0.0</v>
      </c>
      <c r="Q1413" t="inlineStr">
        <is>
          <t/>
        </is>
      </c>
      <c r="R1413" t="inlineStr">
        <is>
          <t/>
        </is>
      </c>
      <c r="S1413" t="n">
        <v>0.0</v>
      </c>
      <c r="T1413" t="n">
        <v>0.0</v>
      </c>
      <c r="U1413" t="n">
        <v>0.0</v>
      </c>
      <c r="V1413" t="n">
        <v>0.0</v>
      </c>
      <c r="W1413" t="inlineStr">
        <is>
          <t/>
        </is>
      </c>
      <c r="X1413" t="n">
        <v>0.0</v>
      </c>
      <c r="Y1413" t="n">
        <v>0.0</v>
      </c>
      <c r="Z1413" t="n">
        <v>0.0</v>
      </c>
      <c r="AA1413" t="n">
        <v>0.0</v>
      </c>
      <c r="AB1413" t="n">
        <v>0.0</v>
      </c>
      <c r="AC1413" t="n">
        <v>0.0</v>
      </c>
      <c r="AD1413" t="n">
        <v>0.0</v>
      </c>
      <c r="AE1413" t="n">
        <v>0.0</v>
      </c>
      <c r="AF1413" t="n">
        <v>0.0</v>
      </c>
      <c r="AG1413" t="n">
        <v>0.0</v>
      </c>
      <c r="AH1413" t="n">
        <v>0.0</v>
      </c>
      <c r="AI1413" t="n">
        <v>0.0</v>
      </c>
      <c r="AJ1413" t="n">
        <v>0.0</v>
      </c>
      <c r="AK1413" t="inlineStr">
        <is>
          <t/>
        </is>
      </c>
      <c r="AL1413" t="inlineStr">
        <is>
          <t/>
        </is>
      </c>
    </row>
    <row r="1414">
      <c r="A1414" t="inlineStr">
        <is>
          <t>普通人减脂真不贵！69实现一周虾仁自由✨</t>
        </is>
      </c>
      <c r="B1414" t="inlineStr">
        <is>
          <t>69ede86a000000001e00df64</t>
        </is>
      </c>
      <c r="C1414" s="1413" t="n">
        <f>HYPERLINK("https://www.xiaohongshu.com/explore/69ede86a000000001e00df64?xsec_token=TB3T22OHPTz18Ew6RRyYsIrHgTCrEr-OFYYLokfXVIJW4=&amp;xsec_source=pc_trdark","https://www.xiaohongshu.com/explore/69ede86a000000001e00df64?xsec_token=TB3T22OHPTz18Ew6RRyYsIrHgTCrEr-OFYYLokfXVIJW4=&amp;xsec_source=pc_trdark")</f>
        <v>0.0</v>
      </c>
      <c r="D1414" t="inlineStr">
        <is>
          <t>菲菲上班吃什么</t>
        </is>
      </c>
      <c r="E1414" t="inlineStr">
        <is>
          <t>49936530607</t>
        </is>
      </c>
      <c r="F1414" t="inlineStr">
        <is>
          <t>2026-04-26 18:26:50</t>
        </is>
      </c>
      <c r="G1414" t="inlineStr">
        <is>
          <t>图文</t>
        </is>
      </c>
      <c r="H1414" t="inlineStr">
        <is>
          <t>手剥虾仁 无冰衣无添加 低脂餐一人食 上班带饭 顺丰包邮 5盒装</t>
        </is>
      </c>
      <c r="I1414" t="inlineStr">
        <is>
          <t>694baba01d450d00013662f0</t>
        </is>
      </c>
      <c r="J1414" t="inlineStr">
        <is>
          <t/>
        </is>
      </c>
      <c r="K1414" t="n">
        <v>0.0</v>
      </c>
      <c r="L1414" t="n">
        <v>0.0</v>
      </c>
      <c r="M1414" t="n">
        <v>0.0</v>
      </c>
      <c r="N1414" t="inlineStr">
        <is>
          <t/>
        </is>
      </c>
      <c r="O1414" t="n">
        <v>0.0</v>
      </c>
      <c r="P1414" t="n">
        <v>0.0</v>
      </c>
      <c r="Q1414" t="inlineStr">
        <is>
          <t/>
        </is>
      </c>
      <c r="R1414" t="inlineStr">
        <is>
          <t/>
        </is>
      </c>
      <c r="S1414" t="n">
        <v>0.0</v>
      </c>
      <c r="T1414" t="n">
        <v>0.0</v>
      </c>
      <c r="U1414" t="n">
        <v>0.0</v>
      </c>
      <c r="V1414" t="n">
        <v>0.0</v>
      </c>
      <c r="W1414" t="inlineStr">
        <is>
          <t/>
        </is>
      </c>
      <c r="X1414" t="n">
        <v>0.0</v>
      </c>
      <c r="Y1414" t="n">
        <v>0.0</v>
      </c>
      <c r="Z1414" t="n">
        <v>0.0</v>
      </c>
      <c r="AA1414" t="n">
        <v>0.0</v>
      </c>
      <c r="AB1414" t="n">
        <v>0.0</v>
      </c>
      <c r="AC1414" t="n">
        <v>0.0</v>
      </c>
      <c r="AD1414" t="n">
        <v>0.0</v>
      </c>
      <c r="AE1414" t="n">
        <v>0.0</v>
      </c>
      <c r="AF1414" t="n">
        <v>0.0</v>
      </c>
      <c r="AG1414" t="n">
        <v>0.0</v>
      </c>
      <c r="AH1414" t="n">
        <v>0.0</v>
      </c>
      <c r="AI1414" t="n">
        <v>0.0</v>
      </c>
      <c r="AJ1414" t="n">
        <v>0.0</v>
      </c>
      <c r="AK1414" t="inlineStr">
        <is>
          <t/>
        </is>
      </c>
      <c r="AL1414" t="inlineStr">
        <is>
          <t/>
        </is>
      </c>
    </row>
    <row r="1415">
      <c r="A1415" t="inlineStr">
        <is>
          <t>减脂期的快乐，来自于这个大虾仁！</t>
        </is>
      </c>
      <c r="B1415" t="inlineStr">
        <is>
          <t>69eddafb00000000360010c7</t>
        </is>
      </c>
      <c r="C1415" s="1414" t="n">
        <f>HYPERLINK("https://www.xiaohongshu.com/explore/69eddafb00000000360010c7?xsec_token=TB3T22OHPTz18Ew6RRyYsIrKHj0VEgnvlICtA9zSfjxkU=&amp;xsec_source=pc_trdark","https://www.xiaohongshu.com/explore/69eddafb00000000360010c7?xsec_token=TB3T22OHPTz18Ew6RRyYsIrKHj0VEgnvlICtA9zSfjxkU=&amp;xsec_source=pc_trdark")</f>
        <v>0.0</v>
      </c>
      <c r="D1415" t="inlineStr">
        <is>
          <t>鲜水湾甄选</t>
        </is>
      </c>
      <c r="E1415" t="inlineStr">
        <is>
          <t>27401929161</t>
        </is>
      </c>
      <c r="F1415" t="inlineStr">
        <is>
          <t>2026-04-26 17:29:31</t>
        </is>
      </c>
      <c r="G1415" t="inlineStr">
        <is>
          <t>图文</t>
        </is>
      </c>
      <c r="H1415" t="inlineStr">
        <is>
          <t>手剥虾仁 无冰衣无添加 低脂餐一人食 上班带饭 顺丰包邮 5盒装</t>
        </is>
      </c>
      <c r="I1415" t="inlineStr">
        <is>
          <t>694baba01d450d00013662f0</t>
        </is>
      </c>
      <c r="J1415" t="inlineStr">
        <is>
          <t/>
        </is>
      </c>
      <c r="K1415" t="n">
        <v>0.0</v>
      </c>
      <c r="L1415" t="n">
        <v>0.0</v>
      </c>
      <c r="M1415" t="n">
        <v>0.0</v>
      </c>
      <c r="N1415" t="inlineStr">
        <is>
          <t/>
        </is>
      </c>
      <c r="O1415" t="n">
        <v>0.0</v>
      </c>
      <c r="P1415" t="n">
        <v>0.0</v>
      </c>
      <c r="Q1415" t="inlineStr">
        <is>
          <t/>
        </is>
      </c>
      <c r="R1415" t="inlineStr">
        <is>
          <t/>
        </is>
      </c>
      <c r="S1415" t="n">
        <v>0.0</v>
      </c>
      <c r="T1415" t="n">
        <v>0.0</v>
      </c>
      <c r="U1415" t="n">
        <v>0.0</v>
      </c>
      <c r="V1415" t="n">
        <v>0.0</v>
      </c>
      <c r="W1415" t="inlineStr">
        <is>
          <t/>
        </is>
      </c>
      <c r="X1415" t="n">
        <v>0.0</v>
      </c>
      <c r="Y1415" t="n">
        <v>0.0</v>
      </c>
      <c r="Z1415" t="n">
        <v>0.0</v>
      </c>
      <c r="AA1415" t="n">
        <v>0.0</v>
      </c>
      <c r="AB1415" t="n">
        <v>0.0</v>
      </c>
      <c r="AC1415" t="n">
        <v>0.0</v>
      </c>
      <c r="AD1415" t="n">
        <v>0.0</v>
      </c>
      <c r="AE1415" t="n">
        <v>0.0</v>
      </c>
      <c r="AF1415" t="n">
        <v>0.0</v>
      </c>
      <c r="AG1415" t="n">
        <v>0.0</v>
      </c>
      <c r="AH1415" t="n">
        <v>0.0</v>
      </c>
      <c r="AI1415" t="n">
        <v>0.0</v>
      </c>
      <c r="AJ1415" t="n">
        <v>0.0</v>
      </c>
      <c r="AK1415" t="inlineStr">
        <is>
          <t/>
        </is>
      </c>
      <c r="AL1415" t="inlineStr">
        <is>
          <t/>
        </is>
      </c>
    </row>
    <row r="1416">
      <c r="A1416" t="inlineStr">
        <is>
          <t>被同事说“天天吃虾好奢侈”，我笑了🤭</t>
        </is>
      </c>
      <c r="B1416" t="inlineStr">
        <is>
          <t>69edbd5f000000002301c40b</t>
        </is>
      </c>
      <c r="C1416" s="1415" t="n">
        <f>HYPERLINK("https://www.xiaohongshu.com/explore/69edbd5f000000002301c40b?xsec_token=TB3T22OHPTz18Ew6RRyYsIrLD_MrOoc6CHzjCz510iDts=&amp;xsec_source=pc_trdark","https://www.xiaohongshu.com/explore/69edbd5f000000002301c40b?xsec_token=TB3T22OHPTz18Ew6RRyYsIrLD_MrOoc6CHzjCz510iDts=&amp;xsec_source=pc_trdark")</f>
        <v>0.0</v>
      </c>
      <c r="D1416" t="inlineStr">
        <is>
          <t>菲菲上班吃什么</t>
        </is>
      </c>
      <c r="E1416" t="inlineStr">
        <is>
          <t>49936530607</t>
        </is>
      </c>
      <c r="F1416" t="inlineStr">
        <is>
          <t>2026-04-26 15:23:11</t>
        </is>
      </c>
      <c r="G1416" t="inlineStr">
        <is>
          <t>图文</t>
        </is>
      </c>
      <c r="H1416" t="inlineStr">
        <is>
          <t>手剥虾仁 无冰衣无添加 低脂餐一人食 上班带饭 顺丰包邮 5盒装</t>
        </is>
      </c>
      <c r="I1416" t="inlineStr">
        <is>
          <t>694baba01d450d00013662f0</t>
        </is>
      </c>
      <c r="J1416" t="inlineStr">
        <is>
          <t/>
        </is>
      </c>
      <c r="K1416" t="n">
        <v>0.0</v>
      </c>
      <c r="L1416" t="n">
        <v>0.0</v>
      </c>
      <c r="M1416" t="n">
        <v>0.0</v>
      </c>
      <c r="N1416" t="inlineStr">
        <is>
          <t/>
        </is>
      </c>
      <c r="O1416" t="n">
        <v>0.0</v>
      </c>
      <c r="P1416" t="n">
        <v>0.0</v>
      </c>
      <c r="Q1416" t="inlineStr">
        <is>
          <t/>
        </is>
      </c>
      <c r="R1416" t="inlineStr">
        <is>
          <t/>
        </is>
      </c>
      <c r="S1416" t="n">
        <v>0.0</v>
      </c>
      <c r="T1416" t="n">
        <v>0.0</v>
      </c>
      <c r="U1416" t="n">
        <v>0.0</v>
      </c>
      <c r="V1416" t="n">
        <v>0.0</v>
      </c>
      <c r="W1416" t="inlineStr">
        <is>
          <t/>
        </is>
      </c>
      <c r="X1416" t="n">
        <v>0.0</v>
      </c>
      <c r="Y1416" t="n">
        <v>0.0</v>
      </c>
      <c r="Z1416" t="n">
        <v>0.0</v>
      </c>
      <c r="AA1416" t="n">
        <v>0.0</v>
      </c>
      <c r="AB1416" t="n">
        <v>0.0</v>
      </c>
      <c r="AC1416" t="n">
        <v>0.0</v>
      </c>
      <c r="AD1416" t="n">
        <v>0.0</v>
      </c>
      <c r="AE1416" t="n">
        <v>0.0</v>
      </c>
      <c r="AF1416" t="n">
        <v>0.0</v>
      </c>
      <c r="AG1416" t="n">
        <v>0.0</v>
      </c>
      <c r="AH1416" t="n">
        <v>0.0</v>
      </c>
      <c r="AI1416" t="n">
        <v>0.0</v>
      </c>
      <c r="AJ1416" t="n">
        <v>0.0</v>
      </c>
      <c r="AK1416" t="inlineStr">
        <is>
          <t/>
        </is>
      </c>
      <c r="AL1416" t="inlineStr">
        <is>
          <t/>
        </is>
      </c>
    </row>
    <row r="1417">
      <c r="A1417" t="inlineStr">
        <is>
          <t>替我妈通知一下：69块五袋虾仁到货了😋</t>
        </is>
      </c>
      <c r="B1417" t="inlineStr">
        <is>
          <t>69edaaaa000000001a034ae8</t>
        </is>
      </c>
      <c r="C1417" s="1416" t="n">
        <f>HYPERLINK("https://www.xiaohongshu.com/explore/69edaaaa000000001a034ae8?xsec_token=TB3T22OHPTz18Ew6RRyYsIrHn85FXBtG5Mc3QTqYIS0Bw=&amp;xsec_source=pc_trdark","https://www.xiaohongshu.com/explore/69edaaaa000000001a034ae8?xsec_token=TB3T22OHPTz18Ew6RRyYsIrHn85FXBtG5Mc3QTqYIS0Bw=&amp;xsec_source=pc_trdark")</f>
        <v>0.0</v>
      </c>
      <c r="D1417" t="inlineStr">
        <is>
          <t>菲菲上班吃什么</t>
        </is>
      </c>
      <c r="E1417" t="inlineStr">
        <is>
          <t>49936530607</t>
        </is>
      </c>
      <c r="F1417" t="inlineStr">
        <is>
          <t>2026-04-26 14:03:22</t>
        </is>
      </c>
      <c r="G1417" t="inlineStr">
        <is>
          <t>图文</t>
        </is>
      </c>
      <c r="H1417" t="inlineStr">
        <is>
          <t>手剥虾仁 无冰衣无添加 低脂餐一人食 上班带饭 顺丰包邮 5盒装</t>
        </is>
      </c>
      <c r="I1417" t="inlineStr">
        <is>
          <t>694baba01d450d00013662f0</t>
        </is>
      </c>
      <c r="J1417" t="inlineStr">
        <is>
          <t/>
        </is>
      </c>
      <c r="K1417" t="n">
        <v>0.0</v>
      </c>
      <c r="L1417" t="n">
        <v>0.0</v>
      </c>
      <c r="M1417" t="n">
        <v>0.0</v>
      </c>
      <c r="N1417" t="inlineStr">
        <is>
          <t/>
        </is>
      </c>
      <c r="O1417" t="n">
        <v>0.0</v>
      </c>
      <c r="P1417" t="n">
        <v>0.0</v>
      </c>
      <c r="Q1417" t="inlineStr">
        <is>
          <t/>
        </is>
      </c>
      <c r="R1417" t="inlineStr">
        <is>
          <t/>
        </is>
      </c>
      <c r="S1417" t="n">
        <v>0.0</v>
      </c>
      <c r="T1417" t="n">
        <v>0.0</v>
      </c>
      <c r="U1417" t="n">
        <v>0.0</v>
      </c>
      <c r="V1417" t="n">
        <v>0.0</v>
      </c>
      <c r="W1417" t="inlineStr">
        <is>
          <t/>
        </is>
      </c>
      <c r="X1417" t="n">
        <v>0.0</v>
      </c>
      <c r="Y1417" t="n">
        <v>0.0</v>
      </c>
      <c r="Z1417" t="n">
        <v>0.0</v>
      </c>
      <c r="AA1417" t="n">
        <v>0.0</v>
      </c>
      <c r="AB1417" t="n">
        <v>0.0</v>
      </c>
      <c r="AC1417" t="n">
        <v>0.0</v>
      </c>
      <c r="AD1417" t="n">
        <v>0.0</v>
      </c>
      <c r="AE1417" t="n">
        <v>0.0</v>
      </c>
      <c r="AF1417" t="n">
        <v>0.0</v>
      </c>
      <c r="AG1417" t="n">
        <v>0.0</v>
      </c>
      <c r="AH1417" t="n">
        <v>0.0</v>
      </c>
      <c r="AI1417" t="n">
        <v>0.0</v>
      </c>
      <c r="AJ1417" t="n">
        <v>0.0</v>
      </c>
      <c r="AK1417" t="inlineStr">
        <is>
          <t/>
        </is>
      </c>
      <c r="AL1417" t="inlineStr">
        <is>
          <t/>
        </is>
      </c>
    </row>
    <row r="1418">
      <c r="A1418" t="inlineStr">
        <is>
          <t>自己赚钱后报复性吃虾吃到撑</t>
        </is>
      </c>
      <c r="B1418" t="inlineStr">
        <is>
          <t>69ecb6880000000035031bc8</t>
        </is>
      </c>
      <c r="C1418" s="1417" t="n">
        <f>HYPERLINK("https://www.xiaohongshu.com/explore/69ecb6880000000035031bc8?xsec_token=TBnoSF_--XRDuLtfF77lVqP_MhUrYCJYed2f_H6r7mESE=&amp;xsec_source=pc_trdark","https://www.xiaohongshu.com/explore/69ecb6880000000035031bc8?xsec_token=TBnoSF_--XRDuLtfF77lVqP_MhUrYCJYed2f_H6r7mESE=&amp;xsec_source=pc_trdark")</f>
        <v>0.0</v>
      </c>
      <c r="D1418" t="inlineStr">
        <is>
          <t>鲜水湾甄选</t>
        </is>
      </c>
      <c r="E1418" t="inlineStr">
        <is>
          <t>27401929161</t>
        </is>
      </c>
      <c r="F1418" t="inlineStr">
        <is>
          <t>2026-04-25 21:30:00</t>
        </is>
      </c>
      <c r="G1418" t="inlineStr">
        <is>
          <t>图文</t>
        </is>
      </c>
      <c r="H1418" t="inlineStr">
        <is>
          <t>手剥虾仁 无冰衣无添加 低脂餐一人食 上班带饭 顺丰包邮 5盒装</t>
        </is>
      </c>
      <c r="I1418" t="inlineStr">
        <is>
          <t>694baba01d450d00013662f0</t>
        </is>
      </c>
      <c r="J1418" t="inlineStr">
        <is>
          <t/>
        </is>
      </c>
      <c r="K1418" t="n">
        <v>0.0</v>
      </c>
      <c r="L1418" t="n">
        <v>0.0</v>
      </c>
      <c r="M1418" t="n">
        <v>0.0</v>
      </c>
      <c r="N1418" t="inlineStr">
        <is>
          <t/>
        </is>
      </c>
      <c r="O1418" t="n">
        <v>0.0</v>
      </c>
      <c r="P1418" t="n">
        <v>0.0</v>
      </c>
      <c r="Q1418" t="inlineStr">
        <is>
          <t/>
        </is>
      </c>
      <c r="R1418" t="inlineStr">
        <is>
          <t/>
        </is>
      </c>
      <c r="S1418" t="n">
        <v>0.0</v>
      </c>
      <c r="T1418" t="n">
        <v>0.0</v>
      </c>
      <c r="U1418" t="n">
        <v>0.0</v>
      </c>
      <c r="V1418" t="n">
        <v>0.0</v>
      </c>
      <c r="W1418" t="inlineStr">
        <is>
          <t/>
        </is>
      </c>
      <c r="X1418" t="n">
        <v>0.0</v>
      </c>
      <c r="Y1418" t="n">
        <v>0.0</v>
      </c>
      <c r="Z1418" t="n">
        <v>0.0</v>
      </c>
      <c r="AA1418" t="n">
        <v>0.0</v>
      </c>
      <c r="AB1418" t="n">
        <v>0.0</v>
      </c>
      <c r="AC1418" t="n">
        <v>0.0</v>
      </c>
      <c r="AD1418" t="n">
        <v>0.0</v>
      </c>
      <c r="AE1418" t="n">
        <v>0.0</v>
      </c>
      <c r="AF1418" t="n">
        <v>0.0</v>
      </c>
      <c r="AG1418" t="n">
        <v>0.0</v>
      </c>
      <c r="AH1418" t="n">
        <v>0.0</v>
      </c>
      <c r="AI1418" t="n">
        <v>0.0</v>
      </c>
      <c r="AJ1418" t="n">
        <v>0.0</v>
      </c>
      <c r="AK1418" t="inlineStr">
        <is>
          <t/>
        </is>
      </c>
      <c r="AL1418" t="inlineStr">
        <is>
          <t/>
        </is>
      </c>
    </row>
    <row r="1419">
      <c r="A1419" t="inlineStr">
        <is>
          <t>独居第三年，终于找到了不浪费的做饭方式💰</t>
        </is>
      </c>
      <c r="B1419" t="inlineStr">
        <is>
          <t>69ecb646000000001f00526a</t>
        </is>
      </c>
      <c r="C1419" s="1418" t="n">
        <f>HYPERLINK("https://www.xiaohongshu.com/explore/69ecb646000000001f00526a?xsec_token=TBnoSF_--XRDuLtfF77lVqP6EzYala_QI22dXY2sG0kDE=&amp;xsec_source=pc_trdark","https://www.xiaohongshu.com/explore/69ecb646000000001f00526a?xsec_token=TBnoSF_--XRDuLtfF77lVqP6EzYala_QI22dXY2sG0kDE=&amp;xsec_source=pc_trdark")</f>
        <v>0.0</v>
      </c>
      <c r="D1419" t="inlineStr">
        <is>
          <t>菲菲上班吃什么</t>
        </is>
      </c>
      <c r="E1419" t="inlineStr">
        <is>
          <t>49936530607</t>
        </is>
      </c>
      <c r="F1419" t="inlineStr">
        <is>
          <t>2026-04-25 22:30:00</t>
        </is>
      </c>
      <c r="G1419" t="inlineStr">
        <is>
          <t>图文</t>
        </is>
      </c>
      <c r="H1419" t="inlineStr">
        <is>
          <t>手剥虾仁 无冰衣无添加 低脂餐一人食 上班带饭 顺丰包邮 5盒装</t>
        </is>
      </c>
      <c r="I1419" t="inlineStr">
        <is>
          <t>694baba01d450d00013662f0</t>
        </is>
      </c>
      <c r="J1419" t="inlineStr">
        <is>
          <t/>
        </is>
      </c>
      <c r="K1419" t="n">
        <v>0.0</v>
      </c>
      <c r="L1419" t="n">
        <v>0.0</v>
      </c>
      <c r="M1419" t="n">
        <v>0.0</v>
      </c>
      <c r="N1419" t="inlineStr">
        <is>
          <t/>
        </is>
      </c>
      <c r="O1419" t="n">
        <v>0.0</v>
      </c>
      <c r="P1419" t="n">
        <v>0.0</v>
      </c>
      <c r="Q1419" t="inlineStr">
        <is>
          <t/>
        </is>
      </c>
      <c r="R1419" t="inlineStr">
        <is>
          <t/>
        </is>
      </c>
      <c r="S1419" t="n">
        <v>0.0</v>
      </c>
      <c r="T1419" t="n">
        <v>0.0</v>
      </c>
      <c r="U1419" t="n">
        <v>0.0</v>
      </c>
      <c r="V1419" t="n">
        <v>0.0</v>
      </c>
      <c r="W1419" t="inlineStr">
        <is>
          <t/>
        </is>
      </c>
      <c r="X1419" t="n">
        <v>0.0</v>
      </c>
      <c r="Y1419" t="n">
        <v>0.0</v>
      </c>
      <c r="Z1419" t="n">
        <v>0.0</v>
      </c>
      <c r="AA1419" t="n">
        <v>0.0</v>
      </c>
      <c r="AB1419" t="n">
        <v>0.0</v>
      </c>
      <c r="AC1419" t="n">
        <v>0.0</v>
      </c>
      <c r="AD1419" t="n">
        <v>0.0</v>
      </c>
      <c r="AE1419" t="n">
        <v>0.0</v>
      </c>
      <c r="AF1419" t="n">
        <v>0.0</v>
      </c>
      <c r="AG1419" t="n">
        <v>0.0</v>
      </c>
      <c r="AH1419" t="n">
        <v>0.0</v>
      </c>
      <c r="AI1419" t="n">
        <v>0.0</v>
      </c>
      <c r="AJ1419" t="n">
        <v>0.0</v>
      </c>
      <c r="AK1419" t="inlineStr">
        <is>
          <t/>
        </is>
      </c>
      <c r="AL1419" t="inlineStr">
        <is>
          <t/>
        </is>
      </c>
    </row>
    <row r="1420">
      <c r="A1420" t="inlineStr">
        <is>
          <t>128块的购买力具象化了，轻松搞定一周轻食</t>
        </is>
      </c>
      <c r="B1420" t="inlineStr">
        <is>
          <t>69ecaafd0000000020038518</t>
        </is>
      </c>
      <c r="C1420" s="1419" t="n">
        <f>HYPERLINK("https://www.xiaohongshu.com/explore/69ecaafd0000000020038518?xsec_token=TBnoSF_--XRDuLtfF77lVqPzsbBXfpMszp9WKAAdkjpcg=&amp;xsec_source=pc_trdark","https://www.xiaohongshu.com/explore/69ecaafd0000000020038518?xsec_token=TBnoSF_--XRDuLtfF77lVqPzsbBXfpMszp9WKAAdkjpcg=&amp;xsec_source=pc_trdark")</f>
        <v>0.0</v>
      </c>
      <c r="D1420" t="inlineStr">
        <is>
          <t>菲菲上班吃什么</t>
        </is>
      </c>
      <c r="E1420" t="inlineStr">
        <is>
          <t>49936530607</t>
        </is>
      </c>
      <c r="F1420" t="inlineStr">
        <is>
          <t>2026-04-25 19:52:29</t>
        </is>
      </c>
      <c r="G1420" t="inlineStr">
        <is>
          <t>图文</t>
        </is>
      </c>
      <c r="H1420" t="inlineStr">
        <is>
          <t>手剥虾仁 无冰衣无添加 低脂餐一人食 上班带饭 顺丰包邮 5盒装</t>
        </is>
      </c>
      <c r="I1420" t="inlineStr">
        <is>
          <t>694baba01d450d00013662f0</t>
        </is>
      </c>
      <c r="J1420" t="inlineStr">
        <is>
          <t/>
        </is>
      </c>
      <c r="K1420" t="n">
        <v>0.0</v>
      </c>
      <c r="L1420" t="n">
        <v>0.0</v>
      </c>
      <c r="M1420" t="n">
        <v>0.0</v>
      </c>
      <c r="N1420" t="inlineStr">
        <is>
          <t/>
        </is>
      </c>
      <c r="O1420" t="n">
        <v>0.0</v>
      </c>
      <c r="P1420" t="n">
        <v>0.0</v>
      </c>
      <c r="Q1420" t="inlineStr">
        <is>
          <t/>
        </is>
      </c>
      <c r="R1420" t="inlineStr">
        <is>
          <t/>
        </is>
      </c>
      <c r="S1420" t="n">
        <v>0.0</v>
      </c>
      <c r="T1420" t="n">
        <v>0.0</v>
      </c>
      <c r="U1420" t="n">
        <v>0.0</v>
      </c>
      <c r="V1420" t="n">
        <v>0.0</v>
      </c>
      <c r="W1420" t="inlineStr">
        <is>
          <t/>
        </is>
      </c>
      <c r="X1420" t="n">
        <v>0.0</v>
      </c>
      <c r="Y1420" t="n">
        <v>0.0</v>
      </c>
      <c r="Z1420" t="n">
        <v>0.0</v>
      </c>
      <c r="AA1420" t="n">
        <v>0.0</v>
      </c>
      <c r="AB1420" t="n">
        <v>0.0</v>
      </c>
      <c r="AC1420" t="n">
        <v>0.0</v>
      </c>
      <c r="AD1420" t="n">
        <v>0.0</v>
      </c>
      <c r="AE1420" t="n">
        <v>0.0</v>
      </c>
      <c r="AF1420" t="n">
        <v>0.0</v>
      </c>
      <c r="AG1420" t="n">
        <v>0.0</v>
      </c>
      <c r="AH1420" t="n">
        <v>0.0</v>
      </c>
      <c r="AI1420" t="n">
        <v>0.0</v>
      </c>
      <c r="AJ1420" t="n">
        <v>0.0</v>
      </c>
      <c r="AK1420" t="inlineStr">
        <is>
          <t/>
        </is>
      </c>
      <c r="AL1420" t="inlineStr">
        <is>
          <t/>
        </is>
      </c>
    </row>
    <row r="1421">
      <c r="A1421" t="inlineStr">
        <is>
          <t>快看❗️原来降低物欲花128块可以囤一周的量</t>
        </is>
      </c>
      <c r="B1421" t="inlineStr">
        <is>
          <t>69eca665000000003502f040</t>
        </is>
      </c>
      <c r="C1421" s="1420" t="n">
        <f>HYPERLINK("https://www.xiaohongshu.com/explore/69eca665000000003502f040?xsec_token=TBnoSF_--XRDuLtfF77lVqP12_NOu1ipAcg7O8Zh40kYI=&amp;xsec_source=pc_trdark","https://www.xiaohongshu.com/explore/69eca665000000003502f040?xsec_token=TBnoSF_--XRDuLtfF77lVqP12_NOu1ipAcg7O8Zh40kYI=&amp;xsec_source=pc_trdark")</f>
        <v>0.0</v>
      </c>
      <c r="D1421" t="inlineStr">
        <is>
          <t>鲜水湾甄选</t>
        </is>
      </c>
      <c r="E1421" t="inlineStr">
        <is>
          <t>27401929161</t>
        </is>
      </c>
      <c r="F1421" t="inlineStr">
        <is>
          <t>2026-04-25 19:32:53</t>
        </is>
      </c>
      <c r="G1421" t="inlineStr">
        <is>
          <t>图文</t>
        </is>
      </c>
      <c r="H1421" t="inlineStr">
        <is>
          <t>手剥虾仁 无冰衣无添加 低脂餐一人食 上班带饭 顺丰包邮 5盒装</t>
        </is>
      </c>
      <c r="I1421" t="inlineStr">
        <is>
          <t>694baba01d450d00013662f0</t>
        </is>
      </c>
      <c r="J1421" t="inlineStr">
        <is>
          <t/>
        </is>
      </c>
      <c r="K1421" t="n">
        <v>0.0</v>
      </c>
      <c r="L1421" t="n">
        <v>0.0</v>
      </c>
      <c r="M1421" t="n">
        <v>0.0</v>
      </c>
      <c r="N1421" t="inlineStr">
        <is>
          <t/>
        </is>
      </c>
      <c r="O1421" t="n">
        <v>0.0</v>
      </c>
      <c r="P1421" t="n">
        <v>0.0</v>
      </c>
      <c r="Q1421" t="inlineStr">
        <is>
          <t/>
        </is>
      </c>
      <c r="R1421" t="inlineStr">
        <is>
          <t/>
        </is>
      </c>
      <c r="S1421" t="n">
        <v>0.0</v>
      </c>
      <c r="T1421" t="n">
        <v>0.0</v>
      </c>
      <c r="U1421" t="n">
        <v>0.0</v>
      </c>
      <c r="V1421" t="n">
        <v>0.0</v>
      </c>
      <c r="W1421" t="inlineStr">
        <is>
          <t/>
        </is>
      </c>
      <c r="X1421" t="n">
        <v>0.0</v>
      </c>
      <c r="Y1421" t="n">
        <v>0.0</v>
      </c>
      <c r="Z1421" t="n">
        <v>0.0</v>
      </c>
      <c r="AA1421" t="n">
        <v>0.0</v>
      </c>
      <c r="AB1421" t="n">
        <v>0.0</v>
      </c>
      <c r="AC1421" t="n">
        <v>0.0</v>
      </c>
      <c r="AD1421" t="n">
        <v>0.0</v>
      </c>
      <c r="AE1421" t="n">
        <v>0.0</v>
      </c>
      <c r="AF1421" t="n">
        <v>0.0</v>
      </c>
      <c r="AG1421" t="n">
        <v>0.0</v>
      </c>
      <c r="AH1421" t="n">
        <v>0.0</v>
      </c>
      <c r="AI1421" t="n">
        <v>0.0</v>
      </c>
      <c r="AJ1421" t="n">
        <v>0.0</v>
      </c>
      <c r="AK1421" t="inlineStr">
        <is>
          <t/>
        </is>
      </c>
      <c r="AL1421" t="inlineStr">
        <is>
          <t/>
        </is>
      </c>
    </row>
    <row r="1422">
      <c r="A1422" t="inlineStr">
        <is>
          <t>每天这样吃，瘦，都是我应得的！</t>
        </is>
      </c>
      <c r="B1422" t="inlineStr">
        <is>
          <t>69ec8f55000000001f007480</t>
        </is>
      </c>
      <c r="C1422" s="1421" t="n">
        <f>HYPERLINK("https://www.xiaohongshu.com/explore/69ec8f55000000001f007480?xsec_token=TBnoSF_--XRDuLtfF77lVqP6a8uGhFAAb9_OVCU-8WEfs=&amp;xsec_source=pc_trdark","https://www.xiaohongshu.com/explore/69ec8f55000000001f007480?xsec_token=TBnoSF_--XRDuLtfF77lVqP6a8uGhFAAb9_OVCU-8WEfs=&amp;xsec_source=pc_trdark")</f>
        <v>0.0</v>
      </c>
      <c r="D1422" t="inlineStr">
        <is>
          <t>婉婉上班吃什么</t>
        </is>
      </c>
      <c r="E1422" t="inlineStr">
        <is>
          <t>11434449706</t>
        </is>
      </c>
      <c r="F1422" t="inlineStr">
        <is>
          <t>2026-04-25 17:54:29</t>
        </is>
      </c>
      <c r="G1422" t="inlineStr">
        <is>
          <t>图文</t>
        </is>
      </c>
      <c r="H1422" t="inlineStr">
        <is>
          <t>智利尾端中段整条三文鱼 8斤深海鱼低脂餐囤货一周备菜顺丰包邮</t>
        </is>
      </c>
      <c r="I1422" t="inlineStr">
        <is>
          <t>69fab80d64eb410001ece0c0</t>
        </is>
      </c>
      <c r="J1422" t="inlineStr">
        <is>
          <t/>
        </is>
      </c>
      <c r="K1422" t="n">
        <v>0.0</v>
      </c>
      <c r="L1422" t="n">
        <v>0.0</v>
      </c>
      <c r="M1422" t="n">
        <v>0.0</v>
      </c>
      <c r="N1422" t="inlineStr">
        <is>
          <t/>
        </is>
      </c>
      <c r="O1422" t="n">
        <v>0.0</v>
      </c>
      <c r="P1422" t="n">
        <v>0.0</v>
      </c>
      <c r="Q1422" t="inlineStr">
        <is>
          <t/>
        </is>
      </c>
      <c r="R1422" t="inlineStr">
        <is>
          <t/>
        </is>
      </c>
      <c r="S1422" t="n">
        <v>0.0</v>
      </c>
      <c r="T1422" t="n">
        <v>0.0</v>
      </c>
      <c r="U1422" t="n">
        <v>0.0</v>
      </c>
      <c r="V1422" t="n">
        <v>0.0</v>
      </c>
      <c r="W1422" t="inlineStr">
        <is>
          <t/>
        </is>
      </c>
      <c r="X1422" t="n">
        <v>0.0</v>
      </c>
      <c r="Y1422" t="n">
        <v>0.0</v>
      </c>
      <c r="Z1422" t="n">
        <v>0.0</v>
      </c>
      <c r="AA1422" t="n">
        <v>0.0</v>
      </c>
      <c r="AB1422" t="n">
        <v>0.0</v>
      </c>
      <c r="AC1422" t="n">
        <v>0.0</v>
      </c>
      <c r="AD1422" t="n">
        <v>0.0</v>
      </c>
      <c r="AE1422" t="n">
        <v>0.0</v>
      </c>
      <c r="AF1422" t="n">
        <v>0.0</v>
      </c>
      <c r="AG1422" t="n">
        <v>0.0</v>
      </c>
      <c r="AH1422" t="n">
        <v>0.0</v>
      </c>
      <c r="AI1422" t="n">
        <v>0.0</v>
      </c>
      <c r="AJ1422" t="n">
        <v>0.0</v>
      </c>
      <c r="AK1422" t="inlineStr">
        <is>
          <t/>
        </is>
      </c>
      <c r="AL1422" t="inlineStr">
        <is>
          <t/>
        </is>
      </c>
    </row>
    <row r="1423">
      <c r="A1423" t="inlineStr">
        <is>
          <t>爸妈觉得我每天吃虾仁很奢侈！！！</t>
        </is>
      </c>
      <c r="B1423" t="inlineStr">
        <is>
          <t>69ec760a0000000023015f08</t>
        </is>
      </c>
      <c r="C1423" s="1422" t="n">
        <f>HYPERLINK("https://www.xiaohongshu.com/explore/69ec760a0000000023015f08?xsec_token=TBnoSF_--XRDuLtfF77lVqP6y1d-0KXmi2ilvixoZhQn4=&amp;xsec_source=pc_trdark","https://www.xiaohongshu.com/explore/69ec760a0000000023015f08?xsec_token=TBnoSF_--XRDuLtfF77lVqP6y1d-0KXmi2ilvixoZhQn4=&amp;xsec_source=pc_trdark")</f>
        <v>0.0</v>
      </c>
      <c r="D1423" t="inlineStr">
        <is>
          <t>菲菲上班吃什么</t>
        </is>
      </c>
      <c r="E1423" t="inlineStr">
        <is>
          <t>49936530607</t>
        </is>
      </c>
      <c r="F1423" t="inlineStr">
        <is>
          <t>2026-04-25 16:06:34</t>
        </is>
      </c>
      <c r="G1423" t="inlineStr">
        <is>
          <t>视频</t>
        </is>
      </c>
      <c r="H1423" t="inlineStr">
        <is>
          <t>手剥虾仁 无冰衣无添加 低脂餐一人食 上班带饭 顺丰包邮 5盒装</t>
        </is>
      </c>
      <c r="I1423" t="inlineStr">
        <is>
          <t>694baba01d450d00013662f0</t>
        </is>
      </c>
      <c r="J1423" t="n">
        <v>27.0</v>
      </c>
      <c r="K1423" t="n">
        <v>0.0</v>
      </c>
      <c r="L1423" t="n">
        <v>0.0</v>
      </c>
      <c r="M1423" t="n">
        <v>0.0</v>
      </c>
      <c r="N1423" t="inlineStr">
        <is>
          <t/>
        </is>
      </c>
      <c r="O1423" t="n">
        <v>0.0</v>
      </c>
      <c r="P1423" t="n">
        <v>0.0</v>
      </c>
      <c r="Q1423" t="inlineStr">
        <is>
          <t/>
        </is>
      </c>
      <c r="R1423" t="inlineStr">
        <is>
          <t/>
        </is>
      </c>
      <c r="S1423" t="n">
        <v>0.0</v>
      </c>
      <c r="T1423" t="n">
        <v>0.0</v>
      </c>
      <c r="U1423" t="n">
        <v>0.0</v>
      </c>
      <c r="V1423" t="n">
        <v>0.0</v>
      </c>
      <c r="W1423" t="inlineStr">
        <is>
          <t/>
        </is>
      </c>
      <c r="X1423" t="n">
        <v>0.0</v>
      </c>
      <c r="Y1423" t="n">
        <v>0.0</v>
      </c>
      <c r="Z1423" t="n">
        <v>0.0</v>
      </c>
      <c r="AA1423" t="n">
        <v>0.0</v>
      </c>
      <c r="AB1423" t="n">
        <v>0.0</v>
      </c>
      <c r="AC1423" t="n">
        <v>0.0</v>
      </c>
      <c r="AD1423" t="n">
        <v>0.0</v>
      </c>
      <c r="AE1423" t="n">
        <v>0.0</v>
      </c>
      <c r="AF1423" t="n">
        <v>0.0</v>
      </c>
      <c r="AG1423" t="n">
        <v>0.0</v>
      </c>
      <c r="AH1423" t="n">
        <v>0.0</v>
      </c>
      <c r="AI1423" t="n">
        <v>0.0</v>
      </c>
      <c r="AJ1423" t="n">
        <v>0.0</v>
      </c>
      <c r="AK1423" t="inlineStr">
        <is>
          <t/>
        </is>
      </c>
      <c r="AL1423" t="inlineStr">
        <is>
          <t/>
        </is>
      </c>
    </row>
    <row r="1424">
      <c r="A1424" t="inlineStr">
        <is>
          <t>不夸张，我在xhs买的虾仁从未失手过</t>
        </is>
      </c>
      <c r="B1424" t="inlineStr">
        <is>
          <t>69ec68bc000000001f005460</t>
        </is>
      </c>
      <c r="C1424" s="1423" t="n">
        <f>HYPERLINK("https://www.xiaohongshu.com/explore/69ec68bc000000001f005460?xsec_token=TBnoSF_--XRDuLtfF77lVqP3eCjujChQ7mmJVobgE1FK8=&amp;xsec_source=pc_trdark","https://www.xiaohongshu.com/explore/69ec68bc000000001f005460?xsec_token=TBnoSF_--XRDuLtfF77lVqP3eCjujChQ7mmJVobgE1FK8=&amp;xsec_source=pc_trdark")</f>
        <v>0.0</v>
      </c>
      <c r="D1424" t="inlineStr">
        <is>
          <t>婉婉上班吃什么</t>
        </is>
      </c>
      <c r="E1424" t="inlineStr">
        <is>
          <t>11434449706</t>
        </is>
      </c>
      <c r="F1424" t="inlineStr">
        <is>
          <t>2026-04-25 15:09:48</t>
        </is>
      </c>
      <c r="G1424" t="inlineStr">
        <is>
          <t>图文</t>
        </is>
      </c>
      <c r="H1424" t="inlineStr">
        <is>
          <t>手剥虾仁 无冰衣无添加 低脂餐一人食 上班带饭 顺丰包邮 5盒装</t>
        </is>
      </c>
      <c r="I1424" t="inlineStr">
        <is>
          <t>694baba01d450d00013662f0</t>
        </is>
      </c>
      <c r="J1424" t="inlineStr">
        <is>
          <t/>
        </is>
      </c>
      <c r="K1424" t="n">
        <v>0.0</v>
      </c>
      <c r="L1424" t="n">
        <v>0.0</v>
      </c>
      <c r="M1424" t="n">
        <v>0.0</v>
      </c>
      <c r="N1424" t="inlineStr">
        <is>
          <t/>
        </is>
      </c>
      <c r="O1424" t="n">
        <v>0.0</v>
      </c>
      <c r="P1424" t="n">
        <v>0.0</v>
      </c>
      <c r="Q1424" t="inlineStr">
        <is>
          <t/>
        </is>
      </c>
      <c r="R1424" t="inlineStr">
        <is>
          <t/>
        </is>
      </c>
      <c r="S1424" t="n">
        <v>0.0</v>
      </c>
      <c r="T1424" t="n">
        <v>0.0</v>
      </c>
      <c r="U1424" t="n">
        <v>0.0</v>
      </c>
      <c r="V1424" t="n">
        <v>0.0</v>
      </c>
      <c r="W1424" t="inlineStr">
        <is>
          <t/>
        </is>
      </c>
      <c r="X1424" t="n">
        <v>0.0</v>
      </c>
      <c r="Y1424" t="n">
        <v>0.0</v>
      </c>
      <c r="Z1424" t="n">
        <v>0.0</v>
      </c>
      <c r="AA1424" t="n">
        <v>0.0</v>
      </c>
      <c r="AB1424" t="n">
        <v>0.0</v>
      </c>
      <c r="AC1424" t="n">
        <v>0.0</v>
      </c>
      <c r="AD1424" t="n">
        <v>0.0</v>
      </c>
      <c r="AE1424" t="n">
        <v>0.0</v>
      </c>
      <c r="AF1424" t="n">
        <v>0.0</v>
      </c>
      <c r="AG1424" t="n">
        <v>0.0</v>
      </c>
      <c r="AH1424" t="n">
        <v>0.0</v>
      </c>
      <c r="AI1424" t="n">
        <v>0.0</v>
      </c>
      <c r="AJ1424" t="n">
        <v>0.0</v>
      </c>
      <c r="AK1424" t="inlineStr">
        <is>
          <t/>
        </is>
      </c>
      <c r="AL1424" t="inlineStr">
        <is>
          <t/>
        </is>
      </c>
    </row>
    <row r="1425">
      <c r="A1425" t="inlineStr">
        <is>
          <t>真的会谢，对100来块的购买力有了新概念</t>
        </is>
      </c>
      <c r="B1425" t="inlineStr">
        <is>
          <t>69ec65b000000000350242a2</t>
        </is>
      </c>
      <c r="C1425" s="1424" t="n">
        <f>HYPERLINK("https://www.xiaohongshu.com/explore/69ec65b000000000350242a2?xsec_token=TBnoSF_--XRDuLtfF77lVqP7fGI9bD2KIuucNa73Gwwc8=&amp;xsec_source=pc_trdark","https://www.xiaohongshu.com/explore/69ec65b000000000350242a2?xsec_token=TBnoSF_--XRDuLtfF77lVqP7fGI9bD2KIuucNa73Gwwc8=&amp;xsec_source=pc_trdark")</f>
        <v>0.0</v>
      </c>
      <c r="D1425" t="inlineStr">
        <is>
          <t>鲜水湾甄选</t>
        </is>
      </c>
      <c r="E1425" t="inlineStr">
        <is>
          <t>27401929161</t>
        </is>
      </c>
      <c r="F1425" t="inlineStr">
        <is>
          <t>2026-04-25 14:56:48</t>
        </is>
      </c>
      <c r="G1425" t="inlineStr">
        <is>
          <t>图文</t>
        </is>
      </c>
      <c r="H1425" t="inlineStr">
        <is>
          <t>手剥虾仁 无冰衣无添加 低脂餐一人食 上班带饭 顺丰包邮 5盒装</t>
        </is>
      </c>
      <c r="I1425" t="inlineStr">
        <is>
          <t>694baba01d450d00013662f0</t>
        </is>
      </c>
      <c r="J1425" t="inlineStr">
        <is>
          <t/>
        </is>
      </c>
      <c r="K1425" t="n">
        <v>0.0</v>
      </c>
      <c r="L1425" t="n">
        <v>0.0</v>
      </c>
      <c r="M1425" t="n">
        <v>0.0</v>
      </c>
      <c r="N1425" t="inlineStr">
        <is>
          <t/>
        </is>
      </c>
      <c r="O1425" t="n">
        <v>0.0</v>
      </c>
      <c r="P1425" t="n">
        <v>0.0</v>
      </c>
      <c r="Q1425" t="inlineStr">
        <is>
          <t/>
        </is>
      </c>
      <c r="R1425" t="inlineStr">
        <is>
          <t/>
        </is>
      </c>
      <c r="S1425" t="n">
        <v>0.0</v>
      </c>
      <c r="T1425" t="n">
        <v>0.0</v>
      </c>
      <c r="U1425" t="n">
        <v>0.0</v>
      </c>
      <c r="V1425" t="n">
        <v>0.0</v>
      </c>
      <c r="W1425" t="inlineStr">
        <is>
          <t/>
        </is>
      </c>
      <c r="X1425" t="n">
        <v>0.0</v>
      </c>
      <c r="Y1425" t="n">
        <v>0.0</v>
      </c>
      <c r="Z1425" t="n">
        <v>0.0</v>
      </c>
      <c r="AA1425" t="n">
        <v>0.0</v>
      </c>
      <c r="AB1425" t="n">
        <v>0.0</v>
      </c>
      <c r="AC1425" t="n">
        <v>0.0</v>
      </c>
      <c r="AD1425" t="n">
        <v>0.0</v>
      </c>
      <c r="AE1425" t="n">
        <v>0.0</v>
      </c>
      <c r="AF1425" t="n">
        <v>0.0</v>
      </c>
      <c r="AG1425" t="n">
        <v>0.0</v>
      </c>
      <c r="AH1425" t="n">
        <v>0.0</v>
      </c>
      <c r="AI1425" t="n">
        <v>0.0</v>
      </c>
      <c r="AJ1425" t="n">
        <v>0.0</v>
      </c>
      <c r="AK1425" t="inlineStr">
        <is>
          <t/>
        </is>
      </c>
      <c r="AL1425" t="inlineStr">
        <is>
          <t/>
        </is>
      </c>
    </row>
    <row r="1426">
      <c r="A1426" t="inlineStr">
        <is>
          <t>带饭的尽头是摆烂！！！</t>
        </is>
      </c>
      <c r="B1426" t="inlineStr">
        <is>
          <t>69ec6399000000001e00c9c6</t>
        </is>
      </c>
      <c r="C1426" s="1425" t="n">
        <f>HYPERLINK("https://www.xiaohongshu.com/explore/69ec6399000000001e00c9c6?xsec_token=TBnoSF_--XRDuLtfF77lVqP0mBLl1bUTageywfYvyUXEM=&amp;xsec_source=pc_trdark","https://www.xiaohongshu.com/explore/69ec6399000000001e00c9c6?xsec_token=TBnoSF_--XRDuLtfF77lVqP0mBLl1bUTageywfYvyUXEM=&amp;xsec_source=pc_trdark")</f>
        <v>0.0</v>
      </c>
      <c r="D1426" t="inlineStr">
        <is>
          <t>菲菲上班吃什么</t>
        </is>
      </c>
      <c r="E1426" t="inlineStr">
        <is>
          <t>49936530607</t>
        </is>
      </c>
      <c r="F1426" t="inlineStr">
        <is>
          <t>2026-04-25 14:47:53</t>
        </is>
      </c>
      <c r="G1426" t="inlineStr">
        <is>
          <t>图文</t>
        </is>
      </c>
      <c r="H1426" t="inlineStr">
        <is>
          <t>手剥虾仁 无冰衣无添加 低脂餐一人食 上班带饭 顺丰包邮 5盒装</t>
        </is>
      </c>
      <c r="I1426" t="inlineStr">
        <is>
          <t>694baba01d450d00013662f0</t>
        </is>
      </c>
      <c r="J1426" t="inlineStr">
        <is>
          <t/>
        </is>
      </c>
      <c r="K1426" t="n">
        <v>0.0</v>
      </c>
      <c r="L1426" t="n">
        <v>0.0</v>
      </c>
      <c r="M1426" t="n">
        <v>0.0</v>
      </c>
      <c r="N1426" t="inlineStr">
        <is>
          <t/>
        </is>
      </c>
      <c r="O1426" t="n">
        <v>0.0</v>
      </c>
      <c r="P1426" t="n">
        <v>0.0</v>
      </c>
      <c r="Q1426" t="inlineStr">
        <is>
          <t/>
        </is>
      </c>
      <c r="R1426" t="inlineStr">
        <is>
          <t/>
        </is>
      </c>
      <c r="S1426" t="n">
        <v>0.0</v>
      </c>
      <c r="T1426" t="n">
        <v>0.0</v>
      </c>
      <c r="U1426" t="n">
        <v>0.0</v>
      </c>
      <c r="V1426" t="n">
        <v>0.0</v>
      </c>
      <c r="W1426" t="inlineStr">
        <is>
          <t/>
        </is>
      </c>
      <c r="X1426" t="n">
        <v>0.0</v>
      </c>
      <c r="Y1426" t="n">
        <v>0.0</v>
      </c>
      <c r="Z1426" t="n">
        <v>0.0</v>
      </c>
      <c r="AA1426" t="n">
        <v>0.0</v>
      </c>
      <c r="AB1426" t="n">
        <v>0.0</v>
      </c>
      <c r="AC1426" t="n">
        <v>0.0</v>
      </c>
      <c r="AD1426" t="n">
        <v>0.0</v>
      </c>
      <c r="AE1426" t="n">
        <v>0.0</v>
      </c>
      <c r="AF1426" t="n">
        <v>0.0</v>
      </c>
      <c r="AG1426" t="n">
        <v>0.0</v>
      </c>
      <c r="AH1426" t="n">
        <v>0.0</v>
      </c>
      <c r="AI1426" t="n">
        <v>0.0</v>
      </c>
      <c r="AJ1426" t="n">
        <v>0.0</v>
      </c>
      <c r="AK1426" t="inlineStr">
        <is>
          <t/>
        </is>
      </c>
      <c r="AL1426" t="inlineStr">
        <is>
          <t/>
        </is>
      </c>
    </row>
    <row r="1427">
      <c r="A1427" t="inlineStr">
        <is>
          <t>以为海捕虾仁很贵，结果128块够我吃一个月</t>
        </is>
      </c>
      <c r="B1427" t="inlineStr">
        <is>
          <t>69ec5a2c000000001f0014aa</t>
        </is>
      </c>
      <c r="C1427" s="1426" t="n">
        <f>HYPERLINK("https://www.xiaohongshu.com/explore/69ec5a2c000000001f0014aa?xsec_token=TBnoSF_--XRDuLtfF77lVqP4WeyUZubqJ7tKsza5UeDkI=&amp;xsec_source=pc_trdark","https://www.xiaohongshu.com/explore/69ec5a2c000000001f0014aa?xsec_token=TBnoSF_--XRDuLtfF77lVqP4WeyUZubqJ7tKsza5UeDkI=&amp;xsec_source=pc_trdark")</f>
        <v>0.0</v>
      </c>
      <c r="D1427" t="inlineStr">
        <is>
          <t>鲜水湾</t>
        </is>
      </c>
      <c r="E1427" t="inlineStr">
        <is>
          <t>49316638994</t>
        </is>
      </c>
      <c r="F1427" t="inlineStr">
        <is>
          <t>2026-04-25 14:07:40</t>
        </is>
      </c>
      <c r="G1427" t="inlineStr">
        <is>
          <t>图文</t>
        </is>
      </c>
      <c r="H1427" t="inlineStr">
        <is>
          <t>手剥虾仁 无冰衣无添加 低脂餐一人食 上班带饭 顺丰包邮 5盒装</t>
        </is>
      </c>
      <c r="I1427" t="inlineStr">
        <is>
          <t>694baba01d450d00013662f0</t>
        </is>
      </c>
      <c r="J1427" t="inlineStr">
        <is>
          <t/>
        </is>
      </c>
      <c r="K1427" t="n">
        <v>0.0</v>
      </c>
      <c r="L1427" t="n">
        <v>0.0</v>
      </c>
      <c r="M1427" t="n">
        <v>0.0</v>
      </c>
      <c r="N1427" t="inlineStr">
        <is>
          <t/>
        </is>
      </c>
      <c r="O1427" t="n">
        <v>0.0</v>
      </c>
      <c r="P1427" t="n">
        <v>0.0</v>
      </c>
      <c r="Q1427" t="inlineStr">
        <is>
          <t/>
        </is>
      </c>
      <c r="R1427" t="inlineStr">
        <is>
          <t/>
        </is>
      </c>
      <c r="S1427" t="n">
        <v>0.0</v>
      </c>
      <c r="T1427" t="n">
        <v>0.0</v>
      </c>
      <c r="U1427" t="n">
        <v>0.0</v>
      </c>
      <c r="V1427" t="n">
        <v>0.0</v>
      </c>
      <c r="W1427" t="inlineStr">
        <is>
          <t/>
        </is>
      </c>
      <c r="X1427" t="n">
        <v>0.0</v>
      </c>
      <c r="Y1427" t="n">
        <v>0.0</v>
      </c>
      <c r="Z1427" t="n">
        <v>0.0</v>
      </c>
      <c r="AA1427" t="n">
        <v>0.0</v>
      </c>
      <c r="AB1427" t="n">
        <v>0.0</v>
      </c>
      <c r="AC1427" t="n">
        <v>0.0</v>
      </c>
      <c r="AD1427" t="n">
        <v>0.0</v>
      </c>
      <c r="AE1427" t="n">
        <v>0.0</v>
      </c>
      <c r="AF1427" t="n">
        <v>0.0</v>
      </c>
      <c r="AG1427" t="n">
        <v>0.0</v>
      </c>
      <c r="AH1427" t="n">
        <v>0.0</v>
      </c>
      <c r="AI1427" t="n">
        <v>0.0</v>
      </c>
      <c r="AJ1427" t="n">
        <v>0.0</v>
      </c>
      <c r="AK1427" t="inlineStr">
        <is>
          <t/>
        </is>
      </c>
      <c r="AL1427" t="inlineStr">
        <is>
          <t/>
        </is>
      </c>
    </row>
    <row r="1428">
      <c r="A1428" t="inlineStr">
        <is>
          <t>健身群被问烦了，减脂虾仁链接放这了</t>
        </is>
      </c>
      <c r="B1428" t="inlineStr">
        <is>
          <t>69ec534400000000200393d9</t>
        </is>
      </c>
      <c r="C1428" s="1427" t="n">
        <f>HYPERLINK("https://www.xiaohongshu.com/explore/69ec534400000000200393d9?xsec_token=TBnoSF_--XRDuLtfF77lVqPyzgcmlozgOuYQpHyX1sFus=&amp;xsec_source=pc_trdark","https://www.xiaohongshu.com/explore/69ec534400000000200393d9?xsec_token=TBnoSF_--XRDuLtfF77lVqPyzgcmlozgOuYQpHyX1sFus=&amp;xsec_source=pc_trdark")</f>
        <v>0.0</v>
      </c>
      <c r="D1428" t="inlineStr">
        <is>
          <t>菲菲上班吃什么</t>
        </is>
      </c>
      <c r="E1428" t="inlineStr">
        <is>
          <t>49936530607</t>
        </is>
      </c>
      <c r="F1428" t="inlineStr">
        <is>
          <t>2026-04-25 13:38:12</t>
        </is>
      </c>
      <c r="G1428" t="inlineStr">
        <is>
          <t>图文</t>
        </is>
      </c>
      <c r="H1428" t="inlineStr">
        <is>
          <t>手剥虾仁 无冰衣无添加 低脂餐一人食 上班带饭 顺丰包邮 5盒装</t>
        </is>
      </c>
      <c r="I1428" t="inlineStr">
        <is>
          <t>694baba01d450d00013662f0</t>
        </is>
      </c>
      <c r="J1428" t="inlineStr">
        <is>
          <t/>
        </is>
      </c>
      <c r="K1428" t="n">
        <v>0.0</v>
      </c>
      <c r="L1428" t="n">
        <v>0.0</v>
      </c>
      <c r="M1428" t="n">
        <v>0.0</v>
      </c>
      <c r="N1428" t="inlineStr">
        <is>
          <t/>
        </is>
      </c>
      <c r="O1428" t="n">
        <v>0.0</v>
      </c>
      <c r="P1428" t="n">
        <v>0.0</v>
      </c>
      <c r="Q1428" t="inlineStr">
        <is>
          <t/>
        </is>
      </c>
      <c r="R1428" t="inlineStr">
        <is>
          <t/>
        </is>
      </c>
      <c r="S1428" t="n">
        <v>0.0</v>
      </c>
      <c r="T1428" t="n">
        <v>0.0</v>
      </c>
      <c r="U1428" t="n">
        <v>0.0</v>
      </c>
      <c r="V1428" t="n">
        <v>0.0</v>
      </c>
      <c r="W1428" t="inlineStr">
        <is>
          <t/>
        </is>
      </c>
      <c r="X1428" t="n">
        <v>0.0</v>
      </c>
      <c r="Y1428" t="n">
        <v>0.0</v>
      </c>
      <c r="Z1428" t="n">
        <v>0.0</v>
      </c>
      <c r="AA1428" t="n">
        <v>0.0</v>
      </c>
      <c r="AB1428" t="n">
        <v>0.0</v>
      </c>
      <c r="AC1428" t="n">
        <v>0.0</v>
      </c>
      <c r="AD1428" t="n">
        <v>0.0</v>
      </c>
      <c r="AE1428" t="n">
        <v>0.0</v>
      </c>
      <c r="AF1428" t="n">
        <v>0.0</v>
      </c>
      <c r="AG1428" t="n">
        <v>0.0</v>
      </c>
      <c r="AH1428" t="n">
        <v>0.0</v>
      </c>
      <c r="AI1428" t="n">
        <v>0.0</v>
      </c>
      <c r="AJ1428" t="n">
        <v>0.0</v>
      </c>
      <c r="AK1428" t="inlineStr">
        <is>
          <t/>
        </is>
      </c>
      <c r="AL1428" t="inlineStr">
        <is>
          <t/>
        </is>
      </c>
    </row>
    <row r="1429">
      <c r="A1429" t="inlineStr">
        <is>
          <t>对不起了⛰️姆，还是这种小包装更有性价比</t>
        </is>
      </c>
      <c r="B1429" t="inlineStr">
        <is>
          <t>69ec21b8000000003501c7ee</t>
        </is>
      </c>
      <c r="C1429" s="1428" t="n">
        <f>HYPERLINK("https://www.xiaohongshu.com/explore/69ec21b8000000003501c7ee?xsec_token=TBnoSF_--XRDuLtfF77lVqP2K7jCanaXDmjIDUkya1ee4=&amp;xsec_source=pc_trdark","https://www.xiaohongshu.com/explore/69ec21b8000000003501c7ee?xsec_token=TBnoSF_--XRDuLtfF77lVqP2K7jCanaXDmjIDUkya1ee4=&amp;xsec_source=pc_trdark")</f>
        <v>0.0</v>
      </c>
      <c r="D1429" t="inlineStr">
        <is>
          <t>鲜水湾甄选</t>
        </is>
      </c>
      <c r="E1429" t="inlineStr">
        <is>
          <t>27401929161</t>
        </is>
      </c>
      <c r="F1429" t="inlineStr">
        <is>
          <t>2026-04-25 10:06:49</t>
        </is>
      </c>
      <c r="G1429" t="inlineStr">
        <is>
          <t>图文</t>
        </is>
      </c>
      <c r="H1429" t="inlineStr">
        <is>
          <t>手剥虾仁 无冰衣无添加 低脂餐一人食 上班带饭 顺丰包邮 5盒装</t>
        </is>
      </c>
      <c r="I1429" t="inlineStr">
        <is>
          <t>694baba01d450d00013662f0</t>
        </is>
      </c>
      <c r="J1429" t="inlineStr">
        <is>
          <t/>
        </is>
      </c>
      <c r="K1429" t="n">
        <v>0.0</v>
      </c>
      <c r="L1429" t="n">
        <v>0.0</v>
      </c>
      <c r="M1429" t="n">
        <v>0.0</v>
      </c>
      <c r="N1429" t="inlineStr">
        <is>
          <t/>
        </is>
      </c>
      <c r="O1429" t="n">
        <v>0.0</v>
      </c>
      <c r="P1429" t="n">
        <v>0.0</v>
      </c>
      <c r="Q1429" t="inlineStr">
        <is>
          <t/>
        </is>
      </c>
      <c r="R1429" t="inlineStr">
        <is>
          <t/>
        </is>
      </c>
      <c r="S1429" t="n">
        <v>0.0</v>
      </c>
      <c r="T1429" t="n">
        <v>0.0</v>
      </c>
      <c r="U1429" t="n">
        <v>0.0</v>
      </c>
      <c r="V1429" t="n">
        <v>0.0</v>
      </c>
      <c r="W1429" t="inlineStr">
        <is>
          <t/>
        </is>
      </c>
      <c r="X1429" t="n">
        <v>0.0</v>
      </c>
      <c r="Y1429" t="n">
        <v>0.0</v>
      </c>
      <c r="Z1429" t="n">
        <v>0.0</v>
      </c>
      <c r="AA1429" t="n">
        <v>0.0</v>
      </c>
      <c r="AB1429" t="n">
        <v>0.0</v>
      </c>
      <c r="AC1429" t="n">
        <v>0.0</v>
      </c>
      <c r="AD1429" t="n">
        <v>0.0</v>
      </c>
      <c r="AE1429" t="n">
        <v>0.0</v>
      </c>
      <c r="AF1429" t="n">
        <v>0.0</v>
      </c>
      <c r="AG1429" t="n">
        <v>0.0</v>
      </c>
      <c r="AH1429" t="n">
        <v>0.0</v>
      </c>
      <c r="AI1429" t="n">
        <v>0.0</v>
      </c>
      <c r="AJ1429" t="n">
        <v>0.0</v>
      </c>
      <c r="AK1429" t="inlineStr">
        <is>
          <t/>
        </is>
      </c>
      <c r="AL1429" t="inlineStr">
        <is>
          <t/>
        </is>
      </c>
    </row>
    <row r="1430">
      <c r="A1430" t="inlineStr">
        <is>
          <t>花 300 块搞定一个月的干净饮食</t>
        </is>
      </c>
      <c r="B1430" t="inlineStr">
        <is>
          <t>69eb2dc4000000002202aa0b</t>
        </is>
      </c>
      <c r="C1430" s="1429" t="n">
        <f>HYPERLINK("https://www.xiaohongshu.com/explore/69eb2dc4000000002202aa0b?xsec_token=TBKYxphePGFVFgSUNcsuIbTVBVNjZnHtlaNQdlcnJWpak=&amp;xsec_source=pc_trdark","https://www.xiaohongshu.com/explore/69eb2dc4000000002202aa0b?xsec_token=TBKYxphePGFVFgSUNcsuIbTVBVNjZnHtlaNQdlcnJWpak=&amp;xsec_source=pc_trdark")</f>
        <v>0.0</v>
      </c>
      <c r="D1430" t="inlineStr">
        <is>
          <t>婉婉上班吃什么</t>
        </is>
      </c>
      <c r="E1430" t="inlineStr">
        <is>
          <t>11434449706</t>
        </is>
      </c>
      <c r="F1430" t="inlineStr">
        <is>
          <t>2026-04-24 16:45:56</t>
        </is>
      </c>
      <c r="G1430" t="inlineStr">
        <is>
          <t>图文</t>
        </is>
      </c>
      <c r="H1430" t="inlineStr">
        <is>
          <t>智利三文鱼切块·整条三文鱼·深海鱼一人食健康饮食</t>
        </is>
      </c>
      <c r="I1430" t="inlineStr">
        <is>
          <t>691ac562a524ee0001b51d7b</t>
        </is>
      </c>
      <c r="J1430" t="inlineStr">
        <is>
          <t/>
        </is>
      </c>
      <c r="K1430" t="n">
        <v>0.0</v>
      </c>
      <c r="L1430" t="n">
        <v>0.0</v>
      </c>
      <c r="M1430" t="n">
        <v>0.0</v>
      </c>
      <c r="N1430" t="inlineStr">
        <is>
          <t/>
        </is>
      </c>
      <c r="O1430" t="n">
        <v>0.0</v>
      </c>
      <c r="P1430" t="n">
        <v>0.0</v>
      </c>
      <c r="Q1430" t="inlineStr">
        <is>
          <t/>
        </is>
      </c>
      <c r="R1430" t="inlineStr">
        <is>
          <t/>
        </is>
      </c>
      <c r="S1430" t="n">
        <v>0.0</v>
      </c>
      <c r="T1430" t="n">
        <v>0.0</v>
      </c>
      <c r="U1430" t="n">
        <v>0.0</v>
      </c>
      <c r="V1430" t="n">
        <v>0.0</v>
      </c>
      <c r="W1430" t="inlineStr">
        <is>
          <t/>
        </is>
      </c>
      <c r="X1430" t="n">
        <v>0.0</v>
      </c>
      <c r="Y1430" t="n">
        <v>0.0</v>
      </c>
      <c r="Z1430" t="n">
        <v>0.0</v>
      </c>
      <c r="AA1430" t="n">
        <v>0.0</v>
      </c>
      <c r="AB1430" t="n">
        <v>0.0</v>
      </c>
      <c r="AC1430" t="n">
        <v>0.0</v>
      </c>
      <c r="AD1430" t="n">
        <v>0.0</v>
      </c>
      <c r="AE1430" t="n">
        <v>0.0</v>
      </c>
      <c r="AF1430" t="n">
        <v>0.0</v>
      </c>
      <c r="AG1430" t="n">
        <v>0.0</v>
      </c>
      <c r="AH1430" t="n">
        <v>0.0</v>
      </c>
      <c r="AI1430" t="n">
        <v>0.0</v>
      </c>
      <c r="AJ1430" t="n">
        <v>0.0</v>
      </c>
      <c r="AK1430" t="inlineStr">
        <is>
          <t/>
        </is>
      </c>
      <c r="AL1430" t="inlineStr">
        <is>
          <t/>
        </is>
      </c>
    </row>
    <row r="1431">
      <c r="A1431" t="inlineStr">
        <is>
          <t>这个三文鱼，太适合上班带饭了</t>
        </is>
      </c>
      <c r="B1431" t="inlineStr">
        <is>
          <t>69eb1a37000000001b022551</t>
        </is>
      </c>
      <c r="C1431" s="1430" t="n">
        <f>HYPERLINK("https://www.xiaohongshu.com/explore/69eb1a37000000001b022551?xsec_token=TBKYxphePGFVFgSUNcsuIbTR4L-E0LfvIzR5PTqd2jR_Q=&amp;xsec_source=pc_trdark","https://www.xiaohongshu.com/explore/69eb1a37000000001b022551?xsec_token=TBKYxphePGFVFgSUNcsuIbTR4L-E0LfvIzR5PTqd2jR_Q=&amp;xsec_source=pc_trdark")</f>
        <v>0.0</v>
      </c>
      <c r="D1431" t="inlineStr">
        <is>
          <t>婉婉上班吃什么</t>
        </is>
      </c>
      <c r="E1431" t="inlineStr">
        <is>
          <t>11434449706</t>
        </is>
      </c>
      <c r="F1431" t="inlineStr">
        <is>
          <t>2026-04-24 15:22:31</t>
        </is>
      </c>
      <c r="G1431" t="inlineStr">
        <is>
          <t>图文</t>
        </is>
      </c>
      <c r="H1431" t="inlineStr">
        <is>
          <t>智利三文鱼切块·整条三文鱼·深海鱼一人食健康饮食</t>
        </is>
      </c>
      <c r="I1431" t="inlineStr">
        <is>
          <t>691ac562a524ee0001b51d7b</t>
        </is>
      </c>
      <c r="J1431" t="inlineStr">
        <is>
          <t/>
        </is>
      </c>
      <c r="K1431" t="n">
        <v>0.0</v>
      </c>
      <c r="L1431" t="n">
        <v>0.0</v>
      </c>
      <c r="M1431" t="n">
        <v>0.0</v>
      </c>
      <c r="N1431" t="inlineStr">
        <is>
          <t/>
        </is>
      </c>
      <c r="O1431" t="n">
        <v>0.0</v>
      </c>
      <c r="P1431" t="n">
        <v>0.0</v>
      </c>
      <c r="Q1431" t="inlineStr">
        <is>
          <t/>
        </is>
      </c>
      <c r="R1431" t="inlineStr">
        <is>
          <t/>
        </is>
      </c>
      <c r="S1431" t="n">
        <v>0.0</v>
      </c>
      <c r="T1431" t="n">
        <v>0.0</v>
      </c>
      <c r="U1431" t="n">
        <v>0.0</v>
      </c>
      <c r="V1431" t="n">
        <v>0.0</v>
      </c>
      <c r="W1431" t="inlineStr">
        <is>
          <t/>
        </is>
      </c>
      <c r="X1431" t="n">
        <v>0.0</v>
      </c>
      <c r="Y1431" t="n">
        <v>0.0</v>
      </c>
      <c r="Z1431" t="n">
        <v>0.0</v>
      </c>
      <c r="AA1431" t="n">
        <v>0.0</v>
      </c>
      <c r="AB1431" t="n">
        <v>0.0</v>
      </c>
      <c r="AC1431" t="n">
        <v>0.0</v>
      </c>
      <c r="AD1431" t="n">
        <v>0.0</v>
      </c>
      <c r="AE1431" t="n">
        <v>0.0</v>
      </c>
      <c r="AF1431" t="n">
        <v>0.0</v>
      </c>
      <c r="AG1431" t="n">
        <v>0.0</v>
      </c>
      <c r="AH1431" t="n">
        <v>0.0</v>
      </c>
      <c r="AI1431" t="n">
        <v>0.0</v>
      </c>
      <c r="AJ1431" t="n">
        <v>0.0</v>
      </c>
      <c r="AK1431" t="inlineStr">
        <is>
          <t/>
        </is>
      </c>
      <c r="AL1431" t="inlineStr">
        <is>
          <t/>
        </is>
      </c>
    </row>
    <row r="1432">
      <c r="A1432" t="inlineStr">
        <is>
          <t>我爸：一人食你就不到一杯奶茶钱，肯定能爆</t>
        </is>
      </c>
      <c r="B1432" t="inlineStr">
        <is>
          <t>69e9c7170000000012012805</t>
        </is>
      </c>
      <c r="C1432" s="1431" t="n">
        <f>HYPERLINK("https://www.xiaohongshu.com/explore/69e9c7170000000012012805?xsec_token=TBNkLc7pOHvt_5tNJTpGNllLwHjJV3T_91qWnb5AH-R8E=&amp;xsec_source=pc_trdark","https://www.xiaohongshu.com/explore/69e9c7170000000012012805?xsec_token=TBNkLc7pOHvt_5tNJTpGNllLwHjJV3T_91qWnb5AH-R8E=&amp;xsec_source=pc_trdark")</f>
        <v>0.0</v>
      </c>
      <c r="D1432" t="inlineStr">
        <is>
          <t>鲜水湾甄选</t>
        </is>
      </c>
      <c r="E1432" t="inlineStr">
        <is>
          <t>27401929161</t>
        </is>
      </c>
      <c r="F1432" t="inlineStr">
        <is>
          <t>2026-04-24 16:30:00</t>
        </is>
      </c>
      <c r="G1432" t="inlineStr">
        <is>
          <t>图文</t>
        </is>
      </c>
      <c r="H1432" t="inlineStr">
        <is>
          <t>手剥虾仁 无冰衣无添加 低脂餐一人食 上班带饭 顺丰包邮 5盒装</t>
        </is>
      </c>
      <c r="I1432" t="inlineStr">
        <is>
          <t>694baba01d450d00013662f0</t>
        </is>
      </c>
      <c r="J1432" t="inlineStr">
        <is>
          <t/>
        </is>
      </c>
      <c r="K1432" t="n">
        <v>0.0</v>
      </c>
      <c r="L1432" t="n">
        <v>0.0</v>
      </c>
      <c r="M1432" t="n">
        <v>0.0</v>
      </c>
      <c r="N1432" t="inlineStr">
        <is>
          <t/>
        </is>
      </c>
      <c r="O1432" t="n">
        <v>0.0</v>
      </c>
      <c r="P1432" t="n">
        <v>0.0</v>
      </c>
      <c r="Q1432" t="inlineStr">
        <is>
          <t/>
        </is>
      </c>
      <c r="R1432" t="inlineStr">
        <is>
          <t/>
        </is>
      </c>
      <c r="S1432" t="n">
        <v>0.0</v>
      </c>
      <c r="T1432" t="n">
        <v>0.0</v>
      </c>
      <c r="U1432" t="n">
        <v>0.0</v>
      </c>
      <c r="V1432" t="n">
        <v>0.0</v>
      </c>
      <c r="W1432" t="inlineStr">
        <is>
          <t/>
        </is>
      </c>
      <c r="X1432" t="n">
        <v>0.0</v>
      </c>
      <c r="Y1432" t="n">
        <v>0.0</v>
      </c>
      <c r="Z1432" t="n">
        <v>0.0</v>
      </c>
      <c r="AA1432" t="n">
        <v>0.0</v>
      </c>
      <c r="AB1432" t="n">
        <v>0.0</v>
      </c>
      <c r="AC1432" t="n">
        <v>0.0</v>
      </c>
      <c r="AD1432" t="n">
        <v>0.0</v>
      </c>
      <c r="AE1432" t="n">
        <v>0.0</v>
      </c>
      <c r="AF1432" t="n">
        <v>0.0</v>
      </c>
      <c r="AG1432" t="n">
        <v>0.0</v>
      </c>
      <c r="AH1432" t="n">
        <v>0.0</v>
      </c>
      <c r="AI1432" t="n">
        <v>0.0</v>
      </c>
      <c r="AJ1432" t="n">
        <v>0.0</v>
      </c>
      <c r="AK1432" t="inlineStr">
        <is>
          <t/>
        </is>
      </c>
      <c r="AL1432" t="inlineStr">
        <is>
          <t/>
        </is>
      </c>
    </row>
    <row r="1433">
      <c r="A1433" t="inlineStr">
        <is>
          <t>带饭三个月，存了一万二</t>
        </is>
      </c>
      <c r="B1433" t="inlineStr">
        <is>
          <t>69e9c3590000000011020000</t>
        </is>
      </c>
      <c r="C1433" s="1432" t="n">
        <f>HYPERLINK("https://www.xiaohongshu.com/explore/69e9c3590000000011020000?xsec_token=TBNkLc7pOHvt_5tNJTpGNllOnOyqza5mOO6pYudknQtYo=&amp;xsec_source=pc_trdark","https://www.xiaohongshu.com/explore/69e9c3590000000011020000?xsec_token=TBNkLc7pOHvt_5tNJTpGNllOnOyqza5mOO6pYudknQtYo=&amp;xsec_source=pc_trdark")</f>
        <v>0.0</v>
      </c>
      <c r="D1433" t="inlineStr">
        <is>
          <t>鲜水湾甄选</t>
        </is>
      </c>
      <c r="E1433" t="inlineStr">
        <is>
          <t>27401929161</t>
        </is>
      </c>
      <c r="F1433" t="inlineStr">
        <is>
          <t>2026-04-24 15:30:00</t>
        </is>
      </c>
      <c r="G1433" t="inlineStr">
        <is>
          <t>图文</t>
        </is>
      </c>
      <c r="H1433" t="inlineStr">
        <is>
          <t>手剥虾仁 无冰衣无添加 低脂餐一人食 上班带饭 顺丰包邮 5盒装</t>
        </is>
      </c>
      <c r="I1433" t="inlineStr">
        <is>
          <t>694baba01d450d00013662f0</t>
        </is>
      </c>
      <c r="J1433" t="inlineStr">
        <is>
          <t/>
        </is>
      </c>
      <c r="K1433" t="n">
        <v>0.0</v>
      </c>
      <c r="L1433" t="n">
        <v>0.0</v>
      </c>
      <c r="M1433" t="n">
        <v>0.0</v>
      </c>
      <c r="N1433" t="inlineStr">
        <is>
          <t/>
        </is>
      </c>
      <c r="O1433" t="n">
        <v>0.0</v>
      </c>
      <c r="P1433" t="n">
        <v>0.0</v>
      </c>
      <c r="Q1433" t="inlineStr">
        <is>
          <t/>
        </is>
      </c>
      <c r="R1433" t="inlineStr">
        <is>
          <t/>
        </is>
      </c>
      <c r="S1433" t="n">
        <v>0.0</v>
      </c>
      <c r="T1433" t="n">
        <v>0.0</v>
      </c>
      <c r="U1433" t="n">
        <v>0.0</v>
      </c>
      <c r="V1433" t="n">
        <v>0.0</v>
      </c>
      <c r="W1433" t="inlineStr">
        <is>
          <t/>
        </is>
      </c>
      <c r="X1433" t="n">
        <v>0.0</v>
      </c>
      <c r="Y1433" t="n">
        <v>0.0</v>
      </c>
      <c r="Z1433" t="n">
        <v>0.0</v>
      </c>
      <c r="AA1433" t="n">
        <v>0.0</v>
      </c>
      <c r="AB1433" t="n">
        <v>0.0</v>
      </c>
      <c r="AC1433" t="n">
        <v>0.0</v>
      </c>
      <c r="AD1433" t="n">
        <v>0.0</v>
      </c>
      <c r="AE1433" t="n">
        <v>0.0</v>
      </c>
      <c r="AF1433" t="n">
        <v>0.0</v>
      </c>
      <c r="AG1433" t="n">
        <v>0.0</v>
      </c>
      <c r="AH1433" t="n">
        <v>0.0</v>
      </c>
      <c r="AI1433" t="n">
        <v>0.0</v>
      </c>
      <c r="AJ1433" t="n">
        <v>0.0</v>
      </c>
      <c r="AK1433" t="inlineStr">
        <is>
          <t/>
        </is>
      </c>
      <c r="AL1433" t="inlineStr">
        <is>
          <t/>
        </is>
      </c>
    </row>
    <row r="1434">
      <c r="A1434" t="inlineStr">
        <is>
          <t>我家真是拿虾仁当饭吃的，而且喜欢水煮</t>
        </is>
      </c>
      <c r="B1434" t="inlineStr">
        <is>
          <t>69e9b41a0000000023012d95</t>
        </is>
      </c>
      <c r="C1434" s="1433" t="n">
        <f>HYPERLINK("https://www.xiaohongshu.com/explore/69e9b41a0000000023012d95?xsec_token=TBNkLc7pOHvt_5tNJTpGNllE_HbY8Ne1PBecdEmff97F8=&amp;xsec_source=pc_trdark","https://www.xiaohongshu.com/explore/69e9b41a0000000023012d95?xsec_token=TBNkLc7pOHvt_5tNJTpGNllE_HbY8Ne1PBecdEmff97F8=&amp;xsec_source=pc_trdark")</f>
        <v>0.0</v>
      </c>
      <c r="D1434" t="inlineStr">
        <is>
          <t>鲜水湾甄选</t>
        </is>
      </c>
      <c r="E1434" t="inlineStr">
        <is>
          <t>27401929161</t>
        </is>
      </c>
      <c r="F1434" t="inlineStr">
        <is>
          <t>2026-04-24 08:00:00</t>
        </is>
      </c>
      <c r="G1434" t="inlineStr">
        <is>
          <t>图文</t>
        </is>
      </c>
      <c r="H1434" t="inlineStr">
        <is>
          <t>手剥虾仁 无冰衣无添加 低脂餐一人食 上班带饭 顺丰包邮 5盒装</t>
        </is>
      </c>
      <c r="I1434" t="inlineStr">
        <is>
          <t>694baba01d450d00013662f0</t>
        </is>
      </c>
      <c r="J1434" t="inlineStr">
        <is>
          <t/>
        </is>
      </c>
      <c r="K1434" t="n">
        <v>0.0</v>
      </c>
      <c r="L1434" t="n">
        <v>0.0</v>
      </c>
      <c r="M1434" t="n">
        <v>0.0</v>
      </c>
      <c r="N1434" t="inlineStr">
        <is>
          <t/>
        </is>
      </c>
      <c r="O1434" t="n">
        <v>0.0</v>
      </c>
      <c r="P1434" t="n">
        <v>0.0</v>
      </c>
      <c r="Q1434" t="inlineStr">
        <is>
          <t/>
        </is>
      </c>
      <c r="R1434" t="inlineStr">
        <is>
          <t/>
        </is>
      </c>
      <c r="S1434" t="n">
        <v>0.0</v>
      </c>
      <c r="T1434" t="n">
        <v>0.0</v>
      </c>
      <c r="U1434" t="n">
        <v>0.0</v>
      </c>
      <c r="V1434" t="n">
        <v>0.0</v>
      </c>
      <c r="W1434" t="inlineStr">
        <is>
          <t/>
        </is>
      </c>
      <c r="X1434" t="n">
        <v>0.0</v>
      </c>
      <c r="Y1434" t="n">
        <v>0.0</v>
      </c>
      <c r="Z1434" t="n">
        <v>0.0</v>
      </c>
      <c r="AA1434" t="n">
        <v>0.0</v>
      </c>
      <c r="AB1434" t="n">
        <v>0.0</v>
      </c>
      <c r="AC1434" t="n">
        <v>0.0</v>
      </c>
      <c r="AD1434" t="n">
        <v>0.0</v>
      </c>
      <c r="AE1434" t="n">
        <v>0.0</v>
      </c>
      <c r="AF1434" t="n">
        <v>0.0</v>
      </c>
      <c r="AG1434" t="n">
        <v>0.0</v>
      </c>
      <c r="AH1434" t="n">
        <v>0.0</v>
      </c>
      <c r="AI1434" t="n">
        <v>0.0</v>
      </c>
      <c r="AJ1434" t="n">
        <v>0.0</v>
      </c>
      <c r="AK1434" t="inlineStr">
        <is>
          <t/>
        </is>
      </c>
      <c r="AL1434" t="inlineStr">
        <is>
          <t/>
        </is>
      </c>
    </row>
    <row r="1435">
      <c r="A1435" t="inlineStr">
        <is>
          <t>终于等到夏天，我要开始猛吃猛控体了</t>
        </is>
      </c>
      <c r="B1435" t="inlineStr">
        <is>
          <t>69e9b21700000000210074dc</t>
        </is>
      </c>
      <c r="C1435" s="1434" t="n">
        <f>HYPERLINK("https://www.xiaohongshu.com/explore/69e9b21700000000210074dc?xsec_token=TBNkLc7pOHvt_5tNJTpGNllHMQKcyW_tPUNdLpNwW-Hbo=&amp;xsec_source=pc_trdark","https://www.xiaohongshu.com/explore/69e9b21700000000210074dc?xsec_token=TBNkLc7pOHvt_5tNJTpGNllHMQKcyW_tPUNdLpNwW-Hbo=&amp;xsec_source=pc_trdark")</f>
        <v>0.0</v>
      </c>
      <c r="D1435" t="inlineStr">
        <is>
          <t>鲜水湾甄选</t>
        </is>
      </c>
      <c r="E1435" t="inlineStr">
        <is>
          <t>27401929161</t>
        </is>
      </c>
      <c r="F1435" t="inlineStr">
        <is>
          <t>2026-04-24 21:30:00</t>
        </is>
      </c>
      <c r="G1435" t="inlineStr">
        <is>
          <t>图文</t>
        </is>
      </c>
      <c r="H1435" t="inlineStr">
        <is>
          <t>手剥虾仁 无冰衣无添加 低脂餐一人食 上班带饭 顺丰包邮 5盒装</t>
        </is>
      </c>
      <c r="I1435" t="inlineStr">
        <is>
          <t>694baba01d450d00013662f0</t>
        </is>
      </c>
      <c r="J1435" t="inlineStr">
        <is>
          <t/>
        </is>
      </c>
      <c r="K1435" t="n">
        <v>0.0</v>
      </c>
      <c r="L1435" t="n">
        <v>0.0</v>
      </c>
      <c r="M1435" t="n">
        <v>0.0</v>
      </c>
      <c r="N1435" t="inlineStr">
        <is>
          <t/>
        </is>
      </c>
      <c r="O1435" t="n">
        <v>0.0</v>
      </c>
      <c r="P1435" t="n">
        <v>0.0</v>
      </c>
      <c r="Q1435" t="inlineStr">
        <is>
          <t/>
        </is>
      </c>
      <c r="R1435" t="inlineStr">
        <is>
          <t/>
        </is>
      </c>
      <c r="S1435" t="n">
        <v>0.0</v>
      </c>
      <c r="T1435" t="n">
        <v>0.0</v>
      </c>
      <c r="U1435" t="n">
        <v>0.0</v>
      </c>
      <c r="V1435" t="n">
        <v>0.0</v>
      </c>
      <c r="W1435" t="inlineStr">
        <is>
          <t/>
        </is>
      </c>
      <c r="X1435" t="n">
        <v>0.0</v>
      </c>
      <c r="Y1435" t="n">
        <v>0.0</v>
      </c>
      <c r="Z1435" t="n">
        <v>0.0</v>
      </c>
      <c r="AA1435" t="n">
        <v>0.0</v>
      </c>
      <c r="AB1435" t="n">
        <v>0.0</v>
      </c>
      <c r="AC1435" t="n">
        <v>0.0</v>
      </c>
      <c r="AD1435" t="n">
        <v>0.0</v>
      </c>
      <c r="AE1435" t="n">
        <v>0.0</v>
      </c>
      <c r="AF1435" t="n">
        <v>0.0</v>
      </c>
      <c r="AG1435" t="n">
        <v>0.0</v>
      </c>
      <c r="AH1435" t="n">
        <v>0.0</v>
      </c>
      <c r="AI1435" t="n">
        <v>0.0</v>
      </c>
      <c r="AJ1435" t="n">
        <v>0.0</v>
      </c>
      <c r="AK1435" t="inlineStr">
        <is>
          <t/>
        </is>
      </c>
      <c r="AL1435" t="inlineStr">
        <is>
          <t/>
        </is>
      </c>
    </row>
    <row r="1436">
      <c r="A1436" t="inlineStr">
        <is>
          <t>五一减脂搭子 | 一人食小包装🤩</t>
        </is>
      </c>
      <c r="B1436" t="inlineStr">
        <is>
          <t>69e9adf10000000022025f7a</t>
        </is>
      </c>
      <c r="C1436" s="1435" t="n">
        <f>HYPERLINK("https://www.xiaohongshu.com/explore/69e9adf10000000022025f7a?xsec_token=TBNkLc7pOHvt_5tNJTpGNllPrXwMiyH-3sJfI1qAX3tuY=&amp;xsec_source=pc_trdark","https://www.xiaohongshu.com/explore/69e9adf10000000022025f7a?xsec_token=TBNkLc7pOHvt_5tNJTpGNllPrXwMiyH-3sJfI1qAX3tuY=&amp;xsec_source=pc_trdark")</f>
        <v>0.0</v>
      </c>
      <c r="D1436" t="inlineStr">
        <is>
          <t>菲菲上班吃什么</t>
        </is>
      </c>
      <c r="E1436" t="inlineStr">
        <is>
          <t>49936530607</t>
        </is>
      </c>
      <c r="F1436" t="inlineStr">
        <is>
          <t>2026-04-24 17:00:00</t>
        </is>
      </c>
      <c r="G1436" t="inlineStr">
        <is>
          <t>图文</t>
        </is>
      </c>
      <c r="H1436" t="inlineStr">
        <is>
          <t>手剥虾仁 无冰衣无添加 低脂餐一人食 上班带饭 顺丰包邮 5盒装</t>
        </is>
      </c>
      <c r="I1436" t="inlineStr">
        <is>
          <t>694baba01d450d00013662f0</t>
        </is>
      </c>
      <c r="J1436" t="inlineStr">
        <is>
          <t/>
        </is>
      </c>
      <c r="K1436" t="n">
        <v>0.0</v>
      </c>
      <c r="L1436" t="n">
        <v>0.0</v>
      </c>
      <c r="M1436" t="n">
        <v>0.0</v>
      </c>
      <c r="N1436" t="inlineStr">
        <is>
          <t/>
        </is>
      </c>
      <c r="O1436" t="n">
        <v>0.0</v>
      </c>
      <c r="P1436" t="n">
        <v>0.0</v>
      </c>
      <c r="Q1436" t="inlineStr">
        <is>
          <t/>
        </is>
      </c>
      <c r="R1436" t="inlineStr">
        <is>
          <t/>
        </is>
      </c>
      <c r="S1436" t="n">
        <v>0.0</v>
      </c>
      <c r="T1436" t="n">
        <v>0.0</v>
      </c>
      <c r="U1436" t="n">
        <v>0.0</v>
      </c>
      <c r="V1436" t="n">
        <v>0.0</v>
      </c>
      <c r="W1436" t="inlineStr">
        <is>
          <t/>
        </is>
      </c>
      <c r="X1436" t="n">
        <v>0.0</v>
      </c>
      <c r="Y1436" t="n">
        <v>0.0</v>
      </c>
      <c r="Z1436" t="n">
        <v>0.0</v>
      </c>
      <c r="AA1436" t="n">
        <v>0.0</v>
      </c>
      <c r="AB1436" t="n">
        <v>0.0</v>
      </c>
      <c r="AC1436" t="n">
        <v>0.0</v>
      </c>
      <c r="AD1436" t="n">
        <v>0.0</v>
      </c>
      <c r="AE1436" t="n">
        <v>0.0</v>
      </c>
      <c r="AF1436" t="n">
        <v>0.0</v>
      </c>
      <c r="AG1436" t="n">
        <v>0.0</v>
      </c>
      <c r="AH1436" t="n">
        <v>0.0</v>
      </c>
      <c r="AI1436" t="n">
        <v>0.0</v>
      </c>
      <c r="AJ1436" t="n">
        <v>0.0</v>
      </c>
      <c r="AK1436" t="inlineStr">
        <is>
          <t/>
        </is>
      </c>
      <c r="AL1436" t="inlineStr">
        <is>
          <t/>
        </is>
      </c>
    </row>
    <row r="1437">
      <c r="A1437" t="inlineStr">
        <is>
          <t>话不多说，五一前务必拿下100J😍</t>
        </is>
      </c>
      <c r="B1437" t="inlineStr">
        <is>
          <t>69e9ac68000000002301e570</t>
        </is>
      </c>
      <c r="C1437" s="1436" t="n">
        <f>HYPERLINK("https://www.xiaohongshu.com/explore/69e9ac68000000002301e570?xsec_token=TBNkLc7pOHvt_5tNJTpGNllIcB8moVlq7b8tMIll3Kxyo=&amp;xsec_source=pc_trdark","https://www.xiaohongshu.com/explore/69e9ac68000000002301e570?xsec_token=TBNkLc7pOHvt_5tNJTpGNllIcB8moVlq7b8tMIll3Kxyo=&amp;xsec_source=pc_trdark")</f>
        <v>0.0</v>
      </c>
      <c r="D1437" t="inlineStr">
        <is>
          <t>菲菲上班吃什么</t>
        </is>
      </c>
      <c r="E1437" t="inlineStr">
        <is>
          <t>49936530607</t>
        </is>
      </c>
      <c r="F1437" t="inlineStr">
        <is>
          <t>2026-04-24 16:00:00</t>
        </is>
      </c>
      <c r="G1437" t="inlineStr">
        <is>
          <t>图文</t>
        </is>
      </c>
      <c r="H1437" t="inlineStr">
        <is>
          <t>手剥虾仁 无冰衣无添加 低脂餐一人食 上班带饭 顺丰包邮 5盒装</t>
        </is>
      </c>
      <c r="I1437" t="inlineStr">
        <is>
          <t>694baba01d450d00013662f0</t>
        </is>
      </c>
      <c r="J1437" t="inlineStr">
        <is>
          <t/>
        </is>
      </c>
      <c r="K1437" t="n">
        <v>0.0</v>
      </c>
      <c r="L1437" t="n">
        <v>0.0</v>
      </c>
      <c r="M1437" t="n">
        <v>0.0</v>
      </c>
      <c r="N1437" t="inlineStr">
        <is>
          <t/>
        </is>
      </c>
      <c r="O1437" t="n">
        <v>0.0</v>
      </c>
      <c r="P1437" t="n">
        <v>0.0</v>
      </c>
      <c r="Q1437" t="inlineStr">
        <is>
          <t/>
        </is>
      </c>
      <c r="R1437" t="inlineStr">
        <is>
          <t/>
        </is>
      </c>
      <c r="S1437" t="n">
        <v>0.0</v>
      </c>
      <c r="T1437" t="n">
        <v>0.0</v>
      </c>
      <c r="U1437" t="n">
        <v>0.0</v>
      </c>
      <c r="V1437" t="n">
        <v>0.0</v>
      </c>
      <c r="W1437" t="inlineStr">
        <is>
          <t/>
        </is>
      </c>
      <c r="X1437" t="n">
        <v>0.0</v>
      </c>
      <c r="Y1437" t="n">
        <v>0.0</v>
      </c>
      <c r="Z1437" t="n">
        <v>0.0</v>
      </c>
      <c r="AA1437" t="n">
        <v>0.0</v>
      </c>
      <c r="AB1437" t="n">
        <v>0.0</v>
      </c>
      <c r="AC1437" t="n">
        <v>0.0</v>
      </c>
      <c r="AD1437" t="n">
        <v>0.0</v>
      </c>
      <c r="AE1437" t="n">
        <v>0.0</v>
      </c>
      <c r="AF1437" t="n">
        <v>0.0</v>
      </c>
      <c r="AG1437" t="n">
        <v>0.0</v>
      </c>
      <c r="AH1437" t="n">
        <v>0.0</v>
      </c>
      <c r="AI1437" t="n">
        <v>0.0</v>
      </c>
      <c r="AJ1437" t="n">
        <v>0.0</v>
      </c>
      <c r="AK1437" t="inlineStr">
        <is>
          <t/>
        </is>
      </c>
      <c r="AL1437" t="inlineStr">
        <is>
          <t/>
        </is>
      </c>
    </row>
    <row r="1438">
      <c r="A1438" t="inlineStr">
        <is>
          <t>老爹让我通知一下，60+承包您一周轻食</t>
        </is>
      </c>
      <c r="B1438" t="inlineStr">
        <is>
          <t>69e98ff0000000001f0019a3</t>
        </is>
      </c>
      <c r="C1438" s="1437" t="n">
        <f>HYPERLINK("https://www.xiaohongshu.com/explore/69e98ff0000000001f0019a3?xsec_token=TBNkLc7pOHvt_5tNJTpGNllAazQAjzo4mA6ZtnurO91oA=&amp;xsec_source=pc_trdark","https://www.xiaohongshu.com/explore/69e98ff0000000001f0019a3?xsec_token=TBNkLc7pOHvt_5tNJTpGNllAazQAjzo4mA6ZtnurO91oA=&amp;xsec_source=pc_trdark")</f>
        <v>0.0</v>
      </c>
      <c r="D1438" t="inlineStr">
        <is>
          <t>菲菲上班吃什么</t>
        </is>
      </c>
      <c r="E1438" t="inlineStr">
        <is>
          <t>49936530607</t>
        </is>
      </c>
      <c r="F1438" t="inlineStr">
        <is>
          <t>2026-04-24 21:30:00</t>
        </is>
      </c>
      <c r="G1438" t="inlineStr">
        <is>
          <t>图文</t>
        </is>
      </c>
      <c r="H1438" t="inlineStr">
        <is>
          <t>手剥虾仁 无冰衣无添加 低脂餐一人食 上班带饭 顺丰包邮 5盒装</t>
        </is>
      </c>
      <c r="I1438" t="inlineStr">
        <is>
          <t>694baba01d450d00013662f0</t>
        </is>
      </c>
      <c r="J1438" t="inlineStr">
        <is>
          <t/>
        </is>
      </c>
      <c r="K1438" t="n">
        <v>0.0</v>
      </c>
      <c r="L1438" t="n">
        <v>0.0</v>
      </c>
      <c r="M1438" t="n">
        <v>0.0</v>
      </c>
      <c r="N1438" t="inlineStr">
        <is>
          <t/>
        </is>
      </c>
      <c r="O1438" t="n">
        <v>0.0</v>
      </c>
      <c r="P1438" t="n">
        <v>0.0</v>
      </c>
      <c r="Q1438" t="inlineStr">
        <is>
          <t/>
        </is>
      </c>
      <c r="R1438" t="inlineStr">
        <is>
          <t/>
        </is>
      </c>
      <c r="S1438" t="n">
        <v>0.0</v>
      </c>
      <c r="T1438" t="n">
        <v>0.0</v>
      </c>
      <c r="U1438" t="n">
        <v>0.0</v>
      </c>
      <c r="V1438" t="n">
        <v>0.0</v>
      </c>
      <c r="W1438" t="inlineStr">
        <is>
          <t/>
        </is>
      </c>
      <c r="X1438" t="n">
        <v>0.0</v>
      </c>
      <c r="Y1438" t="n">
        <v>0.0</v>
      </c>
      <c r="Z1438" t="n">
        <v>0.0</v>
      </c>
      <c r="AA1438" t="n">
        <v>0.0</v>
      </c>
      <c r="AB1438" t="n">
        <v>0.0</v>
      </c>
      <c r="AC1438" t="n">
        <v>0.0</v>
      </c>
      <c r="AD1438" t="n">
        <v>0.0</v>
      </c>
      <c r="AE1438" t="n">
        <v>0.0</v>
      </c>
      <c r="AF1438" t="n">
        <v>0.0</v>
      </c>
      <c r="AG1438" t="n">
        <v>0.0</v>
      </c>
      <c r="AH1438" t="n">
        <v>0.0</v>
      </c>
      <c r="AI1438" t="n">
        <v>0.0</v>
      </c>
      <c r="AJ1438" t="n">
        <v>0.0</v>
      </c>
      <c r="AK1438" t="inlineStr">
        <is>
          <t/>
        </is>
      </c>
      <c r="AL1438" t="inlineStr">
        <is>
          <t/>
        </is>
      </c>
    </row>
    <row r="1439">
      <c r="A1439" t="inlineStr">
        <is>
          <t>这才是早八人的坠爱，69搞定一周带饭</t>
        </is>
      </c>
      <c r="B1439" t="inlineStr">
        <is>
          <t>69e985de000000001d018fdc</t>
        </is>
      </c>
      <c r="C1439" s="1438" t="n">
        <f>HYPERLINK("https://www.xiaohongshu.com/explore/69e985de000000001d018fdc?xsec_token=TBNkLc7pOHvt_5tNJTpGNllAORkm5Ngo1tiX5ixBEf7kQ=&amp;xsec_source=pc_trdark","https://www.xiaohongshu.com/explore/69e985de000000001d018fdc?xsec_token=TBNkLc7pOHvt_5tNJTpGNllAORkm5Ngo1tiX5ixBEf7kQ=&amp;xsec_source=pc_trdark")</f>
        <v>0.0</v>
      </c>
      <c r="D1439" t="inlineStr">
        <is>
          <t>鲜水湾甄选</t>
        </is>
      </c>
      <c r="E1439" t="inlineStr">
        <is>
          <t>27401929161</t>
        </is>
      </c>
      <c r="F1439" t="inlineStr">
        <is>
          <t>2026-04-23 13:40:00</t>
        </is>
      </c>
      <c r="G1439" t="inlineStr">
        <is>
          <t>图文</t>
        </is>
      </c>
      <c r="H1439" t="inlineStr">
        <is>
          <t>手剥虾仁 无冰衣无添加 低脂餐一人食 上班带饭 顺丰包邮 5盒装</t>
        </is>
      </c>
      <c r="I1439" t="inlineStr">
        <is>
          <t>694baba01d450d00013662f0</t>
        </is>
      </c>
      <c r="J1439" t="inlineStr">
        <is>
          <t/>
        </is>
      </c>
      <c r="K1439" t="n">
        <v>0.0</v>
      </c>
      <c r="L1439" t="n">
        <v>0.0</v>
      </c>
      <c r="M1439" t="n">
        <v>0.0</v>
      </c>
      <c r="N1439" t="inlineStr">
        <is>
          <t/>
        </is>
      </c>
      <c r="O1439" t="n">
        <v>0.0</v>
      </c>
      <c r="P1439" t="n">
        <v>0.0</v>
      </c>
      <c r="Q1439" t="inlineStr">
        <is>
          <t/>
        </is>
      </c>
      <c r="R1439" t="inlineStr">
        <is>
          <t/>
        </is>
      </c>
      <c r="S1439" t="n">
        <v>0.0</v>
      </c>
      <c r="T1439" t="n">
        <v>0.0</v>
      </c>
      <c r="U1439" t="n">
        <v>0.0</v>
      </c>
      <c r="V1439" t="n">
        <v>0.0</v>
      </c>
      <c r="W1439" t="inlineStr">
        <is>
          <t/>
        </is>
      </c>
      <c r="X1439" t="n">
        <v>0.0</v>
      </c>
      <c r="Y1439" t="n">
        <v>0.0</v>
      </c>
      <c r="Z1439" t="n">
        <v>0.0</v>
      </c>
      <c r="AA1439" t="n">
        <v>0.0</v>
      </c>
      <c r="AB1439" t="n">
        <v>0.0</v>
      </c>
      <c r="AC1439" t="n">
        <v>0.0</v>
      </c>
      <c r="AD1439" t="n">
        <v>0.0</v>
      </c>
      <c r="AE1439" t="n">
        <v>0.0</v>
      </c>
      <c r="AF1439" t="n">
        <v>0.0</v>
      </c>
      <c r="AG1439" t="n">
        <v>0.0</v>
      </c>
      <c r="AH1439" t="n">
        <v>0.0</v>
      </c>
      <c r="AI1439" t="n">
        <v>0.0</v>
      </c>
      <c r="AJ1439" t="n">
        <v>0.0</v>
      </c>
      <c r="AK1439" t="inlineStr">
        <is>
          <t/>
        </is>
      </c>
      <c r="AL1439" t="inlineStr">
        <is>
          <t/>
        </is>
      </c>
    </row>
    <row r="1440">
      <c r="A1440" t="inlineStr">
        <is>
          <t>凭一己之力带动办公室买了十份虾仁</t>
        </is>
      </c>
      <c r="B1440" t="inlineStr">
        <is>
          <t>69e88beb0000000023027ba2</t>
        </is>
      </c>
      <c r="C1440" s="1439" t="n">
        <f>HYPERLINK("https://www.xiaohongshu.com/explore/69e88beb0000000023027ba2?xsec_token=TBrsJGfbmdICsvnXoyd4QdRmtllV5r8nIh43zlXFb_taU=&amp;xsec_source=pc_trdark","https://www.xiaohongshu.com/explore/69e88beb0000000023027ba2?xsec_token=TBrsJGfbmdICsvnXoyd4QdRmtllV5r8nIh43zlXFb_taU=&amp;xsec_source=pc_trdark")</f>
        <v>0.0</v>
      </c>
      <c r="D1440" t="inlineStr">
        <is>
          <t>鲜水湾甄选</t>
        </is>
      </c>
      <c r="E1440" t="inlineStr">
        <is>
          <t>27401929161</t>
        </is>
      </c>
      <c r="F1440" t="inlineStr">
        <is>
          <t>2026-04-23 16:30:00</t>
        </is>
      </c>
      <c r="G1440" t="inlineStr">
        <is>
          <t>图文</t>
        </is>
      </c>
      <c r="H1440" t="inlineStr">
        <is>
          <t>手剥虾仁 无冰衣无添加 低脂餐一人食 上班带饭 顺丰包邮 5盒装</t>
        </is>
      </c>
      <c r="I1440" t="inlineStr">
        <is>
          <t>694baba01d450d00013662f0</t>
        </is>
      </c>
      <c r="J1440" t="inlineStr">
        <is>
          <t/>
        </is>
      </c>
      <c r="K1440" t="n">
        <v>0.0</v>
      </c>
      <c r="L1440" t="n">
        <v>0.0</v>
      </c>
      <c r="M1440" t="n">
        <v>0.0</v>
      </c>
      <c r="N1440" t="inlineStr">
        <is>
          <t/>
        </is>
      </c>
      <c r="O1440" t="n">
        <v>0.0</v>
      </c>
      <c r="P1440" t="n">
        <v>0.0</v>
      </c>
      <c r="Q1440" t="inlineStr">
        <is>
          <t/>
        </is>
      </c>
      <c r="R1440" t="inlineStr">
        <is>
          <t/>
        </is>
      </c>
      <c r="S1440" t="n">
        <v>0.0</v>
      </c>
      <c r="T1440" t="n">
        <v>0.0</v>
      </c>
      <c r="U1440" t="n">
        <v>0.0</v>
      </c>
      <c r="V1440" t="n">
        <v>0.0</v>
      </c>
      <c r="W1440" t="inlineStr">
        <is>
          <t/>
        </is>
      </c>
      <c r="X1440" t="n">
        <v>0.0</v>
      </c>
      <c r="Y1440" t="n">
        <v>0.0</v>
      </c>
      <c r="Z1440" t="n">
        <v>0.0</v>
      </c>
      <c r="AA1440" t="n">
        <v>0.0</v>
      </c>
      <c r="AB1440" t="n">
        <v>0.0</v>
      </c>
      <c r="AC1440" t="n">
        <v>0.0</v>
      </c>
      <c r="AD1440" t="n">
        <v>0.0</v>
      </c>
      <c r="AE1440" t="n">
        <v>0.0</v>
      </c>
      <c r="AF1440" t="n">
        <v>0.0</v>
      </c>
      <c r="AG1440" t="n">
        <v>0.0</v>
      </c>
      <c r="AH1440" t="n">
        <v>0.0</v>
      </c>
      <c r="AI1440" t="n">
        <v>0.0</v>
      </c>
      <c r="AJ1440" t="n">
        <v>0.0</v>
      </c>
      <c r="AK1440" t="inlineStr">
        <is>
          <t/>
        </is>
      </c>
      <c r="AL1440" t="inlineStr">
        <is>
          <t/>
        </is>
      </c>
    </row>
    <row r="1441">
      <c r="A1441" t="inlineStr">
        <is>
          <t>不藏了！13.8/包，顺丰包邮最后200单了</t>
        </is>
      </c>
      <c r="B1441" t="inlineStr">
        <is>
          <t>69e888190000000021007cad</t>
        </is>
      </c>
      <c r="C1441" s="1440" t="n">
        <f>HYPERLINK("https://www.xiaohongshu.com/explore/69e888190000000021007cad?xsec_token=TBrsJGfbmdICsvnXoyd4QdRmICHNFgG_yCg04FsYOU8og=&amp;xsec_source=pc_trdark","https://www.xiaohongshu.com/explore/69e888190000000021007cad?xsec_token=TBrsJGfbmdICsvnXoyd4QdRmICHNFgG_yCg04FsYOU8og=&amp;xsec_source=pc_trdark")</f>
        <v>0.0</v>
      </c>
      <c r="D1441" t="inlineStr">
        <is>
          <t>鲜水湾甄选</t>
        </is>
      </c>
      <c r="E1441" t="inlineStr">
        <is>
          <t>27401929161</t>
        </is>
      </c>
      <c r="F1441" t="inlineStr">
        <is>
          <t>2026-04-23 08:30:00</t>
        </is>
      </c>
      <c r="G1441" t="inlineStr">
        <is>
          <t>图文</t>
        </is>
      </c>
      <c r="H1441" t="inlineStr">
        <is>
          <t>手剥虾仁 无冰衣无添加 低脂餐一人食 上班带饭 顺丰包邮 5盒装</t>
        </is>
      </c>
      <c r="I1441" t="inlineStr">
        <is>
          <t>694baba01d450d00013662f0</t>
        </is>
      </c>
      <c r="J1441" t="inlineStr">
        <is>
          <t/>
        </is>
      </c>
      <c r="K1441" t="n">
        <v>0.0</v>
      </c>
      <c r="L1441" t="n">
        <v>0.0</v>
      </c>
      <c r="M1441" t="n">
        <v>0.0</v>
      </c>
      <c r="N1441" t="inlineStr">
        <is>
          <t/>
        </is>
      </c>
      <c r="O1441" t="n">
        <v>0.0</v>
      </c>
      <c r="P1441" t="n">
        <v>0.0</v>
      </c>
      <c r="Q1441" t="inlineStr">
        <is>
          <t/>
        </is>
      </c>
      <c r="R1441" t="inlineStr">
        <is>
          <t/>
        </is>
      </c>
      <c r="S1441" t="n">
        <v>0.0</v>
      </c>
      <c r="T1441" t="n">
        <v>0.0</v>
      </c>
      <c r="U1441" t="n">
        <v>0.0</v>
      </c>
      <c r="V1441" t="n">
        <v>0.0</v>
      </c>
      <c r="W1441" t="inlineStr">
        <is>
          <t/>
        </is>
      </c>
      <c r="X1441" t="n">
        <v>0.0</v>
      </c>
      <c r="Y1441" t="n">
        <v>0.0</v>
      </c>
      <c r="Z1441" t="n">
        <v>0.0</v>
      </c>
      <c r="AA1441" t="n">
        <v>0.0</v>
      </c>
      <c r="AB1441" t="n">
        <v>0.0</v>
      </c>
      <c r="AC1441" t="n">
        <v>0.0</v>
      </c>
      <c r="AD1441" t="n">
        <v>0.0</v>
      </c>
      <c r="AE1441" t="n">
        <v>0.0</v>
      </c>
      <c r="AF1441" t="n">
        <v>0.0</v>
      </c>
      <c r="AG1441" t="n">
        <v>0.0</v>
      </c>
      <c r="AH1441" t="n">
        <v>0.0</v>
      </c>
      <c r="AI1441" t="n">
        <v>0.0</v>
      </c>
      <c r="AJ1441" t="n">
        <v>0.0</v>
      </c>
      <c r="AK1441" t="inlineStr">
        <is>
          <t/>
        </is>
      </c>
      <c r="AL1441" t="inlineStr">
        <is>
          <t/>
        </is>
      </c>
    </row>
    <row r="1442">
      <c r="A1442" t="inlineStr">
        <is>
          <t>谁懂啊！128承包我减脂期的所有蛋白质😭</t>
        </is>
      </c>
      <c r="B1442" t="inlineStr">
        <is>
          <t>69e8804c000000001a02ecb0</t>
        </is>
      </c>
      <c r="C1442" s="1441" t="n">
        <f>HYPERLINK("https://www.xiaohongshu.com/explore/69e8804c000000001a02ecb0?xsec_token=TBrsJGfbmdICsvnXoyd4QdRgnRiRJRk5kPal41PnJm2ZA=&amp;xsec_source=pc_trdark","https://www.xiaohongshu.com/explore/69e8804c000000001a02ecb0?xsec_token=TBrsJGfbmdICsvnXoyd4QdRgnRiRJRk5kPal41PnJm2ZA=&amp;xsec_source=pc_trdark")</f>
        <v>0.0</v>
      </c>
      <c r="D1442" t="inlineStr">
        <is>
          <t>菲菲上班吃什么</t>
        </is>
      </c>
      <c r="E1442" t="inlineStr">
        <is>
          <t>49936530607</t>
        </is>
      </c>
      <c r="F1442" t="inlineStr">
        <is>
          <t>2026-04-23 17:30:00</t>
        </is>
      </c>
      <c r="G1442" t="inlineStr">
        <is>
          <t>图文</t>
        </is>
      </c>
      <c r="H1442" t="inlineStr">
        <is>
          <t>手剥虾仁 无冰衣无添加 低脂餐一人食 上班带饭 顺丰包邮 5盒装</t>
        </is>
      </c>
      <c r="I1442" t="inlineStr">
        <is>
          <t>694baba01d450d00013662f0</t>
        </is>
      </c>
      <c r="J1442" t="inlineStr">
        <is>
          <t/>
        </is>
      </c>
      <c r="K1442" t="n">
        <v>0.0</v>
      </c>
      <c r="L1442" t="n">
        <v>0.0</v>
      </c>
      <c r="M1442" t="n">
        <v>0.0</v>
      </c>
      <c r="N1442" t="inlineStr">
        <is>
          <t/>
        </is>
      </c>
      <c r="O1442" t="n">
        <v>0.0</v>
      </c>
      <c r="P1442" t="n">
        <v>0.0</v>
      </c>
      <c r="Q1442" t="inlineStr">
        <is>
          <t/>
        </is>
      </c>
      <c r="R1442" t="inlineStr">
        <is>
          <t/>
        </is>
      </c>
      <c r="S1442" t="n">
        <v>0.0</v>
      </c>
      <c r="T1442" t="n">
        <v>0.0</v>
      </c>
      <c r="U1442" t="n">
        <v>0.0</v>
      </c>
      <c r="V1442" t="n">
        <v>0.0</v>
      </c>
      <c r="W1442" t="inlineStr">
        <is>
          <t/>
        </is>
      </c>
      <c r="X1442" t="n">
        <v>0.0</v>
      </c>
      <c r="Y1442" t="n">
        <v>0.0</v>
      </c>
      <c r="Z1442" t="n">
        <v>0.0</v>
      </c>
      <c r="AA1442" t="n">
        <v>0.0</v>
      </c>
      <c r="AB1442" t="n">
        <v>0.0</v>
      </c>
      <c r="AC1442" t="n">
        <v>0.0</v>
      </c>
      <c r="AD1442" t="n">
        <v>0.0</v>
      </c>
      <c r="AE1442" t="n">
        <v>0.0</v>
      </c>
      <c r="AF1442" t="n">
        <v>0.0</v>
      </c>
      <c r="AG1442" t="n">
        <v>0.0</v>
      </c>
      <c r="AH1442" t="n">
        <v>0.0</v>
      </c>
      <c r="AI1442" t="n">
        <v>0.0</v>
      </c>
      <c r="AJ1442" t="n">
        <v>0.0</v>
      </c>
      <c r="AK1442" t="inlineStr">
        <is>
          <t/>
        </is>
      </c>
      <c r="AL1442" t="inlineStr">
        <is>
          <t/>
        </is>
      </c>
    </row>
    <row r="1443">
      <c r="A1443" t="inlineStr">
        <is>
          <t>吃了15天虾的后果。。。</t>
        </is>
      </c>
      <c r="B1443" t="inlineStr">
        <is>
          <t>69e87a69000000002003b2af</t>
        </is>
      </c>
      <c r="C1443" s="1442" t="n">
        <f>HYPERLINK("https://www.xiaohongshu.com/explore/69e87a69000000002003b2af?xsec_token=TBrsJGfbmdICsvnXoyd4QdRgqs9-1GaUCgvXdB9Lew-_s=&amp;xsec_source=pc_trdark","https://www.xiaohongshu.com/explore/69e87a69000000002003b2af?xsec_token=TBrsJGfbmdICsvnXoyd4QdRgqs9-1GaUCgvXdB9Lew-_s=&amp;xsec_source=pc_trdark")</f>
        <v>0.0</v>
      </c>
      <c r="D1443" t="inlineStr">
        <is>
          <t>菲菲上班吃什么</t>
        </is>
      </c>
      <c r="E1443" t="inlineStr">
        <is>
          <t>49936530607</t>
        </is>
      </c>
      <c r="F1443" t="inlineStr">
        <is>
          <t>2026-04-23 16:30:00</t>
        </is>
      </c>
      <c r="G1443" t="inlineStr">
        <is>
          <t>图文</t>
        </is>
      </c>
      <c r="H1443" t="inlineStr">
        <is>
          <t>手剥虾仁 无冰衣无添加 低脂餐一人食 上班带饭 顺丰包邮 5盒装</t>
        </is>
      </c>
      <c r="I1443" t="inlineStr">
        <is>
          <t>694baba01d450d00013662f0</t>
        </is>
      </c>
      <c r="J1443" t="inlineStr">
        <is>
          <t/>
        </is>
      </c>
      <c r="K1443" t="n">
        <v>0.0</v>
      </c>
      <c r="L1443" t="n">
        <v>0.0</v>
      </c>
      <c r="M1443" t="n">
        <v>0.0</v>
      </c>
      <c r="N1443" t="inlineStr">
        <is>
          <t/>
        </is>
      </c>
      <c r="O1443" t="n">
        <v>0.0</v>
      </c>
      <c r="P1443" t="n">
        <v>0.0</v>
      </c>
      <c r="Q1443" t="inlineStr">
        <is>
          <t/>
        </is>
      </c>
      <c r="R1443" t="inlineStr">
        <is>
          <t/>
        </is>
      </c>
      <c r="S1443" t="n">
        <v>0.0</v>
      </c>
      <c r="T1443" t="n">
        <v>0.0</v>
      </c>
      <c r="U1443" t="n">
        <v>0.0</v>
      </c>
      <c r="V1443" t="n">
        <v>0.0</v>
      </c>
      <c r="W1443" t="inlineStr">
        <is>
          <t/>
        </is>
      </c>
      <c r="X1443" t="n">
        <v>0.0</v>
      </c>
      <c r="Y1443" t="n">
        <v>0.0</v>
      </c>
      <c r="Z1443" t="n">
        <v>0.0</v>
      </c>
      <c r="AA1443" t="n">
        <v>0.0</v>
      </c>
      <c r="AB1443" t="n">
        <v>0.0</v>
      </c>
      <c r="AC1443" t="n">
        <v>0.0</v>
      </c>
      <c r="AD1443" t="n">
        <v>0.0</v>
      </c>
      <c r="AE1443" t="n">
        <v>0.0</v>
      </c>
      <c r="AF1443" t="n">
        <v>0.0</v>
      </c>
      <c r="AG1443" t="n">
        <v>0.0</v>
      </c>
      <c r="AH1443" t="n">
        <v>0.0</v>
      </c>
      <c r="AI1443" t="n">
        <v>0.0</v>
      </c>
      <c r="AJ1443" t="n">
        <v>0.0</v>
      </c>
      <c r="AK1443" t="inlineStr">
        <is>
          <t/>
        </is>
      </c>
      <c r="AL1443" t="inlineStr">
        <is>
          <t/>
        </is>
      </c>
    </row>
    <row r="1444">
      <c r="A1444" t="inlineStr">
        <is>
          <t>和老爸商量后，推出早八人独爱的小包装</t>
        </is>
      </c>
      <c r="B1444" t="inlineStr">
        <is>
          <t>69e877b30000000022027f5a</t>
        </is>
      </c>
      <c r="C1444" s="1443" t="n">
        <f>HYPERLINK("https://www.xiaohongshu.com/explore/69e877b30000000022027f5a?xsec_token=TBrsJGfbmdICsvnXoyd4QdRveIHLifjVd65LSZNjJZ4z8=&amp;xsec_source=pc_trdark","https://www.xiaohongshu.com/explore/69e877b30000000022027f5a?xsec_token=TBrsJGfbmdICsvnXoyd4QdRveIHLifjVd65LSZNjJZ4z8=&amp;xsec_source=pc_trdark")</f>
        <v>0.0</v>
      </c>
      <c r="D1444" t="inlineStr">
        <is>
          <t>菲菲上班吃什么</t>
        </is>
      </c>
      <c r="E1444" t="inlineStr">
        <is>
          <t>49936530607</t>
        </is>
      </c>
      <c r="F1444" t="inlineStr">
        <is>
          <t>2026-04-23 15:30:00</t>
        </is>
      </c>
      <c r="G1444" t="inlineStr">
        <is>
          <t>图文</t>
        </is>
      </c>
      <c r="H1444" t="inlineStr">
        <is>
          <t>手剥虾仁 无冰衣无添加 低脂餐一人食 上班带饭 顺丰包邮 5盒装</t>
        </is>
      </c>
      <c r="I1444" t="inlineStr">
        <is>
          <t>694baba01d450d00013662f0</t>
        </is>
      </c>
      <c r="J1444" t="inlineStr">
        <is>
          <t/>
        </is>
      </c>
      <c r="K1444" t="n">
        <v>0.0</v>
      </c>
      <c r="L1444" t="n">
        <v>0.0</v>
      </c>
      <c r="M1444" t="n">
        <v>0.0</v>
      </c>
      <c r="N1444" t="inlineStr">
        <is>
          <t/>
        </is>
      </c>
      <c r="O1444" t="n">
        <v>0.0</v>
      </c>
      <c r="P1444" t="n">
        <v>0.0</v>
      </c>
      <c r="Q1444" t="inlineStr">
        <is>
          <t/>
        </is>
      </c>
      <c r="R1444" t="inlineStr">
        <is>
          <t/>
        </is>
      </c>
      <c r="S1444" t="n">
        <v>0.0</v>
      </c>
      <c r="T1444" t="n">
        <v>0.0</v>
      </c>
      <c r="U1444" t="n">
        <v>0.0</v>
      </c>
      <c r="V1444" t="n">
        <v>0.0</v>
      </c>
      <c r="W1444" t="inlineStr">
        <is>
          <t/>
        </is>
      </c>
      <c r="X1444" t="n">
        <v>0.0</v>
      </c>
      <c r="Y1444" t="n">
        <v>0.0</v>
      </c>
      <c r="Z1444" t="n">
        <v>0.0</v>
      </c>
      <c r="AA1444" t="n">
        <v>0.0</v>
      </c>
      <c r="AB1444" t="n">
        <v>0.0</v>
      </c>
      <c r="AC1444" t="n">
        <v>0.0</v>
      </c>
      <c r="AD1444" t="n">
        <v>0.0</v>
      </c>
      <c r="AE1444" t="n">
        <v>0.0</v>
      </c>
      <c r="AF1444" t="n">
        <v>0.0</v>
      </c>
      <c r="AG1444" t="n">
        <v>0.0</v>
      </c>
      <c r="AH1444" t="n">
        <v>0.0</v>
      </c>
      <c r="AI1444" t="n">
        <v>0.0</v>
      </c>
      <c r="AJ1444" t="n">
        <v>0.0</v>
      </c>
      <c r="AK1444" t="inlineStr">
        <is>
          <t/>
        </is>
      </c>
      <c r="AL1444" t="inlineStr">
        <is>
          <t/>
        </is>
      </c>
    </row>
    <row r="1445">
      <c r="A1445" t="inlineStr">
        <is>
          <t>这样是不是"精致穷"</t>
        </is>
      </c>
      <c r="B1445" t="inlineStr">
        <is>
          <t>69e876960000000020039f02</t>
        </is>
      </c>
      <c r="C1445" s="1444" t="n">
        <f>HYPERLINK("https://www.xiaohongshu.com/explore/69e876960000000020039f02?xsec_token=TBrsJGfbmdICsvnXoyd4QdRp__hlKtFnfQl0E8eOBCb0k=&amp;xsec_source=pc_trdark","https://www.xiaohongshu.com/explore/69e876960000000020039f02?xsec_token=TBrsJGfbmdICsvnXoyd4QdRp__hlKtFnfQl0E8eOBCb0k=&amp;xsec_source=pc_trdark")</f>
        <v>0.0</v>
      </c>
      <c r="D1445" t="inlineStr">
        <is>
          <t>菲菲上班吃什么</t>
        </is>
      </c>
      <c r="E1445" t="inlineStr">
        <is>
          <t>49936530607</t>
        </is>
      </c>
      <c r="F1445" t="inlineStr">
        <is>
          <t>2026-04-23 14:30:00</t>
        </is>
      </c>
      <c r="G1445" t="inlineStr">
        <is>
          <t>图文</t>
        </is>
      </c>
      <c r="H1445" t="inlineStr">
        <is>
          <t>手剥虾仁 无冰衣无添加 低脂餐一人食 上班带饭 顺丰包邮 5盒装</t>
        </is>
      </c>
      <c r="I1445" t="inlineStr">
        <is>
          <t>694baba01d450d00013662f0</t>
        </is>
      </c>
      <c r="J1445" t="inlineStr">
        <is>
          <t/>
        </is>
      </c>
      <c r="K1445" t="n">
        <v>0.0</v>
      </c>
      <c r="L1445" t="n">
        <v>0.0</v>
      </c>
      <c r="M1445" t="n">
        <v>0.0</v>
      </c>
      <c r="N1445" t="inlineStr">
        <is>
          <t/>
        </is>
      </c>
      <c r="O1445" t="n">
        <v>0.0</v>
      </c>
      <c r="P1445" t="n">
        <v>0.0</v>
      </c>
      <c r="Q1445" t="inlineStr">
        <is>
          <t/>
        </is>
      </c>
      <c r="R1445" t="inlineStr">
        <is>
          <t/>
        </is>
      </c>
      <c r="S1445" t="n">
        <v>0.0</v>
      </c>
      <c r="T1445" t="n">
        <v>0.0</v>
      </c>
      <c r="U1445" t="n">
        <v>0.0</v>
      </c>
      <c r="V1445" t="n">
        <v>0.0</v>
      </c>
      <c r="W1445" t="inlineStr">
        <is>
          <t/>
        </is>
      </c>
      <c r="X1445" t="n">
        <v>0.0</v>
      </c>
      <c r="Y1445" t="n">
        <v>0.0</v>
      </c>
      <c r="Z1445" t="n">
        <v>0.0</v>
      </c>
      <c r="AA1445" t="n">
        <v>0.0</v>
      </c>
      <c r="AB1445" t="n">
        <v>0.0</v>
      </c>
      <c r="AC1445" t="n">
        <v>0.0</v>
      </c>
      <c r="AD1445" t="n">
        <v>0.0</v>
      </c>
      <c r="AE1445" t="n">
        <v>0.0</v>
      </c>
      <c r="AF1445" t="n">
        <v>0.0</v>
      </c>
      <c r="AG1445" t="n">
        <v>0.0</v>
      </c>
      <c r="AH1445" t="n">
        <v>0.0</v>
      </c>
      <c r="AI1445" t="n">
        <v>0.0</v>
      </c>
      <c r="AJ1445" t="n">
        <v>0.0</v>
      </c>
      <c r="AK1445" t="inlineStr">
        <is>
          <t/>
        </is>
      </c>
      <c r="AL1445" t="inlineStr">
        <is>
          <t/>
        </is>
      </c>
    </row>
    <row r="1446">
      <c r="A1446" t="inlineStr">
        <is>
          <t>别拿Sam和我比真的没有可比性😎</t>
        </is>
      </c>
      <c r="B1446" t="inlineStr">
        <is>
          <t>69e871d4000000001e00e242</t>
        </is>
      </c>
      <c r="C1446" s="1445" t="n">
        <f>HYPERLINK("https://www.xiaohongshu.com/explore/69e871d4000000001e00e242?xsec_token=TBrsJGfbmdICsvnXoyd4QdRs_j4foCogDXpO52xU8r9oA=&amp;xsec_source=pc_trdark","https://www.xiaohongshu.com/explore/69e871d4000000001e00e242?xsec_token=TBrsJGfbmdICsvnXoyd4QdRs_j4foCogDXpO52xU8r9oA=&amp;xsec_source=pc_trdark")</f>
        <v>0.0</v>
      </c>
      <c r="D1446" t="inlineStr">
        <is>
          <t>菲菲上班吃什么</t>
        </is>
      </c>
      <c r="E1446" t="inlineStr">
        <is>
          <t>49936530607</t>
        </is>
      </c>
      <c r="F1446" t="inlineStr">
        <is>
          <t>2026-04-23 10:30:00</t>
        </is>
      </c>
      <c r="G1446" t="inlineStr">
        <is>
          <t>图文</t>
        </is>
      </c>
      <c r="H1446" t="inlineStr">
        <is>
          <t>手剥虾仁 无冰衣无添加 低脂餐一人食 上班带饭 顺丰包邮 5盒装</t>
        </is>
      </c>
      <c r="I1446" t="inlineStr">
        <is>
          <t>694baba01d450d00013662f0</t>
        </is>
      </c>
      <c r="J1446" t="inlineStr">
        <is>
          <t/>
        </is>
      </c>
      <c r="K1446" t="n">
        <v>0.0</v>
      </c>
      <c r="L1446" t="n">
        <v>0.0</v>
      </c>
      <c r="M1446" t="n">
        <v>0.0</v>
      </c>
      <c r="N1446" t="inlineStr">
        <is>
          <t/>
        </is>
      </c>
      <c r="O1446" t="n">
        <v>0.0</v>
      </c>
      <c r="P1446" t="n">
        <v>0.0</v>
      </c>
      <c r="Q1446" t="inlineStr">
        <is>
          <t/>
        </is>
      </c>
      <c r="R1446" t="inlineStr">
        <is>
          <t/>
        </is>
      </c>
      <c r="S1446" t="n">
        <v>0.0</v>
      </c>
      <c r="T1446" t="n">
        <v>0.0</v>
      </c>
      <c r="U1446" t="n">
        <v>0.0</v>
      </c>
      <c r="V1446" t="n">
        <v>0.0</v>
      </c>
      <c r="W1446" t="inlineStr">
        <is>
          <t/>
        </is>
      </c>
      <c r="X1446" t="n">
        <v>0.0</v>
      </c>
      <c r="Y1446" t="n">
        <v>0.0</v>
      </c>
      <c r="Z1446" t="n">
        <v>0.0</v>
      </c>
      <c r="AA1446" t="n">
        <v>0.0</v>
      </c>
      <c r="AB1446" t="n">
        <v>0.0</v>
      </c>
      <c r="AC1446" t="n">
        <v>0.0</v>
      </c>
      <c r="AD1446" t="n">
        <v>0.0</v>
      </c>
      <c r="AE1446" t="n">
        <v>0.0</v>
      </c>
      <c r="AF1446" t="n">
        <v>0.0</v>
      </c>
      <c r="AG1446" t="n">
        <v>0.0</v>
      </c>
      <c r="AH1446" t="n">
        <v>0.0</v>
      </c>
      <c r="AI1446" t="n">
        <v>0.0</v>
      </c>
      <c r="AJ1446" t="n">
        <v>0.0</v>
      </c>
      <c r="AK1446" t="inlineStr">
        <is>
          <t/>
        </is>
      </c>
      <c r="AL1446" t="inlineStr">
        <is>
          <t/>
        </is>
      </c>
    </row>
    <row r="1447">
      <c r="A1447" t="inlineStr">
        <is>
          <t>直观展示一下100多块钱的购买力！</t>
        </is>
      </c>
      <c r="B1447" t="inlineStr">
        <is>
          <t>69e86bd700000000230178ca</t>
        </is>
      </c>
      <c r="C1447" s="1446" t="n">
        <f>HYPERLINK("https://www.xiaohongshu.com/explore/69e86bd700000000230178ca?xsec_token=TBrsJGfbmdICsvnXoyd4QdRjLrbV8co8irw9YVXtRSaSQ=&amp;xsec_source=pc_trdark","https://www.xiaohongshu.com/explore/69e86bd700000000230178ca?xsec_token=TBrsJGfbmdICsvnXoyd4QdRjLrbV8co8irw9YVXtRSaSQ=&amp;xsec_source=pc_trdark")</f>
        <v>0.0</v>
      </c>
      <c r="D1447" t="inlineStr">
        <is>
          <t>菲菲上班吃什么</t>
        </is>
      </c>
      <c r="E1447" t="inlineStr">
        <is>
          <t>49936530607</t>
        </is>
      </c>
      <c r="F1447" t="inlineStr">
        <is>
          <t>2026-04-22 18:30:00</t>
        </is>
      </c>
      <c r="G1447" t="inlineStr">
        <is>
          <t>图文</t>
        </is>
      </c>
      <c r="H1447" t="inlineStr">
        <is>
          <t>手剥虾仁 无冰衣无添加 低脂餐一人食 上班带饭 顺丰包邮 5盒装</t>
        </is>
      </c>
      <c r="I1447" t="inlineStr">
        <is>
          <t>694baba01d450d00013662f0</t>
        </is>
      </c>
      <c r="J1447" t="inlineStr">
        <is>
          <t/>
        </is>
      </c>
      <c r="K1447" t="n">
        <v>0.0</v>
      </c>
      <c r="L1447" t="n">
        <v>0.0</v>
      </c>
      <c r="M1447" t="n">
        <v>0.0</v>
      </c>
      <c r="N1447" t="inlineStr">
        <is>
          <t/>
        </is>
      </c>
      <c r="O1447" t="n">
        <v>0.0</v>
      </c>
      <c r="P1447" t="n">
        <v>0.0</v>
      </c>
      <c r="Q1447" t="inlineStr">
        <is>
          <t/>
        </is>
      </c>
      <c r="R1447" t="inlineStr">
        <is>
          <t/>
        </is>
      </c>
      <c r="S1447" t="n">
        <v>0.0</v>
      </c>
      <c r="T1447" t="n">
        <v>0.0</v>
      </c>
      <c r="U1447" t="n">
        <v>0.0</v>
      </c>
      <c r="V1447" t="n">
        <v>0.0</v>
      </c>
      <c r="W1447" t="inlineStr">
        <is>
          <t/>
        </is>
      </c>
      <c r="X1447" t="n">
        <v>0.0</v>
      </c>
      <c r="Y1447" t="n">
        <v>0.0</v>
      </c>
      <c r="Z1447" t="n">
        <v>0.0</v>
      </c>
      <c r="AA1447" t="n">
        <v>0.0</v>
      </c>
      <c r="AB1447" t="n">
        <v>0.0</v>
      </c>
      <c r="AC1447" t="n">
        <v>0.0</v>
      </c>
      <c r="AD1447" t="n">
        <v>0.0</v>
      </c>
      <c r="AE1447" t="n">
        <v>0.0</v>
      </c>
      <c r="AF1447" t="n">
        <v>0.0</v>
      </c>
      <c r="AG1447" t="n">
        <v>0.0</v>
      </c>
      <c r="AH1447" t="n">
        <v>0.0</v>
      </c>
      <c r="AI1447" t="n">
        <v>0.0</v>
      </c>
      <c r="AJ1447" t="n">
        <v>0.0</v>
      </c>
      <c r="AK1447" t="inlineStr">
        <is>
          <t/>
        </is>
      </c>
      <c r="AL1447" t="inlineStr">
        <is>
          <t/>
        </is>
      </c>
    </row>
    <row r="1448">
      <c r="A1448" t="inlineStr">
        <is>
          <t>听粉丝的话！上架独立小包装真的受欢迎</t>
        </is>
      </c>
      <c r="B1448" t="inlineStr">
        <is>
          <t>69e86a69000000001f0071ec</t>
        </is>
      </c>
      <c r="C1448" s="1447" t="n">
        <f>HYPERLINK("https://www.xiaohongshu.com/explore/69e86a69000000001f0071ec?xsec_token=TBrsJGfbmdICsvnXoyd4QdRn0aOvmCiHWouaXzNaQwoFU=&amp;xsec_source=pc_trdark","https://www.xiaohongshu.com/explore/69e86a69000000001f0071ec?xsec_token=TBrsJGfbmdICsvnXoyd4QdRn0aOvmCiHWouaXzNaQwoFU=&amp;xsec_source=pc_trdark")</f>
        <v>0.0</v>
      </c>
      <c r="D1448" t="inlineStr">
        <is>
          <t>菲菲上班吃什么</t>
        </is>
      </c>
      <c r="E1448" t="inlineStr">
        <is>
          <t>49936530607</t>
        </is>
      </c>
      <c r="F1448" t="inlineStr">
        <is>
          <t>2026-04-23 07:30:00</t>
        </is>
      </c>
      <c r="G1448" t="inlineStr">
        <is>
          <t>图文</t>
        </is>
      </c>
      <c r="H1448" t="inlineStr">
        <is>
          <t>手剥虾仁 无冰衣无添加 低脂餐一人食 上班带饭 顺丰包邮 5盒装</t>
        </is>
      </c>
      <c r="I1448" t="inlineStr">
        <is>
          <t>694baba01d450d00013662f0</t>
        </is>
      </c>
      <c r="J1448" t="inlineStr">
        <is>
          <t/>
        </is>
      </c>
      <c r="K1448" t="n">
        <v>0.0</v>
      </c>
      <c r="L1448" t="n">
        <v>0.0</v>
      </c>
      <c r="M1448" t="n">
        <v>0.0</v>
      </c>
      <c r="N1448" t="inlineStr">
        <is>
          <t/>
        </is>
      </c>
      <c r="O1448" t="n">
        <v>0.0</v>
      </c>
      <c r="P1448" t="n">
        <v>0.0</v>
      </c>
      <c r="Q1448" t="inlineStr">
        <is>
          <t/>
        </is>
      </c>
      <c r="R1448" t="inlineStr">
        <is>
          <t/>
        </is>
      </c>
      <c r="S1448" t="n">
        <v>0.0</v>
      </c>
      <c r="T1448" t="n">
        <v>0.0</v>
      </c>
      <c r="U1448" t="n">
        <v>0.0</v>
      </c>
      <c r="V1448" t="n">
        <v>0.0</v>
      </c>
      <c r="W1448" t="inlineStr">
        <is>
          <t/>
        </is>
      </c>
      <c r="X1448" t="n">
        <v>0.0</v>
      </c>
      <c r="Y1448" t="n">
        <v>0.0</v>
      </c>
      <c r="Z1448" t="n">
        <v>0.0</v>
      </c>
      <c r="AA1448" t="n">
        <v>0.0</v>
      </c>
      <c r="AB1448" t="n">
        <v>0.0</v>
      </c>
      <c r="AC1448" t="n">
        <v>0.0</v>
      </c>
      <c r="AD1448" t="n">
        <v>0.0</v>
      </c>
      <c r="AE1448" t="n">
        <v>0.0</v>
      </c>
      <c r="AF1448" t="n">
        <v>0.0</v>
      </c>
      <c r="AG1448" t="n">
        <v>0.0</v>
      </c>
      <c r="AH1448" t="n">
        <v>0.0</v>
      </c>
      <c r="AI1448" t="n">
        <v>0.0</v>
      </c>
      <c r="AJ1448" t="n">
        <v>0.0</v>
      </c>
      <c r="AK1448" t="inlineStr">
        <is>
          <t/>
        </is>
      </c>
      <c r="AL1448" t="inlineStr">
        <is>
          <t/>
        </is>
      </c>
    </row>
    <row r="1449">
      <c r="A1449" t="inlineStr">
        <is>
          <t>刚吃完一袋，我妈叫我再买一箱……</t>
        </is>
      </c>
      <c r="B1449" t="inlineStr">
        <is>
          <t>69e867ae000000002301360a</t>
        </is>
      </c>
      <c r="C1449" s="1448" t="n">
        <f>HYPERLINK("https://www.xiaohongshu.com/explore/69e867ae000000002301360a?xsec_token=TBrsJGfbmdICsvnXoyd4QdRjlaoCK8KPQNGlK5R_gC26I=&amp;xsec_source=pc_trdark","https://www.xiaohongshu.com/explore/69e867ae000000002301360a?xsec_token=TBrsJGfbmdICsvnXoyd4QdRjlaoCK8KPQNGlK5R_gC26I=&amp;xsec_source=pc_trdark")</f>
        <v>0.0</v>
      </c>
      <c r="D1449" t="inlineStr">
        <is>
          <t>鲜水湾甄选</t>
        </is>
      </c>
      <c r="E1449" t="inlineStr">
        <is>
          <t>27401929161</t>
        </is>
      </c>
      <c r="F1449" t="inlineStr">
        <is>
          <t>2026-04-23 07:00:00</t>
        </is>
      </c>
      <c r="G1449" t="inlineStr">
        <is>
          <t>图文</t>
        </is>
      </c>
      <c r="H1449" t="inlineStr">
        <is>
          <t>手剥虾仁 无冰衣无添加 低脂餐一人食 上班带饭 顺丰包邮 5盒装</t>
        </is>
      </c>
      <c r="I1449" t="inlineStr">
        <is>
          <t>694baba01d450d00013662f0</t>
        </is>
      </c>
      <c r="J1449" t="inlineStr">
        <is>
          <t/>
        </is>
      </c>
      <c r="K1449" t="n">
        <v>0.0</v>
      </c>
      <c r="L1449" t="n">
        <v>0.0</v>
      </c>
      <c r="M1449" t="n">
        <v>0.0</v>
      </c>
      <c r="N1449" t="inlineStr">
        <is>
          <t/>
        </is>
      </c>
      <c r="O1449" t="n">
        <v>0.0</v>
      </c>
      <c r="P1449" t="n">
        <v>0.0</v>
      </c>
      <c r="Q1449" t="inlineStr">
        <is>
          <t/>
        </is>
      </c>
      <c r="R1449" t="inlineStr">
        <is>
          <t/>
        </is>
      </c>
      <c r="S1449" t="n">
        <v>0.0</v>
      </c>
      <c r="T1449" t="n">
        <v>0.0</v>
      </c>
      <c r="U1449" t="n">
        <v>0.0</v>
      </c>
      <c r="V1449" t="n">
        <v>0.0</v>
      </c>
      <c r="W1449" t="inlineStr">
        <is>
          <t/>
        </is>
      </c>
      <c r="X1449" t="n">
        <v>0.0</v>
      </c>
      <c r="Y1449" t="n">
        <v>0.0</v>
      </c>
      <c r="Z1449" t="n">
        <v>0.0</v>
      </c>
      <c r="AA1449" t="n">
        <v>0.0</v>
      </c>
      <c r="AB1449" t="n">
        <v>0.0</v>
      </c>
      <c r="AC1449" t="n">
        <v>0.0</v>
      </c>
      <c r="AD1449" t="n">
        <v>0.0</v>
      </c>
      <c r="AE1449" t="n">
        <v>0.0</v>
      </c>
      <c r="AF1449" t="n">
        <v>0.0</v>
      </c>
      <c r="AG1449" t="n">
        <v>0.0</v>
      </c>
      <c r="AH1449" t="n">
        <v>0.0</v>
      </c>
      <c r="AI1449" t="n">
        <v>0.0</v>
      </c>
      <c r="AJ1449" t="n">
        <v>0.0</v>
      </c>
      <c r="AK1449" t="inlineStr">
        <is>
          <t/>
        </is>
      </c>
      <c r="AL1449" t="inlineStr">
        <is>
          <t/>
        </is>
      </c>
    </row>
    <row r="1450">
      <c r="A1450" t="inlineStr">
        <is>
          <t>我也不想买啊，可它69够我吃一周的了</t>
        </is>
      </c>
      <c r="B1450" t="inlineStr">
        <is>
          <t>69e863d3000000002202911e</t>
        </is>
      </c>
      <c r="C1450" s="1449" t="n">
        <f>HYPERLINK("https://www.xiaohongshu.com/explore/69e863d3000000002202911e?xsec_token=TBrsJGfbmdICsvnXoyd4QdRnyv2TM-urHKIMiKm6Wr4cc=&amp;xsec_source=pc_trdark","https://www.xiaohongshu.com/explore/69e863d3000000002202911e?xsec_token=TBrsJGfbmdICsvnXoyd4QdRnyv2TM-urHKIMiKm6Wr4cc=&amp;xsec_source=pc_trdark")</f>
        <v>0.0</v>
      </c>
      <c r="D1450" t="inlineStr">
        <is>
          <t>菲菲上班吃什么</t>
        </is>
      </c>
      <c r="E1450" t="inlineStr">
        <is>
          <t>49936530607</t>
        </is>
      </c>
      <c r="F1450" t="inlineStr">
        <is>
          <t>2026-04-22 17:40:00</t>
        </is>
      </c>
      <c r="G1450" t="inlineStr">
        <is>
          <t>图文</t>
        </is>
      </c>
      <c r="H1450" t="inlineStr">
        <is>
          <t>手剥虾仁 无冰衣无添加 低脂餐一人食 上班带饭 顺丰包邮 5盒装</t>
        </is>
      </c>
      <c r="I1450" t="inlineStr">
        <is>
          <t>694baba01d450d00013662f0</t>
        </is>
      </c>
      <c r="J1450" t="inlineStr">
        <is>
          <t/>
        </is>
      </c>
      <c r="K1450" t="n">
        <v>0.0</v>
      </c>
      <c r="L1450" t="n">
        <v>0.0</v>
      </c>
      <c r="M1450" t="n">
        <v>0.0</v>
      </c>
      <c r="N1450" t="inlineStr">
        <is>
          <t/>
        </is>
      </c>
      <c r="O1450" t="n">
        <v>0.0</v>
      </c>
      <c r="P1450" t="n">
        <v>0.0</v>
      </c>
      <c r="Q1450" t="inlineStr">
        <is>
          <t/>
        </is>
      </c>
      <c r="R1450" t="inlineStr">
        <is>
          <t/>
        </is>
      </c>
      <c r="S1450" t="n">
        <v>0.0</v>
      </c>
      <c r="T1450" t="n">
        <v>0.0</v>
      </c>
      <c r="U1450" t="n">
        <v>0.0</v>
      </c>
      <c r="V1450" t="n">
        <v>0.0</v>
      </c>
      <c r="W1450" t="inlineStr">
        <is>
          <t/>
        </is>
      </c>
      <c r="X1450" t="n">
        <v>0.0</v>
      </c>
      <c r="Y1450" t="n">
        <v>0.0</v>
      </c>
      <c r="Z1450" t="n">
        <v>0.0</v>
      </c>
      <c r="AA1450" t="n">
        <v>0.0</v>
      </c>
      <c r="AB1450" t="n">
        <v>0.0</v>
      </c>
      <c r="AC1450" t="n">
        <v>0.0</v>
      </c>
      <c r="AD1450" t="n">
        <v>0.0</v>
      </c>
      <c r="AE1450" t="n">
        <v>0.0</v>
      </c>
      <c r="AF1450" t="n">
        <v>0.0</v>
      </c>
      <c r="AG1450" t="n">
        <v>0.0</v>
      </c>
      <c r="AH1450" t="n">
        <v>0.0</v>
      </c>
      <c r="AI1450" t="n">
        <v>0.0</v>
      </c>
      <c r="AJ1450" t="n">
        <v>0.0</v>
      </c>
      <c r="AK1450" t="inlineStr">
        <is>
          <t/>
        </is>
      </c>
      <c r="AL1450" t="inlineStr">
        <is>
          <t/>
        </is>
      </c>
    </row>
    <row r="1451">
      <c r="A1451" t="inlineStr">
        <is>
          <t>山母对不起，还是小包装更有幸福感✌️</t>
        </is>
      </c>
      <c r="B1451" t="inlineStr">
        <is>
          <t>69e85ff000000000230067e7</t>
        </is>
      </c>
      <c r="C1451" s="1450" t="n">
        <f>HYPERLINK("https://www.xiaohongshu.com/explore/69e85ff000000000230067e7?xsec_token=TBrsJGfbmdICsvnXoyd4QdRtrQ8BZXivMVO-C-K6LrP6g=&amp;xsec_source=pc_trdark","https://www.xiaohongshu.com/explore/69e85ff000000000230067e7?xsec_token=TBrsJGfbmdICsvnXoyd4QdRtrQ8BZXivMVO-C-K6LrP6g=&amp;xsec_source=pc_trdark")</f>
        <v>0.0</v>
      </c>
      <c r="D1451" t="inlineStr">
        <is>
          <t>菲菲上班吃什么</t>
        </is>
      </c>
      <c r="E1451" t="inlineStr">
        <is>
          <t>49936530607</t>
        </is>
      </c>
      <c r="F1451" t="inlineStr">
        <is>
          <t>2026-04-22 15:30:00</t>
        </is>
      </c>
      <c r="G1451" t="inlineStr">
        <is>
          <t>图文</t>
        </is>
      </c>
      <c r="H1451" t="inlineStr">
        <is>
          <t>手剥虾仁 无冰衣无添加 低脂餐一人食 上班带饭 顺丰包邮 5盒装</t>
        </is>
      </c>
      <c r="I1451" t="inlineStr">
        <is>
          <t>694baba01d450d00013662f0</t>
        </is>
      </c>
      <c r="J1451" t="inlineStr">
        <is>
          <t/>
        </is>
      </c>
      <c r="K1451" t="n">
        <v>0.0</v>
      </c>
      <c r="L1451" t="n">
        <v>0.0</v>
      </c>
      <c r="M1451" t="n">
        <v>0.0</v>
      </c>
      <c r="N1451" t="inlineStr">
        <is>
          <t/>
        </is>
      </c>
      <c r="O1451" t="n">
        <v>0.0</v>
      </c>
      <c r="P1451" t="n">
        <v>0.0</v>
      </c>
      <c r="Q1451" t="inlineStr">
        <is>
          <t/>
        </is>
      </c>
      <c r="R1451" t="inlineStr">
        <is>
          <t/>
        </is>
      </c>
      <c r="S1451" t="n">
        <v>0.0</v>
      </c>
      <c r="T1451" t="n">
        <v>0.0</v>
      </c>
      <c r="U1451" t="n">
        <v>0.0</v>
      </c>
      <c r="V1451" t="n">
        <v>0.0</v>
      </c>
      <c r="W1451" t="inlineStr">
        <is>
          <t/>
        </is>
      </c>
      <c r="X1451" t="n">
        <v>0.0</v>
      </c>
      <c r="Y1451" t="n">
        <v>0.0</v>
      </c>
      <c r="Z1451" t="n">
        <v>0.0</v>
      </c>
      <c r="AA1451" t="n">
        <v>0.0</v>
      </c>
      <c r="AB1451" t="n">
        <v>0.0</v>
      </c>
      <c r="AC1451" t="n">
        <v>0.0</v>
      </c>
      <c r="AD1451" t="n">
        <v>0.0</v>
      </c>
      <c r="AE1451" t="n">
        <v>0.0</v>
      </c>
      <c r="AF1451" t="n">
        <v>0.0</v>
      </c>
      <c r="AG1451" t="n">
        <v>0.0</v>
      </c>
      <c r="AH1451" t="n">
        <v>0.0</v>
      </c>
      <c r="AI1451" t="n">
        <v>0.0</v>
      </c>
      <c r="AJ1451" t="n">
        <v>0.0</v>
      </c>
      <c r="AK1451" t="inlineStr">
        <is>
          <t/>
        </is>
      </c>
      <c r="AL1451" t="inlineStr">
        <is>
          <t/>
        </is>
      </c>
    </row>
    <row r="1452">
      <c r="A1452" t="inlineStr">
        <is>
          <t>69块吃不了一顿火锅，但承包我一周减脂餐！</t>
        </is>
      </c>
      <c r="B1452" t="inlineStr">
        <is>
          <t>69e857a4000000001a02e5de</t>
        </is>
      </c>
      <c r="C1452" s="1451" t="n">
        <f>HYPERLINK("https://www.xiaohongshu.com/explore/69e857a4000000001a02e5de?xsec_token=TBrsJGfbmdICsvnXoyd4QdRvetXUw3DAd5bJR48n2mfDo=&amp;xsec_source=pc_trdark","https://www.xiaohongshu.com/explore/69e857a4000000001a02e5de?xsec_token=TBrsJGfbmdICsvnXoyd4QdRvetXUw3DAd5bJR48n2mfDo=&amp;xsec_source=pc_trdark")</f>
        <v>0.0</v>
      </c>
      <c r="D1452" t="inlineStr">
        <is>
          <t>菲菲上班吃什么</t>
        </is>
      </c>
      <c r="E1452" t="inlineStr">
        <is>
          <t>49936530607</t>
        </is>
      </c>
      <c r="F1452" t="inlineStr">
        <is>
          <t>2026-04-22 13:07:48</t>
        </is>
      </c>
      <c r="G1452" t="inlineStr">
        <is>
          <t>图文</t>
        </is>
      </c>
      <c r="H1452" t="inlineStr">
        <is>
          <t>手剥虾仁 无冰衣无添加 低脂餐一人食 上班带饭 顺丰包邮 5盒装</t>
        </is>
      </c>
      <c r="I1452" t="inlineStr">
        <is>
          <t>694baba01d450d00013662f0</t>
        </is>
      </c>
      <c r="J1452" t="inlineStr">
        <is>
          <t/>
        </is>
      </c>
      <c r="K1452" t="n">
        <v>0.0</v>
      </c>
      <c r="L1452" t="n">
        <v>0.0</v>
      </c>
      <c r="M1452" t="n">
        <v>0.0</v>
      </c>
      <c r="N1452" t="inlineStr">
        <is>
          <t/>
        </is>
      </c>
      <c r="O1452" t="n">
        <v>0.0</v>
      </c>
      <c r="P1452" t="n">
        <v>0.0</v>
      </c>
      <c r="Q1452" t="inlineStr">
        <is>
          <t/>
        </is>
      </c>
      <c r="R1452" t="inlineStr">
        <is>
          <t/>
        </is>
      </c>
      <c r="S1452" t="n">
        <v>0.0</v>
      </c>
      <c r="T1452" t="n">
        <v>0.0</v>
      </c>
      <c r="U1452" t="n">
        <v>0.0</v>
      </c>
      <c r="V1452" t="n">
        <v>0.0</v>
      </c>
      <c r="W1452" t="inlineStr">
        <is>
          <t/>
        </is>
      </c>
      <c r="X1452" t="n">
        <v>0.0</v>
      </c>
      <c r="Y1452" t="n">
        <v>0.0</v>
      </c>
      <c r="Z1452" t="n">
        <v>0.0</v>
      </c>
      <c r="AA1452" t="n">
        <v>0.0</v>
      </c>
      <c r="AB1452" t="n">
        <v>0.0</v>
      </c>
      <c r="AC1452" t="n">
        <v>0.0</v>
      </c>
      <c r="AD1452" t="n">
        <v>0.0</v>
      </c>
      <c r="AE1452" t="n">
        <v>0.0</v>
      </c>
      <c r="AF1452" t="n">
        <v>0.0</v>
      </c>
      <c r="AG1452" t="n">
        <v>0.0</v>
      </c>
      <c r="AH1452" t="n">
        <v>0.0</v>
      </c>
      <c r="AI1452" t="n">
        <v>0.0</v>
      </c>
      <c r="AJ1452" t="n">
        <v>0.0</v>
      </c>
      <c r="AK1452" t="inlineStr">
        <is>
          <t/>
        </is>
      </c>
      <c r="AL1452" t="inlineStr">
        <is>
          <t/>
        </is>
      </c>
    </row>
    <row r="1453">
      <c r="A1453" t="inlineStr">
        <is>
          <t>区区69元，承包我一周减脂快乐😁</t>
        </is>
      </c>
      <c r="B1453" t="inlineStr">
        <is>
          <t>69e83ee9000000001a02f43e</t>
        </is>
      </c>
      <c r="C1453" s="1452" t="n">
        <f>HYPERLINK("https://www.xiaohongshu.com/explore/69e83ee9000000001a02f43e?xsec_token=TBrsJGfbmdICsvnXoyd4QdRorbHbfUNkuva6hiKm-f3Ro=&amp;xsec_source=pc_trdark","https://www.xiaohongshu.com/explore/69e83ee9000000001a02f43e?xsec_token=TBrsJGfbmdICsvnXoyd4QdRorbHbfUNkuva6hiKm-f3Ro=&amp;xsec_source=pc_trdark")</f>
        <v>0.0</v>
      </c>
      <c r="D1453" t="inlineStr">
        <is>
          <t>菲菲上班吃什么</t>
        </is>
      </c>
      <c r="E1453" t="inlineStr">
        <is>
          <t>49936530607</t>
        </is>
      </c>
      <c r="F1453" t="inlineStr">
        <is>
          <t>2026-04-22 11:40:00</t>
        </is>
      </c>
      <c r="G1453" t="inlineStr">
        <is>
          <t>图文</t>
        </is>
      </c>
      <c r="H1453" t="inlineStr">
        <is>
          <t>手剥虾仁 无冰衣无添加 低脂餐一人食 上班带饭 顺丰包邮 5盒装</t>
        </is>
      </c>
      <c r="I1453" t="inlineStr">
        <is>
          <t>694baba01d450d00013662f0</t>
        </is>
      </c>
      <c r="J1453" t="inlineStr">
        <is>
          <t/>
        </is>
      </c>
      <c r="K1453" t="n">
        <v>0.0</v>
      </c>
      <c r="L1453" t="n">
        <v>0.0</v>
      </c>
      <c r="M1453" t="n">
        <v>0.0</v>
      </c>
      <c r="N1453" t="inlineStr">
        <is>
          <t/>
        </is>
      </c>
      <c r="O1453" t="n">
        <v>0.0</v>
      </c>
      <c r="P1453" t="n">
        <v>0.0</v>
      </c>
      <c r="Q1453" t="inlineStr">
        <is>
          <t/>
        </is>
      </c>
      <c r="R1453" t="inlineStr">
        <is>
          <t/>
        </is>
      </c>
      <c r="S1453" t="n">
        <v>0.0</v>
      </c>
      <c r="T1453" t="n">
        <v>0.0</v>
      </c>
      <c r="U1453" t="n">
        <v>0.0</v>
      </c>
      <c r="V1453" t="n">
        <v>0.0</v>
      </c>
      <c r="W1453" t="inlineStr">
        <is>
          <t/>
        </is>
      </c>
      <c r="X1453" t="n">
        <v>0.0</v>
      </c>
      <c r="Y1453" t="n">
        <v>0.0</v>
      </c>
      <c r="Z1453" t="n">
        <v>0.0</v>
      </c>
      <c r="AA1453" t="n">
        <v>0.0</v>
      </c>
      <c r="AB1453" t="n">
        <v>0.0</v>
      </c>
      <c r="AC1453" t="n">
        <v>0.0</v>
      </c>
      <c r="AD1453" t="n">
        <v>0.0</v>
      </c>
      <c r="AE1453" t="n">
        <v>0.0</v>
      </c>
      <c r="AF1453" t="n">
        <v>0.0</v>
      </c>
      <c r="AG1453" t="n">
        <v>0.0</v>
      </c>
      <c r="AH1453" t="n">
        <v>0.0</v>
      </c>
      <c r="AI1453" t="n">
        <v>0.0</v>
      </c>
      <c r="AJ1453" t="n">
        <v>0.0</v>
      </c>
      <c r="AK1453" t="inlineStr">
        <is>
          <t/>
        </is>
      </c>
      <c r="AL1453" t="inlineStr">
        <is>
          <t/>
        </is>
      </c>
    </row>
    <row r="1454">
      <c r="A1454" t="inlineStr">
        <is>
          <t>奉劝大家不要低估 100 来块的购买力……</t>
        </is>
      </c>
      <c r="B1454" t="inlineStr">
        <is>
          <t>69e82b32000000001f004781</t>
        </is>
      </c>
      <c r="C1454" s="1453" t="n">
        <f>HYPERLINK("https://www.xiaohongshu.com/explore/69e82b32000000001f004781?xsec_token=TBrsJGfbmdICsvnXoyd4QdRg3YJtZHxYPWeU_L5wcPrcY=&amp;xsec_source=pc_trdark","https://www.xiaohongshu.com/explore/69e82b32000000001f004781?xsec_token=TBrsJGfbmdICsvnXoyd4QdRg3YJtZHxYPWeU_L5wcPrcY=&amp;xsec_source=pc_trdark")</f>
        <v>0.0</v>
      </c>
      <c r="D1454" t="inlineStr">
        <is>
          <t>婉婉上班吃什么</t>
        </is>
      </c>
      <c r="E1454" t="inlineStr">
        <is>
          <t>11434449706</t>
        </is>
      </c>
      <c r="F1454" t="inlineStr">
        <is>
          <t>2026-04-22 09:58:10</t>
        </is>
      </c>
      <c r="G1454" t="inlineStr">
        <is>
          <t>图文</t>
        </is>
      </c>
      <c r="H1454" t="inlineStr">
        <is>
          <t>手剥虾仁 无冰衣无添加 低脂餐一人食 上班带饭 顺丰包邮 5盒装</t>
        </is>
      </c>
      <c r="I1454" t="inlineStr">
        <is>
          <t>694baba01d450d00013662f0</t>
        </is>
      </c>
      <c r="J1454" t="inlineStr">
        <is>
          <t/>
        </is>
      </c>
      <c r="K1454" t="n">
        <v>0.0</v>
      </c>
      <c r="L1454" t="n">
        <v>0.0</v>
      </c>
      <c r="M1454" t="n">
        <v>0.0</v>
      </c>
      <c r="N1454" t="inlineStr">
        <is>
          <t/>
        </is>
      </c>
      <c r="O1454" t="n">
        <v>0.0</v>
      </c>
      <c r="P1454" t="n">
        <v>0.0</v>
      </c>
      <c r="Q1454" t="inlineStr">
        <is>
          <t/>
        </is>
      </c>
      <c r="R1454" t="inlineStr">
        <is>
          <t/>
        </is>
      </c>
      <c r="S1454" t="n">
        <v>0.0</v>
      </c>
      <c r="T1454" t="n">
        <v>0.0</v>
      </c>
      <c r="U1454" t="n">
        <v>0.0</v>
      </c>
      <c r="V1454" t="n">
        <v>0.0</v>
      </c>
      <c r="W1454" t="inlineStr">
        <is>
          <t/>
        </is>
      </c>
      <c r="X1454" t="n">
        <v>0.0</v>
      </c>
      <c r="Y1454" t="n">
        <v>0.0</v>
      </c>
      <c r="Z1454" t="n">
        <v>0.0</v>
      </c>
      <c r="AA1454" t="n">
        <v>0.0</v>
      </c>
      <c r="AB1454" t="n">
        <v>0.0</v>
      </c>
      <c r="AC1454" t="n">
        <v>0.0</v>
      </c>
      <c r="AD1454" t="n">
        <v>0.0</v>
      </c>
      <c r="AE1454" t="n">
        <v>0.0</v>
      </c>
      <c r="AF1454" t="n">
        <v>0.0</v>
      </c>
      <c r="AG1454" t="n">
        <v>0.0</v>
      </c>
      <c r="AH1454" t="n">
        <v>0.0</v>
      </c>
      <c r="AI1454" t="n">
        <v>0.0</v>
      </c>
      <c r="AJ1454" t="n">
        <v>0.0</v>
      </c>
      <c r="AK1454" t="inlineStr">
        <is>
          <t/>
        </is>
      </c>
      <c r="AL1454" t="inlineStr">
        <is>
          <t/>
        </is>
      </c>
    </row>
    <row r="1455">
      <c r="A1455" t="inlineStr">
        <is>
          <t>69块解决了我一周轻食餐了……</t>
        </is>
      </c>
      <c r="B1455" t="inlineStr">
        <is>
          <t>69e77c37000000002301c7ba</t>
        </is>
      </c>
      <c r="C1455" s="1454" t="n">
        <f>HYPERLINK("https://www.xiaohongshu.com/explore/69e77c37000000002301c7ba?xsec_token=TBxJD1S06w8M0Ib6UdHEwWiGUMeyC5fbjgx7cQkYFlFjQ=&amp;xsec_source=pc_trdark","https://www.xiaohongshu.com/explore/69e77c37000000002301c7ba?xsec_token=TBxJD1S06w8M0Ib6UdHEwWiGUMeyC5fbjgx7cQkYFlFjQ=&amp;xsec_source=pc_trdark")</f>
        <v>0.0</v>
      </c>
      <c r="D1455" t="inlineStr">
        <is>
          <t>婉婉上班吃什么</t>
        </is>
      </c>
      <c r="E1455" t="inlineStr">
        <is>
          <t>11434449706</t>
        </is>
      </c>
      <c r="F1455" t="inlineStr">
        <is>
          <t>2026-04-21 21:31:35</t>
        </is>
      </c>
      <c r="G1455" t="inlineStr">
        <is>
          <t>图文</t>
        </is>
      </c>
      <c r="H1455" t="inlineStr">
        <is>
          <t>手剥虾仁 无冰衣无添加 低脂餐一人食 上班带饭 顺丰包邮 5盒装</t>
        </is>
      </c>
      <c r="I1455" t="inlineStr">
        <is>
          <t>694baba01d450d00013662f0</t>
        </is>
      </c>
      <c r="J1455" t="inlineStr">
        <is>
          <t/>
        </is>
      </c>
      <c r="K1455" t="n">
        <v>0.0</v>
      </c>
      <c r="L1455" t="n">
        <v>0.0</v>
      </c>
      <c r="M1455" t="n">
        <v>0.0</v>
      </c>
      <c r="N1455" t="inlineStr">
        <is>
          <t/>
        </is>
      </c>
      <c r="O1455" t="n">
        <v>0.0</v>
      </c>
      <c r="P1455" t="n">
        <v>0.0</v>
      </c>
      <c r="Q1455" t="inlineStr">
        <is>
          <t/>
        </is>
      </c>
      <c r="R1455" t="inlineStr">
        <is>
          <t/>
        </is>
      </c>
      <c r="S1455" t="n">
        <v>0.0</v>
      </c>
      <c r="T1455" t="n">
        <v>0.0</v>
      </c>
      <c r="U1455" t="n">
        <v>0.0</v>
      </c>
      <c r="V1455" t="n">
        <v>0.0</v>
      </c>
      <c r="W1455" t="inlineStr">
        <is>
          <t/>
        </is>
      </c>
      <c r="X1455" t="n">
        <v>0.0</v>
      </c>
      <c r="Y1455" t="n">
        <v>0.0</v>
      </c>
      <c r="Z1455" t="n">
        <v>0.0</v>
      </c>
      <c r="AA1455" t="n">
        <v>0.0</v>
      </c>
      <c r="AB1455" t="n">
        <v>0.0</v>
      </c>
      <c r="AC1455" t="n">
        <v>0.0</v>
      </c>
      <c r="AD1455" t="n">
        <v>0.0</v>
      </c>
      <c r="AE1455" t="n">
        <v>0.0</v>
      </c>
      <c r="AF1455" t="n">
        <v>0.0</v>
      </c>
      <c r="AG1455" t="n">
        <v>0.0</v>
      </c>
      <c r="AH1455" t="n">
        <v>0.0</v>
      </c>
      <c r="AI1455" t="n">
        <v>0.0</v>
      </c>
      <c r="AJ1455" t="n">
        <v>0.0</v>
      </c>
      <c r="AK1455" t="inlineStr">
        <is>
          <t/>
        </is>
      </c>
      <c r="AL1455" t="inlineStr">
        <is>
          <t/>
        </is>
      </c>
    </row>
    <row r="1456">
      <c r="A1456" t="inlineStr">
        <is>
          <t>凭一己之力带动整个办公室吃虾！</t>
        </is>
      </c>
      <c r="B1456" t="inlineStr">
        <is>
          <t>69e77a6b000000001e00f094</t>
        </is>
      </c>
      <c r="C1456" s="1455" t="n">
        <f>HYPERLINK("https://www.xiaohongshu.com/explore/69e77a6b000000001e00f094?xsec_token=TBxJD1S06w8M0Ib6UdHEwWiNvcp-9unM43scrpwU0KfOs=&amp;xsec_source=pc_trdark","https://www.xiaohongshu.com/explore/69e77a6b000000001e00f094?xsec_token=TBxJD1S06w8M0Ib6UdHEwWiNvcp-9unM43scrpwU0KfOs=&amp;xsec_source=pc_trdark")</f>
        <v>0.0</v>
      </c>
      <c r="D1456" t="inlineStr">
        <is>
          <t>菲菲上班吃什么</t>
        </is>
      </c>
      <c r="E1456" t="inlineStr">
        <is>
          <t>49936530607</t>
        </is>
      </c>
      <c r="F1456" t="inlineStr">
        <is>
          <t>2026-04-21 21:23:55</t>
        </is>
      </c>
      <c r="G1456" t="inlineStr">
        <is>
          <t>图文</t>
        </is>
      </c>
      <c r="H1456" t="inlineStr">
        <is>
          <t>手剥虾仁 无冰衣无添加 低脂餐一人食 上班带饭 顺丰包邮 5盒装</t>
        </is>
      </c>
      <c r="I1456" t="inlineStr">
        <is>
          <t>694baba01d450d00013662f0</t>
        </is>
      </c>
      <c r="J1456" t="inlineStr">
        <is>
          <t/>
        </is>
      </c>
      <c r="K1456" t="n">
        <v>0.0</v>
      </c>
      <c r="L1456" t="n">
        <v>0.0</v>
      </c>
      <c r="M1456" t="n">
        <v>0.0</v>
      </c>
      <c r="N1456" t="inlineStr">
        <is>
          <t/>
        </is>
      </c>
      <c r="O1456" t="n">
        <v>0.0</v>
      </c>
      <c r="P1456" t="n">
        <v>0.0</v>
      </c>
      <c r="Q1456" t="inlineStr">
        <is>
          <t/>
        </is>
      </c>
      <c r="R1456" t="inlineStr">
        <is>
          <t/>
        </is>
      </c>
      <c r="S1456" t="n">
        <v>0.0</v>
      </c>
      <c r="T1456" t="n">
        <v>0.0</v>
      </c>
      <c r="U1456" t="n">
        <v>0.0</v>
      </c>
      <c r="V1456" t="n">
        <v>0.0</v>
      </c>
      <c r="W1456" t="inlineStr">
        <is>
          <t/>
        </is>
      </c>
      <c r="X1456" t="n">
        <v>0.0</v>
      </c>
      <c r="Y1456" t="n">
        <v>0.0</v>
      </c>
      <c r="Z1456" t="n">
        <v>0.0</v>
      </c>
      <c r="AA1456" t="n">
        <v>0.0</v>
      </c>
      <c r="AB1456" t="n">
        <v>0.0</v>
      </c>
      <c r="AC1456" t="n">
        <v>0.0</v>
      </c>
      <c r="AD1456" t="n">
        <v>0.0</v>
      </c>
      <c r="AE1456" t="n">
        <v>0.0</v>
      </c>
      <c r="AF1456" t="n">
        <v>0.0</v>
      </c>
      <c r="AG1456" t="n">
        <v>0.0</v>
      </c>
      <c r="AH1456" t="n">
        <v>0.0</v>
      </c>
      <c r="AI1456" t="n">
        <v>0.0</v>
      </c>
      <c r="AJ1456" t="n">
        <v>0.0</v>
      </c>
      <c r="AK1456" t="inlineStr">
        <is>
          <t/>
        </is>
      </c>
      <c r="AL1456" t="inlineStr">
        <is>
          <t/>
        </is>
      </c>
    </row>
    <row r="1457">
      <c r="A1457" t="inlineStr">
        <is>
          <t>减脂期的快乐，我只花了69块就拥有了！</t>
        </is>
      </c>
      <c r="B1457" t="inlineStr">
        <is>
          <t>69e73a440000000021007e6f</t>
        </is>
      </c>
      <c r="C1457" s="1456" t="n">
        <f>HYPERLINK("https://www.xiaohongshu.com/explore/69e73a440000000021007e6f?xsec_token=TBxJD1S06w8M0Ib6UdHEwWiEteXzsKKm2EImQ04lHTT_g=&amp;xsec_source=pc_trdark","https://www.xiaohongshu.com/explore/69e73a440000000021007e6f?xsec_token=TBxJD1S06w8M0Ib6UdHEwWiEteXzsKKm2EImQ04lHTT_g=&amp;xsec_source=pc_trdark")</f>
        <v>0.0</v>
      </c>
      <c r="D1457" t="inlineStr">
        <is>
          <t>鲜水湾甄选</t>
        </is>
      </c>
      <c r="E1457" t="inlineStr">
        <is>
          <t>27401929161</t>
        </is>
      </c>
      <c r="F1457" t="inlineStr">
        <is>
          <t>2026-04-22 15:30:00</t>
        </is>
      </c>
      <c r="G1457" t="inlineStr">
        <is>
          <t>图文</t>
        </is>
      </c>
      <c r="H1457" t="inlineStr">
        <is>
          <t>手剥虾仁 无冰衣无添加 低脂餐一人食 上班带饭 顺丰包邮 5盒装</t>
        </is>
      </c>
      <c r="I1457" t="inlineStr">
        <is>
          <t>694baba01d450d00013662f0</t>
        </is>
      </c>
      <c r="J1457" t="inlineStr">
        <is>
          <t/>
        </is>
      </c>
      <c r="K1457" t="n">
        <v>0.0</v>
      </c>
      <c r="L1457" t="n">
        <v>0.0</v>
      </c>
      <c r="M1457" t="n">
        <v>0.0</v>
      </c>
      <c r="N1457" t="inlineStr">
        <is>
          <t/>
        </is>
      </c>
      <c r="O1457" t="n">
        <v>0.0</v>
      </c>
      <c r="P1457" t="n">
        <v>0.0</v>
      </c>
      <c r="Q1457" t="inlineStr">
        <is>
          <t/>
        </is>
      </c>
      <c r="R1457" t="inlineStr">
        <is>
          <t/>
        </is>
      </c>
      <c r="S1457" t="n">
        <v>0.0</v>
      </c>
      <c r="T1457" t="n">
        <v>0.0</v>
      </c>
      <c r="U1457" t="n">
        <v>0.0</v>
      </c>
      <c r="V1457" t="n">
        <v>0.0</v>
      </c>
      <c r="W1457" t="inlineStr">
        <is>
          <t/>
        </is>
      </c>
      <c r="X1457" t="n">
        <v>0.0</v>
      </c>
      <c r="Y1457" t="n">
        <v>0.0</v>
      </c>
      <c r="Z1457" t="n">
        <v>0.0</v>
      </c>
      <c r="AA1457" t="n">
        <v>0.0</v>
      </c>
      <c r="AB1457" t="n">
        <v>0.0</v>
      </c>
      <c r="AC1457" t="n">
        <v>0.0</v>
      </c>
      <c r="AD1457" t="n">
        <v>0.0</v>
      </c>
      <c r="AE1457" t="n">
        <v>0.0</v>
      </c>
      <c r="AF1457" t="n">
        <v>0.0</v>
      </c>
      <c r="AG1457" t="n">
        <v>0.0</v>
      </c>
      <c r="AH1457" t="n">
        <v>0.0</v>
      </c>
      <c r="AI1457" t="n">
        <v>0.0</v>
      </c>
      <c r="AJ1457" t="n">
        <v>0.0</v>
      </c>
      <c r="AK1457" t="inlineStr">
        <is>
          <t/>
        </is>
      </c>
      <c r="AL1457" t="inlineStr">
        <is>
          <t/>
        </is>
      </c>
    </row>
    <row r="1458">
      <c r="A1458" t="inlineStr">
        <is>
          <t>女孩们，吃饭的首要任务，是吃够100g蛋白质！</t>
        </is>
      </c>
      <c r="B1458" t="inlineStr">
        <is>
          <t>69e7355000000000230204e4</t>
        </is>
      </c>
      <c r="C1458" s="1457" t="n">
        <f>HYPERLINK("https://www.xiaohongshu.com/explore/69e7355000000000230204e4?xsec_token=TBxJD1S06w8M0Ib6UdHEwWiGD6BvCNY_exoU54moFxEJM=&amp;xsec_source=pc_trdark","https://www.xiaohongshu.com/explore/69e7355000000000230204e4?xsec_token=TBxJD1S06w8M0Ib6UdHEwWiGD6BvCNY_exoU54moFxEJM=&amp;xsec_source=pc_trdark")</f>
        <v>0.0</v>
      </c>
      <c r="D1458" t="inlineStr">
        <is>
          <t>鲜水湾甄选</t>
        </is>
      </c>
      <c r="E1458" t="inlineStr">
        <is>
          <t>27401929161</t>
        </is>
      </c>
      <c r="F1458" t="inlineStr">
        <is>
          <t>2026-04-22 14:30:00</t>
        </is>
      </c>
      <c r="G1458" t="inlineStr">
        <is>
          <t>图文</t>
        </is>
      </c>
      <c r="H1458" t="inlineStr">
        <is>
          <t>手剥虾仁 无冰衣无添加 低脂餐一人食 上班带饭 顺丰包邮 5盒装</t>
        </is>
      </c>
      <c r="I1458" t="inlineStr">
        <is>
          <t>694baba01d450d00013662f0</t>
        </is>
      </c>
      <c r="J1458" t="inlineStr">
        <is>
          <t/>
        </is>
      </c>
      <c r="K1458" t="n">
        <v>0.0</v>
      </c>
      <c r="L1458" t="n">
        <v>0.0</v>
      </c>
      <c r="M1458" t="n">
        <v>0.0</v>
      </c>
      <c r="N1458" t="inlineStr">
        <is>
          <t/>
        </is>
      </c>
      <c r="O1458" t="n">
        <v>0.0</v>
      </c>
      <c r="P1458" t="n">
        <v>0.0</v>
      </c>
      <c r="Q1458" t="inlineStr">
        <is>
          <t/>
        </is>
      </c>
      <c r="R1458" t="inlineStr">
        <is>
          <t/>
        </is>
      </c>
      <c r="S1458" t="n">
        <v>0.0</v>
      </c>
      <c r="T1458" t="n">
        <v>0.0</v>
      </c>
      <c r="U1458" t="n">
        <v>0.0</v>
      </c>
      <c r="V1458" t="n">
        <v>0.0</v>
      </c>
      <c r="W1458" t="inlineStr">
        <is>
          <t/>
        </is>
      </c>
      <c r="X1458" t="n">
        <v>0.0</v>
      </c>
      <c r="Y1458" t="n">
        <v>0.0</v>
      </c>
      <c r="Z1458" t="n">
        <v>0.0</v>
      </c>
      <c r="AA1458" t="n">
        <v>0.0</v>
      </c>
      <c r="AB1458" t="n">
        <v>0.0</v>
      </c>
      <c r="AC1458" t="n">
        <v>0.0</v>
      </c>
      <c r="AD1458" t="n">
        <v>0.0</v>
      </c>
      <c r="AE1458" t="n">
        <v>0.0</v>
      </c>
      <c r="AF1458" t="n">
        <v>0.0</v>
      </c>
      <c r="AG1458" t="n">
        <v>0.0</v>
      </c>
      <c r="AH1458" t="n">
        <v>0.0</v>
      </c>
      <c r="AI1458" t="n">
        <v>0.0</v>
      </c>
      <c r="AJ1458" t="n">
        <v>0.0</v>
      </c>
      <c r="AK1458" t="inlineStr">
        <is>
          <t/>
        </is>
      </c>
      <c r="AL1458" t="inlineStr">
        <is>
          <t/>
        </is>
      </c>
    </row>
    <row r="1459">
      <c r="A1459" t="inlineStr">
        <is>
          <t>SOS！连续一周带虾仁便当被同事追着问工资</t>
        </is>
      </c>
      <c r="B1459" t="inlineStr">
        <is>
          <t>69e73130000000001d01fc0a</t>
        </is>
      </c>
      <c r="C1459" s="1458" t="n">
        <f>HYPERLINK("https://www.xiaohongshu.com/explore/69e73130000000001d01fc0a?xsec_token=TBxJD1S06w8M0Ib6UdHEwWiN9eVQdQCz8p2pPCHiR9DUc=&amp;xsec_source=pc_trdark","https://www.xiaohongshu.com/explore/69e73130000000001d01fc0a?xsec_token=TBxJD1S06w8M0Ib6UdHEwWiN9eVQdQCz8p2pPCHiR9DUc=&amp;xsec_source=pc_trdark")</f>
        <v>0.0</v>
      </c>
      <c r="D1459" t="inlineStr">
        <is>
          <t>鲜水湾甄选</t>
        </is>
      </c>
      <c r="E1459" t="inlineStr">
        <is>
          <t>27401929161</t>
        </is>
      </c>
      <c r="F1459" t="inlineStr">
        <is>
          <t>2026-04-22 13:30:00</t>
        </is>
      </c>
      <c r="G1459" t="inlineStr">
        <is>
          <t>图文</t>
        </is>
      </c>
      <c r="H1459" t="inlineStr">
        <is>
          <t>手剥虾仁 无冰衣无添加 低脂餐一人食 上班带饭 顺丰包邮 5盒装</t>
        </is>
      </c>
      <c r="I1459" t="inlineStr">
        <is>
          <t>694baba01d450d00013662f0</t>
        </is>
      </c>
      <c r="J1459" t="inlineStr">
        <is>
          <t/>
        </is>
      </c>
      <c r="K1459" t="n">
        <v>0.0</v>
      </c>
      <c r="L1459" t="n">
        <v>0.0</v>
      </c>
      <c r="M1459" t="n">
        <v>0.0</v>
      </c>
      <c r="N1459" t="inlineStr">
        <is>
          <t/>
        </is>
      </c>
      <c r="O1459" t="n">
        <v>0.0</v>
      </c>
      <c r="P1459" t="n">
        <v>0.0</v>
      </c>
      <c r="Q1459" t="inlineStr">
        <is>
          <t/>
        </is>
      </c>
      <c r="R1459" t="inlineStr">
        <is>
          <t/>
        </is>
      </c>
      <c r="S1459" t="n">
        <v>0.0</v>
      </c>
      <c r="T1459" t="n">
        <v>0.0</v>
      </c>
      <c r="U1459" t="n">
        <v>0.0</v>
      </c>
      <c r="V1459" t="n">
        <v>0.0</v>
      </c>
      <c r="W1459" t="inlineStr">
        <is>
          <t/>
        </is>
      </c>
      <c r="X1459" t="n">
        <v>0.0</v>
      </c>
      <c r="Y1459" t="n">
        <v>0.0</v>
      </c>
      <c r="Z1459" t="n">
        <v>0.0</v>
      </c>
      <c r="AA1459" t="n">
        <v>0.0</v>
      </c>
      <c r="AB1459" t="n">
        <v>0.0</v>
      </c>
      <c r="AC1459" t="n">
        <v>0.0</v>
      </c>
      <c r="AD1459" t="n">
        <v>0.0</v>
      </c>
      <c r="AE1459" t="n">
        <v>0.0</v>
      </c>
      <c r="AF1459" t="n">
        <v>0.0</v>
      </c>
      <c r="AG1459" t="n">
        <v>0.0</v>
      </c>
      <c r="AH1459" t="n">
        <v>0.0</v>
      </c>
      <c r="AI1459" t="n">
        <v>0.0</v>
      </c>
      <c r="AJ1459" t="n">
        <v>0.0</v>
      </c>
      <c r="AK1459" t="inlineStr">
        <is>
          <t/>
        </is>
      </c>
      <c r="AL1459" t="inlineStr">
        <is>
          <t/>
        </is>
      </c>
    </row>
    <row r="1460">
      <c r="A1460" t="inlineStr">
        <is>
          <t>年轻人严重低估了69的购买力！</t>
        </is>
      </c>
      <c r="B1460" t="inlineStr">
        <is>
          <t>69e72b5e000000001d019e44</t>
        </is>
      </c>
      <c r="C1460" s="1459" t="n">
        <f>HYPERLINK("https://www.xiaohongshu.com/explore/69e72b5e000000001d019e44?xsec_token=TBxJD1S06w8M0Ib6UdHEwWiGWUR1jqMibQbzlKOsB7bjw=&amp;xsec_source=pc_trdark","https://www.xiaohongshu.com/explore/69e72b5e000000001d019e44?xsec_token=TBxJD1S06w8M0Ib6UdHEwWiGWUR1jqMibQbzlKOsB7bjw=&amp;xsec_source=pc_trdark")</f>
        <v>0.0</v>
      </c>
      <c r="D1460" t="inlineStr">
        <is>
          <t>鲜水湾甄选</t>
        </is>
      </c>
      <c r="E1460" t="inlineStr">
        <is>
          <t>27401929161</t>
        </is>
      </c>
      <c r="F1460" t="inlineStr">
        <is>
          <t>2026-04-22 10:30:00</t>
        </is>
      </c>
      <c r="G1460" t="inlineStr">
        <is>
          <t>图文</t>
        </is>
      </c>
      <c r="H1460" t="inlineStr">
        <is>
          <t>手剥虾仁 无冰衣无添加 低脂餐一人食 上班带饭 顺丰包邮 5盒装</t>
        </is>
      </c>
      <c r="I1460" t="inlineStr">
        <is>
          <t>694baba01d450d00013662f0</t>
        </is>
      </c>
      <c r="J1460" t="inlineStr">
        <is>
          <t/>
        </is>
      </c>
      <c r="K1460" t="n">
        <v>0.0</v>
      </c>
      <c r="L1460" t="n">
        <v>0.0</v>
      </c>
      <c r="M1460" t="n">
        <v>0.0</v>
      </c>
      <c r="N1460" t="inlineStr">
        <is>
          <t/>
        </is>
      </c>
      <c r="O1460" t="n">
        <v>0.0</v>
      </c>
      <c r="P1460" t="n">
        <v>0.0</v>
      </c>
      <c r="Q1460" t="inlineStr">
        <is>
          <t/>
        </is>
      </c>
      <c r="R1460" t="inlineStr">
        <is>
          <t/>
        </is>
      </c>
      <c r="S1460" t="n">
        <v>0.0</v>
      </c>
      <c r="T1460" t="n">
        <v>0.0</v>
      </c>
      <c r="U1460" t="n">
        <v>0.0</v>
      </c>
      <c r="V1460" t="n">
        <v>0.0</v>
      </c>
      <c r="W1460" t="inlineStr">
        <is>
          <t/>
        </is>
      </c>
      <c r="X1460" t="n">
        <v>0.0</v>
      </c>
      <c r="Y1460" t="n">
        <v>0.0</v>
      </c>
      <c r="Z1460" t="n">
        <v>0.0</v>
      </c>
      <c r="AA1460" t="n">
        <v>0.0</v>
      </c>
      <c r="AB1460" t="n">
        <v>0.0</v>
      </c>
      <c r="AC1460" t="n">
        <v>0.0</v>
      </c>
      <c r="AD1460" t="n">
        <v>0.0</v>
      </c>
      <c r="AE1460" t="n">
        <v>0.0</v>
      </c>
      <c r="AF1460" t="n">
        <v>0.0</v>
      </c>
      <c r="AG1460" t="n">
        <v>0.0</v>
      </c>
      <c r="AH1460" t="n">
        <v>0.0</v>
      </c>
      <c r="AI1460" t="n">
        <v>0.0</v>
      </c>
      <c r="AJ1460" t="n">
        <v>0.0</v>
      </c>
      <c r="AK1460" t="inlineStr">
        <is>
          <t/>
        </is>
      </c>
      <c r="AL1460" t="inlineStr">
        <is>
          <t/>
        </is>
      </c>
    </row>
    <row r="1461">
      <c r="A1461" t="inlineStr">
        <is>
          <t>谁懂啊？sam不知道小份装虾仁的快乐啊！</t>
        </is>
      </c>
      <c r="B1461" t="inlineStr">
        <is>
          <t>69e721aa00000000230211f1</t>
        </is>
      </c>
      <c r="C1461" s="1460" t="n">
        <f>HYPERLINK("https://www.xiaohongshu.com/explore/69e721aa00000000230211f1?xsec_token=TBxJD1S06w8M0Ib6UdHEwWiAbIO3XMKt-HqTi4diRwqwM=&amp;xsec_source=pc_trdark","https://www.xiaohongshu.com/explore/69e721aa00000000230211f1?xsec_token=TBxJD1S06w8M0Ib6UdHEwWiAbIO3XMKt-HqTi4diRwqwM=&amp;xsec_source=pc_trdark")</f>
        <v>0.0</v>
      </c>
      <c r="D1461" t="inlineStr">
        <is>
          <t>鲜水湾甄选</t>
        </is>
      </c>
      <c r="E1461" t="inlineStr">
        <is>
          <t>27401929161</t>
        </is>
      </c>
      <c r="F1461" t="inlineStr">
        <is>
          <t>2026-04-22 09:30:00</t>
        </is>
      </c>
      <c r="G1461" t="inlineStr">
        <is>
          <t>图文</t>
        </is>
      </c>
      <c r="H1461" t="inlineStr">
        <is>
          <t>手剥虾仁 无冰衣无添加 低脂餐一人食 上班带饭 顺丰包邮 5盒装</t>
        </is>
      </c>
      <c r="I1461" t="inlineStr">
        <is>
          <t>694baba01d450d00013662f0</t>
        </is>
      </c>
      <c r="J1461" t="inlineStr">
        <is>
          <t/>
        </is>
      </c>
      <c r="K1461" t="n">
        <v>0.0</v>
      </c>
      <c r="L1461" t="n">
        <v>0.0</v>
      </c>
      <c r="M1461" t="n">
        <v>0.0</v>
      </c>
      <c r="N1461" t="inlineStr">
        <is>
          <t/>
        </is>
      </c>
      <c r="O1461" t="n">
        <v>0.0</v>
      </c>
      <c r="P1461" t="n">
        <v>0.0</v>
      </c>
      <c r="Q1461" t="inlineStr">
        <is>
          <t/>
        </is>
      </c>
      <c r="R1461" t="inlineStr">
        <is>
          <t/>
        </is>
      </c>
      <c r="S1461" t="n">
        <v>0.0</v>
      </c>
      <c r="T1461" t="n">
        <v>0.0</v>
      </c>
      <c r="U1461" t="n">
        <v>0.0</v>
      </c>
      <c r="V1461" t="n">
        <v>0.0</v>
      </c>
      <c r="W1461" t="inlineStr">
        <is>
          <t/>
        </is>
      </c>
      <c r="X1461" t="n">
        <v>0.0</v>
      </c>
      <c r="Y1461" t="n">
        <v>0.0</v>
      </c>
      <c r="Z1461" t="n">
        <v>0.0</v>
      </c>
      <c r="AA1461" t="n">
        <v>0.0</v>
      </c>
      <c r="AB1461" t="n">
        <v>0.0</v>
      </c>
      <c r="AC1461" t="n">
        <v>0.0</v>
      </c>
      <c r="AD1461" t="n">
        <v>0.0</v>
      </c>
      <c r="AE1461" t="n">
        <v>0.0</v>
      </c>
      <c r="AF1461" t="n">
        <v>0.0</v>
      </c>
      <c r="AG1461" t="n">
        <v>0.0</v>
      </c>
      <c r="AH1461" t="n">
        <v>0.0</v>
      </c>
      <c r="AI1461" t="n">
        <v>0.0</v>
      </c>
      <c r="AJ1461" t="n">
        <v>0.0</v>
      </c>
      <c r="AK1461" t="inlineStr">
        <is>
          <t/>
        </is>
      </c>
      <c r="AL1461" t="inlineStr">
        <is>
          <t/>
        </is>
      </c>
    </row>
    <row r="1462">
      <c r="A1462" t="inlineStr">
        <is>
          <t>爸妈对于我每天吃一盒虾仁表示很奢侈</t>
        </is>
      </c>
      <c r="B1462" t="inlineStr">
        <is>
          <t>69e6efa900000000230217ee</t>
        </is>
      </c>
      <c r="C1462" s="1461" t="n">
        <f>HYPERLINK("https://www.xiaohongshu.com/explore/69e6efa900000000230217ee?xsec_token=TBXs2O6r9V_Qdtui9pffX9XanSLgC4PkJzybMYLFdFsyg=&amp;xsec_source=pc_trdark","https://www.xiaohongshu.com/explore/69e6efa900000000230217ee?xsec_token=TBXs2O6r9V_Qdtui9pffX9XanSLgC4PkJzybMYLFdFsyg=&amp;xsec_source=pc_trdark")</f>
        <v>0.0</v>
      </c>
      <c r="D1462" t="inlineStr">
        <is>
          <t>鲜水湾甄选</t>
        </is>
      </c>
      <c r="E1462" t="inlineStr">
        <is>
          <t>27401929161</t>
        </is>
      </c>
      <c r="F1462" t="inlineStr">
        <is>
          <t>2026-04-21 14:30:00</t>
        </is>
      </c>
      <c r="G1462" t="inlineStr">
        <is>
          <t>图文</t>
        </is>
      </c>
      <c r="H1462" t="inlineStr">
        <is>
          <t>手剥虾仁 无冰衣无添加 低脂餐一人食 上班带饭 顺丰包邮 5盒装</t>
        </is>
      </c>
      <c r="I1462" t="inlineStr">
        <is>
          <t>694baba01d450d00013662f0</t>
        </is>
      </c>
      <c r="J1462" t="inlineStr">
        <is>
          <t/>
        </is>
      </c>
      <c r="K1462" t="n">
        <v>0.0</v>
      </c>
      <c r="L1462" t="n">
        <v>0.0</v>
      </c>
      <c r="M1462" t="n">
        <v>0.0</v>
      </c>
      <c r="N1462" t="inlineStr">
        <is>
          <t/>
        </is>
      </c>
      <c r="O1462" t="n">
        <v>0.0</v>
      </c>
      <c r="P1462" t="n">
        <v>0.0</v>
      </c>
      <c r="Q1462" t="inlineStr">
        <is>
          <t/>
        </is>
      </c>
      <c r="R1462" t="inlineStr">
        <is>
          <t/>
        </is>
      </c>
      <c r="S1462" t="n">
        <v>0.0</v>
      </c>
      <c r="T1462" t="n">
        <v>0.0</v>
      </c>
      <c r="U1462" t="n">
        <v>0.0</v>
      </c>
      <c r="V1462" t="n">
        <v>0.0</v>
      </c>
      <c r="W1462" t="inlineStr">
        <is>
          <t/>
        </is>
      </c>
      <c r="X1462" t="n">
        <v>0.0</v>
      </c>
      <c r="Y1462" t="n">
        <v>0.0</v>
      </c>
      <c r="Z1462" t="n">
        <v>0.0</v>
      </c>
      <c r="AA1462" t="n">
        <v>0.0</v>
      </c>
      <c r="AB1462" t="n">
        <v>0.0</v>
      </c>
      <c r="AC1462" t="n">
        <v>0.0</v>
      </c>
      <c r="AD1462" t="n">
        <v>0.0</v>
      </c>
      <c r="AE1462" t="n">
        <v>0.0</v>
      </c>
      <c r="AF1462" t="n">
        <v>0.0</v>
      </c>
      <c r="AG1462" t="n">
        <v>0.0</v>
      </c>
      <c r="AH1462" t="n">
        <v>0.0</v>
      </c>
      <c r="AI1462" t="n">
        <v>0.0</v>
      </c>
      <c r="AJ1462" t="n">
        <v>0.0</v>
      </c>
      <c r="AK1462" t="inlineStr">
        <is>
          <t/>
        </is>
      </c>
      <c r="AL1462" t="inlineStr">
        <is>
          <t/>
        </is>
      </c>
    </row>
    <row r="1463">
      <c r="A1463" t="inlineStr">
        <is>
          <t>同事问我:你天天带虾仁，月薪多少啊</t>
        </is>
      </c>
      <c r="B1463" t="inlineStr">
        <is>
          <t>69e6e4d90000000023025d70</t>
        </is>
      </c>
      <c r="C1463" s="1462" t="n">
        <f>HYPERLINK("https://www.xiaohongshu.com/explore/69e6e4d90000000023025d70?xsec_token=TBXs2O6r9V_Qdtui9pffX9XRcSajdc35iPVAsJMlWH1Is=&amp;xsec_source=pc_trdark","https://www.xiaohongshu.com/explore/69e6e4d90000000023025d70?xsec_token=TBXs2O6r9V_Qdtui9pffX9XRcSajdc35iPVAsJMlWH1Is=&amp;xsec_source=pc_trdark")</f>
        <v>0.0</v>
      </c>
      <c r="D1463" t="inlineStr">
        <is>
          <t>鲜水湾甄选</t>
        </is>
      </c>
      <c r="E1463" t="inlineStr">
        <is>
          <t>27401929161</t>
        </is>
      </c>
      <c r="F1463" t="inlineStr">
        <is>
          <t>2026-04-21 11:30:00</t>
        </is>
      </c>
      <c r="G1463" t="inlineStr">
        <is>
          <t>图文</t>
        </is>
      </c>
      <c r="H1463" t="inlineStr">
        <is>
          <t>手剥虾仁 无冰衣无添加 低脂餐一人食 上班带饭 顺丰包邮 5盒装</t>
        </is>
      </c>
      <c r="I1463" t="inlineStr">
        <is>
          <t>694baba01d450d00013662f0</t>
        </is>
      </c>
      <c r="J1463" t="inlineStr">
        <is>
          <t/>
        </is>
      </c>
      <c r="K1463" t="n">
        <v>0.0</v>
      </c>
      <c r="L1463" t="n">
        <v>0.0</v>
      </c>
      <c r="M1463" t="n">
        <v>0.0</v>
      </c>
      <c r="N1463" t="inlineStr">
        <is>
          <t/>
        </is>
      </c>
      <c r="O1463" t="n">
        <v>0.0</v>
      </c>
      <c r="P1463" t="n">
        <v>0.0</v>
      </c>
      <c r="Q1463" t="inlineStr">
        <is>
          <t/>
        </is>
      </c>
      <c r="R1463" t="inlineStr">
        <is>
          <t/>
        </is>
      </c>
      <c r="S1463" t="n">
        <v>0.0</v>
      </c>
      <c r="T1463" t="n">
        <v>0.0</v>
      </c>
      <c r="U1463" t="n">
        <v>0.0</v>
      </c>
      <c r="V1463" t="n">
        <v>0.0</v>
      </c>
      <c r="W1463" t="inlineStr">
        <is>
          <t/>
        </is>
      </c>
      <c r="X1463" t="n">
        <v>0.0</v>
      </c>
      <c r="Y1463" t="n">
        <v>0.0</v>
      </c>
      <c r="Z1463" t="n">
        <v>0.0</v>
      </c>
      <c r="AA1463" t="n">
        <v>0.0</v>
      </c>
      <c r="AB1463" t="n">
        <v>0.0</v>
      </c>
      <c r="AC1463" t="n">
        <v>0.0</v>
      </c>
      <c r="AD1463" t="n">
        <v>0.0</v>
      </c>
      <c r="AE1463" t="n">
        <v>0.0</v>
      </c>
      <c r="AF1463" t="n">
        <v>0.0</v>
      </c>
      <c r="AG1463" t="n">
        <v>0.0</v>
      </c>
      <c r="AH1463" t="n">
        <v>0.0</v>
      </c>
      <c r="AI1463" t="n">
        <v>0.0</v>
      </c>
      <c r="AJ1463" t="n">
        <v>0.0</v>
      </c>
      <c r="AK1463" t="inlineStr">
        <is>
          <t/>
        </is>
      </c>
      <c r="AL1463" t="inlineStr">
        <is>
          <t/>
        </is>
      </c>
    </row>
    <row r="1464">
      <c r="A1464" t="inlineStr">
        <is>
          <t>带饭的尽头…真是懒人饭</t>
        </is>
      </c>
      <c r="B1464" t="inlineStr">
        <is>
          <t>69e6e2220000000022026017</t>
        </is>
      </c>
      <c r="C1464" s="1463" t="n">
        <f>HYPERLINK("https://www.xiaohongshu.com/explore/69e6e2220000000022026017?xsec_token=TBXs2O6r9V_Qdtui9pffX9XSK-m7rCWslFJwWurj5O9FM=&amp;xsec_source=pc_trdark","https://www.xiaohongshu.com/explore/69e6e2220000000022026017?xsec_token=TBXs2O6r9V_Qdtui9pffX9XSK-m7rCWslFJwWurj5O9FM=&amp;xsec_source=pc_trdark")</f>
        <v>0.0</v>
      </c>
      <c r="D1464" t="inlineStr">
        <is>
          <t>婉婉上班吃什么</t>
        </is>
      </c>
      <c r="E1464" t="inlineStr">
        <is>
          <t>11434449706</t>
        </is>
      </c>
      <c r="F1464" t="inlineStr">
        <is>
          <t>2026-04-21 10:34:10</t>
        </is>
      </c>
      <c r="G1464" t="inlineStr">
        <is>
          <t>图文</t>
        </is>
      </c>
      <c r="H1464" t="inlineStr">
        <is>
          <t>手剥虾仁 无冰衣无添加 低脂餐一人食 上班带饭 顺丰包邮 5盒装</t>
        </is>
      </c>
      <c r="I1464" t="inlineStr">
        <is>
          <t>694baba01d450d00013662f0</t>
        </is>
      </c>
      <c r="J1464" t="inlineStr">
        <is>
          <t/>
        </is>
      </c>
      <c r="K1464" t="n">
        <v>0.0</v>
      </c>
      <c r="L1464" t="n">
        <v>0.0</v>
      </c>
      <c r="M1464" t="n">
        <v>0.0</v>
      </c>
      <c r="N1464" t="inlineStr">
        <is>
          <t/>
        </is>
      </c>
      <c r="O1464" t="n">
        <v>0.0</v>
      </c>
      <c r="P1464" t="n">
        <v>0.0</v>
      </c>
      <c r="Q1464" t="inlineStr">
        <is>
          <t/>
        </is>
      </c>
      <c r="R1464" t="inlineStr">
        <is>
          <t/>
        </is>
      </c>
      <c r="S1464" t="n">
        <v>0.0</v>
      </c>
      <c r="T1464" t="n">
        <v>0.0</v>
      </c>
      <c r="U1464" t="n">
        <v>0.0</v>
      </c>
      <c r="V1464" t="n">
        <v>0.0</v>
      </c>
      <c r="W1464" t="inlineStr">
        <is>
          <t/>
        </is>
      </c>
      <c r="X1464" t="n">
        <v>0.0</v>
      </c>
      <c r="Y1464" t="n">
        <v>0.0</v>
      </c>
      <c r="Z1464" t="n">
        <v>0.0</v>
      </c>
      <c r="AA1464" t="n">
        <v>0.0</v>
      </c>
      <c r="AB1464" t="n">
        <v>0.0</v>
      </c>
      <c r="AC1464" t="n">
        <v>0.0</v>
      </c>
      <c r="AD1464" t="n">
        <v>0.0</v>
      </c>
      <c r="AE1464" t="n">
        <v>0.0</v>
      </c>
      <c r="AF1464" t="n">
        <v>0.0</v>
      </c>
      <c r="AG1464" t="n">
        <v>0.0</v>
      </c>
      <c r="AH1464" t="n">
        <v>0.0</v>
      </c>
      <c r="AI1464" t="n">
        <v>0.0</v>
      </c>
      <c r="AJ1464" t="n">
        <v>0.0</v>
      </c>
      <c r="AK1464" t="inlineStr">
        <is>
          <t/>
        </is>
      </c>
      <c r="AL1464" t="inlineStr">
        <is>
          <t/>
        </is>
      </c>
    </row>
    <row r="1465">
      <c r="A1465" t="inlineStr">
        <is>
          <t>春日减脂，区区69块够我连吃一周😎</t>
        </is>
      </c>
      <c r="B1465" t="inlineStr">
        <is>
          <t>69e6de2600000000230100ae</t>
        </is>
      </c>
      <c r="C1465" s="1464" t="n">
        <f>HYPERLINK("https://www.xiaohongshu.com/explore/69e6de2600000000230100ae?xsec_token=TBXs2O6r9V_Qdtui9pffX9XbGGQ4yJfrb8AgbczNl1K_U=&amp;xsec_source=pc_trdark","https://www.xiaohongshu.com/explore/69e6de2600000000230100ae?xsec_token=TBXs2O6r9V_Qdtui9pffX9XbGGQ4yJfrb8AgbczNl1K_U=&amp;xsec_source=pc_trdark")</f>
        <v>0.0</v>
      </c>
      <c r="D1465" t="inlineStr">
        <is>
          <t>鲜水湾甄选</t>
        </is>
      </c>
      <c r="E1465" t="inlineStr">
        <is>
          <t>27401929161</t>
        </is>
      </c>
      <c r="F1465" t="inlineStr">
        <is>
          <t>2026-04-21 10:17:10</t>
        </is>
      </c>
      <c r="G1465" t="inlineStr">
        <is>
          <t>图文</t>
        </is>
      </c>
      <c r="H1465" t="inlineStr">
        <is>
          <t>手剥虾仁 无冰衣无添加 低脂餐一人食 上班带饭 顺丰包邮 5盒装</t>
        </is>
      </c>
      <c r="I1465" t="inlineStr">
        <is>
          <t>694baba01d450d00013662f0</t>
        </is>
      </c>
      <c r="J1465" t="inlineStr">
        <is>
          <t/>
        </is>
      </c>
      <c r="K1465" t="n">
        <v>0.0</v>
      </c>
      <c r="L1465" t="n">
        <v>0.0</v>
      </c>
      <c r="M1465" t="n">
        <v>0.0</v>
      </c>
      <c r="N1465" t="inlineStr">
        <is>
          <t/>
        </is>
      </c>
      <c r="O1465" t="n">
        <v>0.0</v>
      </c>
      <c r="P1465" t="n">
        <v>0.0</v>
      </c>
      <c r="Q1465" t="inlineStr">
        <is>
          <t/>
        </is>
      </c>
      <c r="R1465" t="inlineStr">
        <is>
          <t/>
        </is>
      </c>
      <c r="S1465" t="n">
        <v>0.0</v>
      </c>
      <c r="T1465" t="n">
        <v>0.0</v>
      </c>
      <c r="U1465" t="n">
        <v>0.0</v>
      </c>
      <c r="V1465" t="n">
        <v>0.0</v>
      </c>
      <c r="W1465" t="inlineStr">
        <is>
          <t/>
        </is>
      </c>
      <c r="X1465" t="n">
        <v>0.0</v>
      </c>
      <c r="Y1465" t="n">
        <v>0.0</v>
      </c>
      <c r="Z1465" t="n">
        <v>0.0</v>
      </c>
      <c r="AA1465" t="n">
        <v>0.0</v>
      </c>
      <c r="AB1465" t="n">
        <v>0.0</v>
      </c>
      <c r="AC1465" t="n">
        <v>0.0</v>
      </c>
      <c r="AD1465" t="n">
        <v>0.0</v>
      </c>
      <c r="AE1465" t="n">
        <v>0.0</v>
      </c>
      <c r="AF1465" t="n">
        <v>0.0</v>
      </c>
      <c r="AG1465" t="n">
        <v>0.0</v>
      </c>
      <c r="AH1465" t="n">
        <v>0.0</v>
      </c>
      <c r="AI1465" t="n">
        <v>0.0</v>
      </c>
      <c r="AJ1465" t="n">
        <v>0.0</v>
      </c>
      <c r="AK1465" t="inlineStr">
        <is>
          <t/>
        </is>
      </c>
      <c r="AL1465" t="inlineStr">
        <is>
          <t/>
        </is>
      </c>
    </row>
    <row r="1466">
      <c r="A1466" t="inlineStr">
        <is>
          <t>我也不想买啊，可它69够我吃一周的哎</t>
        </is>
      </c>
      <c r="B1466" t="inlineStr">
        <is>
          <t>69e5e7250000000023010100</t>
        </is>
      </c>
      <c r="C1466" s="1465" t="n">
        <f>HYPERLINK("https://www.xiaohongshu.com/explore/69e5e7250000000023010100?xsec_token=TBRM_4pSbJalcnymykJyoKXe3BT-J23nKspLPmy-h-Zgw=&amp;xsec_source=pc_trdark","https://www.xiaohongshu.com/explore/69e5e7250000000023010100?xsec_token=TBRM_4pSbJalcnymykJyoKXe3BT-J23nKspLPmy-h-Zgw=&amp;xsec_source=pc_trdark")</f>
        <v>0.0</v>
      </c>
      <c r="D1466" t="inlineStr">
        <is>
          <t>鲜水湾甄选</t>
        </is>
      </c>
      <c r="E1466" t="inlineStr">
        <is>
          <t>27401929161</t>
        </is>
      </c>
      <c r="F1466" t="inlineStr">
        <is>
          <t>2026-04-20 17:30:00</t>
        </is>
      </c>
      <c r="G1466" t="inlineStr">
        <is>
          <t>图文</t>
        </is>
      </c>
      <c r="H1466" t="inlineStr">
        <is>
          <t>手剥虾仁 无冰衣无添加 低脂餐一人食 上班带饭 顺丰包邮 5盒装</t>
        </is>
      </c>
      <c r="I1466" t="inlineStr">
        <is>
          <t>694baba01d450d00013662f0</t>
        </is>
      </c>
      <c r="J1466" t="inlineStr">
        <is>
          <t/>
        </is>
      </c>
      <c r="K1466" t="n">
        <v>0.0</v>
      </c>
      <c r="L1466" t="n">
        <v>0.0</v>
      </c>
      <c r="M1466" t="n">
        <v>0.0</v>
      </c>
      <c r="N1466" t="inlineStr">
        <is>
          <t/>
        </is>
      </c>
      <c r="O1466" t="n">
        <v>0.0</v>
      </c>
      <c r="P1466" t="n">
        <v>0.0</v>
      </c>
      <c r="Q1466" t="inlineStr">
        <is>
          <t/>
        </is>
      </c>
      <c r="R1466" t="inlineStr">
        <is>
          <t/>
        </is>
      </c>
      <c r="S1466" t="n">
        <v>0.0</v>
      </c>
      <c r="T1466" t="n">
        <v>0.0</v>
      </c>
      <c r="U1466" t="n">
        <v>0.0</v>
      </c>
      <c r="V1466" t="n">
        <v>0.0</v>
      </c>
      <c r="W1466" t="inlineStr">
        <is>
          <t/>
        </is>
      </c>
      <c r="X1466" t="n">
        <v>0.0</v>
      </c>
      <c r="Y1466" t="n">
        <v>0.0</v>
      </c>
      <c r="Z1466" t="n">
        <v>0.0</v>
      </c>
      <c r="AA1466" t="n">
        <v>0.0</v>
      </c>
      <c r="AB1466" t="n">
        <v>0.0</v>
      </c>
      <c r="AC1466" t="n">
        <v>0.0</v>
      </c>
      <c r="AD1466" t="n">
        <v>0.0</v>
      </c>
      <c r="AE1466" t="n">
        <v>0.0</v>
      </c>
      <c r="AF1466" t="n">
        <v>0.0</v>
      </c>
      <c r="AG1466" t="n">
        <v>0.0</v>
      </c>
      <c r="AH1466" t="n">
        <v>0.0</v>
      </c>
      <c r="AI1466" t="n">
        <v>0.0</v>
      </c>
      <c r="AJ1466" t="n">
        <v>0.0</v>
      </c>
      <c r="AK1466" t="inlineStr">
        <is>
          <t/>
        </is>
      </c>
      <c r="AL1466" t="inlineStr">
        <is>
          <t/>
        </is>
      </c>
    </row>
    <row r="1467">
      <c r="A1467" t="inlineStr">
        <is>
          <t>减脂期懒人福音，这个小份虾仁比sam还懂我！</t>
        </is>
      </c>
      <c r="B1467" t="inlineStr">
        <is>
          <t>69e5e04000000000230117f0</t>
        </is>
      </c>
      <c r="C1467" s="1466" t="n">
        <f>HYPERLINK("https://www.xiaohongshu.com/explore/69e5e04000000000230117f0?xsec_token=TBRM_4pSbJalcnymykJyoKXeUJx0RG0jB4JRY4Vaohoqc=&amp;xsec_source=pc_trdark","https://www.xiaohongshu.com/explore/69e5e04000000000230117f0?xsec_token=TBRM_4pSbJalcnymykJyoKXeUJx0RG0jB4JRY4Vaohoqc=&amp;xsec_source=pc_trdark")</f>
        <v>0.0</v>
      </c>
      <c r="D1467" t="inlineStr">
        <is>
          <t>鲜水湾甄选</t>
        </is>
      </c>
      <c r="E1467" t="inlineStr">
        <is>
          <t>27401929161</t>
        </is>
      </c>
      <c r="F1467" t="inlineStr">
        <is>
          <t>2026-04-20 16:13:52</t>
        </is>
      </c>
      <c r="G1467" t="inlineStr">
        <is>
          <t>图文</t>
        </is>
      </c>
      <c r="H1467" t="inlineStr">
        <is>
          <t>手剥虾仁 无冰衣无添加 低脂餐一人食 上班带饭 顺丰包邮 5盒装</t>
        </is>
      </c>
      <c r="I1467" t="inlineStr">
        <is>
          <t>694baba01d450d00013662f0</t>
        </is>
      </c>
      <c r="J1467" t="inlineStr">
        <is>
          <t/>
        </is>
      </c>
      <c r="K1467" t="n">
        <v>0.0</v>
      </c>
      <c r="L1467" t="n">
        <v>0.0</v>
      </c>
      <c r="M1467" t="n">
        <v>0.0</v>
      </c>
      <c r="N1467" t="inlineStr">
        <is>
          <t/>
        </is>
      </c>
      <c r="O1467" t="n">
        <v>0.0</v>
      </c>
      <c r="P1467" t="n">
        <v>0.0</v>
      </c>
      <c r="Q1467" t="inlineStr">
        <is>
          <t/>
        </is>
      </c>
      <c r="R1467" t="inlineStr">
        <is>
          <t/>
        </is>
      </c>
      <c r="S1467" t="n">
        <v>0.0</v>
      </c>
      <c r="T1467" t="n">
        <v>0.0</v>
      </c>
      <c r="U1467" t="n">
        <v>0.0</v>
      </c>
      <c r="V1467" t="n">
        <v>0.0</v>
      </c>
      <c r="W1467" t="inlineStr">
        <is>
          <t/>
        </is>
      </c>
      <c r="X1467" t="n">
        <v>0.0</v>
      </c>
      <c r="Y1467" t="n">
        <v>0.0</v>
      </c>
      <c r="Z1467" t="n">
        <v>0.0</v>
      </c>
      <c r="AA1467" t="n">
        <v>0.0</v>
      </c>
      <c r="AB1467" t="n">
        <v>0.0</v>
      </c>
      <c r="AC1467" t="n">
        <v>0.0</v>
      </c>
      <c r="AD1467" t="n">
        <v>0.0</v>
      </c>
      <c r="AE1467" t="n">
        <v>0.0</v>
      </c>
      <c r="AF1467" t="n">
        <v>0.0</v>
      </c>
      <c r="AG1467" t="n">
        <v>0.0</v>
      </c>
      <c r="AH1467" t="n">
        <v>0.0</v>
      </c>
      <c r="AI1467" t="n">
        <v>0.0</v>
      </c>
      <c r="AJ1467" t="n">
        <v>0.0</v>
      </c>
      <c r="AK1467" t="inlineStr">
        <is>
          <t/>
        </is>
      </c>
      <c r="AL1467" t="inlineStr">
        <is>
          <t/>
        </is>
      </c>
    </row>
    <row r="1468">
      <c r="A1468" t="inlineStr">
        <is>
          <t>对不起某马，我移情别恋了</t>
        </is>
      </c>
      <c r="B1468" t="inlineStr">
        <is>
          <t>69e5def0000000001f003ef7</t>
        </is>
      </c>
      <c r="C1468" s="1467" t="n">
        <f>HYPERLINK("https://www.xiaohongshu.com/explore/69e5def0000000001f003ef7?xsec_token=TBRM_4pSbJalcnymykJyoKXfAkctNsBmXx7XgD_I55DMw=&amp;xsec_source=pc_trdark","https://www.xiaohongshu.com/explore/69e5def0000000001f003ef7?xsec_token=TBRM_4pSbJalcnymykJyoKXfAkctNsBmXx7XgD_I55DMw=&amp;xsec_source=pc_trdark")</f>
        <v>0.0</v>
      </c>
      <c r="D1468" t="inlineStr">
        <is>
          <t>菲菲上班吃什么</t>
        </is>
      </c>
      <c r="E1468" t="inlineStr">
        <is>
          <t>49936530607</t>
        </is>
      </c>
      <c r="F1468" t="inlineStr">
        <is>
          <t>2026-04-20 16:08:16</t>
        </is>
      </c>
      <c r="G1468" t="inlineStr">
        <is>
          <t>图文</t>
        </is>
      </c>
      <c r="H1468" t="inlineStr">
        <is>
          <t>手剥虾仁 无冰衣无添加 低脂餐一人食 上班带饭 顺丰包邮 5盒装</t>
        </is>
      </c>
      <c r="I1468" t="inlineStr">
        <is>
          <t>694baba01d450d00013662f0</t>
        </is>
      </c>
      <c r="J1468" t="inlineStr">
        <is>
          <t/>
        </is>
      </c>
      <c r="K1468" t="n">
        <v>0.0</v>
      </c>
      <c r="L1468" t="n">
        <v>0.0</v>
      </c>
      <c r="M1468" t="n">
        <v>0.0</v>
      </c>
      <c r="N1468" t="inlineStr">
        <is>
          <t/>
        </is>
      </c>
      <c r="O1468" t="n">
        <v>0.0</v>
      </c>
      <c r="P1468" t="n">
        <v>0.0</v>
      </c>
      <c r="Q1468" t="inlineStr">
        <is>
          <t/>
        </is>
      </c>
      <c r="R1468" t="inlineStr">
        <is>
          <t/>
        </is>
      </c>
      <c r="S1468" t="n">
        <v>0.0</v>
      </c>
      <c r="T1468" t="n">
        <v>0.0</v>
      </c>
      <c r="U1468" t="n">
        <v>0.0</v>
      </c>
      <c r="V1468" t="n">
        <v>0.0</v>
      </c>
      <c r="W1468" t="inlineStr">
        <is>
          <t/>
        </is>
      </c>
      <c r="X1468" t="n">
        <v>0.0</v>
      </c>
      <c r="Y1468" t="n">
        <v>0.0</v>
      </c>
      <c r="Z1468" t="n">
        <v>0.0</v>
      </c>
      <c r="AA1468" t="n">
        <v>0.0</v>
      </c>
      <c r="AB1468" t="n">
        <v>0.0</v>
      </c>
      <c r="AC1468" t="n">
        <v>0.0</v>
      </c>
      <c r="AD1468" t="n">
        <v>0.0</v>
      </c>
      <c r="AE1468" t="n">
        <v>0.0</v>
      </c>
      <c r="AF1468" t="n">
        <v>0.0</v>
      </c>
      <c r="AG1468" t="n">
        <v>0.0</v>
      </c>
      <c r="AH1468" t="n">
        <v>0.0</v>
      </c>
      <c r="AI1468" t="n">
        <v>0.0</v>
      </c>
      <c r="AJ1468" t="n">
        <v>0.0</v>
      </c>
      <c r="AK1468" t="inlineStr">
        <is>
          <t/>
        </is>
      </c>
      <c r="AL1468" t="inlineStr">
        <is>
          <t/>
        </is>
      </c>
    </row>
    <row r="1469">
      <c r="A1469" t="inlineStr">
        <is>
          <t>不夸张，我在Xhs买的虾仁从未失手过</t>
        </is>
      </c>
      <c r="B1469" t="inlineStr">
        <is>
          <t>69e4f85b000000002301cff7</t>
        </is>
      </c>
      <c r="C1469" s="1468" t="n">
        <f>HYPERLINK("https://www.xiaohongshu.com/explore/69e4f85b000000002301cff7?xsec_token=TBI6zUu_7YWKPdAT4Ivp_K15L1h7vv7hicxRAYLXzISG8=&amp;xsec_source=pc_trdark","https://www.xiaohongshu.com/explore/69e4f85b000000002301cff7?xsec_token=TBI6zUu_7YWKPdAT4Ivp_K15L1h7vv7hicxRAYLXzISG8=&amp;xsec_source=pc_trdark")</f>
        <v>0.0</v>
      </c>
      <c r="D1469" t="inlineStr">
        <is>
          <t>婉婉上班吃什么</t>
        </is>
      </c>
      <c r="E1469" t="inlineStr">
        <is>
          <t>11434449706</t>
        </is>
      </c>
      <c r="F1469" t="inlineStr">
        <is>
          <t>2026-04-19 23:44:28</t>
        </is>
      </c>
      <c r="G1469" t="inlineStr">
        <is>
          <t>图文</t>
        </is>
      </c>
      <c r="H1469" t="inlineStr">
        <is>
          <t>手剥虾仁 无冰衣无添加 低脂餐一人食 上班带饭 顺丰包邮 5盒装</t>
        </is>
      </c>
      <c r="I1469" t="inlineStr">
        <is>
          <t>694baba01d450d00013662f0</t>
        </is>
      </c>
      <c r="J1469" t="inlineStr">
        <is>
          <t/>
        </is>
      </c>
      <c r="K1469" t="n">
        <v>0.0</v>
      </c>
      <c r="L1469" t="n">
        <v>0.0</v>
      </c>
      <c r="M1469" t="n">
        <v>0.0</v>
      </c>
      <c r="N1469" t="inlineStr">
        <is>
          <t/>
        </is>
      </c>
      <c r="O1469" t="n">
        <v>0.0</v>
      </c>
      <c r="P1469" t="n">
        <v>0.0</v>
      </c>
      <c r="Q1469" t="inlineStr">
        <is>
          <t/>
        </is>
      </c>
      <c r="R1469" t="inlineStr">
        <is>
          <t/>
        </is>
      </c>
      <c r="S1469" t="n">
        <v>0.0</v>
      </c>
      <c r="T1469" t="n">
        <v>0.0</v>
      </c>
      <c r="U1469" t="n">
        <v>0.0</v>
      </c>
      <c r="V1469" t="n">
        <v>0.0</v>
      </c>
      <c r="W1469" t="inlineStr">
        <is>
          <t/>
        </is>
      </c>
      <c r="X1469" t="n">
        <v>0.0</v>
      </c>
      <c r="Y1469" t="n">
        <v>0.0</v>
      </c>
      <c r="Z1469" t="n">
        <v>0.0</v>
      </c>
      <c r="AA1469" t="n">
        <v>0.0</v>
      </c>
      <c r="AB1469" t="n">
        <v>0.0</v>
      </c>
      <c r="AC1469" t="n">
        <v>0.0</v>
      </c>
      <c r="AD1469" t="n">
        <v>0.0</v>
      </c>
      <c r="AE1469" t="n">
        <v>0.0</v>
      </c>
      <c r="AF1469" t="n">
        <v>0.0</v>
      </c>
      <c r="AG1469" t="n">
        <v>0.0</v>
      </c>
      <c r="AH1469" t="n">
        <v>0.0</v>
      </c>
      <c r="AI1469" t="n">
        <v>0.0</v>
      </c>
      <c r="AJ1469" t="n">
        <v>0.0</v>
      </c>
      <c r="AK1469" t="inlineStr">
        <is>
          <t/>
        </is>
      </c>
      <c r="AL1469" t="inlineStr">
        <is>
          <t/>
        </is>
      </c>
    </row>
    <row r="1470">
      <c r="A1470" t="inlineStr">
        <is>
          <t>别拿某姆某马的虾仁跟我比，真不够打！</t>
        </is>
      </c>
      <c r="B1470" t="inlineStr">
        <is>
          <t>69e4dde1000000001f00776c</t>
        </is>
      </c>
      <c r="C1470" s="1469" t="n">
        <f>HYPERLINK("https://www.xiaohongshu.com/explore/69e4dde1000000001f00776c?xsec_token=TBI6zUu_7YWKPdAT4Ivp_K1zFS1SkKHb5is4rezlzT5D0=&amp;xsec_source=pc_trdark","https://www.xiaohongshu.com/explore/69e4dde1000000001f00776c?xsec_token=TBI6zUu_7YWKPdAT4Ivp_K1zFS1SkKHb5is4rezlzT5D0=&amp;xsec_source=pc_trdark")</f>
        <v>0.0</v>
      </c>
      <c r="D1470" t="inlineStr">
        <is>
          <t>鲜水湾</t>
        </is>
      </c>
      <c r="E1470" t="inlineStr">
        <is>
          <t>49316638994</t>
        </is>
      </c>
      <c r="F1470" t="inlineStr">
        <is>
          <t>2026-04-19 21:51:30</t>
        </is>
      </c>
      <c r="G1470" t="inlineStr">
        <is>
          <t>图文</t>
        </is>
      </c>
      <c r="H1470" t="inlineStr">
        <is>
          <t>手剥虾仁 无冰衣无添加 低脂餐一人食 上班带饭 顺丰包邮 5盒装</t>
        </is>
      </c>
      <c r="I1470" t="inlineStr">
        <is>
          <t>694baba01d450d00013662f0</t>
        </is>
      </c>
      <c r="J1470" t="inlineStr">
        <is>
          <t/>
        </is>
      </c>
      <c r="K1470" t="n">
        <v>0.0</v>
      </c>
      <c r="L1470" t="n">
        <v>0.0</v>
      </c>
      <c r="M1470" t="n">
        <v>0.0</v>
      </c>
      <c r="N1470" t="inlineStr">
        <is>
          <t/>
        </is>
      </c>
      <c r="O1470" t="n">
        <v>0.0</v>
      </c>
      <c r="P1470" t="n">
        <v>0.0</v>
      </c>
      <c r="Q1470" t="inlineStr">
        <is>
          <t/>
        </is>
      </c>
      <c r="R1470" t="inlineStr">
        <is>
          <t/>
        </is>
      </c>
      <c r="S1470" t="n">
        <v>0.0</v>
      </c>
      <c r="T1470" t="n">
        <v>0.0</v>
      </c>
      <c r="U1470" t="n">
        <v>0.0</v>
      </c>
      <c r="V1470" t="n">
        <v>0.0</v>
      </c>
      <c r="W1470" t="inlineStr">
        <is>
          <t/>
        </is>
      </c>
      <c r="X1470" t="n">
        <v>0.0</v>
      </c>
      <c r="Y1470" t="n">
        <v>0.0</v>
      </c>
      <c r="Z1470" t="n">
        <v>0.0</v>
      </c>
      <c r="AA1470" t="n">
        <v>0.0</v>
      </c>
      <c r="AB1470" t="n">
        <v>0.0</v>
      </c>
      <c r="AC1470" t="n">
        <v>0.0</v>
      </c>
      <c r="AD1470" t="n">
        <v>0.0</v>
      </c>
      <c r="AE1470" t="n">
        <v>0.0</v>
      </c>
      <c r="AF1470" t="n">
        <v>0.0</v>
      </c>
      <c r="AG1470" t="n">
        <v>0.0</v>
      </c>
      <c r="AH1470" t="n">
        <v>0.0</v>
      </c>
      <c r="AI1470" t="n">
        <v>0.0</v>
      </c>
      <c r="AJ1470" t="n">
        <v>0.0</v>
      </c>
      <c r="AK1470" t="inlineStr">
        <is>
          <t/>
        </is>
      </c>
      <c r="AL1470" t="inlineStr">
        <is>
          <t/>
        </is>
      </c>
    </row>
    <row r="1471">
      <c r="A1471" t="inlineStr">
        <is>
          <t>因为心疼钱，↓了15斤</t>
        </is>
      </c>
      <c r="B1471" t="inlineStr">
        <is>
          <t>69e378c1000000001f005d71</t>
        </is>
      </c>
      <c r="C1471" s="1470" t="n">
        <f>HYPERLINK("https://www.xiaohongshu.com/explore/69e378c1000000001f005d71?xsec_token=TBdjj7K6Nlm9yT2LpYB6PpNtcfFyGmqMgkbn9OXhc4geM=&amp;xsec_source=pc_trdark","https://www.xiaohongshu.com/explore/69e378c1000000001f005d71?xsec_token=TBdjj7K6Nlm9yT2LpYB6PpNtcfFyGmqMgkbn9OXhc4geM=&amp;xsec_source=pc_trdark")</f>
        <v>0.0</v>
      </c>
      <c r="D1471" t="inlineStr">
        <is>
          <t>婉婉上班吃什么</t>
        </is>
      </c>
      <c r="E1471" t="inlineStr">
        <is>
          <t>11434449706</t>
        </is>
      </c>
      <c r="F1471" t="inlineStr">
        <is>
          <t>2026-04-18 20:27:45</t>
        </is>
      </c>
      <c r="G1471" t="inlineStr">
        <is>
          <t>图文</t>
        </is>
      </c>
      <c r="H1471" t="inlineStr">
        <is>
          <t>手剥虾仁 无冰衣无添加 低脂餐一人食 上班带饭 顺丰包邮 5盒装</t>
        </is>
      </c>
      <c r="I1471" t="inlineStr">
        <is>
          <t>694baba01d450d00013662f0</t>
        </is>
      </c>
      <c r="J1471" t="inlineStr">
        <is>
          <t/>
        </is>
      </c>
      <c r="K1471" t="n">
        <v>0.0</v>
      </c>
      <c r="L1471" t="n">
        <v>0.0</v>
      </c>
      <c r="M1471" t="n">
        <v>0.0</v>
      </c>
      <c r="N1471" t="inlineStr">
        <is>
          <t/>
        </is>
      </c>
      <c r="O1471" t="n">
        <v>0.0</v>
      </c>
      <c r="P1471" t="n">
        <v>0.0</v>
      </c>
      <c r="Q1471" t="inlineStr">
        <is>
          <t/>
        </is>
      </c>
      <c r="R1471" t="inlineStr">
        <is>
          <t/>
        </is>
      </c>
      <c r="S1471" t="n">
        <v>0.0</v>
      </c>
      <c r="T1471" t="n">
        <v>0.0</v>
      </c>
      <c r="U1471" t="n">
        <v>0.0</v>
      </c>
      <c r="V1471" t="n">
        <v>0.0</v>
      </c>
      <c r="W1471" t="inlineStr">
        <is>
          <t/>
        </is>
      </c>
      <c r="X1471" t="n">
        <v>0.0</v>
      </c>
      <c r="Y1471" t="n">
        <v>0.0</v>
      </c>
      <c r="Z1471" t="n">
        <v>0.0</v>
      </c>
      <c r="AA1471" t="n">
        <v>0.0</v>
      </c>
      <c r="AB1471" t="n">
        <v>0.0</v>
      </c>
      <c r="AC1471" t="n">
        <v>0.0</v>
      </c>
      <c r="AD1471" t="n">
        <v>0.0</v>
      </c>
      <c r="AE1471" t="n">
        <v>0.0</v>
      </c>
      <c r="AF1471" t="n">
        <v>0.0</v>
      </c>
      <c r="AG1471" t="n">
        <v>0.0</v>
      </c>
      <c r="AH1471" t="n">
        <v>0.0</v>
      </c>
      <c r="AI1471" t="n">
        <v>0.0</v>
      </c>
      <c r="AJ1471" t="n">
        <v>0.0</v>
      </c>
      <c r="AK1471" t="inlineStr">
        <is>
          <t/>
        </is>
      </c>
      <c r="AL1471" t="inlineStr">
        <is>
          <t/>
        </is>
      </c>
    </row>
    <row r="1472">
      <c r="A1472" t="inlineStr">
        <is>
          <t>我宣布！三文鱼是管理期的神！</t>
        </is>
      </c>
      <c r="B1472" t="inlineStr">
        <is>
          <t>69e359f7000000001b021596</t>
        </is>
      </c>
      <c r="C1472" s="1471" t="n">
        <f>HYPERLINK("https://www.xiaohongshu.com/explore/69e359f7000000001b021596?xsec_token=TBdjj7K6Nlm9yT2LpYB6PpNlL-M9O7-w9IXN-YVn0aB84=&amp;xsec_source=pc_trdark","https://www.xiaohongshu.com/explore/69e359f7000000001b021596?xsec_token=TBdjj7K6Nlm9yT2LpYB6PpNlL-M9O7-w9IXN-YVn0aB84=&amp;xsec_source=pc_trdark")</f>
        <v>0.0</v>
      </c>
      <c r="D1472" t="inlineStr">
        <is>
          <t>鲜水湾</t>
        </is>
      </c>
      <c r="E1472" t="inlineStr">
        <is>
          <t>49316638994</t>
        </is>
      </c>
      <c r="F1472" t="inlineStr">
        <is>
          <t>2026-04-18 18:16:23</t>
        </is>
      </c>
      <c r="G1472" t="inlineStr">
        <is>
          <t>图文</t>
        </is>
      </c>
      <c r="H1472" t="inlineStr">
        <is>
          <t>智利三文鱼切块·整条三文鱼·深海鱼一人食健康饮食</t>
        </is>
      </c>
      <c r="I1472" t="inlineStr">
        <is>
          <t>691ac562a524ee0001b51d7b</t>
        </is>
      </c>
      <c r="J1472" t="inlineStr">
        <is>
          <t/>
        </is>
      </c>
      <c r="K1472" t="n">
        <v>0.0</v>
      </c>
      <c r="L1472" t="n">
        <v>0.0</v>
      </c>
      <c r="M1472" t="n">
        <v>0.0</v>
      </c>
      <c r="N1472" t="inlineStr">
        <is>
          <t/>
        </is>
      </c>
      <c r="O1472" t="n">
        <v>0.0</v>
      </c>
      <c r="P1472" t="n">
        <v>0.0</v>
      </c>
      <c r="Q1472" t="inlineStr">
        <is>
          <t/>
        </is>
      </c>
      <c r="R1472" t="inlineStr">
        <is>
          <t/>
        </is>
      </c>
      <c r="S1472" t="n">
        <v>0.0</v>
      </c>
      <c r="T1472" t="n">
        <v>0.0</v>
      </c>
      <c r="U1472" t="n">
        <v>0.0</v>
      </c>
      <c r="V1472" t="n">
        <v>0.0</v>
      </c>
      <c r="W1472" t="inlineStr">
        <is>
          <t/>
        </is>
      </c>
      <c r="X1472" t="n">
        <v>0.0</v>
      </c>
      <c r="Y1472" t="n">
        <v>0.0</v>
      </c>
      <c r="Z1472" t="n">
        <v>0.0</v>
      </c>
      <c r="AA1472" t="n">
        <v>0.0</v>
      </c>
      <c r="AB1472" t="n">
        <v>0.0</v>
      </c>
      <c r="AC1472" t="n">
        <v>0.0</v>
      </c>
      <c r="AD1472" t="n">
        <v>0.0</v>
      </c>
      <c r="AE1472" t="n">
        <v>0.0</v>
      </c>
      <c r="AF1472" t="n">
        <v>0.0</v>
      </c>
      <c r="AG1472" t="n">
        <v>0.0</v>
      </c>
      <c r="AH1472" t="n">
        <v>0.0</v>
      </c>
      <c r="AI1472" t="n">
        <v>0.0</v>
      </c>
      <c r="AJ1472" t="n">
        <v>0.0</v>
      </c>
      <c r="AK1472" t="inlineStr">
        <is>
          <t/>
        </is>
      </c>
      <c r="AL1472" t="inlineStr">
        <is>
          <t/>
        </is>
      </c>
    </row>
    <row r="1473">
      <c r="A1473" t="inlineStr">
        <is>
          <t>以为300块没多少，结果整条鱼都发来了</t>
        </is>
      </c>
      <c r="B1473" t="inlineStr">
        <is>
          <t>69e3415b00000000220295ee</t>
        </is>
      </c>
      <c r="C1473" s="1472" t="n">
        <f>HYPERLINK("https://www.xiaohongshu.com/explore/69e3415b00000000220295ee?xsec_token=TBdjj7K6Nlm9yT2LpYB6PpNvduhAViFLIdqk0FkEf2acg=&amp;xsec_source=pc_trdark","https://www.xiaohongshu.com/explore/69e3415b00000000220295ee?xsec_token=TBdjj7K6Nlm9yT2LpYB6PpNvduhAViFLIdqk0FkEf2acg=&amp;xsec_source=pc_trdark")</f>
        <v>0.0</v>
      </c>
      <c r="D1473" t="inlineStr">
        <is>
          <t>菲菲上班吃什么</t>
        </is>
      </c>
      <c r="E1473" t="inlineStr">
        <is>
          <t>49936530607</t>
        </is>
      </c>
      <c r="F1473" t="inlineStr">
        <is>
          <t>2026-04-18 16:31:23</t>
        </is>
      </c>
      <c r="G1473" t="inlineStr">
        <is>
          <t>图文</t>
        </is>
      </c>
      <c r="H1473" t="inlineStr">
        <is>
          <t>智利三文鱼切块·整条三文鱼·深海鱼一人食健康饮食</t>
        </is>
      </c>
      <c r="I1473" t="inlineStr">
        <is>
          <t>691ac562a524ee0001b51d7b</t>
        </is>
      </c>
      <c r="J1473" t="inlineStr">
        <is>
          <t/>
        </is>
      </c>
      <c r="K1473" t="n">
        <v>0.0</v>
      </c>
      <c r="L1473" t="n">
        <v>0.0</v>
      </c>
      <c r="M1473" t="n">
        <v>0.0</v>
      </c>
      <c r="N1473" t="inlineStr">
        <is>
          <t/>
        </is>
      </c>
      <c r="O1473" t="n">
        <v>0.0</v>
      </c>
      <c r="P1473" t="n">
        <v>0.0</v>
      </c>
      <c r="Q1473" t="inlineStr">
        <is>
          <t/>
        </is>
      </c>
      <c r="R1473" t="inlineStr">
        <is>
          <t/>
        </is>
      </c>
      <c r="S1473" t="n">
        <v>0.0</v>
      </c>
      <c r="T1473" t="n">
        <v>0.0</v>
      </c>
      <c r="U1473" t="n">
        <v>0.0</v>
      </c>
      <c r="V1473" t="n">
        <v>0.0</v>
      </c>
      <c r="W1473" t="inlineStr">
        <is>
          <t/>
        </is>
      </c>
      <c r="X1473" t="n">
        <v>0.0</v>
      </c>
      <c r="Y1473" t="n">
        <v>0.0</v>
      </c>
      <c r="Z1473" t="n">
        <v>0.0</v>
      </c>
      <c r="AA1473" t="n">
        <v>0.0</v>
      </c>
      <c r="AB1473" t="n">
        <v>0.0</v>
      </c>
      <c r="AC1473" t="n">
        <v>0.0</v>
      </c>
      <c r="AD1473" t="n">
        <v>0.0</v>
      </c>
      <c r="AE1473" t="n">
        <v>0.0</v>
      </c>
      <c r="AF1473" t="n">
        <v>0.0</v>
      </c>
      <c r="AG1473" t="n">
        <v>0.0</v>
      </c>
      <c r="AH1473" t="n">
        <v>0.0</v>
      </c>
      <c r="AI1473" t="n">
        <v>0.0</v>
      </c>
      <c r="AJ1473" t="n">
        <v>0.0</v>
      </c>
      <c r="AK1473" t="inlineStr">
        <is>
          <t/>
        </is>
      </c>
      <c r="AL1473" t="inlineStr">
        <is>
          <t/>
        </is>
      </c>
    </row>
    <row r="1474">
      <c r="A1474" t="inlineStr">
        <is>
          <t>话不多说，五一前必须瘦到100斤</t>
        </is>
      </c>
      <c r="B1474" t="inlineStr">
        <is>
          <t>69e312b4000000001e00ee23</t>
        </is>
      </c>
      <c r="C1474" s="1473" t="n">
        <f>HYPERLINK("https://www.xiaohongshu.com/explore/69e312b4000000001e00ee23?xsec_token=TBdjj7K6Nlm9yT2LpYB6PpNgT0xnHB6UdAQ1-lq7iey8Y=&amp;xsec_source=pc_trdark","https://www.xiaohongshu.com/explore/69e312b4000000001e00ee23?xsec_token=TBdjj7K6Nlm9yT2LpYB6PpNgT0xnHB6UdAQ1-lq7iey8Y=&amp;xsec_source=pc_trdark")</f>
        <v>0.0</v>
      </c>
      <c r="D1474" t="inlineStr">
        <is>
          <t>婉婉上班吃什么</t>
        </is>
      </c>
      <c r="E1474" t="inlineStr">
        <is>
          <t>11434449706</t>
        </is>
      </c>
      <c r="F1474" t="inlineStr">
        <is>
          <t>2026-04-18 13:12:20</t>
        </is>
      </c>
      <c r="G1474" t="inlineStr">
        <is>
          <t>图文</t>
        </is>
      </c>
      <c r="H1474" t="inlineStr">
        <is>
          <t>手剥虾仁 无冰衣无添加 低脂餐一人食 上班带饭 顺丰包邮 5盒装</t>
        </is>
      </c>
      <c r="I1474" t="inlineStr">
        <is>
          <t>694baba01d450d00013662f0</t>
        </is>
      </c>
      <c r="J1474" t="inlineStr">
        <is>
          <t/>
        </is>
      </c>
      <c r="K1474" t="n">
        <v>0.0</v>
      </c>
      <c r="L1474" t="n">
        <v>0.0</v>
      </c>
      <c r="M1474" t="n">
        <v>0.0</v>
      </c>
      <c r="N1474" t="inlineStr">
        <is>
          <t/>
        </is>
      </c>
      <c r="O1474" t="n">
        <v>0.0</v>
      </c>
      <c r="P1474" t="n">
        <v>0.0</v>
      </c>
      <c r="Q1474" t="inlineStr">
        <is>
          <t/>
        </is>
      </c>
      <c r="R1474" t="inlineStr">
        <is>
          <t/>
        </is>
      </c>
      <c r="S1474" t="n">
        <v>0.0</v>
      </c>
      <c r="T1474" t="n">
        <v>0.0</v>
      </c>
      <c r="U1474" t="n">
        <v>0.0</v>
      </c>
      <c r="V1474" t="n">
        <v>0.0</v>
      </c>
      <c r="W1474" t="inlineStr">
        <is>
          <t/>
        </is>
      </c>
      <c r="X1474" t="n">
        <v>0.0</v>
      </c>
      <c r="Y1474" t="n">
        <v>0.0</v>
      </c>
      <c r="Z1474" t="n">
        <v>0.0</v>
      </c>
      <c r="AA1474" t="n">
        <v>0.0</v>
      </c>
      <c r="AB1474" t="n">
        <v>0.0</v>
      </c>
      <c r="AC1474" t="n">
        <v>0.0</v>
      </c>
      <c r="AD1474" t="n">
        <v>0.0</v>
      </c>
      <c r="AE1474" t="n">
        <v>0.0</v>
      </c>
      <c r="AF1474" t="n">
        <v>0.0</v>
      </c>
      <c r="AG1474" t="n">
        <v>0.0</v>
      </c>
      <c r="AH1474" t="n">
        <v>0.0</v>
      </c>
      <c r="AI1474" t="n">
        <v>0.0</v>
      </c>
      <c r="AJ1474" t="n">
        <v>0.0</v>
      </c>
      <c r="AK1474" t="inlineStr">
        <is>
          <t/>
        </is>
      </c>
      <c r="AL1474" t="inlineStr">
        <is>
          <t/>
        </is>
      </c>
    </row>
    <row r="1475">
      <c r="A1475" t="inlineStr">
        <is>
          <t>我也不想买啊😭但69够我吃一周虾仁了</t>
        </is>
      </c>
      <c r="B1475" t="inlineStr">
        <is>
          <t>69e23a85000000001a02e0e2</t>
        </is>
      </c>
      <c r="C1475" s="1474" t="n">
        <f>HYPERLINK("https://www.xiaohongshu.com/explore/69e23a85000000001a02e0e2?xsec_token=TBOpzZAuw0pnbuw-toVufuL71uPvgCj_rxChFcCzXcd-E=&amp;xsec_source=pc_trdark","https://www.xiaohongshu.com/explore/69e23a85000000001a02e0e2?xsec_token=TBOpzZAuw0pnbuw-toVufuL71uPvgCj_rxChFcCzXcd-E=&amp;xsec_source=pc_trdark")</f>
        <v>0.0</v>
      </c>
      <c r="D1475" t="inlineStr">
        <is>
          <t>婉婉上班吃什么</t>
        </is>
      </c>
      <c r="E1475" t="inlineStr">
        <is>
          <t>11434449706</t>
        </is>
      </c>
      <c r="F1475" t="inlineStr">
        <is>
          <t>2026-04-17 21:49:58</t>
        </is>
      </c>
      <c r="G1475" t="inlineStr">
        <is>
          <t>图文</t>
        </is>
      </c>
      <c r="H1475" t="inlineStr">
        <is>
          <t>手剥虾仁 无冰衣无添加 低脂餐一人食 上班带饭 顺丰包邮 5盒装</t>
        </is>
      </c>
      <c r="I1475" t="inlineStr">
        <is>
          <t>694baba01d450d00013662f0</t>
        </is>
      </c>
      <c r="J1475" t="inlineStr">
        <is>
          <t/>
        </is>
      </c>
      <c r="K1475" t="n">
        <v>0.0</v>
      </c>
      <c r="L1475" t="n">
        <v>0.0</v>
      </c>
      <c r="M1475" t="n">
        <v>0.0</v>
      </c>
      <c r="N1475" t="inlineStr">
        <is>
          <t/>
        </is>
      </c>
      <c r="O1475" t="n">
        <v>0.0</v>
      </c>
      <c r="P1475" t="n">
        <v>0.0</v>
      </c>
      <c r="Q1475" t="inlineStr">
        <is>
          <t/>
        </is>
      </c>
      <c r="R1475" t="inlineStr">
        <is>
          <t/>
        </is>
      </c>
      <c r="S1475" t="n">
        <v>0.0</v>
      </c>
      <c r="T1475" t="n">
        <v>0.0</v>
      </c>
      <c r="U1475" t="n">
        <v>0.0</v>
      </c>
      <c r="V1475" t="n">
        <v>0.0</v>
      </c>
      <c r="W1475" t="inlineStr">
        <is>
          <t/>
        </is>
      </c>
      <c r="X1475" t="n">
        <v>0.0</v>
      </c>
      <c r="Y1475" t="n">
        <v>0.0</v>
      </c>
      <c r="Z1475" t="n">
        <v>0.0</v>
      </c>
      <c r="AA1475" t="n">
        <v>0.0</v>
      </c>
      <c r="AB1475" t="n">
        <v>0.0</v>
      </c>
      <c r="AC1475" t="n">
        <v>0.0</v>
      </c>
      <c r="AD1475" t="n">
        <v>0.0</v>
      </c>
      <c r="AE1475" t="n">
        <v>0.0</v>
      </c>
      <c r="AF1475" t="n">
        <v>0.0</v>
      </c>
      <c r="AG1475" t="n">
        <v>0.0</v>
      </c>
      <c r="AH1475" t="n">
        <v>0.0</v>
      </c>
      <c r="AI1475" t="n">
        <v>0.0</v>
      </c>
      <c r="AJ1475" t="n">
        <v>0.0</v>
      </c>
      <c r="AK1475" t="inlineStr">
        <is>
          <t/>
        </is>
      </c>
      <c r="AL1475" t="inlineStr">
        <is>
          <t/>
        </is>
      </c>
    </row>
    <row r="1476">
      <c r="A1476" t="inlineStr">
        <is>
          <t>同事说我天天吃虾仁，问我是在减肥还是炫富</t>
        </is>
      </c>
      <c r="B1476" t="inlineStr">
        <is>
          <t>69e234e00000000022027aab</t>
        </is>
      </c>
      <c r="C1476" s="1475" t="n">
        <f>HYPERLINK("https://www.xiaohongshu.com/explore/69e234e00000000022027aab?xsec_token=TBOpzZAuw0pnbuw-toVufuL7IQORE2enmNHyZC9P_FLPE=&amp;xsec_source=pc_trdark","https://www.xiaohongshu.com/explore/69e234e00000000022027aab?xsec_token=TBOpzZAuw0pnbuw-toVufuL7IQORE2enmNHyZC9P_FLPE=&amp;xsec_source=pc_trdark")</f>
        <v>0.0</v>
      </c>
      <c r="D1476" t="inlineStr">
        <is>
          <t>菲菲上班吃什么</t>
        </is>
      </c>
      <c r="E1476" t="inlineStr">
        <is>
          <t>49936530607</t>
        </is>
      </c>
      <c r="F1476" t="inlineStr">
        <is>
          <t>2026-04-17 21:25:52</t>
        </is>
      </c>
      <c r="G1476" t="inlineStr">
        <is>
          <t>图文</t>
        </is>
      </c>
      <c r="H1476" t="inlineStr">
        <is>
          <t>手剥虾仁 无冰衣无添加 低脂餐一人食 上班带饭 顺丰包邮 5盒装</t>
        </is>
      </c>
      <c r="I1476" t="inlineStr">
        <is>
          <t>694baba01d450d00013662f0</t>
        </is>
      </c>
      <c r="J1476" t="inlineStr">
        <is>
          <t/>
        </is>
      </c>
      <c r="K1476" t="n">
        <v>0.0</v>
      </c>
      <c r="L1476" t="n">
        <v>0.0</v>
      </c>
      <c r="M1476" t="n">
        <v>0.0</v>
      </c>
      <c r="N1476" t="inlineStr">
        <is>
          <t/>
        </is>
      </c>
      <c r="O1476" t="n">
        <v>0.0</v>
      </c>
      <c r="P1476" t="n">
        <v>0.0</v>
      </c>
      <c r="Q1476" t="inlineStr">
        <is>
          <t/>
        </is>
      </c>
      <c r="R1476" t="inlineStr">
        <is>
          <t/>
        </is>
      </c>
      <c r="S1476" t="n">
        <v>0.0</v>
      </c>
      <c r="T1476" t="n">
        <v>0.0</v>
      </c>
      <c r="U1476" t="n">
        <v>0.0</v>
      </c>
      <c r="V1476" t="n">
        <v>0.0</v>
      </c>
      <c r="W1476" t="inlineStr">
        <is>
          <t/>
        </is>
      </c>
      <c r="X1476" t="n">
        <v>0.0</v>
      </c>
      <c r="Y1476" t="n">
        <v>0.0</v>
      </c>
      <c r="Z1476" t="n">
        <v>0.0</v>
      </c>
      <c r="AA1476" t="n">
        <v>0.0</v>
      </c>
      <c r="AB1476" t="n">
        <v>0.0</v>
      </c>
      <c r="AC1476" t="n">
        <v>0.0</v>
      </c>
      <c r="AD1476" t="n">
        <v>0.0</v>
      </c>
      <c r="AE1476" t="n">
        <v>0.0</v>
      </c>
      <c r="AF1476" t="n">
        <v>0.0</v>
      </c>
      <c r="AG1476" t="n">
        <v>0.0</v>
      </c>
      <c r="AH1476" t="n">
        <v>0.0</v>
      </c>
      <c r="AI1476" t="n">
        <v>0.0</v>
      </c>
      <c r="AJ1476" t="n">
        <v>0.0</v>
      </c>
      <c r="AK1476" t="inlineStr">
        <is>
          <t/>
        </is>
      </c>
      <c r="AL1476" t="inlineStr">
        <is>
          <t/>
        </is>
      </c>
    </row>
    <row r="1477">
      <c r="A1477" t="inlineStr">
        <is>
          <t>山母的品质，Pxx 的价格！</t>
        </is>
      </c>
      <c r="B1477" t="inlineStr">
        <is>
          <t>69df9be9000000001f00772d</t>
        </is>
      </c>
      <c r="C1477" s="1476" t="n">
        <f>HYPERLINK("https://www.xiaohongshu.com/explore/69df9be9000000001f00772d?xsec_token=TBbELi6fdmnK2TYKEzYY0fWvFjCPsIsMFLFBVV5Y5R5TE=&amp;xsec_source=pc_trdark","https://www.xiaohongshu.com/explore/69df9be9000000001f00772d?xsec_token=TBbELi6fdmnK2TYKEzYY0fWvFjCPsIsMFLFBVV5Y5R5TE=&amp;xsec_source=pc_trdark")</f>
        <v>0.0</v>
      </c>
      <c r="D1477" t="inlineStr">
        <is>
          <t>鲜水湾</t>
        </is>
      </c>
      <c r="E1477" t="inlineStr">
        <is>
          <t>49316638994</t>
        </is>
      </c>
      <c r="F1477" t="inlineStr">
        <is>
          <t>2026-04-15 22:08:41</t>
        </is>
      </c>
      <c r="G1477" t="inlineStr">
        <is>
          <t>图文</t>
        </is>
      </c>
      <c r="H1477" t="inlineStr">
        <is>
          <t>智利尾端中段整条三文鱼 8斤深海鱼低脂餐囤货一周备菜顺丰包邮</t>
        </is>
      </c>
      <c r="I1477" t="inlineStr">
        <is>
          <t>69fab80d64eb410001ece0c0</t>
        </is>
      </c>
      <c r="J1477" t="inlineStr">
        <is>
          <t/>
        </is>
      </c>
      <c r="K1477" t="n">
        <v>0.0</v>
      </c>
      <c r="L1477" t="n">
        <v>0.0</v>
      </c>
      <c r="M1477" t="n">
        <v>0.0</v>
      </c>
      <c r="N1477" t="inlineStr">
        <is>
          <t/>
        </is>
      </c>
      <c r="O1477" t="n">
        <v>0.0</v>
      </c>
      <c r="P1477" t="n">
        <v>0.0</v>
      </c>
      <c r="Q1477" t="inlineStr">
        <is>
          <t/>
        </is>
      </c>
      <c r="R1477" t="inlineStr">
        <is>
          <t/>
        </is>
      </c>
      <c r="S1477" t="n">
        <v>0.0</v>
      </c>
      <c r="T1477" t="n">
        <v>0.0</v>
      </c>
      <c r="U1477" t="n">
        <v>0.0</v>
      </c>
      <c r="V1477" t="n">
        <v>0.0</v>
      </c>
      <c r="W1477" t="inlineStr">
        <is>
          <t/>
        </is>
      </c>
      <c r="X1477" t="n">
        <v>0.0</v>
      </c>
      <c r="Y1477" t="n">
        <v>0.0</v>
      </c>
      <c r="Z1477" t="n">
        <v>0.0</v>
      </c>
      <c r="AA1477" t="n">
        <v>0.0</v>
      </c>
      <c r="AB1477" t="n">
        <v>0.0</v>
      </c>
      <c r="AC1477" t="n">
        <v>0.0</v>
      </c>
      <c r="AD1477" t="n">
        <v>0.0</v>
      </c>
      <c r="AE1477" t="n">
        <v>0.0</v>
      </c>
      <c r="AF1477" t="n">
        <v>0.0</v>
      </c>
      <c r="AG1477" t="n">
        <v>0.0</v>
      </c>
      <c r="AH1477" t="n">
        <v>0.0</v>
      </c>
      <c r="AI1477" t="n">
        <v>0.0</v>
      </c>
      <c r="AJ1477" t="n">
        <v>0.0</v>
      </c>
      <c r="AK1477" t="inlineStr">
        <is>
          <t/>
        </is>
      </c>
      <c r="AL1477" t="inlineStr">
        <is>
          <t/>
        </is>
      </c>
    </row>
    <row r="1478">
      <c r="A1478" t="inlineStr">
        <is>
          <t>个人认为配料表zui 干净的虾仁（本人自封）</t>
        </is>
      </c>
      <c r="B1478" t="inlineStr">
        <is>
          <t>69df93d60000000023006cec</t>
        </is>
      </c>
      <c r="C1478" s="1477" t="n">
        <f>HYPERLINK("https://www.xiaohongshu.com/explore/69df93d60000000023006cec?xsec_token=TBbELi6fdmnK2TYKEzYY0fWq3zRp78PKLyKLmjIW9Tiyc=&amp;xsec_source=pc_trdark","https://www.xiaohongshu.com/explore/69df93d60000000023006cec?xsec_token=TBbELi6fdmnK2TYKEzYY0fWq3zRp78PKLyKLmjIW9Tiyc=&amp;xsec_source=pc_trdark")</f>
        <v>0.0</v>
      </c>
      <c r="D1478" t="inlineStr">
        <is>
          <t>菲菲上班吃什么</t>
        </is>
      </c>
      <c r="E1478" t="inlineStr">
        <is>
          <t>49936530607</t>
        </is>
      </c>
      <c r="F1478" t="inlineStr">
        <is>
          <t>2026-04-15 21:34:14</t>
        </is>
      </c>
      <c r="G1478" t="inlineStr">
        <is>
          <t>图文</t>
        </is>
      </c>
      <c r="H1478" t="inlineStr">
        <is>
          <t>手剥虾仁 无冰衣无添加 低脂餐一人食 上班带饭 顺丰包邮 5盒装</t>
        </is>
      </c>
      <c r="I1478" t="inlineStr">
        <is>
          <t>694baba01d450d00013662f0</t>
        </is>
      </c>
      <c r="J1478" t="inlineStr">
        <is>
          <t/>
        </is>
      </c>
      <c r="K1478" t="n">
        <v>0.0</v>
      </c>
      <c r="L1478" t="n">
        <v>0.0</v>
      </c>
      <c r="M1478" t="n">
        <v>0.0</v>
      </c>
      <c r="N1478" t="inlineStr">
        <is>
          <t/>
        </is>
      </c>
      <c r="O1478" t="n">
        <v>0.0</v>
      </c>
      <c r="P1478" t="n">
        <v>0.0</v>
      </c>
      <c r="Q1478" t="inlineStr">
        <is>
          <t/>
        </is>
      </c>
      <c r="R1478" t="inlineStr">
        <is>
          <t/>
        </is>
      </c>
      <c r="S1478" t="n">
        <v>0.0</v>
      </c>
      <c r="T1478" t="n">
        <v>0.0</v>
      </c>
      <c r="U1478" t="n">
        <v>0.0</v>
      </c>
      <c r="V1478" t="n">
        <v>0.0</v>
      </c>
      <c r="W1478" t="inlineStr">
        <is>
          <t/>
        </is>
      </c>
      <c r="X1478" t="n">
        <v>0.0</v>
      </c>
      <c r="Y1478" t="n">
        <v>0.0</v>
      </c>
      <c r="Z1478" t="n">
        <v>0.0</v>
      </c>
      <c r="AA1478" t="n">
        <v>0.0</v>
      </c>
      <c r="AB1478" t="n">
        <v>0.0</v>
      </c>
      <c r="AC1478" t="n">
        <v>0.0</v>
      </c>
      <c r="AD1478" t="n">
        <v>0.0</v>
      </c>
      <c r="AE1478" t="n">
        <v>0.0</v>
      </c>
      <c r="AF1478" t="n">
        <v>0.0</v>
      </c>
      <c r="AG1478" t="n">
        <v>0.0</v>
      </c>
      <c r="AH1478" t="n">
        <v>0.0</v>
      </c>
      <c r="AI1478" t="n">
        <v>0.0</v>
      </c>
      <c r="AJ1478" t="n">
        <v>0.0</v>
      </c>
      <c r="AK1478" t="inlineStr">
        <is>
          <t/>
        </is>
      </c>
      <c r="AL1478" t="inlineStr">
        <is>
          <t/>
        </is>
      </c>
    </row>
    <row r="1479">
      <c r="A1479" t="inlineStr">
        <is>
          <t>老妈说虾仁就该这样吃无添加的</t>
        </is>
      </c>
      <c r="B1479" t="inlineStr">
        <is>
          <t>69df8af2000000002301f0d8</t>
        </is>
      </c>
      <c r="C1479" s="1478" t="n">
        <f>HYPERLINK("https://www.xiaohongshu.com/explore/69df8af2000000002301f0d8?xsec_token=TBbELi6fdmnK2TYKEzYY0fWiW7OCsLlEguCBAbqdjhn7w=&amp;xsec_source=pc_trdark","https://www.xiaohongshu.com/explore/69df8af2000000002301f0d8?xsec_token=TBbELi6fdmnK2TYKEzYY0fWiW7OCsLlEguCBAbqdjhn7w=&amp;xsec_source=pc_trdark")</f>
        <v>0.0</v>
      </c>
      <c r="D1479" t="inlineStr">
        <is>
          <t>婉婉上班吃什么</t>
        </is>
      </c>
      <c r="E1479" t="inlineStr">
        <is>
          <t>11434449706</t>
        </is>
      </c>
      <c r="F1479" t="inlineStr">
        <is>
          <t>2026-04-15 20:56:18</t>
        </is>
      </c>
      <c r="G1479" t="inlineStr">
        <is>
          <t>图文</t>
        </is>
      </c>
      <c r="H1479" t="inlineStr">
        <is>
          <t>手剥虾仁 无冰衣无添加 低脂餐一人食 上班带饭 顺丰包邮 5盒装</t>
        </is>
      </c>
      <c r="I1479" t="inlineStr">
        <is>
          <t>694baba01d450d00013662f0</t>
        </is>
      </c>
      <c r="J1479" t="inlineStr">
        <is>
          <t/>
        </is>
      </c>
      <c r="K1479" t="n">
        <v>0.0</v>
      </c>
      <c r="L1479" t="n">
        <v>0.0</v>
      </c>
      <c r="M1479" t="n">
        <v>0.0</v>
      </c>
      <c r="N1479" t="inlineStr">
        <is>
          <t/>
        </is>
      </c>
      <c r="O1479" t="n">
        <v>0.0</v>
      </c>
      <c r="P1479" t="n">
        <v>0.0</v>
      </c>
      <c r="Q1479" t="inlineStr">
        <is>
          <t/>
        </is>
      </c>
      <c r="R1479" t="inlineStr">
        <is>
          <t/>
        </is>
      </c>
      <c r="S1479" t="n">
        <v>0.0</v>
      </c>
      <c r="T1479" t="n">
        <v>0.0</v>
      </c>
      <c r="U1479" t="n">
        <v>0.0</v>
      </c>
      <c r="V1479" t="n">
        <v>0.0</v>
      </c>
      <c r="W1479" t="inlineStr">
        <is>
          <t/>
        </is>
      </c>
      <c r="X1479" t="n">
        <v>0.0</v>
      </c>
      <c r="Y1479" t="n">
        <v>0.0</v>
      </c>
      <c r="Z1479" t="n">
        <v>0.0</v>
      </c>
      <c r="AA1479" t="n">
        <v>0.0</v>
      </c>
      <c r="AB1479" t="n">
        <v>0.0</v>
      </c>
      <c r="AC1479" t="n">
        <v>0.0</v>
      </c>
      <c r="AD1479" t="n">
        <v>0.0</v>
      </c>
      <c r="AE1479" t="n">
        <v>0.0</v>
      </c>
      <c r="AF1479" t="n">
        <v>0.0</v>
      </c>
      <c r="AG1479" t="n">
        <v>0.0</v>
      </c>
      <c r="AH1479" t="n">
        <v>0.0</v>
      </c>
      <c r="AI1479" t="n">
        <v>0.0</v>
      </c>
      <c r="AJ1479" t="n">
        <v>0.0</v>
      </c>
      <c r="AK1479" t="inlineStr">
        <is>
          <t/>
        </is>
      </c>
      <c r="AL1479" t="inlineStr">
        <is>
          <t/>
        </is>
      </c>
    </row>
    <row r="1480">
      <c r="A1480" t="inlineStr">
        <is>
          <t>听老粉的话，推出了一人食小包装</t>
        </is>
      </c>
      <c r="B1480" t="inlineStr">
        <is>
          <t>69df5d7b000000001b020818</t>
        </is>
      </c>
      <c r="C1480" s="1479" t="n">
        <f>HYPERLINK("https://www.xiaohongshu.com/explore/69df5d7b000000001b020818?xsec_token=TBbELi6fdmnK2TYKEzYY0fWoxqBWO2JJMF9tvRLcybtmg=&amp;xsec_source=pc_trdark","https://www.xiaohongshu.com/explore/69df5d7b000000001b020818?xsec_token=TBbELi6fdmnK2TYKEzYY0fWoxqBWO2JJMF9tvRLcybtmg=&amp;xsec_source=pc_trdark")</f>
        <v>0.0</v>
      </c>
      <c r="D1480" t="inlineStr">
        <is>
          <t>鲜水湾</t>
        </is>
      </c>
      <c r="E1480" t="inlineStr">
        <is>
          <t>49316638994</t>
        </is>
      </c>
      <c r="F1480" t="inlineStr">
        <is>
          <t>2026-04-15 17:42:19</t>
        </is>
      </c>
      <c r="G1480" t="inlineStr">
        <is>
          <t>图文</t>
        </is>
      </c>
      <c r="H1480" t="inlineStr">
        <is>
          <t>手剥虾仁 无冰衣无添加 低脂餐一人食 上班带饭 顺丰包邮 5盒装</t>
        </is>
      </c>
      <c r="I1480" t="inlineStr">
        <is>
          <t>694baba01d450d00013662f0</t>
        </is>
      </c>
      <c r="J1480" t="inlineStr">
        <is>
          <t/>
        </is>
      </c>
      <c r="K1480" t="n">
        <v>0.0</v>
      </c>
      <c r="L1480" t="n">
        <v>0.0</v>
      </c>
      <c r="M1480" t="n">
        <v>0.0</v>
      </c>
      <c r="N1480" t="inlineStr">
        <is>
          <t/>
        </is>
      </c>
      <c r="O1480" t="n">
        <v>0.0</v>
      </c>
      <c r="P1480" t="n">
        <v>0.0</v>
      </c>
      <c r="Q1480" t="inlineStr">
        <is>
          <t/>
        </is>
      </c>
      <c r="R1480" t="inlineStr">
        <is>
          <t/>
        </is>
      </c>
      <c r="S1480" t="n">
        <v>0.0</v>
      </c>
      <c r="T1480" t="n">
        <v>0.0</v>
      </c>
      <c r="U1480" t="n">
        <v>0.0</v>
      </c>
      <c r="V1480" t="n">
        <v>0.0</v>
      </c>
      <c r="W1480" t="inlineStr">
        <is>
          <t/>
        </is>
      </c>
      <c r="X1480" t="n">
        <v>0.0</v>
      </c>
      <c r="Y1480" t="n">
        <v>0.0</v>
      </c>
      <c r="Z1480" t="n">
        <v>0.0</v>
      </c>
      <c r="AA1480" t="n">
        <v>0.0</v>
      </c>
      <c r="AB1480" t="n">
        <v>0.0</v>
      </c>
      <c r="AC1480" t="n">
        <v>0.0</v>
      </c>
      <c r="AD1480" t="n">
        <v>0.0</v>
      </c>
      <c r="AE1480" t="n">
        <v>0.0</v>
      </c>
      <c r="AF1480" t="n">
        <v>0.0</v>
      </c>
      <c r="AG1480" t="n">
        <v>0.0</v>
      </c>
      <c r="AH1480" t="n">
        <v>0.0</v>
      </c>
      <c r="AI1480" t="n">
        <v>0.0</v>
      </c>
      <c r="AJ1480" t="n">
        <v>0.0</v>
      </c>
      <c r="AK1480" t="inlineStr">
        <is>
          <t/>
        </is>
      </c>
      <c r="AL1480" t="inlineStr">
        <is>
          <t/>
        </is>
      </c>
    </row>
    <row r="1481">
      <c r="A1481" t="inlineStr">
        <is>
          <t>连续带饭第7天，同事问我怎么坚持的</t>
        </is>
      </c>
      <c r="B1481" t="inlineStr">
        <is>
          <t>69df4f50000000001e00dd41</t>
        </is>
      </c>
      <c r="C1481" s="1480" t="n">
        <f>HYPERLINK("https://www.xiaohongshu.com/explore/69df4f50000000001e00dd41?xsec_token=TBbELi6fdmnK2TYKEzYY0fWn7XA2WZVn9TAboL--azgXE=&amp;xsec_source=pc_trdark","https://www.xiaohongshu.com/explore/69df4f50000000001e00dd41?xsec_token=TBbELi6fdmnK2TYKEzYY0fWn7XA2WZVn9TAboL--azgXE=&amp;xsec_source=pc_trdark")</f>
        <v>0.0</v>
      </c>
      <c r="D1481" t="inlineStr">
        <is>
          <t>菲菲上班吃什么</t>
        </is>
      </c>
      <c r="E1481" t="inlineStr">
        <is>
          <t>49936530607</t>
        </is>
      </c>
      <c r="F1481" t="inlineStr">
        <is>
          <t>2026-04-15 16:41:52</t>
        </is>
      </c>
      <c r="G1481" t="inlineStr">
        <is>
          <t>图文</t>
        </is>
      </c>
      <c r="H1481" t="inlineStr">
        <is>
          <t>手剥虾仁 无冰衣无添加 低脂餐一人食 上班带饭 顺丰包邮 5盒装</t>
        </is>
      </c>
      <c r="I1481" t="inlineStr">
        <is>
          <t>694baba01d450d00013662f0</t>
        </is>
      </c>
      <c r="J1481" t="inlineStr">
        <is>
          <t/>
        </is>
      </c>
      <c r="K1481" t="n">
        <v>0.0</v>
      </c>
      <c r="L1481" t="n">
        <v>0.0</v>
      </c>
      <c r="M1481" t="n">
        <v>0.0</v>
      </c>
      <c r="N1481" t="inlineStr">
        <is>
          <t/>
        </is>
      </c>
      <c r="O1481" t="n">
        <v>0.0</v>
      </c>
      <c r="P1481" t="n">
        <v>0.0</v>
      </c>
      <c r="Q1481" t="inlineStr">
        <is>
          <t/>
        </is>
      </c>
      <c r="R1481" t="inlineStr">
        <is>
          <t/>
        </is>
      </c>
      <c r="S1481" t="n">
        <v>0.0</v>
      </c>
      <c r="T1481" t="n">
        <v>0.0</v>
      </c>
      <c r="U1481" t="n">
        <v>0.0</v>
      </c>
      <c r="V1481" t="n">
        <v>0.0</v>
      </c>
      <c r="W1481" t="inlineStr">
        <is>
          <t/>
        </is>
      </c>
      <c r="X1481" t="n">
        <v>0.0</v>
      </c>
      <c r="Y1481" t="n">
        <v>0.0</v>
      </c>
      <c r="Z1481" t="n">
        <v>0.0</v>
      </c>
      <c r="AA1481" t="n">
        <v>0.0</v>
      </c>
      <c r="AB1481" t="n">
        <v>0.0</v>
      </c>
      <c r="AC1481" t="n">
        <v>0.0</v>
      </c>
      <c r="AD1481" t="n">
        <v>0.0</v>
      </c>
      <c r="AE1481" t="n">
        <v>0.0</v>
      </c>
      <c r="AF1481" t="n">
        <v>0.0</v>
      </c>
      <c r="AG1481" t="n">
        <v>0.0</v>
      </c>
      <c r="AH1481" t="n">
        <v>0.0</v>
      </c>
      <c r="AI1481" t="n">
        <v>0.0</v>
      </c>
      <c r="AJ1481" t="n">
        <v>0.0</v>
      </c>
      <c r="AK1481" t="inlineStr">
        <is>
          <t/>
        </is>
      </c>
      <c r="AL1481" t="inlineStr">
        <is>
          <t/>
        </is>
      </c>
    </row>
    <row r="1482">
      <c r="A1482" t="inlineStr">
        <is>
          <t>69搞定一周带饭！虾仁自由了</t>
        </is>
      </c>
      <c r="B1482" t="inlineStr">
        <is>
          <t>69df4a86000000001a0371e0</t>
        </is>
      </c>
      <c r="C1482" s="1481" t="n">
        <f>HYPERLINK("https://www.xiaohongshu.com/explore/69df4a86000000001a0371e0?xsec_token=TBbELi6fdmnK2TYKEzYY0fWrQhQovOS_R_jNvVUIVBN04=&amp;xsec_source=pc_trdark","https://www.xiaohongshu.com/explore/69df4a86000000001a0371e0?xsec_token=TBbELi6fdmnK2TYKEzYY0fWrQhQovOS_R_jNvVUIVBN04=&amp;xsec_source=pc_trdark")</f>
        <v>0.0</v>
      </c>
      <c r="D1482" t="inlineStr">
        <is>
          <t>婉婉上班吃什么</t>
        </is>
      </c>
      <c r="E1482" t="inlineStr">
        <is>
          <t>11434449706</t>
        </is>
      </c>
      <c r="F1482" t="inlineStr">
        <is>
          <t>2026-04-15 16:21:26</t>
        </is>
      </c>
      <c r="G1482" t="inlineStr">
        <is>
          <t>图文</t>
        </is>
      </c>
      <c r="H1482" t="inlineStr">
        <is>
          <t>手剥虾仁 无冰衣无添加 低脂餐一人食 上班带饭 顺丰包邮 5盒装</t>
        </is>
      </c>
      <c r="I1482" t="inlineStr">
        <is>
          <t>694baba01d450d00013662f0</t>
        </is>
      </c>
      <c r="J1482" t="inlineStr">
        <is>
          <t/>
        </is>
      </c>
      <c r="K1482" t="n">
        <v>0.0</v>
      </c>
      <c r="L1482" t="n">
        <v>0.0</v>
      </c>
      <c r="M1482" t="n">
        <v>0.0</v>
      </c>
      <c r="N1482" t="inlineStr">
        <is>
          <t/>
        </is>
      </c>
      <c r="O1482" t="n">
        <v>0.0</v>
      </c>
      <c r="P1482" t="n">
        <v>0.0</v>
      </c>
      <c r="Q1482" t="inlineStr">
        <is>
          <t/>
        </is>
      </c>
      <c r="R1482" t="inlineStr">
        <is>
          <t/>
        </is>
      </c>
      <c r="S1482" t="n">
        <v>0.0</v>
      </c>
      <c r="T1482" t="n">
        <v>0.0</v>
      </c>
      <c r="U1482" t="n">
        <v>0.0</v>
      </c>
      <c r="V1482" t="n">
        <v>0.0</v>
      </c>
      <c r="W1482" t="inlineStr">
        <is>
          <t/>
        </is>
      </c>
      <c r="X1482" t="n">
        <v>0.0</v>
      </c>
      <c r="Y1482" t="n">
        <v>0.0</v>
      </c>
      <c r="Z1482" t="n">
        <v>0.0</v>
      </c>
      <c r="AA1482" t="n">
        <v>0.0</v>
      </c>
      <c r="AB1482" t="n">
        <v>0.0</v>
      </c>
      <c r="AC1482" t="n">
        <v>0.0</v>
      </c>
      <c r="AD1482" t="n">
        <v>0.0</v>
      </c>
      <c r="AE1482" t="n">
        <v>0.0</v>
      </c>
      <c r="AF1482" t="n">
        <v>0.0</v>
      </c>
      <c r="AG1482" t="n">
        <v>0.0</v>
      </c>
      <c r="AH1482" t="n">
        <v>0.0</v>
      </c>
      <c r="AI1482" t="n">
        <v>0.0</v>
      </c>
      <c r="AJ1482" t="n">
        <v>0.0</v>
      </c>
      <c r="AK1482" t="inlineStr">
        <is>
          <t/>
        </is>
      </c>
      <c r="AL1482" t="inlineStr">
        <is>
          <t/>
        </is>
      </c>
    </row>
    <row r="1483">
      <c r="A1483" t="inlineStr">
        <is>
          <t>不是某姆吃不起，而是工厂直发更有性价比</t>
        </is>
      </c>
      <c r="B1483" t="inlineStr">
        <is>
          <t>69df2b29000000001a034ff8</t>
        </is>
      </c>
      <c r="C1483" s="1482" t="n">
        <f>HYPERLINK("https://www.xiaohongshu.com/explore/69df2b29000000001a034ff8?xsec_token=TBbELi6fdmnK2TYKEzYY0fWtVZwe5k65yaYTXKd4Qr5JQ=&amp;xsec_source=pc_trdark","https://www.xiaohongshu.com/explore/69df2b29000000001a034ff8?xsec_token=TBbELi6fdmnK2TYKEzYY0fWtVZwe5k65yaYTXKd4Qr5JQ=&amp;xsec_source=pc_trdark")</f>
        <v>0.0</v>
      </c>
      <c r="D1483" t="inlineStr">
        <is>
          <t>菲菲上班吃什么</t>
        </is>
      </c>
      <c r="E1483" t="inlineStr">
        <is>
          <t>49936530607</t>
        </is>
      </c>
      <c r="F1483" t="inlineStr">
        <is>
          <t>2026-04-15 14:07:37</t>
        </is>
      </c>
      <c r="G1483" t="inlineStr">
        <is>
          <t>图文</t>
        </is>
      </c>
      <c r="H1483" t="inlineStr">
        <is>
          <t>智利三文鱼切块·整条三文鱼·深海鱼一人食健康饮食</t>
        </is>
      </c>
      <c r="I1483" t="inlineStr">
        <is>
          <t>691ac562a524ee0001b51d7b</t>
        </is>
      </c>
      <c r="J1483" t="inlineStr">
        <is>
          <t/>
        </is>
      </c>
      <c r="K1483" t="n">
        <v>0.0</v>
      </c>
      <c r="L1483" t="n">
        <v>0.0</v>
      </c>
      <c r="M1483" t="n">
        <v>0.0</v>
      </c>
      <c r="N1483" t="inlineStr">
        <is>
          <t/>
        </is>
      </c>
      <c r="O1483" t="n">
        <v>0.0</v>
      </c>
      <c r="P1483" t="n">
        <v>0.0</v>
      </c>
      <c r="Q1483" t="inlineStr">
        <is>
          <t/>
        </is>
      </c>
      <c r="R1483" t="inlineStr">
        <is>
          <t/>
        </is>
      </c>
      <c r="S1483" t="n">
        <v>0.0</v>
      </c>
      <c r="T1483" t="n">
        <v>0.0</v>
      </c>
      <c r="U1483" t="n">
        <v>0.0</v>
      </c>
      <c r="V1483" t="n">
        <v>0.0</v>
      </c>
      <c r="W1483" t="inlineStr">
        <is>
          <t/>
        </is>
      </c>
      <c r="X1483" t="n">
        <v>0.0</v>
      </c>
      <c r="Y1483" t="n">
        <v>0.0</v>
      </c>
      <c r="Z1483" t="n">
        <v>0.0</v>
      </c>
      <c r="AA1483" t="n">
        <v>0.0</v>
      </c>
      <c r="AB1483" t="n">
        <v>0.0</v>
      </c>
      <c r="AC1483" t="n">
        <v>0.0</v>
      </c>
      <c r="AD1483" t="n">
        <v>0.0</v>
      </c>
      <c r="AE1483" t="n">
        <v>0.0</v>
      </c>
      <c r="AF1483" t="n">
        <v>0.0</v>
      </c>
      <c r="AG1483" t="n">
        <v>0.0</v>
      </c>
      <c r="AH1483" t="n">
        <v>0.0</v>
      </c>
      <c r="AI1483" t="n">
        <v>0.0</v>
      </c>
      <c r="AJ1483" t="n">
        <v>0.0</v>
      </c>
      <c r="AK1483" t="inlineStr">
        <is>
          <t/>
        </is>
      </c>
      <c r="AL1483" t="inlineStr">
        <is>
          <t/>
        </is>
      </c>
    </row>
    <row r="1484">
      <c r="A1484" t="inlineStr">
        <is>
          <t>后台回购数据破防了，3年值了</t>
        </is>
      </c>
      <c r="B1484" t="inlineStr">
        <is>
          <t>69df2643000000001a037919</t>
        </is>
      </c>
      <c r="C1484" s="1483" t="n">
        <f>HYPERLINK("https://www.xiaohongshu.com/explore/69df2643000000001a037919?xsec_token=TBbELi6fdmnK2TYKEzYY0fWh7HH__2NsZylHLqebR_Wy8=&amp;xsec_source=pc_trdark","https://www.xiaohongshu.com/explore/69df2643000000001a037919?xsec_token=TBbELi6fdmnK2TYKEzYY0fWh7HH__2NsZylHLqebR_Wy8=&amp;xsec_source=pc_trdark")</f>
        <v>0.0</v>
      </c>
      <c r="D1484" t="inlineStr">
        <is>
          <t>鲜水湾</t>
        </is>
      </c>
      <c r="E1484" t="inlineStr">
        <is>
          <t>49316638994</t>
        </is>
      </c>
      <c r="F1484" t="inlineStr">
        <is>
          <t>2026-04-15 13:46:43</t>
        </is>
      </c>
      <c r="G1484" t="inlineStr">
        <is>
          <t>图文</t>
        </is>
      </c>
      <c r="H1484" t="inlineStr">
        <is>
          <t>手剥虾仁 无冰衣无添加 低脂餐一人食 上班带饭 顺丰包邮 5盒装</t>
        </is>
      </c>
      <c r="I1484" t="inlineStr">
        <is>
          <t>694baba01d450d00013662f0</t>
        </is>
      </c>
      <c r="J1484" t="inlineStr">
        <is>
          <t/>
        </is>
      </c>
      <c r="K1484" t="n">
        <v>0.0</v>
      </c>
      <c r="L1484" t="n">
        <v>0.0</v>
      </c>
      <c r="M1484" t="n">
        <v>0.0</v>
      </c>
      <c r="N1484" t="inlineStr">
        <is>
          <t/>
        </is>
      </c>
      <c r="O1484" t="n">
        <v>0.0</v>
      </c>
      <c r="P1484" t="n">
        <v>0.0</v>
      </c>
      <c r="Q1484" t="inlineStr">
        <is>
          <t/>
        </is>
      </c>
      <c r="R1484" t="inlineStr">
        <is>
          <t/>
        </is>
      </c>
      <c r="S1484" t="n">
        <v>0.0</v>
      </c>
      <c r="T1484" t="n">
        <v>0.0</v>
      </c>
      <c r="U1484" t="n">
        <v>0.0</v>
      </c>
      <c r="V1484" t="n">
        <v>0.0</v>
      </c>
      <c r="W1484" t="inlineStr">
        <is>
          <t/>
        </is>
      </c>
      <c r="X1484" t="n">
        <v>0.0</v>
      </c>
      <c r="Y1484" t="n">
        <v>0.0</v>
      </c>
      <c r="Z1484" t="n">
        <v>0.0</v>
      </c>
      <c r="AA1484" t="n">
        <v>0.0</v>
      </c>
      <c r="AB1484" t="n">
        <v>0.0</v>
      </c>
      <c r="AC1484" t="n">
        <v>0.0</v>
      </c>
      <c r="AD1484" t="n">
        <v>0.0</v>
      </c>
      <c r="AE1484" t="n">
        <v>0.0</v>
      </c>
      <c r="AF1484" t="n">
        <v>0.0</v>
      </c>
      <c r="AG1484" t="n">
        <v>0.0</v>
      </c>
      <c r="AH1484" t="n">
        <v>0.0</v>
      </c>
      <c r="AI1484" t="n">
        <v>0.0</v>
      </c>
      <c r="AJ1484" t="n">
        <v>0.0</v>
      </c>
      <c r="AK1484" t="inlineStr">
        <is>
          <t/>
        </is>
      </c>
      <c r="AL1484" t="inlineStr">
        <is>
          <t/>
        </is>
      </c>
    </row>
    <row r="1485">
      <c r="A1485" t="inlineStr">
        <is>
          <t>以前是河马，现在是小红书</t>
        </is>
      </c>
      <c r="B1485" t="inlineStr">
        <is>
          <t>69de619f000000002301d137</t>
        </is>
      </c>
      <c r="C1485" s="1484" t="n">
        <f>HYPERLINK("https://www.xiaohongshu.com/explore/69de619f000000002301d137?xsec_token=TB59yoDgsQvcJ0I-utjSL7kAz1M8_5SLCyLTfldL4k34M=&amp;xsec_source=pc_trdark","https://www.xiaohongshu.com/explore/69de619f000000002301d137?xsec_token=TB59yoDgsQvcJ0I-utjSL7kAz1M8_5SLCyLTfldL4k34M=&amp;xsec_source=pc_trdark")</f>
        <v>0.0</v>
      </c>
      <c r="D1485" t="inlineStr">
        <is>
          <t>婉婉上班吃什么</t>
        </is>
      </c>
      <c r="E1485" t="inlineStr">
        <is>
          <t>11434449706</t>
        </is>
      </c>
      <c r="F1485" t="inlineStr">
        <is>
          <t>2026-04-14 23:47:43</t>
        </is>
      </c>
      <c r="G1485" t="inlineStr">
        <is>
          <t>图文</t>
        </is>
      </c>
      <c r="H1485" t="inlineStr">
        <is>
          <t>智利尾端中段整条三文鱼 8斤深海鱼低脂餐囤货一周备菜顺丰包邮</t>
        </is>
      </c>
      <c r="I1485" t="inlineStr">
        <is>
          <t>69fab80d64eb410001ece0c0</t>
        </is>
      </c>
      <c r="J1485" t="inlineStr">
        <is>
          <t/>
        </is>
      </c>
      <c r="K1485" t="n">
        <v>0.0</v>
      </c>
      <c r="L1485" t="n">
        <v>0.0</v>
      </c>
      <c r="M1485" t="n">
        <v>0.0</v>
      </c>
      <c r="N1485" t="inlineStr">
        <is>
          <t/>
        </is>
      </c>
      <c r="O1485" t="n">
        <v>0.0</v>
      </c>
      <c r="P1485" t="n">
        <v>0.0</v>
      </c>
      <c r="Q1485" t="inlineStr">
        <is>
          <t/>
        </is>
      </c>
      <c r="R1485" t="inlineStr">
        <is>
          <t/>
        </is>
      </c>
      <c r="S1485" t="n">
        <v>0.0</v>
      </c>
      <c r="T1485" t="n">
        <v>0.0</v>
      </c>
      <c r="U1485" t="n">
        <v>0.0</v>
      </c>
      <c r="V1485" t="n">
        <v>0.0</v>
      </c>
      <c r="W1485" t="inlineStr">
        <is>
          <t/>
        </is>
      </c>
      <c r="X1485" t="n">
        <v>0.0</v>
      </c>
      <c r="Y1485" t="n">
        <v>0.0</v>
      </c>
      <c r="Z1485" t="n">
        <v>0.0</v>
      </c>
      <c r="AA1485" t="n">
        <v>0.0</v>
      </c>
      <c r="AB1485" t="n">
        <v>0.0</v>
      </c>
      <c r="AC1485" t="n">
        <v>0.0</v>
      </c>
      <c r="AD1485" t="n">
        <v>0.0</v>
      </c>
      <c r="AE1485" t="n">
        <v>0.0</v>
      </c>
      <c r="AF1485" t="n">
        <v>0.0</v>
      </c>
      <c r="AG1485" t="n">
        <v>0.0</v>
      </c>
      <c r="AH1485" t="n">
        <v>0.0</v>
      </c>
      <c r="AI1485" t="n">
        <v>0.0</v>
      </c>
      <c r="AJ1485" t="n">
        <v>0.0</v>
      </c>
      <c r="AK1485" t="inlineStr">
        <is>
          <t/>
        </is>
      </c>
      <c r="AL1485" t="inlineStr">
        <is>
          <t/>
        </is>
      </c>
    </row>
    <row r="1486">
      <c r="A1486" t="inlineStr">
        <is>
          <t>同事以为我每天吃虾很奢侈...</t>
        </is>
      </c>
      <c r="B1486" t="inlineStr">
        <is>
          <t>69de0fe6000000001b02377f</t>
        </is>
      </c>
      <c r="C1486" s="1485" t="n">
        <f>HYPERLINK("https://www.xiaohongshu.com/explore/69de0fe6000000001b02377f?xsec_token=TB59yoDgsQvcJ0I-utjSL7kJjbOuOIRi4BpEAhL1xiG_o=&amp;xsec_source=pc_trdark","https://www.xiaohongshu.com/explore/69de0fe6000000001b02377f?xsec_token=TB59yoDgsQvcJ0I-utjSL7kJjbOuOIRi4BpEAhL1xiG_o=&amp;xsec_source=pc_trdark")</f>
        <v>0.0</v>
      </c>
      <c r="D1486" t="inlineStr">
        <is>
          <t>婉婉上班吃什么</t>
        </is>
      </c>
      <c r="E1486" t="inlineStr">
        <is>
          <t>11434449706</t>
        </is>
      </c>
      <c r="F1486" t="inlineStr">
        <is>
          <t>2026-04-14 17:59:02</t>
        </is>
      </c>
      <c r="G1486" t="inlineStr">
        <is>
          <t>图文</t>
        </is>
      </c>
      <c r="H1486" t="inlineStr">
        <is>
          <t>手剥虾仁 无冰衣无添加 低脂餐一人食 上班带饭 顺丰包邮 5盒装</t>
        </is>
      </c>
      <c r="I1486" t="inlineStr">
        <is>
          <t>694baba01d450d00013662f0</t>
        </is>
      </c>
      <c r="J1486" t="inlineStr">
        <is>
          <t/>
        </is>
      </c>
      <c r="K1486" t="n">
        <v>0.0</v>
      </c>
      <c r="L1486" t="n">
        <v>0.0</v>
      </c>
      <c r="M1486" t="n">
        <v>0.0</v>
      </c>
      <c r="N1486" t="inlineStr">
        <is>
          <t/>
        </is>
      </c>
      <c r="O1486" t="n">
        <v>0.0</v>
      </c>
      <c r="P1486" t="n">
        <v>0.0</v>
      </c>
      <c r="Q1486" t="inlineStr">
        <is>
          <t/>
        </is>
      </c>
      <c r="R1486" t="inlineStr">
        <is>
          <t/>
        </is>
      </c>
      <c r="S1486" t="n">
        <v>0.0</v>
      </c>
      <c r="T1486" t="n">
        <v>0.0</v>
      </c>
      <c r="U1486" t="n">
        <v>0.0</v>
      </c>
      <c r="V1486" t="n">
        <v>0.0</v>
      </c>
      <c r="W1486" t="inlineStr">
        <is>
          <t/>
        </is>
      </c>
      <c r="X1486" t="n">
        <v>0.0</v>
      </c>
      <c r="Y1486" t="n">
        <v>0.0</v>
      </c>
      <c r="Z1486" t="n">
        <v>0.0</v>
      </c>
      <c r="AA1486" t="n">
        <v>0.0</v>
      </c>
      <c r="AB1486" t="n">
        <v>0.0</v>
      </c>
      <c r="AC1486" t="n">
        <v>0.0</v>
      </c>
      <c r="AD1486" t="n">
        <v>0.0</v>
      </c>
      <c r="AE1486" t="n">
        <v>0.0</v>
      </c>
      <c r="AF1486" t="n">
        <v>0.0</v>
      </c>
      <c r="AG1486" t="n">
        <v>0.0</v>
      </c>
      <c r="AH1486" t="n">
        <v>0.0</v>
      </c>
      <c r="AI1486" t="n">
        <v>0.0</v>
      </c>
      <c r="AJ1486" t="n">
        <v>0.0</v>
      </c>
      <c r="AK1486" t="inlineStr">
        <is>
          <t/>
        </is>
      </c>
      <c r="AL1486" t="inlineStr">
        <is>
          <t/>
        </is>
      </c>
    </row>
    <row r="1487">
      <c r="A1487" t="inlineStr">
        <is>
          <t>以为 69 没多少，结果够我吃一周减脂餐了</t>
        </is>
      </c>
      <c r="B1487" t="inlineStr">
        <is>
          <t>69de0748000000001f0027ee</t>
        </is>
      </c>
      <c r="C1487" s="1486" t="n">
        <f>HYPERLINK("https://www.xiaohongshu.com/explore/69de0748000000001f0027ee?xsec_token=TB59yoDgsQvcJ0I-utjSL7kAuKCi_ZLAn-bwRMJHdLKmE=&amp;xsec_source=pc_trdark","https://www.xiaohongshu.com/explore/69de0748000000001f0027ee?xsec_token=TB59yoDgsQvcJ0I-utjSL7kAuKCi_ZLAn-bwRMJHdLKmE=&amp;xsec_source=pc_trdark")</f>
        <v>0.0</v>
      </c>
      <c r="D1487" t="inlineStr">
        <is>
          <t>菲菲上班吃什么</t>
        </is>
      </c>
      <c r="E1487" t="inlineStr">
        <is>
          <t>49936530607</t>
        </is>
      </c>
      <c r="F1487" t="inlineStr">
        <is>
          <t>2026-04-14 17:22:16</t>
        </is>
      </c>
      <c r="G1487" t="inlineStr">
        <is>
          <t>图文</t>
        </is>
      </c>
      <c r="H1487" t="inlineStr">
        <is>
          <t>手剥虾仁 无冰衣无添加 低脂餐一人食 上班带饭 顺丰包邮 5盒装</t>
        </is>
      </c>
      <c r="I1487" t="inlineStr">
        <is>
          <t>694baba01d450d00013662f0</t>
        </is>
      </c>
      <c r="J1487" t="inlineStr">
        <is>
          <t/>
        </is>
      </c>
      <c r="K1487" t="n">
        <v>0.0</v>
      </c>
      <c r="L1487" t="n">
        <v>0.0</v>
      </c>
      <c r="M1487" t="n">
        <v>0.0</v>
      </c>
      <c r="N1487" t="inlineStr">
        <is>
          <t/>
        </is>
      </c>
      <c r="O1487" t="n">
        <v>0.0</v>
      </c>
      <c r="P1487" t="n">
        <v>0.0</v>
      </c>
      <c r="Q1487" t="inlineStr">
        <is>
          <t/>
        </is>
      </c>
      <c r="R1487" t="inlineStr">
        <is>
          <t/>
        </is>
      </c>
      <c r="S1487" t="n">
        <v>0.0</v>
      </c>
      <c r="T1487" t="n">
        <v>0.0</v>
      </c>
      <c r="U1487" t="n">
        <v>0.0</v>
      </c>
      <c r="V1487" t="n">
        <v>0.0</v>
      </c>
      <c r="W1487" t="inlineStr">
        <is>
          <t/>
        </is>
      </c>
      <c r="X1487" t="n">
        <v>0.0</v>
      </c>
      <c r="Y1487" t="n">
        <v>0.0</v>
      </c>
      <c r="Z1487" t="n">
        <v>0.0</v>
      </c>
      <c r="AA1487" t="n">
        <v>0.0</v>
      </c>
      <c r="AB1487" t="n">
        <v>0.0</v>
      </c>
      <c r="AC1487" t="n">
        <v>0.0</v>
      </c>
      <c r="AD1487" t="n">
        <v>0.0</v>
      </c>
      <c r="AE1487" t="n">
        <v>0.0</v>
      </c>
      <c r="AF1487" t="n">
        <v>0.0</v>
      </c>
      <c r="AG1487" t="n">
        <v>0.0</v>
      </c>
      <c r="AH1487" t="n">
        <v>0.0</v>
      </c>
      <c r="AI1487" t="n">
        <v>0.0</v>
      </c>
      <c r="AJ1487" t="n">
        <v>0.0</v>
      </c>
      <c r="AK1487" t="inlineStr">
        <is>
          <t/>
        </is>
      </c>
      <c r="AL1487" t="inlineStr">
        <is>
          <t/>
        </is>
      </c>
    </row>
    <row r="1488">
      <c r="A1488" t="inlineStr">
        <is>
          <t>感谢 315 让 0 添加虾仁被越来越多人看到！</t>
        </is>
      </c>
      <c r="B1488" t="inlineStr">
        <is>
          <t>69de03020000000020038018</t>
        </is>
      </c>
      <c r="C1488" s="1487" t="n">
        <f>HYPERLINK("https://www.xiaohongshu.com/explore/69de03020000000020038018?xsec_token=TB59yoDgsQvcJ0I-utjSL7kCUSHPFdlFgy5WbpEXCniFM=&amp;xsec_source=pc_trdark","https://www.xiaohongshu.com/explore/69de03020000000020038018?xsec_token=TB59yoDgsQvcJ0I-utjSL7kCUSHPFdlFgy5WbpEXCniFM=&amp;xsec_source=pc_trdark")</f>
        <v>0.0</v>
      </c>
      <c r="D1488" t="inlineStr">
        <is>
          <t>鲜水湾</t>
        </is>
      </c>
      <c r="E1488" t="inlineStr">
        <is>
          <t>49316638994</t>
        </is>
      </c>
      <c r="F1488" t="inlineStr">
        <is>
          <t>2026-04-14 17:04:02</t>
        </is>
      </c>
      <c r="G1488" t="inlineStr">
        <is>
          <t>图文</t>
        </is>
      </c>
      <c r="H1488" t="inlineStr">
        <is>
          <t>手剥虾仁 无冰衣无添加 低脂餐一人食 上班带饭 顺丰包邮 5盒装</t>
        </is>
      </c>
      <c r="I1488" t="inlineStr">
        <is>
          <t>694baba01d450d00013662f0</t>
        </is>
      </c>
      <c r="J1488" t="inlineStr">
        <is>
          <t/>
        </is>
      </c>
      <c r="K1488" t="n">
        <v>0.0</v>
      </c>
      <c r="L1488" t="n">
        <v>0.0</v>
      </c>
      <c r="M1488" t="n">
        <v>0.0</v>
      </c>
      <c r="N1488" t="inlineStr">
        <is>
          <t/>
        </is>
      </c>
      <c r="O1488" t="n">
        <v>0.0</v>
      </c>
      <c r="P1488" t="n">
        <v>0.0</v>
      </c>
      <c r="Q1488" t="inlineStr">
        <is>
          <t/>
        </is>
      </c>
      <c r="R1488" t="inlineStr">
        <is>
          <t/>
        </is>
      </c>
      <c r="S1488" t="n">
        <v>0.0</v>
      </c>
      <c r="T1488" t="n">
        <v>0.0</v>
      </c>
      <c r="U1488" t="n">
        <v>0.0</v>
      </c>
      <c r="V1488" t="n">
        <v>0.0</v>
      </c>
      <c r="W1488" t="inlineStr">
        <is>
          <t/>
        </is>
      </c>
      <c r="X1488" t="n">
        <v>0.0</v>
      </c>
      <c r="Y1488" t="n">
        <v>0.0</v>
      </c>
      <c r="Z1488" t="n">
        <v>0.0</v>
      </c>
      <c r="AA1488" t="n">
        <v>0.0</v>
      </c>
      <c r="AB1488" t="n">
        <v>0.0</v>
      </c>
      <c r="AC1488" t="n">
        <v>0.0</v>
      </c>
      <c r="AD1488" t="n">
        <v>0.0</v>
      </c>
      <c r="AE1488" t="n">
        <v>0.0</v>
      </c>
      <c r="AF1488" t="n">
        <v>0.0</v>
      </c>
      <c r="AG1488" t="n">
        <v>0.0</v>
      </c>
      <c r="AH1488" t="n">
        <v>0.0</v>
      </c>
      <c r="AI1488" t="n">
        <v>0.0</v>
      </c>
      <c r="AJ1488" t="n">
        <v>0.0</v>
      </c>
      <c r="AK1488" t="inlineStr">
        <is>
          <t/>
        </is>
      </c>
      <c r="AL1488" t="inlineStr">
        <is>
          <t/>
        </is>
      </c>
    </row>
    <row r="1489">
      <c r="A1489" t="inlineStr">
        <is>
          <t>真的感受到100块的购买力了</t>
        </is>
      </c>
      <c r="B1489" t="inlineStr">
        <is>
          <t>69ddf238000000001f0032d6</t>
        </is>
      </c>
      <c r="C1489" s="1488" t="n">
        <f>HYPERLINK("https://www.xiaohongshu.com/explore/69ddf238000000001f0032d6?xsec_token=TB8r3ufLA5jFsQMlCYrT2kPmjulziUzC-F_oTdGhPOh8Q=&amp;xsec_source=pc_trdark","https://www.xiaohongshu.com/explore/69ddf238000000001f0032d6?xsec_token=TB8r3ufLA5jFsQMlCYrT2kPmjulziUzC-F_oTdGhPOh8Q=&amp;xsec_source=pc_trdark")</f>
        <v>0.0</v>
      </c>
      <c r="D1489" t="inlineStr">
        <is>
          <t>婉婉上班吃什么</t>
        </is>
      </c>
      <c r="E1489" t="inlineStr">
        <is>
          <t>11434449706</t>
        </is>
      </c>
      <c r="F1489" t="inlineStr">
        <is>
          <t>2026-04-14 15:52:24</t>
        </is>
      </c>
      <c r="G1489" t="inlineStr">
        <is>
          <t>图文</t>
        </is>
      </c>
      <c r="H1489" t="inlineStr">
        <is>
          <t>手剥虾仁 无冰衣无添加 低脂餐一人食 上班带饭 顺丰包邮 5盒装</t>
        </is>
      </c>
      <c r="I1489" t="inlineStr">
        <is>
          <t>694baba01d450d00013662f0</t>
        </is>
      </c>
      <c r="J1489" t="inlineStr">
        <is>
          <t/>
        </is>
      </c>
      <c r="K1489" t="n">
        <v>0.0</v>
      </c>
      <c r="L1489" t="n">
        <v>0.0</v>
      </c>
      <c r="M1489" t="n">
        <v>0.0</v>
      </c>
      <c r="N1489" t="inlineStr">
        <is>
          <t/>
        </is>
      </c>
      <c r="O1489" t="n">
        <v>0.0</v>
      </c>
      <c r="P1489" t="n">
        <v>0.0</v>
      </c>
      <c r="Q1489" t="inlineStr">
        <is>
          <t/>
        </is>
      </c>
      <c r="R1489" t="inlineStr">
        <is>
          <t/>
        </is>
      </c>
      <c r="S1489" t="n">
        <v>0.0</v>
      </c>
      <c r="T1489" t="n">
        <v>0.0</v>
      </c>
      <c r="U1489" t="n">
        <v>0.0</v>
      </c>
      <c r="V1489" t="n">
        <v>0.0</v>
      </c>
      <c r="W1489" t="inlineStr">
        <is>
          <t/>
        </is>
      </c>
      <c r="X1489" t="n">
        <v>0.0</v>
      </c>
      <c r="Y1489" t="n">
        <v>0.0</v>
      </c>
      <c r="Z1489" t="n">
        <v>0.0</v>
      </c>
      <c r="AA1489" t="n">
        <v>0.0</v>
      </c>
      <c r="AB1489" t="n">
        <v>0.0</v>
      </c>
      <c r="AC1489" t="n">
        <v>0.0</v>
      </c>
      <c r="AD1489" t="n">
        <v>0.0</v>
      </c>
      <c r="AE1489" t="n">
        <v>0.0</v>
      </c>
      <c r="AF1489" t="n">
        <v>0.0</v>
      </c>
      <c r="AG1489" t="n">
        <v>0.0</v>
      </c>
      <c r="AH1489" t="n">
        <v>0.0</v>
      </c>
      <c r="AI1489" t="n">
        <v>0.0</v>
      </c>
      <c r="AJ1489" t="n">
        <v>0.0</v>
      </c>
      <c r="AK1489" t="inlineStr">
        <is>
          <t/>
        </is>
      </c>
      <c r="AL1489" t="inlineStr">
        <is>
          <t/>
        </is>
      </c>
    </row>
    <row r="1490">
      <c r="A1490" t="inlineStr">
        <is>
          <t>感谢315，让我家0添加虾仁被越来越多人看到</t>
        </is>
      </c>
      <c r="B1490" t="inlineStr">
        <is>
          <t>69ddd7ae000000001f006a68</t>
        </is>
      </c>
      <c r="C1490" s="1489" t="n">
        <f>HYPERLINK("https://www.xiaohongshu.com/explore/69ddd7ae000000001f006a68?xsec_token=TB8r3ufLA5jFsQMlCYrT2kPvWlka6fAotvMDRhuAEn8J0=&amp;xsec_source=pc_trdark","https://www.xiaohongshu.com/explore/69ddd7ae000000001f006a68?xsec_token=TB8r3ufLA5jFsQMlCYrT2kPvWlka6fAotvMDRhuAEn8J0=&amp;xsec_source=pc_trdark")</f>
        <v>0.0</v>
      </c>
      <c r="D1490" t="inlineStr">
        <is>
          <t>鲜水湾</t>
        </is>
      </c>
      <c r="E1490" t="inlineStr">
        <is>
          <t>49316638994</t>
        </is>
      </c>
      <c r="F1490" t="inlineStr">
        <is>
          <t>2026-04-14 13:59:10</t>
        </is>
      </c>
      <c r="G1490" t="inlineStr">
        <is>
          <t>图文</t>
        </is>
      </c>
      <c r="H1490" t="inlineStr">
        <is>
          <t>手剥虾仁 无冰衣无添加 低脂餐一人食 上班带饭 顺丰包邮 5盒装</t>
        </is>
      </c>
      <c r="I1490" t="inlineStr">
        <is>
          <t>694baba01d450d00013662f0</t>
        </is>
      </c>
      <c r="J1490" t="inlineStr">
        <is>
          <t/>
        </is>
      </c>
      <c r="K1490" t="n">
        <v>0.0</v>
      </c>
      <c r="L1490" t="n">
        <v>0.0</v>
      </c>
      <c r="M1490" t="n">
        <v>0.0</v>
      </c>
      <c r="N1490" t="inlineStr">
        <is>
          <t/>
        </is>
      </c>
      <c r="O1490" t="n">
        <v>0.0</v>
      </c>
      <c r="P1490" t="n">
        <v>0.0</v>
      </c>
      <c r="Q1490" t="inlineStr">
        <is>
          <t/>
        </is>
      </c>
      <c r="R1490" t="inlineStr">
        <is>
          <t/>
        </is>
      </c>
      <c r="S1490" t="n">
        <v>0.0</v>
      </c>
      <c r="T1490" t="n">
        <v>0.0</v>
      </c>
      <c r="U1490" t="n">
        <v>0.0</v>
      </c>
      <c r="V1490" t="n">
        <v>0.0</v>
      </c>
      <c r="W1490" t="inlineStr">
        <is>
          <t/>
        </is>
      </c>
      <c r="X1490" t="n">
        <v>0.0</v>
      </c>
      <c r="Y1490" t="n">
        <v>0.0</v>
      </c>
      <c r="Z1490" t="n">
        <v>0.0</v>
      </c>
      <c r="AA1490" t="n">
        <v>0.0</v>
      </c>
      <c r="AB1490" t="n">
        <v>0.0</v>
      </c>
      <c r="AC1490" t="n">
        <v>0.0</v>
      </c>
      <c r="AD1490" t="n">
        <v>0.0</v>
      </c>
      <c r="AE1490" t="n">
        <v>0.0</v>
      </c>
      <c r="AF1490" t="n">
        <v>0.0</v>
      </c>
      <c r="AG1490" t="n">
        <v>0.0</v>
      </c>
      <c r="AH1490" t="n">
        <v>0.0</v>
      </c>
      <c r="AI1490" t="n">
        <v>0.0</v>
      </c>
      <c r="AJ1490" t="n">
        <v>0.0</v>
      </c>
      <c r="AK1490" t="inlineStr">
        <is>
          <t/>
        </is>
      </c>
      <c r="AL1490" t="inlineStr">
        <is>
          <t/>
        </is>
      </c>
    </row>
    <row r="1491">
      <c r="A1491" t="inlineStr">
        <is>
          <t>区区300多，承包了我一个月的减脂餐</t>
        </is>
      </c>
      <c r="B1491" t="inlineStr">
        <is>
          <t>69dc8109000000002003a65a</t>
        </is>
      </c>
      <c r="C1491" s="1490" t="n">
        <f>HYPERLINK("https://www.xiaohongshu.com/explore/69dc8109000000002003a65a?xsec_token=TBe8vKhJyviDCWrA3Jp-irCUhYQPd1tocHZ5zqUimOyGM=&amp;xsec_source=pc_trdark","https://www.xiaohongshu.com/explore/69dc8109000000002003a65a?xsec_token=TBe8vKhJyviDCWrA3Jp-irCUhYQPd1tocHZ5zqUimOyGM=&amp;xsec_source=pc_trdark")</f>
        <v>0.0</v>
      </c>
      <c r="D1491" t="inlineStr">
        <is>
          <t>鲜水湾</t>
        </is>
      </c>
      <c r="E1491" t="inlineStr">
        <is>
          <t>49316638994</t>
        </is>
      </c>
      <c r="F1491" t="inlineStr">
        <is>
          <t>2026-04-13 13:37:13</t>
        </is>
      </c>
      <c r="G1491" t="inlineStr">
        <is>
          <t>图文</t>
        </is>
      </c>
      <c r="H1491" t="inlineStr">
        <is>
          <t>智利三文鱼切块·整条三文鱼·深海鱼一人食健康饮食</t>
        </is>
      </c>
      <c r="I1491" t="inlineStr">
        <is>
          <t>691ac562a524ee0001b51d7b</t>
        </is>
      </c>
      <c r="J1491" t="inlineStr">
        <is>
          <t/>
        </is>
      </c>
      <c r="K1491" t="n">
        <v>0.0</v>
      </c>
      <c r="L1491" t="n">
        <v>0.0</v>
      </c>
      <c r="M1491" t="n">
        <v>0.0</v>
      </c>
      <c r="N1491" t="inlineStr">
        <is>
          <t/>
        </is>
      </c>
      <c r="O1491" t="n">
        <v>0.0</v>
      </c>
      <c r="P1491" t="n">
        <v>0.0</v>
      </c>
      <c r="Q1491" t="inlineStr">
        <is>
          <t/>
        </is>
      </c>
      <c r="R1491" t="inlineStr">
        <is>
          <t/>
        </is>
      </c>
      <c r="S1491" t="n">
        <v>0.0</v>
      </c>
      <c r="T1491" t="n">
        <v>0.0</v>
      </c>
      <c r="U1491" t="n">
        <v>0.0</v>
      </c>
      <c r="V1491" t="n">
        <v>0.0</v>
      </c>
      <c r="W1491" t="inlineStr">
        <is>
          <t/>
        </is>
      </c>
      <c r="X1491" t="n">
        <v>0.0</v>
      </c>
      <c r="Y1491" t="n">
        <v>0.0</v>
      </c>
      <c r="Z1491" t="n">
        <v>0.0</v>
      </c>
      <c r="AA1491" t="n">
        <v>0.0</v>
      </c>
      <c r="AB1491" t="n">
        <v>0.0</v>
      </c>
      <c r="AC1491" t="n">
        <v>0.0</v>
      </c>
      <c r="AD1491" t="n">
        <v>0.0</v>
      </c>
      <c r="AE1491" t="n">
        <v>0.0</v>
      </c>
      <c r="AF1491" t="n">
        <v>0.0</v>
      </c>
      <c r="AG1491" t="n">
        <v>0.0</v>
      </c>
      <c r="AH1491" t="n">
        <v>0.0</v>
      </c>
      <c r="AI1491" t="n">
        <v>0.0</v>
      </c>
      <c r="AJ1491" t="n">
        <v>0.0</v>
      </c>
      <c r="AK1491" t="inlineStr">
        <is>
          <t/>
        </is>
      </c>
      <c r="AL1491" t="inlineStr">
        <is>
          <t/>
        </is>
      </c>
    </row>
    <row r="1492">
      <c r="A1492" t="inlineStr">
        <is>
          <t>某姆没有！因为我为早八姐妹定制的小包</t>
        </is>
      </c>
      <c r="B1492" t="inlineStr">
        <is>
          <t>69db65bc00000000220254b0</t>
        </is>
      </c>
      <c r="C1492" s="1491" t="n">
        <f>HYPERLINK("https://www.xiaohongshu.com/explore/69db65bc00000000220254b0?xsec_token=TBv7n0Oy0CPbFvgz473v78kYWBqslnKB-5F9KgXpVASrk=&amp;xsec_source=pc_trdark","https://www.xiaohongshu.com/explore/69db65bc00000000220254b0?xsec_token=TBv7n0Oy0CPbFvgz473v78kYWBqslnKB-5F9KgXpVASrk=&amp;xsec_source=pc_trdark")</f>
        <v>0.0</v>
      </c>
      <c r="D1492" t="inlineStr">
        <is>
          <t>鲜水湾</t>
        </is>
      </c>
      <c r="E1492" t="inlineStr">
        <is>
          <t>49316638994</t>
        </is>
      </c>
      <c r="F1492" t="inlineStr">
        <is>
          <t>2026-04-12 17:28:28</t>
        </is>
      </c>
      <c r="G1492" t="inlineStr">
        <is>
          <t>图文</t>
        </is>
      </c>
      <c r="H1492" t="inlineStr">
        <is>
          <t>手剥虾仁 无冰衣无添加 低脂餐一人食 上班带饭 顺丰包邮 5盒装</t>
        </is>
      </c>
      <c r="I1492" t="inlineStr">
        <is>
          <t>694baba01d450d00013662f0</t>
        </is>
      </c>
      <c r="J1492" t="inlineStr">
        <is>
          <t/>
        </is>
      </c>
      <c r="K1492" t="n">
        <v>0.0</v>
      </c>
      <c r="L1492" t="n">
        <v>0.0</v>
      </c>
      <c r="M1492" t="n">
        <v>0.0</v>
      </c>
      <c r="N1492" t="inlineStr">
        <is>
          <t/>
        </is>
      </c>
      <c r="O1492" t="n">
        <v>0.0</v>
      </c>
      <c r="P1492" t="n">
        <v>0.0</v>
      </c>
      <c r="Q1492" t="inlineStr">
        <is>
          <t/>
        </is>
      </c>
      <c r="R1492" t="inlineStr">
        <is>
          <t/>
        </is>
      </c>
      <c r="S1492" t="n">
        <v>0.0</v>
      </c>
      <c r="T1492" t="n">
        <v>0.0</v>
      </c>
      <c r="U1492" t="n">
        <v>0.0</v>
      </c>
      <c r="V1492" t="n">
        <v>0.0</v>
      </c>
      <c r="W1492" t="inlineStr">
        <is>
          <t/>
        </is>
      </c>
      <c r="X1492" t="n">
        <v>0.0</v>
      </c>
      <c r="Y1492" t="n">
        <v>0.0</v>
      </c>
      <c r="Z1492" t="n">
        <v>0.0</v>
      </c>
      <c r="AA1492" t="n">
        <v>0.0</v>
      </c>
      <c r="AB1492" t="n">
        <v>0.0</v>
      </c>
      <c r="AC1492" t="n">
        <v>0.0</v>
      </c>
      <c r="AD1492" t="n">
        <v>0.0</v>
      </c>
      <c r="AE1492" t="n">
        <v>0.0</v>
      </c>
      <c r="AF1492" t="n">
        <v>0.0</v>
      </c>
      <c r="AG1492" t="n">
        <v>0.0</v>
      </c>
      <c r="AH1492" t="n">
        <v>0.0</v>
      </c>
      <c r="AI1492" t="n">
        <v>0.0</v>
      </c>
      <c r="AJ1492" t="n">
        <v>0.0</v>
      </c>
      <c r="AK1492" t="inlineStr">
        <is>
          <t/>
        </is>
      </c>
      <c r="AL1492" t="inlineStr">
        <is>
          <t/>
        </is>
      </c>
    </row>
    <row r="1493">
      <c r="A1493" t="inlineStr">
        <is>
          <t>平台期卡了半个月全靠虾仁破局</t>
        </is>
      </c>
      <c r="B1493" t="inlineStr">
        <is>
          <t>69da5b6a00000000230059c4</t>
        </is>
      </c>
      <c r="C1493" s="1492" t="n">
        <f>HYPERLINK("https://www.xiaohongshu.com/explore/69da5b6a00000000230059c4?xsec_token=TBhxbjR_dqBsHKT9m13UeVyp3vGqoF_A5ZKpcf3nWAyD8=&amp;xsec_source=pc_trdark","https://www.xiaohongshu.com/explore/69da5b6a00000000230059c4?xsec_token=TBhxbjR_dqBsHKT9m13UeVyp3vGqoF_A5ZKpcf3nWAyD8=&amp;xsec_source=pc_trdark")</f>
        <v>0.0</v>
      </c>
      <c r="D1493" t="inlineStr">
        <is>
          <t>菲菲上班吃什么</t>
        </is>
      </c>
      <c r="E1493" t="inlineStr">
        <is>
          <t>49936530607</t>
        </is>
      </c>
      <c r="F1493" t="inlineStr">
        <is>
          <t>2026-04-11 22:32:10</t>
        </is>
      </c>
      <c r="G1493" t="inlineStr">
        <is>
          <t>图文</t>
        </is>
      </c>
      <c r="H1493" t="inlineStr">
        <is>
          <t>手剥虾仁 无冰衣无添加 低脂餐一人食 上班带饭 顺丰包邮 5盒装</t>
        </is>
      </c>
      <c r="I1493" t="inlineStr">
        <is>
          <t>694baba01d450d00013662f0</t>
        </is>
      </c>
      <c r="J1493" t="inlineStr">
        <is>
          <t/>
        </is>
      </c>
      <c r="K1493" t="n">
        <v>0.0</v>
      </c>
      <c r="L1493" t="n">
        <v>0.0</v>
      </c>
      <c r="M1493" t="n">
        <v>0.0</v>
      </c>
      <c r="N1493" t="inlineStr">
        <is>
          <t/>
        </is>
      </c>
      <c r="O1493" t="n">
        <v>0.0</v>
      </c>
      <c r="P1493" t="n">
        <v>0.0</v>
      </c>
      <c r="Q1493" t="inlineStr">
        <is>
          <t/>
        </is>
      </c>
      <c r="R1493" t="inlineStr">
        <is>
          <t/>
        </is>
      </c>
      <c r="S1493" t="n">
        <v>0.0</v>
      </c>
      <c r="T1493" t="n">
        <v>0.0</v>
      </c>
      <c r="U1493" t="n">
        <v>0.0</v>
      </c>
      <c r="V1493" t="n">
        <v>0.0</v>
      </c>
      <c r="W1493" t="inlineStr">
        <is>
          <t/>
        </is>
      </c>
      <c r="X1493" t="n">
        <v>0.0</v>
      </c>
      <c r="Y1493" t="n">
        <v>0.0</v>
      </c>
      <c r="Z1493" t="n">
        <v>0.0</v>
      </c>
      <c r="AA1493" t="n">
        <v>0.0</v>
      </c>
      <c r="AB1493" t="n">
        <v>0.0</v>
      </c>
      <c r="AC1493" t="n">
        <v>0.0</v>
      </c>
      <c r="AD1493" t="n">
        <v>0.0</v>
      </c>
      <c r="AE1493" t="n">
        <v>0.0</v>
      </c>
      <c r="AF1493" t="n">
        <v>0.0</v>
      </c>
      <c r="AG1493" t="n">
        <v>0.0</v>
      </c>
      <c r="AH1493" t="n">
        <v>0.0</v>
      </c>
      <c r="AI1493" t="n">
        <v>0.0</v>
      </c>
      <c r="AJ1493" t="n">
        <v>0.0</v>
      </c>
      <c r="AK1493" t="inlineStr">
        <is>
          <t/>
        </is>
      </c>
      <c r="AL1493" t="inlineStr">
        <is>
          <t/>
        </is>
      </c>
    </row>
    <row r="1494">
      <c r="A1494" t="inlineStr">
        <is>
          <t>养殖虾和海捕虾，真的不是一种虾</t>
        </is>
      </c>
      <c r="B1494" t="inlineStr">
        <is>
          <t>69d8bbb8000000001f002f43</t>
        </is>
      </c>
      <c r="C1494" s="1493" t="n">
        <f>HYPERLINK("https://www.xiaohongshu.com/explore/69d8bbb8000000001f002f43?xsec_token=TBaP4Vb_xh4r06-3Gp1C6IeAfg3GuI-647ta78Oy3BKTw=&amp;xsec_source=pc_trdark","https://www.xiaohongshu.com/explore/69d8bbb8000000001f002f43?xsec_token=TBaP4Vb_xh4r06-3Gp1C6IeAfg3GuI-647ta78Oy3BKTw=&amp;xsec_source=pc_trdark")</f>
        <v>0.0</v>
      </c>
      <c r="D1494" t="inlineStr">
        <is>
          <t>鲜水湾</t>
        </is>
      </c>
      <c r="E1494" t="inlineStr">
        <is>
          <t>49316638994</t>
        </is>
      </c>
      <c r="F1494" t="inlineStr">
        <is>
          <t>2026-04-10 16:58:32</t>
        </is>
      </c>
      <c r="G1494" t="inlineStr">
        <is>
          <t>图文</t>
        </is>
      </c>
      <c r="H1494" t="inlineStr">
        <is>
          <t>手剥虾仁 无冰衣无添加 低脂餐一人食 上班带饭 顺丰包邮 5盒装</t>
        </is>
      </c>
      <c r="I1494" t="inlineStr">
        <is>
          <t>694baba01d450d00013662f0</t>
        </is>
      </c>
      <c r="J1494" t="inlineStr">
        <is>
          <t/>
        </is>
      </c>
      <c r="K1494" t="n">
        <v>0.0</v>
      </c>
      <c r="L1494" t="n">
        <v>0.0</v>
      </c>
      <c r="M1494" t="n">
        <v>0.0</v>
      </c>
      <c r="N1494" t="inlineStr">
        <is>
          <t/>
        </is>
      </c>
      <c r="O1494" t="n">
        <v>0.0</v>
      </c>
      <c r="P1494" t="n">
        <v>0.0</v>
      </c>
      <c r="Q1494" t="inlineStr">
        <is>
          <t/>
        </is>
      </c>
      <c r="R1494" t="inlineStr">
        <is>
          <t/>
        </is>
      </c>
      <c r="S1494" t="n">
        <v>0.0</v>
      </c>
      <c r="T1494" t="n">
        <v>0.0</v>
      </c>
      <c r="U1494" t="n">
        <v>0.0</v>
      </c>
      <c r="V1494" t="n">
        <v>0.0</v>
      </c>
      <c r="W1494" t="inlineStr">
        <is>
          <t/>
        </is>
      </c>
      <c r="X1494" t="n">
        <v>0.0</v>
      </c>
      <c r="Y1494" t="n">
        <v>0.0</v>
      </c>
      <c r="Z1494" t="n">
        <v>0.0</v>
      </c>
      <c r="AA1494" t="n">
        <v>0.0</v>
      </c>
      <c r="AB1494" t="n">
        <v>0.0</v>
      </c>
      <c r="AC1494" t="n">
        <v>0.0</v>
      </c>
      <c r="AD1494" t="n">
        <v>0.0</v>
      </c>
      <c r="AE1494" t="n">
        <v>0.0</v>
      </c>
      <c r="AF1494" t="n">
        <v>0.0</v>
      </c>
      <c r="AG1494" t="n">
        <v>0.0</v>
      </c>
      <c r="AH1494" t="n">
        <v>0.0</v>
      </c>
      <c r="AI1494" t="n">
        <v>0.0</v>
      </c>
      <c r="AJ1494" t="n">
        <v>0.0</v>
      </c>
      <c r="AK1494" t="inlineStr">
        <is>
          <t/>
        </is>
      </c>
      <c r="AL1494" t="inlineStr">
        <is>
          <t/>
        </is>
      </c>
    </row>
    <row r="1495">
      <c r="A1495" t="inlineStr">
        <is>
          <t>月薪8000，凭什么不能顿顿吃虾仁</t>
        </is>
      </c>
      <c r="B1495" t="inlineStr">
        <is>
          <t>69d891e400000000220249ab</t>
        </is>
      </c>
      <c r="C1495" s="1494" t="n">
        <f>HYPERLINK("https://www.xiaohongshu.com/explore/69d891e400000000220249ab?xsec_token=TBaP4Vb_xh4r06-3Gp1C6IeENLMoMwk4Qi8oU4Iy_yuqA=&amp;xsec_source=pc_trdark","https://www.xiaohongshu.com/explore/69d891e400000000220249ab?xsec_token=TBaP4Vb_xh4r06-3Gp1C6IeENLMoMwk4Qi8oU4Iy_yuqA=&amp;xsec_source=pc_trdark")</f>
        <v>0.0</v>
      </c>
      <c r="D1495" t="inlineStr">
        <is>
          <t>菲菲上班吃什么</t>
        </is>
      </c>
      <c r="E1495" t="inlineStr">
        <is>
          <t>49936530607</t>
        </is>
      </c>
      <c r="F1495" t="inlineStr">
        <is>
          <t>2026-04-10 14:00:04</t>
        </is>
      </c>
      <c r="G1495" t="inlineStr">
        <is>
          <t>图文</t>
        </is>
      </c>
      <c r="H1495" t="inlineStr">
        <is>
          <t>手剥虾仁 无冰衣无添加 低脂餐一人食 上班带饭 顺丰包邮 5盒装</t>
        </is>
      </c>
      <c r="I1495" t="inlineStr">
        <is>
          <t>694baba01d450d00013662f0</t>
        </is>
      </c>
      <c r="J1495" t="inlineStr">
        <is>
          <t/>
        </is>
      </c>
      <c r="K1495" t="n">
        <v>0.0</v>
      </c>
      <c r="L1495" t="n">
        <v>0.0</v>
      </c>
      <c r="M1495" t="n">
        <v>0.0</v>
      </c>
      <c r="N1495" t="inlineStr">
        <is>
          <t/>
        </is>
      </c>
      <c r="O1495" t="n">
        <v>0.0</v>
      </c>
      <c r="P1495" t="n">
        <v>0.0</v>
      </c>
      <c r="Q1495" t="inlineStr">
        <is>
          <t/>
        </is>
      </c>
      <c r="R1495" t="inlineStr">
        <is>
          <t/>
        </is>
      </c>
      <c r="S1495" t="n">
        <v>0.0</v>
      </c>
      <c r="T1495" t="n">
        <v>0.0</v>
      </c>
      <c r="U1495" t="n">
        <v>0.0</v>
      </c>
      <c r="V1495" t="n">
        <v>0.0</v>
      </c>
      <c r="W1495" t="inlineStr">
        <is>
          <t/>
        </is>
      </c>
      <c r="X1495" t="n">
        <v>0.0</v>
      </c>
      <c r="Y1495" t="n">
        <v>0.0</v>
      </c>
      <c r="Z1495" t="n">
        <v>0.0</v>
      </c>
      <c r="AA1495" t="n">
        <v>0.0</v>
      </c>
      <c r="AB1495" t="n">
        <v>0.0</v>
      </c>
      <c r="AC1495" t="n">
        <v>0.0</v>
      </c>
      <c r="AD1495" t="n">
        <v>0.0</v>
      </c>
      <c r="AE1495" t="n">
        <v>0.0</v>
      </c>
      <c r="AF1495" t="n">
        <v>0.0</v>
      </c>
      <c r="AG1495" t="n">
        <v>0.0</v>
      </c>
      <c r="AH1495" t="n">
        <v>0.0</v>
      </c>
      <c r="AI1495" t="n">
        <v>0.0</v>
      </c>
      <c r="AJ1495" t="n">
        <v>0.0</v>
      </c>
      <c r="AK1495" t="inlineStr">
        <is>
          <t/>
        </is>
      </c>
      <c r="AL1495" t="inlineStr">
        <is>
          <t/>
        </is>
      </c>
    </row>
    <row r="1496">
      <c r="A1496" t="inlineStr">
        <is>
          <t>下班回家太累了，5分钟搞定的晚餐</t>
        </is>
      </c>
      <c r="B1496" t="inlineStr">
        <is>
          <t>69d78a8e0000000023014ab3</t>
        </is>
      </c>
      <c r="C1496" s="1495" t="n">
        <f>HYPERLINK("https://www.xiaohongshu.com/explore/69d78a8e0000000023014ab3?xsec_token=TBabSJw1DqF320Z_FWL3yrQyUGtn5yD_8LvmXwoBkSdyo=&amp;xsec_source=pc_trdark","https://www.xiaohongshu.com/explore/69d78a8e0000000023014ab3?xsec_token=TBabSJw1DqF320Z_FWL3yrQyUGtn5yD_8LvmXwoBkSdyo=&amp;xsec_source=pc_trdark")</f>
        <v>0.0</v>
      </c>
      <c r="D1496" t="inlineStr">
        <is>
          <t>菲菲上班吃什么</t>
        </is>
      </c>
      <c r="E1496" t="inlineStr">
        <is>
          <t>49936530607</t>
        </is>
      </c>
      <c r="F1496" t="inlineStr">
        <is>
          <t>2026-04-09 19:16:31</t>
        </is>
      </c>
      <c r="G1496" t="inlineStr">
        <is>
          <t>图文</t>
        </is>
      </c>
      <c r="H1496" t="inlineStr">
        <is>
          <t>手剥虾仁 无冰衣无添加 低脂餐一人食 上班带饭 顺丰包邮 5盒装</t>
        </is>
      </c>
      <c r="I1496" t="inlineStr">
        <is>
          <t>694baba01d450d00013662f0</t>
        </is>
      </c>
      <c r="J1496" t="inlineStr">
        <is>
          <t/>
        </is>
      </c>
      <c r="K1496" t="n">
        <v>0.0</v>
      </c>
      <c r="L1496" t="n">
        <v>0.0</v>
      </c>
      <c r="M1496" t="n">
        <v>0.0</v>
      </c>
      <c r="N1496" t="inlineStr">
        <is>
          <t/>
        </is>
      </c>
      <c r="O1496" t="n">
        <v>0.0</v>
      </c>
      <c r="P1496" t="n">
        <v>0.0</v>
      </c>
      <c r="Q1496" t="inlineStr">
        <is>
          <t/>
        </is>
      </c>
      <c r="R1496" t="inlineStr">
        <is>
          <t/>
        </is>
      </c>
      <c r="S1496" t="n">
        <v>0.0</v>
      </c>
      <c r="T1496" t="n">
        <v>0.0</v>
      </c>
      <c r="U1496" t="n">
        <v>0.0</v>
      </c>
      <c r="V1496" t="n">
        <v>0.0</v>
      </c>
      <c r="W1496" t="inlineStr">
        <is>
          <t/>
        </is>
      </c>
      <c r="X1496" t="n">
        <v>0.0</v>
      </c>
      <c r="Y1496" t="n">
        <v>0.0</v>
      </c>
      <c r="Z1496" t="n">
        <v>0.0</v>
      </c>
      <c r="AA1496" t="n">
        <v>0.0</v>
      </c>
      <c r="AB1496" t="n">
        <v>0.0</v>
      </c>
      <c r="AC1496" t="n">
        <v>0.0</v>
      </c>
      <c r="AD1496" t="n">
        <v>0.0</v>
      </c>
      <c r="AE1496" t="n">
        <v>0.0</v>
      </c>
      <c r="AF1496" t="n">
        <v>0.0</v>
      </c>
      <c r="AG1496" t="n">
        <v>0.0</v>
      </c>
      <c r="AH1496" t="n">
        <v>0.0</v>
      </c>
      <c r="AI1496" t="n">
        <v>0.0</v>
      </c>
      <c r="AJ1496" t="n">
        <v>0.0</v>
      </c>
      <c r="AK1496" t="inlineStr">
        <is>
          <t/>
        </is>
      </c>
      <c r="AL1496" t="inlineStr">
        <is>
          <t/>
        </is>
      </c>
    </row>
    <row r="1497">
      <c r="A1497" t="inlineStr">
        <is>
          <t>我们的虾仁不是最便宜的，但是配料表最短的</t>
        </is>
      </c>
      <c r="B1497" t="inlineStr">
        <is>
          <t>69d74349000000001a02d74f</t>
        </is>
      </c>
      <c r="C1497" s="1496" t="n">
        <f>HYPERLINK("https://www.xiaohongshu.com/explore/69d74349000000001a02d74f?xsec_token=TBabSJw1DqF320Z_FWL3yrQ8FO7xQiY-c2Y1nx91anQBs=&amp;xsec_source=pc_trdark","https://www.xiaohongshu.com/explore/69d74349000000001a02d74f?xsec_token=TBabSJw1DqF320Z_FWL3yrQ8FO7xQiY-c2Y1nx91anQBs=&amp;xsec_source=pc_trdark")</f>
        <v>0.0</v>
      </c>
      <c r="D1497" t="inlineStr">
        <is>
          <t>鲜水湾</t>
        </is>
      </c>
      <c r="E1497" t="inlineStr">
        <is>
          <t>49316638994</t>
        </is>
      </c>
      <c r="F1497" t="inlineStr">
        <is>
          <t>2026-04-09 14:12:25</t>
        </is>
      </c>
      <c r="G1497" t="inlineStr">
        <is>
          <t>图文</t>
        </is>
      </c>
      <c r="H1497" t="inlineStr">
        <is>
          <t>手剥虾仁 无冰衣无添加 低脂餐一人食 上班带饭 顺丰包邮 5盒装</t>
        </is>
      </c>
      <c r="I1497" t="inlineStr">
        <is>
          <t>694baba01d450d00013662f0</t>
        </is>
      </c>
      <c r="J1497" t="inlineStr">
        <is>
          <t/>
        </is>
      </c>
      <c r="K1497" t="n">
        <v>0.0</v>
      </c>
      <c r="L1497" t="n">
        <v>0.0</v>
      </c>
      <c r="M1497" t="n">
        <v>0.0</v>
      </c>
      <c r="N1497" t="inlineStr">
        <is>
          <t/>
        </is>
      </c>
      <c r="O1497" t="n">
        <v>0.0</v>
      </c>
      <c r="P1497" t="n">
        <v>0.0</v>
      </c>
      <c r="Q1497" t="inlineStr">
        <is>
          <t/>
        </is>
      </c>
      <c r="R1497" t="inlineStr">
        <is>
          <t/>
        </is>
      </c>
      <c r="S1497" t="n">
        <v>0.0</v>
      </c>
      <c r="T1497" t="n">
        <v>0.0</v>
      </c>
      <c r="U1497" t="n">
        <v>0.0</v>
      </c>
      <c r="V1497" t="n">
        <v>0.0</v>
      </c>
      <c r="W1497" t="inlineStr">
        <is>
          <t/>
        </is>
      </c>
      <c r="X1497" t="n">
        <v>0.0</v>
      </c>
      <c r="Y1497" t="n">
        <v>0.0</v>
      </c>
      <c r="Z1497" t="n">
        <v>0.0</v>
      </c>
      <c r="AA1497" t="n">
        <v>0.0</v>
      </c>
      <c r="AB1497" t="n">
        <v>0.0</v>
      </c>
      <c r="AC1497" t="n">
        <v>0.0</v>
      </c>
      <c r="AD1497" t="n">
        <v>0.0</v>
      </c>
      <c r="AE1497" t="n">
        <v>0.0</v>
      </c>
      <c r="AF1497" t="n">
        <v>0.0</v>
      </c>
      <c r="AG1497" t="n">
        <v>0.0</v>
      </c>
      <c r="AH1497" t="n">
        <v>0.0</v>
      </c>
      <c r="AI1497" t="n">
        <v>0.0</v>
      </c>
      <c r="AJ1497" t="n">
        <v>0.0</v>
      </c>
      <c r="AK1497" t="inlineStr">
        <is>
          <t/>
        </is>
      </c>
      <c r="AL1497" t="inlineStr">
        <is>
          <t/>
        </is>
      </c>
    </row>
    <row r="1498">
      <c r="A1498" t="inlineStr">
        <is>
          <t>以为 100 没多少，结果够吃半个月了😂</t>
        </is>
      </c>
      <c r="B1498" t="inlineStr">
        <is>
          <t>69d72c7d000000001a035f19</t>
        </is>
      </c>
      <c r="C1498" s="1497" t="n">
        <f>HYPERLINK("https://www.xiaohongshu.com/explore/69d72c7d000000001a035f19?xsec_token=TBabSJw1DqF320Z_FWL3yrQx3Hcrv_5IUb-gXz4fg4wfY=&amp;xsec_source=pc_trdark","https://www.xiaohongshu.com/explore/69d72c7d000000001a035f19?xsec_token=TBabSJw1DqF320Z_FWL3yrQx3Hcrv_5IUb-gXz4fg4wfY=&amp;xsec_source=pc_trdark")</f>
        <v>0.0</v>
      </c>
      <c r="D1498" t="inlineStr">
        <is>
          <t>婉婉上班吃什么</t>
        </is>
      </c>
      <c r="E1498" t="inlineStr">
        <is>
          <t>11434449706</t>
        </is>
      </c>
      <c r="F1498" t="inlineStr">
        <is>
          <t>2026-04-09 12:35:09</t>
        </is>
      </c>
      <c r="G1498" t="inlineStr">
        <is>
          <t>图文</t>
        </is>
      </c>
      <c r="H1498" t="inlineStr">
        <is>
          <t>手剥虾仁 无冰衣无添加 低脂餐一人食 上班带饭 顺丰包邮 5盒装</t>
        </is>
      </c>
      <c r="I1498" t="inlineStr">
        <is>
          <t>694baba01d450d00013662f0</t>
        </is>
      </c>
      <c r="J1498" t="inlineStr">
        <is>
          <t/>
        </is>
      </c>
      <c r="K1498" t="n">
        <v>0.0</v>
      </c>
      <c r="L1498" t="n">
        <v>0.0</v>
      </c>
      <c r="M1498" t="n">
        <v>0.0</v>
      </c>
      <c r="N1498" t="inlineStr">
        <is>
          <t/>
        </is>
      </c>
      <c r="O1498" t="n">
        <v>0.0</v>
      </c>
      <c r="P1498" t="n">
        <v>0.0</v>
      </c>
      <c r="Q1498" t="inlineStr">
        <is>
          <t/>
        </is>
      </c>
      <c r="R1498" t="inlineStr">
        <is>
          <t/>
        </is>
      </c>
      <c r="S1498" t="n">
        <v>0.0</v>
      </c>
      <c r="T1498" t="n">
        <v>0.0</v>
      </c>
      <c r="U1498" t="n">
        <v>0.0</v>
      </c>
      <c r="V1498" t="n">
        <v>0.0</v>
      </c>
      <c r="W1498" t="inlineStr">
        <is>
          <t/>
        </is>
      </c>
      <c r="X1498" t="n">
        <v>0.0</v>
      </c>
      <c r="Y1498" t="n">
        <v>0.0</v>
      </c>
      <c r="Z1498" t="n">
        <v>0.0</v>
      </c>
      <c r="AA1498" t="n">
        <v>0.0</v>
      </c>
      <c r="AB1498" t="n">
        <v>0.0</v>
      </c>
      <c r="AC1498" t="n">
        <v>0.0</v>
      </c>
      <c r="AD1498" t="n">
        <v>0.0</v>
      </c>
      <c r="AE1498" t="n">
        <v>0.0</v>
      </c>
      <c r="AF1498" t="n">
        <v>0.0</v>
      </c>
      <c r="AG1498" t="n">
        <v>0.0</v>
      </c>
      <c r="AH1498" t="n">
        <v>0.0</v>
      </c>
      <c r="AI1498" t="n">
        <v>0.0</v>
      </c>
      <c r="AJ1498" t="n">
        <v>0.0</v>
      </c>
      <c r="AK1498" t="inlineStr">
        <is>
          <t/>
        </is>
      </c>
      <c r="AL1498" t="inlineStr">
        <is>
          <t/>
        </is>
      </c>
    </row>
    <row r="1499">
      <c r="A1499" t="inlineStr">
        <is>
          <t>讲真我连鸡蛋都煎不好，但虾仁我从来没翻车</t>
        </is>
      </c>
      <c r="B1499" t="inlineStr">
        <is>
          <t>69d71eab0000000022029c3e</t>
        </is>
      </c>
      <c r="C1499" s="1498" t="n">
        <f>HYPERLINK("https://www.xiaohongshu.com/explore/69d71eab0000000022029c3e?xsec_token=TBabSJw1DqF320Z_FWL3yrQ6_ZulNA9gayr2QHCKh2kbI=&amp;xsec_source=pc_trdark","https://www.xiaohongshu.com/explore/69d71eab0000000022029c3e?xsec_token=TBabSJw1DqF320Z_FWL3yrQ6_ZulNA9gayr2QHCKh2kbI=&amp;xsec_source=pc_trdark")</f>
        <v>0.0</v>
      </c>
      <c r="D1499" t="inlineStr">
        <is>
          <t>菲菲上班吃什么</t>
        </is>
      </c>
      <c r="E1499" t="inlineStr">
        <is>
          <t>49936530607</t>
        </is>
      </c>
      <c r="F1499" t="inlineStr">
        <is>
          <t>2026-04-09 11:36:11</t>
        </is>
      </c>
      <c r="G1499" t="inlineStr">
        <is>
          <t>图文</t>
        </is>
      </c>
      <c r="H1499" t="inlineStr">
        <is>
          <t>手剥虾仁 无冰衣无添加 低脂餐一人食 上班带饭 顺丰包邮 5盒装</t>
        </is>
      </c>
      <c r="I1499" t="inlineStr">
        <is>
          <t>694baba01d450d00013662f0</t>
        </is>
      </c>
      <c r="J1499" t="inlineStr">
        <is>
          <t/>
        </is>
      </c>
      <c r="K1499" t="n">
        <v>0.0</v>
      </c>
      <c r="L1499" t="n">
        <v>0.0</v>
      </c>
      <c r="M1499" t="n">
        <v>0.0</v>
      </c>
      <c r="N1499" t="inlineStr">
        <is>
          <t/>
        </is>
      </c>
      <c r="O1499" t="n">
        <v>0.0</v>
      </c>
      <c r="P1499" t="n">
        <v>0.0</v>
      </c>
      <c r="Q1499" t="inlineStr">
        <is>
          <t/>
        </is>
      </c>
      <c r="R1499" t="inlineStr">
        <is>
          <t/>
        </is>
      </c>
      <c r="S1499" t="n">
        <v>0.0</v>
      </c>
      <c r="T1499" t="n">
        <v>0.0</v>
      </c>
      <c r="U1499" t="n">
        <v>0.0</v>
      </c>
      <c r="V1499" t="n">
        <v>0.0</v>
      </c>
      <c r="W1499" t="inlineStr">
        <is>
          <t/>
        </is>
      </c>
      <c r="X1499" t="n">
        <v>0.0</v>
      </c>
      <c r="Y1499" t="n">
        <v>0.0</v>
      </c>
      <c r="Z1499" t="n">
        <v>0.0</v>
      </c>
      <c r="AA1499" t="n">
        <v>0.0</v>
      </c>
      <c r="AB1499" t="n">
        <v>0.0</v>
      </c>
      <c r="AC1499" t="n">
        <v>0.0</v>
      </c>
      <c r="AD1499" t="n">
        <v>0.0</v>
      </c>
      <c r="AE1499" t="n">
        <v>0.0</v>
      </c>
      <c r="AF1499" t="n">
        <v>0.0</v>
      </c>
      <c r="AG1499" t="n">
        <v>0.0</v>
      </c>
      <c r="AH1499" t="n">
        <v>0.0</v>
      </c>
      <c r="AI1499" t="n">
        <v>0.0</v>
      </c>
      <c r="AJ1499" t="n">
        <v>0.0</v>
      </c>
      <c r="AK1499" t="inlineStr">
        <is>
          <t/>
        </is>
      </c>
      <c r="AL1499" t="inlineStr">
        <is>
          <t/>
        </is>
      </c>
    </row>
    <row r="1500">
      <c r="A1500" t="inlineStr">
        <is>
          <t>带了虾仁便当去公司，同事以为我请了私厨</t>
        </is>
      </c>
      <c r="B1500" t="inlineStr">
        <is>
          <t>69d7009700000000220286da</t>
        </is>
      </c>
      <c r="C1500" s="1499" t="n">
        <f>HYPERLINK("https://www.xiaohongshu.com/explore/69d7009700000000220286da?xsec_token=TBabSJw1DqF320Z_FWL3yrQ3EwZGtP4m5ZhmRu0SPIvAQ=&amp;xsec_source=pc_trdark","https://www.xiaohongshu.com/explore/69d7009700000000220286da?xsec_token=TBabSJw1DqF320Z_FWL3yrQ3EwZGtP4m5ZhmRu0SPIvAQ=&amp;xsec_source=pc_trdark")</f>
        <v>0.0</v>
      </c>
      <c r="D1500" t="inlineStr">
        <is>
          <t>菲菲上班吃什么</t>
        </is>
      </c>
      <c r="E1500" t="inlineStr">
        <is>
          <t>49936530607</t>
        </is>
      </c>
      <c r="F1500" t="inlineStr">
        <is>
          <t>2026-04-09 09:27:51</t>
        </is>
      </c>
      <c r="G1500" t="inlineStr">
        <is>
          <t>图文</t>
        </is>
      </c>
      <c r="H1500" t="inlineStr">
        <is>
          <t>手剥虾仁 无冰衣无添加 低脂餐一人食 上班带饭 顺丰包邮 5盒装</t>
        </is>
      </c>
      <c r="I1500" t="inlineStr">
        <is>
          <t>694baba01d450d00013662f0</t>
        </is>
      </c>
      <c r="J1500" t="inlineStr">
        <is>
          <t/>
        </is>
      </c>
      <c r="K1500" t="n">
        <v>0.0</v>
      </c>
      <c r="L1500" t="n">
        <v>0.0</v>
      </c>
      <c r="M1500" t="n">
        <v>0.0</v>
      </c>
      <c r="N1500" t="inlineStr">
        <is>
          <t/>
        </is>
      </c>
      <c r="O1500" t="n">
        <v>0.0</v>
      </c>
      <c r="P1500" t="n">
        <v>0.0</v>
      </c>
      <c r="Q1500" t="inlineStr">
        <is>
          <t/>
        </is>
      </c>
      <c r="R1500" t="inlineStr">
        <is>
          <t/>
        </is>
      </c>
      <c r="S1500" t="n">
        <v>0.0</v>
      </c>
      <c r="T1500" t="n">
        <v>0.0</v>
      </c>
      <c r="U1500" t="n">
        <v>0.0</v>
      </c>
      <c r="V1500" t="n">
        <v>0.0</v>
      </c>
      <c r="W1500" t="inlineStr">
        <is>
          <t/>
        </is>
      </c>
      <c r="X1500" t="n">
        <v>0.0</v>
      </c>
      <c r="Y1500" t="n">
        <v>0.0</v>
      </c>
      <c r="Z1500" t="n">
        <v>0.0</v>
      </c>
      <c r="AA1500" t="n">
        <v>0.0</v>
      </c>
      <c r="AB1500" t="n">
        <v>0.0</v>
      </c>
      <c r="AC1500" t="n">
        <v>0.0</v>
      </c>
      <c r="AD1500" t="n">
        <v>0.0</v>
      </c>
      <c r="AE1500" t="n">
        <v>0.0</v>
      </c>
      <c r="AF1500" t="n">
        <v>0.0</v>
      </c>
      <c r="AG1500" t="n">
        <v>0.0</v>
      </c>
      <c r="AH1500" t="n">
        <v>0.0</v>
      </c>
      <c r="AI1500" t="n">
        <v>0.0</v>
      </c>
      <c r="AJ1500" t="n">
        <v>0.0</v>
      </c>
      <c r="AK1500" t="inlineStr">
        <is>
          <t/>
        </is>
      </c>
      <c r="AL1500" t="inlineStr">
        <is>
          <t/>
        </is>
      </c>
    </row>
    <row r="1501">
      <c r="A1501" t="inlineStr">
        <is>
          <t>和老爸商量后，决定给控体期的姐妹们安排上</t>
        </is>
      </c>
      <c r="B1501" t="inlineStr">
        <is>
          <t>69d66a4800000000220264c9</t>
        </is>
      </c>
      <c r="C1501" s="1500" t="n">
        <f>HYPERLINK("https://www.xiaohongshu.com/explore/69d66a4800000000220264c9?xsec_token=TBvBxKrH7kcVQkSA7MMxNJOQYP9jG3rArYKOWund6vPbg=&amp;xsec_source=pc_trdark","https://www.xiaohongshu.com/explore/69d66a4800000000220264c9?xsec_token=TBvBxKrH7kcVQkSA7MMxNJOQYP9jG3rArYKOWund6vPbg=&amp;xsec_source=pc_trdark")</f>
        <v>0.0</v>
      </c>
      <c r="D1501" t="inlineStr">
        <is>
          <t>婉婉上班吃什么</t>
        </is>
      </c>
      <c r="E1501" t="inlineStr">
        <is>
          <t>11434449706</t>
        </is>
      </c>
      <c r="F1501" t="inlineStr">
        <is>
          <t>2026-04-08 22:46:32</t>
        </is>
      </c>
      <c r="G1501" t="inlineStr">
        <is>
          <t>图文</t>
        </is>
      </c>
      <c r="H1501" t="inlineStr">
        <is>
          <t>手剥虾仁 无冰衣无添加 低脂餐一人食 上班带饭 顺丰包邮 5盒装</t>
        </is>
      </c>
      <c r="I1501" t="inlineStr">
        <is>
          <t>694baba01d450d00013662f0</t>
        </is>
      </c>
      <c r="J1501" t="inlineStr">
        <is>
          <t/>
        </is>
      </c>
      <c r="K1501" t="n">
        <v>0.0</v>
      </c>
      <c r="L1501" t="n">
        <v>0.0</v>
      </c>
      <c r="M1501" t="n">
        <v>0.0</v>
      </c>
      <c r="N1501" t="inlineStr">
        <is>
          <t/>
        </is>
      </c>
      <c r="O1501" t="n">
        <v>0.0</v>
      </c>
      <c r="P1501" t="n">
        <v>0.0</v>
      </c>
      <c r="Q1501" t="inlineStr">
        <is>
          <t/>
        </is>
      </c>
      <c r="R1501" t="inlineStr">
        <is>
          <t/>
        </is>
      </c>
      <c r="S1501" t="n">
        <v>0.0</v>
      </c>
      <c r="T1501" t="n">
        <v>0.0</v>
      </c>
      <c r="U1501" t="n">
        <v>0.0</v>
      </c>
      <c r="V1501" t="n">
        <v>0.0</v>
      </c>
      <c r="W1501" t="inlineStr">
        <is>
          <t/>
        </is>
      </c>
      <c r="X1501" t="n">
        <v>0.0</v>
      </c>
      <c r="Y1501" t="n">
        <v>0.0</v>
      </c>
      <c r="Z1501" t="n">
        <v>0.0</v>
      </c>
      <c r="AA1501" t="n">
        <v>0.0</v>
      </c>
      <c r="AB1501" t="n">
        <v>0.0</v>
      </c>
      <c r="AC1501" t="n">
        <v>0.0</v>
      </c>
      <c r="AD1501" t="n">
        <v>0.0</v>
      </c>
      <c r="AE1501" t="n">
        <v>0.0</v>
      </c>
      <c r="AF1501" t="n">
        <v>0.0</v>
      </c>
      <c r="AG1501" t="n">
        <v>0.0</v>
      </c>
      <c r="AH1501" t="n">
        <v>0.0</v>
      </c>
      <c r="AI1501" t="n">
        <v>0.0</v>
      </c>
      <c r="AJ1501" t="n">
        <v>0.0</v>
      </c>
      <c r="AK1501" t="inlineStr">
        <is>
          <t/>
        </is>
      </c>
      <c r="AL1501" t="inlineStr">
        <is>
          <t/>
        </is>
      </c>
    </row>
    <row r="1502">
      <c r="A1502" t="inlineStr">
        <is>
          <t>周末吃太多了？这顿虾仁帮你排排水肿</t>
        </is>
      </c>
      <c r="B1502" t="inlineStr">
        <is>
          <t>69d623fd000000001e00eff2</t>
        </is>
      </c>
      <c r="C1502" s="1501" t="n">
        <f>HYPERLINK("https://www.xiaohongshu.com/explore/69d623fd000000001e00eff2?xsec_token=TBvBxKrH7kcVQkSA7MMxNJOV3N4A0KGM9JILIjlCnoxZU=&amp;xsec_source=pc_trdark","https://www.xiaohongshu.com/explore/69d623fd000000001e00eff2?xsec_token=TBvBxKrH7kcVQkSA7MMxNJOV3N4A0KGM9JILIjlCnoxZU=&amp;xsec_source=pc_trdark")</f>
        <v>0.0</v>
      </c>
      <c r="D1502" t="inlineStr">
        <is>
          <t>婉婉上班吃什么</t>
        </is>
      </c>
      <c r="E1502" t="inlineStr">
        <is>
          <t>11434449706</t>
        </is>
      </c>
      <c r="F1502" t="inlineStr">
        <is>
          <t>2026-04-08 17:46:37</t>
        </is>
      </c>
      <c r="G1502" t="inlineStr">
        <is>
          <t>图文</t>
        </is>
      </c>
      <c r="H1502" t="inlineStr">
        <is>
          <t>手剥虾仁 无冰衣无添加 低脂餐一人食 上班带饭 顺丰包邮 5盒装</t>
        </is>
      </c>
      <c r="I1502" t="inlineStr">
        <is>
          <t>694baba01d450d00013662f0</t>
        </is>
      </c>
      <c r="J1502" t="inlineStr">
        <is>
          <t/>
        </is>
      </c>
      <c r="K1502" t="n">
        <v>0.0</v>
      </c>
      <c r="L1502" t="n">
        <v>0.0</v>
      </c>
      <c r="M1502" t="n">
        <v>0.0</v>
      </c>
      <c r="N1502" t="inlineStr">
        <is>
          <t/>
        </is>
      </c>
      <c r="O1502" t="n">
        <v>0.0</v>
      </c>
      <c r="P1502" t="n">
        <v>0.0</v>
      </c>
      <c r="Q1502" t="inlineStr">
        <is>
          <t/>
        </is>
      </c>
      <c r="R1502" t="inlineStr">
        <is>
          <t/>
        </is>
      </c>
      <c r="S1502" t="n">
        <v>0.0</v>
      </c>
      <c r="T1502" t="n">
        <v>0.0</v>
      </c>
      <c r="U1502" t="n">
        <v>0.0</v>
      </c>
      <c r="V1502" t="n">
        <v>0.0</v>
      </c>
      <c r="W1502" t="inlineStr">
        <is>
          <t/>
        </is>
      </c>
      <c r="X1502" t="n">
        <v>0.0</v>
      </c>
      <c r="Y1502" t="n">
        <v>0.0</v>
      </c>
      <c r="Z1502" t="n">
        <v>0.0</v>
      </c>
      <c r="AA1502" t="n">
        <v>0.0</v>
      </c>
      <c r="AB1502" t="n">
        <v>0.0</v>
      </c>
      <c r="AC1502" t="n">
        <v>0.0</v>
      </c>
      <c r="AD1502" t="n">
        <v>0.0</v>
      </c>
      <c r="AE1502" t="n">
        <v>0.0</v>
      </c>
      <c r="AF1502" t="n">
        <v>0.0</v>
      </c>
      <c r="AG1502" t="n">
        <v>0.0</v>
      </c>
      <c r="AH1502" t="n">
        <v>0.0</v>
      </c>
      <c r="AI1502" t="n">
        <v>0.0</v>
      </c>
      <c r="AJ1502" t="n">
        <v>0.0</v>
      </c>
      <c r="AK1502" t="inlineStr">
        <is>
          <t/>
        </is>
      </c>
      <c r="AL1502" t="inlineStr">
        <is>
          <t/>
        </is>
      </c>
    </row>
    <row r="1503">
      <c r="A1503" t="inlineStr">
        <is>
          <t>春日减脂，区区 69 块够吃一周了</t>
        </is>
      </c>
      <c r="B1503" t="inlineStr">
        <is>
          <t>69d5f768000000001f006b9a</t>
        </is>
      </c>
      <c r="C1503" s="1502" t="n">
        <f>HYPERLINK("https://www.xiaohongshu.com/explore/69d5f768000000001f006b9a?xsec_token=TB8iwnyw3eAUAW6IHOsxIm-iCs-DnLAvSoNrh-yHLJ3B4=&amp;xsec_source=pc_trdark","https://www.xiaohongshu.com/explore/69d5f768000000001f006b9a?xsec_token=TB8iwnyw3eAUAW6IHOsxIm-iCs-DnLAvSoNrh-yHLJ3B4=&amp;xsec_source=pc_trdark")</f>
        <v>0.0</v>
      </c>
      <c r="D1503" t="inlineStr">
        <is>
          <t>婉婉上班吃什么</t>
        </is>
      </c>
      <c r="E1503" t="inlineStr">
        <is>
          <t>11434449706</t>
        </is>
      </c>
      <c r="F1503" t="inlineStr">
        <is>
          <t>2026-04-08 14:36:24</t>
        </is>
      </c>
      <c r="G1503" t="inlineStr">
        <is>
          <t>图文</t>
        </is>
      </c>
      <c r="H1503" t="inlineStr">
        <is>
          <t>手剥虾仁 无冰衣无添加 低脂餐一人食 上班带饭 顺丰包邮 5盒装</t>
        </is>
      </c>
      <c r="I1503" t="inlineStr">
        <is>
          <t>694baba01d450d00013662f0</t>
        </is>
      </c>
      <c r="J1503" t="inlineStr">
        <is>
          <t/>
        </is>
      </c>
      <c r="K1503" t="n">
        <v>0.0</v>
      </c>
      <c r="L1503" t="n">
        <v>0.0</v>
      </c>
      <c r="M1503" t="n">
        <v>0.0</v>
      </c>
      <c r="N1503" t="inlineStr">
        <is>
          <t/>
        </is>
      </c>
      <c r="O1503" t="n">
        <v>0.0</v>
      </c>
      <c r="P1503" t="n">
        <v>0.0</v>
      </c>
      <c r="Q1503" t="inlineStr">
        <is>
          <t/>
        </is>
      </c>
      <c r="R1503" t="inlineStr">
        <is>
          <t/>
        </is>
      </c>
      <c r="S1503" t="n">
        <v>0.0</v>
      </c>
      <c r="T1503" t="n">
        <v>0.0</v>
      </c>
      <c r="U1503" t="n">
        <v>0.0</v>
      </c>
      <c r="V1503" t="n">
        <v>0.0</v>
      </c>
      <c r="W1503" t="inlineStr">
        <is>
          <t/>
        </is>
      </c>
      <c r="X1503" t="n">
        <v>0.0</v>
      </c>
      <c r="Y1503" t="n">
        <v>0.0</v>
      </c>
      <c r="Z1503" t="n">
        <v>0.0</v>
      </c>
      <c r="AA1503" t="n">
        <v>0.0</v>
      </c>
      <c r="AB1503" t="n">
        <v>0.0</v>
      </c>
      <c r="AC1503" t="n">
        <v>0.0</v>
      </c>
      <c r="AD1503" t="n">
        <v>0.0</v>
      </c>
      <c r="AE1503" t="n">
        <v>0.0</v>
      </c>
      <c r="AF1503" t="n">
        <v>0.0</v>
      </c>
      <c r="AG1503" t="n">
        <v>0.0</v>
      </c>
      <c r="AH1503" t="n">
        <v>0.0</v>
      </c>
      <c r="AI1503" t="n">
        <v>0.0</v>
      </c>
      <c r="AJ1503" t="n">
        <v>0.0</v>
      </c>
      <c r="AK1503" t="inlineStr">
        <is>
          <t/>
        </is>
      </c>
      <c r="AL1503" t="inlineStr">
        <is>
          <t/>
        </is>
      </c>
    </row>
    <row r="1504">
      <c r="A1504" t="inlineStr">
        <is>
          <t>我发现上班带饭减肥真的很省钱</t>
        </is>
      </c>
      <c r="B1504" t="inlineStr">
        <is>
          <t>69d5b763000000001f00381f</t>
        </is>
      </c>
      <c r="C1504" s="1503" t="n">
        <f>HYPERLINK("https://www.xiaohongshu.com/explore/69d5b763000000001f00381f?xsec_token=TB8iwnyw3eAUAW6IHOsxIm-pwsTzfAoSTrnyFq3h2FEqA=&amp;xsec_source=pc_trdark","https://www.xiaohongshu.com/explore/69d5b763000000001f00381f?xsec_token=TB8iwnyw3eAUAW6IHOsxIm-pwsTzfAoSTrnyFq3h2FEqA=&amp;xsec_source=pc_trdark")</f>
        <v>0.0</v>
      </c>
      <c r="D1504" t="inlineStr">
        <is>
          <t>婉婉上班吃什么</t>
        </is>
      </c>
      <c r="E1504" t="inlineStr">
        <is>
          <t>11434449706</t>
        </is>
      </c>
      <c r="F1504" t="inlineStr">
        <is>
          <t>2026-04-08 10:03:15</t>
        </is>
      </c>
      <c r="G1504" t="inlineStr">
        <is>
          <t>图文</t>
        </is>
      </c>
      <c r="H1504" t="inlineStr">
        <is>
          <t>手剥虾仁 无冰衣无添加 低脂餐一人食 上班带饭 顺丰包邮 5盒装</t>
        </is>
      </c>
      <c r="I1504" t="inlineStr">
        <is>
          <t>694baba01d450d00013662f0</t>
        </is>
      </c>
      <c r="J1504" t="inlineStr">
        <is>
          <t/>
        </is>
      </c>
      <c r="K1504" t="n">
        <v>0.0</v>
      </c>
      <c r="L1504" t="n">
        <v>0.0</v>
      </c>
      <c r="M1504" t="n">
        <v>0.0</v>
      </c>
      <c r="N1504" t="inlineStr">
        <is>
          <t/>
        </is>
      </c>
      <c r="O1504" t="n">
        <v>0.0</v>
      </c>
      <c r="P1504" t="n">
        <v>0.0</v>
      </c>
      <c r="Q1504" t="inlineStr">
        <is>
          <t/>
        </is>
      </c>
      <c r="R1504" t="inlineStr">
        <is>
          <t/>
        </is>
      </c>
      <c r="S1504" t="n">
        <v>0.0</v>
      </c>
      <c r="T1504" t="n">
        <v>0.0</v>
      </c>
      <c r="U1504" t="n">
        <v>0.0</v>
      </c>
      <c r="V1504" t="n">
        <v>0.0</v>
      </c>
      <c r="W1504" t="inlineStr">
        <is>
          <t/>
        </is>
      </c>
      <c r="X1504" t="n">
        <v>0.0</v>
      </c>
      <c r="Y1504" t="n">
        <v>0.0</v>
      </c>
      <c r="Z1504" t="n">
        <v>0.0</v>
      </c>
      <c r="AA1504" t="n">
        <v>0.0</v>
      </c>
      <c r="AB1504" t="n">
        <v>0.0</v>
      </c>
      <c r="AC1504" t="n">
        <v>0.0</v>
      </c>
      <c r="AD1504" t="n">
        <v>0.0</v>
      </c>
      <c r="AE1504" t="n">
        <v>0.0</v>
      </c>
      <c r="AF1504" t="n">
        <v>0.0</v>
      </c>
      <c r="AG1504" t="n">
        <v>0.0</v>
      </c>
      <c r="AH1504" t="n">
        <v>0.0</v>
      </c>
      <c r="AI1504" t="n">
        <v>0.0</v>
      </c>
      <c r="AJ1504" t="n">
        <v>0.0</v>
      </c>
      <c r="AK1504" t="inlineStr">
        <is>
          <t/>
        </is>
      </c>
      <c r="AL1504" t="inlineStr">
        <is>
          <t/>
        </is>
      </c>
    </row>
    <row r="1505">
      <c r="A1505" t="inlineStr">
        <is>
          <t>同品质虾仁，我们为什么比别家便宜？</t>
        </is>
      </c>
      <c r="B1505" t="inlineStr">
        <is>
          <t>69d4d5d2000000001f00405e</t>
        </is>
      </c>
      <c r="C1505" s="1504" t="n">
        <f>HYPERLINK("https://www.xiaohongshu.com/explore/69d4d5d2000000001f00405e?xsec_token=TBCfzrc-PQxdd2ruCVqHUjYqgtA96Vm2XHcHsBQvgu4vA=&amp;xsec_source=pc_trdark","https://www.xiaohongshu.com/explore/69d4d5d2000000001f00405e?xsec_token=TBCfzrc-PQxdd2ruCVqHUjYqgtA96Vm2XHcHsBQvgu4vA=&amp;xsec_source=pc_trdark")</f>
        <v>0.0</v>
      </c>
      <c r="D1505" t="inlineStr">
        <is>
          <t>鲜水湾</t>
        </is>
      </c>
      <c r="E1505" t="inlineStr">
        <is>
          <t>49316638994</t>
        </is>
      </c>
      <c r="F1505" t="inlineStr">
        <is>
          <t>2026-04-07 18:00:50</t>
        </is>
      </c>
      <c r="G1505" t="inlineStr">
        <is>
          <t>图文</t>
        </is>
      </c>
      <c r="H1505" t="inlineStr">
        <is>
          <t>手剥虾仁 无冰衣无添加 低脂餐一人食 上班带饭 顺丰包邮 5盒装</t>
        </is>
      </c>
      <c r="I1505" t="inlineStr">
        <is>
          <t>694baba01d450d00013662f0</t>
        </is>
      </c>
      <c r="J1505" t="inlineStr">
        <is>
          <t/>
        </is>
      </c>
      <c r="K1505" t="n">
        <v>0.0</v>
      </c>
      <c r="L1505" t="n">
        <v>0.0</v>
      </c>
      <c r="M1505" t="n">
        <v>0.0</v>
      </c>
      <c r="N1505" t="inlineStr">
        <is>
          <t/>
        </is>
      </c>
      <c r="O1505" t="n">
        <v>0.0</v>
      </c>
      <c r="P1505" t="n">
        <v>0.0</v>
      </c>
      <c r="Q1505" t="inlineStr">
        <is>
          <t/>
        </is>
      </c>
      <c r="R1505" t="inlineStr">
        <is>
          <t/>
        </is>
      </c>
      <c r="S1505" t="n">
        <v>0.0</v>
      </c>
      <c r="T1505" t="n">
        <v>0.0</v>
      </c>
      <c r="U1505" t="n">
        <v>0.0</v>
      </c>
      <c r="V1505" t="n">
        <v>0.0</v>
      </c>
      <c r="W1505" t="inlineStr">
        <is>
          <t/>
        </is>
      </c>
      <c r="X1505" t="n">
        <v>0.0</v>
      </c>
      <c r="Y1505" t="n">
        <v>0.0</v>
      </c>
      <c r="Z1505" t="n">
        <v>0.0</v>
      </c>
      <c r="AA1505" t="n">
        <v>0.0</v>
      </c>
      <c r="AB1505" t="n">
        <v>0.0</v>
      </c>
      <c r="AC1505" t="n">
        <v>0.0</v>
      </c>
      <c r="AD1505" t="n">
        <v>0.0</v>
      </c>
      <c r="AE1505" t="n">
        <v>0.0</v>
      </c>
      <c r="AF1505" t="n">
        <v>0.0</v>
      </c>
      <c r="AG1505" t="n">
        <v>0.0</v>
      </c>
      <c r="AH1505" t="n">
        <v>0.0</v>
      </c>
      <c r="AI1505" t="n">
        <v>0.0</v>
      </c>
      <c r="AJ1505" t="n">
        <v>0.0</v>
      </c>
      <c r="AK1505" t="inlineStr">
        <is>
          <t/>
        </is>
      </c>
      <c r="AL1505" t="inlineStr">
        <is>
          <t/>
        </is>
      </c>
    </row>
    <row r="1506">
      <c r="A1506" t="inlineStr">
        <is>
          <t>在网上买的虾仁，被婆婆夸了！</t>
        </is>
      </c>
      <c r="B1506" t="inlineStr">
        <is>
          <t>69d4caf7000000001f004223</t>
        </is>
      </c>
      <c r="C1506" s="1505" t="n">
        <f>HYPERLINK("https://www.xiaohongshu.com/explore/69d4caf7000000001f004223?xsec_token=TBCfzrc-PQxdd2ruCVqHUjYprcZ1tg5jdXbHqsKxpiiGw=&amp;xsec_source=pc_trdark","https://www.xiaohongshu.com/explore/69d4caf7000000001f004223?xsec_token=TBCfzrc-PQxdd2ruCVqHUjYprcZ1tg5jdXbHqsKxpiiGw=&amp;xsec_source=pc_trdark")</f>
        <v>0.0</v>
      </c>
      <c r="D1506" t="inlineStr">
        <is>
          <t>婉婉上班吃什么</t>
        </is>
      </c>
      <c r="E1506" t="inlineStr">
        <is>
          <t>11434449706</t>
        </is>
      </c>
      <c r="F1506" t="inlineStr">
        <is>
          <t>2026-04-07 17:14:31</t>
        </is>
      </c>
      <c r="G1506" t="inlineStr">
        <is>
          <t>图文</t>
        </is>
      </c>
      <c r="H1506" t="inlineStr">
        <is>
          <t>手剥虾仁 无冰衣无添加 低脂餐一人食 上班带饭 顺丰包邮 5盒装</t>
        </is>
      </c>
      <c r="I1506" t="inlineStr">
        <is>
          <t>694baba01d450d00013662f0</t>
        </is>
      </c>
      <c r="J1506" t="inlineStr">
        <is>
          <t/>
        </is>
      </c>
      <c r="K1506" t="n">
        <v>0.0</v>
      </c>
      <c r="L1506" t="n">
        <v>0.0</v>
      </c>
      <c r="M1506" t="n">
        <v>0.0</v>
      </c>
      <c r="N1506" t="inlineStr">
        <is>
          <t/>
        </is>
      </c>
      <c r="O1506" t="n">
        <v>0.0</v>
      </c>
      <c r="P1506" t="n">
        <v>0.0</v>
      </c>
      <c r="Q1506" t="inlineStr">
        <is>
          <t/>
        </is>
      </c>
      <c r="R1506" t="inlineStr">
        <is>
          <t/>
        </is>
      </c>
      <c r="S1506" t="n">
        <v>0.0</v>
      </c>
      <c r="T1506" t="n">
        <v>0.0</v>
      </c>
      <c r="U1506" t="n">
        <v>0.0</v>
      </c>
      <c r="V1506" t="n">
        <v>0.0</v>
      </c>
      <c r="W1506" t="inlineStr">
        <is>
          <t/>
        </is>
      </c>
      <c r="X1506" t="n">
        <v>0.0</v>
      </c>
      <c r="Y1506" t="n">
        <v>0.0</v>
      </c>
      <c r="Z1506" t="n">
        <v>0.0</v>
      </c>
      <c r="AA1506" t="n">
        <v>0.0</v>
      </c>
      <c r="AB1506" t="n">
        <v>0.0</v>
      </c>
      <c r="AC1506" t="n">
        <v>0.0</v>
      </c>
      <c r="AD1506" t="n">
        <v>0.0</v>
      </c>
      <c r="AE1506" t="n">
        <v>0.0</v>
      </c>
      <c r="AF1506" t="n">
        <v>0.0</v>
      </c>
      <c r="AG1506" t="n">
        <v>0.0</v>
      </c>
      <c r="AH1506" t="n">
        <v>0.0</v>
      </c>
      <c r="AI1506" t="n">
        <v>0.0</v>
      </c>
      <c r="AJ1506" t="n">
        <v>0.0</v>
      </c>
      <c r="AK1506" t="inlineStr">
        <is>
          <t/>
        </is>
      </c>
      <c r="AL1506" t="inlineStr">
        <is>
          <t/>
        </is>
      </c>
    </row>
    <row r="1507">
      <c r="A1507" t="inlineStr">
        <is>
          <t>感谢315！无科技狠活的虾仁才是真的好卖👍</t>
        </is>
      </c>
      <c r="B1507" t="inlineStr">
        <is>
          <t>69d4c4650000000023015d59</t>
        </is>
      </c>
      <c r="C1507" s="1506" t="n">
        <f>HYPERLINK("https://www.xiaohongshu.com/explore/69d4c4650000000023015d59?xsec_token=TBCfzrc-PQxdd2ruCVqHUjYh2mW2-QPsGLmE6b_xNmFNI=&amp;xsec_source=pc_trdark","https://www.xiaohongshu.com/explore/69d4c4650000000023015d59?xsec_token=TBCfzrc-PQxdd2ruCVqHUjYh2mW2-QPsGLmE6b_xNmFNI=&amp;xsec_source=pc_trdark")</f>
        <v>0.0</v>
      </c>
      <c r="D1507" t="inlineStr">
        <is>
          <t>鲜水湾</t>
        </is>
      </c>
      <c r="E1507" t="inlineStr">
        <is>
          <t>49316638994</t>
        </is>
      </c>
      <c r="F1507" t="inlineStr">
        <is>
          <t>2026-04-07 16:46:29</t>
        </is>
      </c>
      <c r="G1507" t="inlineStr">
        <is>
          <t>图文</t>
        </is>
      </c>
      <c r="H1507" t="inlineStr">
        <is>
          <t>手剥虾仁 无冰衣无添加 低脂餐一人食 上班带饭 顺丰包邮 5盒装</t>
        </is>
      </c>
      <c r="I1507" t="inlineStr">
        <is>
          <t>694baba01d450d00013662f0</t>
        </is>
      </c>
      <c r="J1507" t="inlineStr">
        <is>
          <t/>
        </is>
      </c>
      <c r="K1507" t="n">
        <v>0.0</v>
      </c>
      <c r="L1507" t="n">
        <v>0.0</v>
      </c>
      <c r="M1507" t="n">
        <v>0.0</v>
      </c>
      <c r="N1507" t="inlineStr">
        <is>
          <t/>
        </is>
      </c>
      <c r="O1507" t="n">
        <v>0.0</v>
      </c>
      <c r="P1507" t="n">
        <v>0.0</v>
      </c>
      <c r="Q1507" t="inlineStr">
        <is>
          <t/>
        </is>
      </c>
      <c r="R1507" t="inlineStr">
        <is>
          <t/>
        </is>
      </c>
      <c r="S1507" t="n">
        <v>0.0</v>
      </c>
      <c r="T1507" t="n">
        <v>0.0</v>
      </c>
      <c r="U1507" t="n">
        <v>0.0</v>
      </c>
      <c r="V1507" t="n">
        <v>0.0</v>
      </c>
      <c r="W1507" t="inlineStr">
        <is>
          <t/>
        </is>
      </c>
      <c r="X1507" t="n">
        <v>0.0</v>
      </c>
      <c r="Y1507" t="n">
        <v>0.0</v>
      </c>
      <c r="Z1507" t="n">
        <v>0.0</v>
      </c>
      <c r="AA1507" t="n">
        <v>0.0</v>
      </c>
      <c r="AB1507" t="n">
        <v>0.0</v>
      </c>
      <c r="AC1507" t="n">
        <v>0.0</v>
      </c>
      <c r="AD1507" t="n">
        <v>0.0</v>
      </c>
      <c r="AE1507" t="n">
        <v>0.0</v>
      </c>
      <c r="AF1507" t="n">
        <v>0.0</v>
      </c>
      <c r="AG1507" t="n">
        <v>0.0</v>
      </c>
      <c r="AH1507" t="n">
        <v>0.0</v>
      </c>
      <c r="AI1507" t="n">
        <v>0.0</v>
      </c>
      <c r="AJ1507" t="n">
        <v>0.0</v>
      </c>
      <c r="AK1507" t="inlineStr">
        <is>
          <t/>
        </is>
      </c>
      <c r="AL1507" t="inlineStr">
        <is>
          <t/>
        </is>
      </c>
    </row>
    <row r="1508">
      <c r="A1508" t="inlineStr">
        <is>
          <t>区区300块｜承包我一个月的优质蛋白🐟</t>
        </is>
      </c>
      <c r="B1508" t="inlineStr">
        <is>
          <t>69d4ab830000000023015a49</t>
        </is>
      </c>
      <c r="C1508" s="1507" t="n">
        <f>HYPERLINK("https://www.xiaohongshu.com/explore/69d4ab830000000023015a49?xsec_token=TBCfzrc-PQxdd2ruCVqHUjYorhfXfLenVJRQONPDoAx7g=&amp;xsec_source=pc_trdark","https://www.xiaohongshu.com/explore/69d4ab830000000023015a49?xsec_token=TBCfzrc-PQxdd2ruCVqHUjYorhfXfLenVJRQONPDoAx7g=&amp;xsec_source=pc_trdark")</f>
        <v>0.0</v>
      </c>
      <c r="D1508" t="inlineStr">
        <is>
          <t>菲菲上班吃什么</t>
        </is>
      </c>
      <c r="E1508" t="inlineStr">
        <is>
          <t>49936530607</t>
        </is>
      </c>
      <c r="F1508" t="inlineStr">
        <is>
          <t>2026-04-07 15:00:19</t>
        </is>
      </c>
      <c r="G1508" t="inlineStr">
        <is>
          <t>图文</t>
        </is>
      </c>
      <c r="H1508" t="inlineStr">
        <is>
          <t>智利三文鱼切块·整条三文鱼·深海鱼一人食健康饮食</t>
        </is>
      </c>
      <c r="I1508" t="inlineStr">
        <is>
          <t>691ac562a524ee0001b51d7b</t>
        </is>
      </c>
      <c r="J1508" t="inlineStr">
        <is>
          <t/>
        </is>
      </c>
      <c r="K1508" t="n">
        <v>0.0</v>
      </c>
      <c r="L1508" t="n">
        <v>0.0</v>
      </c>
      <c r="M1508" t="n">
        <v>0.0</v>
      </c>
      <c r="N1508" t="inlineStr">
        <is>
          <t/>
        </is>
      </c>
      <c r="O1508" t="n">
        <v>0.0</v>
      </c>
      <c r="P1508" t="n">
        <v>0.0</v>
      </c>
      <c r="Q1508" t="inlineStr">
        <is>
          <t/>
        </is>
      </c>
      <c r="R1508" t="inlineStr">
        <is>
          <t/>
        </is>
      </c>
      <c r="S1508" t="n">
        <v>0.0</v>
      </c>
      <c r="T1508" t="n">
        <v>0.0</v>
      </c>
      <c r="U1508" t="n">
        <v>0.0</v>
      </c>
      <c r="V1508" t="n">
        <v>0.0</v>
      </c>
      <c r="W1508" t="inlineStr">
        <is>
          <t/>
        </is>
      </c>
      <c r="X1508" t="n">
        <v>0.0</v>
      </c>
      <c r="Y1508" t="n">
        <v>0.0</v>
      </c>
      <c r="Z1508" t="n">
        <v>0.0</v>
      </c>
      <c r="AA1508" t="n">
        <v>0.0</v>
      </c>
      <c r="AB1508" t="n">
        <v>0.0</v>
      </c>
      <c r="AC1508" t="n">
        <v>0.0</v>
      </c>
      <c r="AD1508" t="n">
        <v>0.0</v>
      </c>
      <c r="AE1508" t="n">
        <v>0.0</v>
      </c>
      <c r="AF1508" t="n">
        <v>0.0</v>
      </c>
      <c r="AG1508" t="n">
        <v>0.0</v>
      </c>
      <c r="AH1508" t="n">
        <v>0.0</v>
      </c>
      <c r="AI1508" t="n">
        <v>0.0</v>
      </c>
      <c r="AJ1508" t="n">
        <v>0.0</v>
      </c>
      <c r="AK1508" t="inlineStr">
        <is>
          <t/>
        </is>
      </c>
      <c r="AL1508" t="inlineStr">
        <is>
          <t/>
        </is>
      </c>
    </row>
    <row r="1509">
      <c r="A1509" t="inlineStr">
        <is>
          <t/>
        </is>
      </c>
      <c r="B1509" t="inlineStr">
        <is>
          <t>69d49490000000002202aacb</t>
        </is>
      </c>
      <c r="C1509" s="1508" t="n">
        <f>HYPERLINK("https://www.xiaohongshu.com/explore/69d49490000000002202aacb?xsec_token=TBCfzrc-PQxdd2ruCVqHUjYjAMwGPY2eMj5xs4Bqz8Jew=&amp;xsec_source=pc_trdark","https://www.xiaohongshu.com/explore/69d49490000000002202aacb?xsec_token=TBCfzrc-PQxdd2ruCVqHUjYjAMwGPY2eMj5xs4Bqz8Jew=&amp;xsec_source=pc_trdark")</f>
        <v>0.0</v>
      </c>
      <c r="D1509" t="inlineStr">
        <is>
          <t>婉婉上班吃什么</t>
        </is>
      </c>
      <c r="E1509" t="inlineStr">
        <is>
          <t>11434449706</t>
        </is>
      </c>
      <c r="F1509" t="inlineStr">
        <is>
          <t>2026-04-07 13:22:24</t>
        </is>
      </c>
      <c r="G1509" t="inlineStr">
        <is>
          <t>图文</t>
        </is>
      </c>
      <c r="H1509" t="inlineStr">
        <is>
          <t>手剥虾仁 无冰衣无添加 低脂餐一人食 上班带饭 顺丰包邮 5盒装</t>
        </is>
      </c>
      <c r="I1509" t="inlineStr">
        <is>
          <t>694baba01d450d00013662f0</t>
        </is>
      </c>
      <c r="J1509" t="inlineStr">
        <is>
          <t/>
        </is>
      </c>
      <c r="K1509" t="n">
        <v>0.0</v>
      </c>
      <c r="L1509" t="n">
        <v>0.0</v>
      </c>
      <c r="M1509" t="n">
        <v>0.0</v>
      </c>
      <c r="N1509" t="inlineStr">
        <is>
          <t/>
        </is>
      </c>
      <c r="O1509" t="n">
        <v>0.0</v>
      </c>
      <c r="P1509" t="n">
        <v>0.0</v>
      </c>
      <c r="Q1509" t="inlineStr">
        <is>
          <t/>
        </is>
      </c>
      <c r="R1509" t="inlineStr">
        <is>
          <t/>
        </is>
      </c>
      <c r="S1509" t="n">
        <v>0.0</v>
      </c>
      <c r="T1509" t="n">
        <v>0.0</v>
      </c>
      <c r="U1509" t="n">
        <v>0.0</v>
      </c>
      <c r="V1509" t="n">
        <v>0.0</v>
      </c>
      <c r="W1509" t="inlineStr">
        <is>
          <t/>
        </is>
      </c>
      <c r="X1509" t="n">
        <v>0.0</v>
      </c>
      <c r="Y1509" t="n">
        <v>0.0</v>
      </c>
      <c r="Z1509" t="n">
        <v>0.0</v>
      </c>
      <c r="AA1509" t="n">
        <v>0.0</v>
      </c>
      <c r="AB1509" t="n">
        <v>0.0</v>
      </c>
      <c r="AC1509" t="n">
        <v>0.0</v>
      </c>
      <c r="AD1509" t="n">
        <v>0.0</v>
      </c>
      <c r="AE1509" t="n">
        <v>0.0</v>
      </c>
      <c r="AF1509" t="n">
        <v>0.0</v>
      </c>
      <c r="AG1509" t="n">
        <v>0.0</v>
      </c>
      <c r="AH1509" t="n">
        <v>0.0</v>
      </c>
      <c r="AI1509" t="n">
        <v>0.0</v>
      </c>
      <c r="AJ1509" t="n">
        <v>0.0</v>
      </c>
      <c r="AK1509" t="inlineStr">
        <is>
          <t/>
        </is>
      </c>
      <c r="AL1509" t="inlineStr">
        <is>
          <t/>
        </is>
      </c>
    </row>
    <row r="1510">
      <c r="A1510" t="inlineStr">
        <is>
          <t/>
        </is>
      </c>
      <c r="B1510" t="inlineStr">
        <is>
          <t>69d3c8d8000000001a02d77d</t>
        </is>
      </c>
      <c r="C1510" s="1509" t="n">
        <f>HYPERLINK("https://www.xiaohongshu.com/explore/69d3c8d8000000001a02d77d?xsec_token=TBhEDzysvLbwbBD8CIa_-jsWu1E247MnpVbN1PlgEwYtA=&amp;xsec_source=pc_trdark","https://www.xiaohongshu.com/explore/69d3c8d8000000001a02d77d?xsec_token=TBhEDzysvLbwbBD8CIa_-jsWu1E247MnpVbN1PlgEwYtA=&amp;xsec_source=pc_trdark")</f>
        <v>0.0</v>
      </c>
      <c r="D1510" t="inlineStr">
        <is>
          <t>菲菲上班吃什么</t>
        </is>
      </c>
      <c r="E1510" t="inlineStr">
        <is>
          <t>49936530607</t>
        </is>
      </c>
      <c r="F1510" t="inlineStr">
        <is>
          <t>2026-04-06 22:53:12</t>
        </is>
      </c>
      <c r="G1510" t="inlineStr">
        <is>
          <t>图文</t>
        </is>
      </c>
      <c r="H1510" t="inlineStr">
        <is>
          <t>手剥虾仁 无冰衣无添加 低脂餐一人食 上班带饭 顺丰包邮 5盒装</t>
        </is>
      </c>
      <c r="I1510" t="inlineStr">
        <is>
          <t>694baba01d450d00013662f0</t>
        </is>
      </c>
      <c r="J1510" t="inlineStr">
        <is>
          <t/>
        </is>
      </c>
      <c r="K1510" t="n">
        <v>0.0</v>
      </c>
      <c r="L1510" t="n">
        <v>0.0</v>
      </c>
      <c r="M1510" t="n">
        <v>0.0</v>
      </c>
      <c r="N1510" t="inlineStr">
        <is>
          <t/>
        </is>
      </c>
      <c r="O1510" t="n">
        <v>0.0</v>
      </c>
      <c r="P1510" t="n">
        <v>0.0</v>
      </c>
      <c r="Q1510" t="inlineStr">
        <is>
          <t/>
        </is>
      </c>
      <c r="R1510" t="inlineStr">
        <is>
          <t/>
        </is>
      </c>
      <c r="S1510" t="n">
        <v>0.0</v>
      </c>
      <c r="T1510" t="n">
        <v>0.0</v>
      </c>
      <c r="U1510" t="n">
        <v>0.0</v>
      </c>
      <c r="V1510" t="n">
        <v>0.0</v>
      </c>
      <c r="W1510" t="inlineStr">
        <is>
          <t/>
        </is>
      </c>
      <c r="X1510" t="n">
        <v>0.0</v>
      </c>
      <c r="Y1510" t="n">
        <v>0.0</v>
      </c>
      <c r="Z1510" t="n">
        <v>0.0</v>
      </c>
      <c r="AA1510" t="n">
        <v>0.0</v>
      </c>
      <c r="AB1510" t="n">
        <v>0.0</v>
      </c>
      <c r="AC1510" t="n">
        <v>0.0</v>
      </c>
      <c r="AD1510" t="n">
        <v>0.0</v>
      </c>
      <c r="AE1510" t="n">
        <v>0.0</v>
      </c>
      <c r="AF1510" t="n">
        <v>0.0</v>
      </c>
      <c r="AG1510" t="n">
        <v>0.0</v>
      </c>
      <c r="AH1510" t="n">
        <v>0.0</v>
      </c>
      <c r="AI1510" t="n">
        <v>0.0</v>
      </c>
      <c r="AJ1510" t="n">
        <v>0.0</v>
      </c>
      <c r="AK1510" t="inlineStr">
        <is>
          <t/>
        </is>
      </c>
      <c r="AL1510" t="inlineStr">
        <is>
          <t/>
        </is>
      </c>
    </row>
    <row r="1511">
      <c r="A1511" t="inlineStr">
        <is>
          <t>超市的虾仁又大又便宜？看完配料表我沉默了</t>
        </is>
      </c>
      <c r="B1511" t="inlineStr">
        <is>
          <t>69d3c7bc0000000020038b23</t>
        </is>
      </c>
      <c r="C1511" s="1510" t="n">
        <f>HYPERLINK("https://www.xiaohongshu.com/explore/69d3c7bc0000000020038b23?xsec_token=TBhEDzysvLbwbBD8CIa_-jsXVe3SfX1xHHJJRfrn-giZg=&amp;xsec_source=pc_trdark","https://www.xiaohongshu.com/explore/69d3c7bc0000000020038b23?xsec_token=TBhEDzysvLbwbBD8CIa_-jsXVe3SfX1xHHJJRfrn-giZg=&amp;xsec_source=pc_trdark")</f>
        <v>0.0</v>
      </c>
      <c r="D1511" t="inlineStr">
        <is>
          <t>婉婉上班吃什么</t>
        </is>
      </c>
      <c r="E1511" t="inlineStr">
        <is>
          <t>11434449706</t>
        </is>
      </c>
      <c r="F1511" t="inlineStr">
        <is>
          <t>2026-04-06 22:48:28</t>
        </is>
      </c>
      <c r="G1511" t="inlineStr">
        <is>
          <t>图文</t>
        </is>
      </c>
      <c r="H1511" t="inlineStr">
        <is>
          <t>手剥虾仁 无冰衣无添加 低脂餐一人食 上班带饭 顺丰包邮 5盒装</t>
        </is>
      </c>
      <c r="I1511" t="inlineStr">
        <is>
          <t>694baba01d450d00013662f0</t>
        </is>
      </c>
      <c r="J1511" t="inlineStr">
        <is>
          <t/>
        </is>
      </c>
      <c r="K1511" t="n">
        <v>0.0</v>
      </c>
      <c r="L1511" t="n">
        <v>0.0</v>
      </c>
      <c r="M1511" t="n">
        <v>0.0</v>
      </c>
      <c r="N1511" t="inlineStr">
        <is>
          <t/>
        </is>
      </c>
      <c r="O1511" t="n">
        <v>0.0</v>
      </c>
      <c r="P1511" t="n">
        <v>0.0</v>
      </c>
      <c r="Q1511" t="inlineStr">
        <is>
          <t/>
        </is>
      </c>
      <c r="R1511" t="inlineStr">
        <is>
          <t/>
        </is>
      </c>
      <c r="S1511" t="n">
        <v>0.0</v>
      </c>
      <c r="T1511" t="n">
        <v>0.0</v>
      </c>
      <c r="U1511" t="n">
        <v>0.0</v>
      </c>
      <c r="V1511" t="n">
        <v>0.0</v>
      </c>
      <c r="W1511" t="inlineStr">
        <is>
          <t/>
        </is>
      </c>
      <c r="X1511" t="n">
        <v>0.0</v>
      </c>
      <c r="Y1511" t="n">
        <v>0.0</v>
      </c>
      <c r="Z1511" t="n">
        <v>0.0</v>
      </c>
      <c r="AA1511" t="n">
        <v>0.0</v>
      </c>
      <c r="AB1511" t="n">
        <v>0.0</v>
      </c>
      <c r="AC1511" t="n">
        <v>0.0</v>
      </c>
      <c r="AD1511" t="n">
        <v>0.0</v>
      </c>
      <c r="AE1511" t="n">
        <v>0.0</v>
      </c>
      <c r="AF1511" t="n">
        <v>0.0</v>
      </c>
      <c r="AG1511" t="n">
        <v>0.0</v>
      </c>
      <c r="AH1511" t="n">
        <v>0.0</v>
      </c>
      <c r="AI1511" t="n">
        <v>0.0</v>
      </c>
      <c r="AJ1511" t="n">
        <v>0.0</v>
      </c>
      <c r="AK1511" t="inlineStr">
        <is>
          <t/>
        </is>
      </c>
      <c r="AL1511" t="inlineStr">
        <is>
          <t/>
        </is>
      </c>
    </row>
    <row r="1512">
      <c r="A1512" t="inlineStr">
        <is>
          <t>区区 100 来块钱，承包了我一周轻食虾仁</t>
        </is>
      </c>
      <c r="B1512" t="inlineStr">
        <is>
          <t>69d38497000000002003a7e2</t>
        </is>
      </c>
      <c r="C1512" s="1511" t="n">
        <f>HYPERLINK("https://www.xiaohongshu.com/explore/69d38497000000002003a7e2?xsec_token=TBhEDzysvLbwbBD8CIa_-jsQlm8gKfHsy5tK5s3x1HEdI=&amp;xsec_source=pc_trdark","https://www.xiaohongshu.com/explore/69d38497000000002003a7e2?xsec_token=TBhEDzysvLbwbBD8CIa_-jsQlm8gKfHsy5tK5s3x1HEdI=&amp;xsec_source=pc_trdark")</f>
        <v>0.0</v>
      </c>
      <c r="D1512" t="inlineStr">
        <is>
          <t>鲜水湾</t>
        </is>
      </c>
      <c r="E1512" t="inlineStr">
        <is>
          <t>49316638994</t>
        </is>
      </c>
      <c r="F1512" t="inlineStr">
        <is>
          <t>2026-04-06 18:01:59</t>
        </is>
      </c>
      <c r="G1512" t="inlineStr">
        <is>
          <t>图文</t>
        </is>
      </c>
      <c r="H1512" t="inlineStr">
        <is>
          <t>手剥虾仁 无冰衣无添加 低脂餐一人食 上班带饭 顺丰包邮 5盒装</t>
        </is>
      </c>
      <c r="I1512" t="inlineStr">
        <is>
          <t>694baba01d450d00013662f0</t>
        </is>
      </c>
      <c r="J1512" t="inlineStr">
        <is>
          <t/>
        </is>
      </c>
      <c r="K1512" t="n">
        <v>0.0</v>
      </c>
      <c r="L1512" t="n">
        <v>0.0</v>
      </c>
      <c r="M1512" t="n">
        <v>0.0</v>
      </c>
      <c r="N1512" t="inlineStr">
        <is>
          <t/>
        </is>
      </c>
      <c r="O1512" t="n">
        <v>0.0</v>
      </c>
      <c r="P1512" t="n">
        <v>0.0</v>
      </c>
      <c r="Q1512" t="inlineStr">
        <is>
          <t/>
        </is>
      </c>
      <c r="R1512" t="inlineStr">
        <is>
          <t/>
        </is>
      </c>
      <c r="S1512" t="n">
        <v>0.0</v>
      </c>
      <c r="T1512" t="n">
        <v>0.0</v>
      </c>
      <c r="U1512" t="n">
        <v>0.0</v>
      </c>
      <c r="V1512" t="n">
        <v>0.0</v>
      </c>
      <c r="W1512" t="inlineStr">
        <is>
          <t/>
        </is>
      </c>
      <c r="X1512" t="n">
        <v>0.0</v>
      </c>
      <c r="Y1512" t="n">
        <v>0.0</v>
      </c>
      <c r="Z1512" t="n">
        <v>0.0</v>
      </c>
      <c r="AA1512" t="n">
        <v>0.0</v>
      </c>
      <c r="AB1512" t="n">
        <v>0.0</v>
      </c>
      <c r="AC1512" t="n">
        <v>0.0</v>
      </c>
      <c r="AD1512" t="n">
        <v>0.0</v>
      </c>
      <c r="AE1512" t="n">
        <v>0.0</v>
      </c>
      <c r="AF1512" t="n">
        <v>0.0</v>
      </c>
      <c r="AG1512" t="n">
        <v>0.0</v>
      </c>
      <c r="AH1512" t="n">
        <v>0.0</v>
      </c>
      <c r="AI1512" t="n">
        <v>0.0</v>
      </c>
      <c r="AJ1512" t="n">
        <v>0.0</v>
      </c>
      <c r="AK1512" t="inlineStr">
        <is>
          <t/>
        </is>
      </c>
      <c r="AL1512" t="inlineStr">
        <is>
          <t/>
        </is>
      </c>
    </row>
    <row r="1513">
      <c r="A1513" t="inlineStr">
        <is>
          <t>减脂餐很费钱吗？可是一个月才300多</t>
        </is>
      </c>
      <c r="B1513" t="inlineStr">
        <is>
          <t>69d36fb8000000001a02fe4b</t>
        </is>
      </c>
      <c r="C1513" s="1512" t="n">
        <f>HYPERLINK("https://www.xiaohongshu.com/explore/69d36fb8000000001a02fe4b?xsec_token=TBhEDzysvLbwbBD8CIa_-jsbpgyyU5arYmeUFNu78120Y=&amp;xsec_source=pc_trdark","https://www.xiaohongshu.com/explore/69d36fb8000000001a02fe4b?xsec_token=TBhEDzysvLbwbBD8CIa_-jsbpgyyU5arYmeUFNu78120Y=&amp;xsec_source=pc_trdark")</f>
        <v>0.0</v>
      </c>
      <c r="D1513" t="inlineStr">
        <is>
          <t>鲜水湾</t>
        </is>
      </c>
      <c r="E1513" t="inlineStr">
        <is>
          <t>49316638994</t>
        </is>
      </c>
      <c r="F1513" t="inlineStr">
        <is>
          <t>2026-04-06 16:32:56</t>
        </is>
      </c>
      <c r="G1513" t="inlineStr">
        <is>
          <t>图文</t>
        </is>
      </c>
      <c r="H1513" t="inlineStr">
        <is>
          <t>智利三文鱼切块·整条三文鱼·深海鱼一人食健康饮食</t>
        </is>
      </c>
      <c r="I1513" t="inlineStr">
        <is>
          <t>691ac562a524ee0001b51d7b</t>
        </is>
      </c>
      <c r="J1513" t="inlineStr">
        <is>
          <t/>
        </is>
      </c>
      <c r="K1513" t="n">
        <v>0.0</v>
      </c>
      <c r="L1513" t="n">
        <v>0.0</v>
      </c>
      <c r="M1513" t="n">
        <v>0.0</v>
      </c>
      <c r="N1513" t="inlineStr">
        <is>
          <t/>
        </is>
      </c>
      <c r="O1513" t="n">
        <v>0.0</v>
      </c>
      <c r="P1513" t="n">
        <v>0.0</v>
      </c>
      <c r="Q1513" t="inlineStr">
        <is>
          <t/>
        </is>
      </c>
      <c r="R1513" t="inlineStr">
        <is>
          <t/>
        </is>
      </c>
      <c r="S1513" t="n">
        <v>0.0</v>
      </c>
      <c r="T1513" t="n">
        <v>0.0</v>
      </c>
      <c r="U1513" t="n">
        <v>0.0</v>
      </c>
      <c r="V1513" t="n">
        <v>0.0</v>
      </c>
      <c r="W1513" t="inlineStr">
        <is>
          <t/>
        </is>
      </c>
      <c r="X1513" t="n">
        <v>0.0</v>
      </c>
      <c r="Y1513" t="n">
        <v>0.0</v>
      </c>
      <c r="Z1513" t="n">
        <v>0.0</v>
      </c>
      <c r="AA1513" t="n">
        <v>0.0</v>
      </c>
      <c r="AB1513" t="n">
        <v>0.0</v>
      </c>
      <c r="AC1513" t="n">
        <v>0.0</v>
      </c>
      <c r="AD1513" t="n">
        <v>0.0</v>
      </c>
      <c r="AE1513" t="n">
        <v>0.0</v>
      </c>
      <c r="AF1513" t="n">
        <v>0.0</v>
      </c>
      <c r="AG1513" t="n">
        <v>0.0</v>
      </c>
      <c r="AH1513" t="n">
        <v>0.0</v>
      </c>
      <c r="AI1513" t="n">
        <v>0.0</v>
      </c>
      <c r="AJ1513" t="n">
        <v>0.0</v>
      </c>
      <c r="AK1513" t="inlineStr">
        <is>
          <t/>
        </is>
      </c>
      <c r="AL1513" t="inlineStr">
        <is>
          <t/>
        </is>
      </c>
    </row>
    <row r="1514">
      <c r="A1514" t="inlineStr">
        <is>
          <t>区区69，承包了我一周的轻食虾仁</t>
        </is>
      </c>
      <c r="B1514" t="inlineStr">
        <is>
          <t>69d36d7c000000001f002e9f</t>
        </is>
      </c>
      <c r="C1514" s="1513" t="n">
        <f>HYPERLINK("https://www.xiaohongshu.com/explore/69d36d7c000000001f002e9f?xsec_token=TBhEDzysvLbwbBD8CIa_-jsTk_xC9n_yAKyr8DDKYgEQo=&amp;xsec_source=pc_trdark","https://www.xiaohongshu.com/explore/69d36d7c000000001f002e9f?xsec_token=TBhEDzysvLbwbBD8CIa_-jsTk_xC9n_yAKyr8DDKYgEQo=&amp;xsec_source=pc_trdark")</f>
        <v>0.0</v>
      </c>
      <c r="D1514" t="inlineStr">
        <is>
          <t>菲菲上班吃什么</t>
        </is>
      </c>
      <c r="E1514" t="inlineStr">
        <is>
          <t>49936530607</t>
        </is>
      </c>
      <c r="F1514" t="inlineStr">
        <is>
          <t>2026-04-06 16:23:24</t>
        </is>
      </c>
      <c r="G1514" t="inlineStr">
        <is>
          <t>图文</t>
        </is>
      </c>
      <c r="H1514" t="inlineStr">
        <is>
          <t>手剥虾仁 无冰衣无添加 低脂餐一人食 上班带饭 顺丰包邮 5盒装</t>
        </is>
      </c>
      <c r="I1514" t="inlineStr">
        <is>
          <t>694baba01d450d00013662f0</t>
        </is>
      </c>
      <c r="J1514" t="inlineStr">
        <is>
          <t/>
        </is>
      </c>
      <c r="K1514" t="n">
        <v>0.0</v>
      </c>
      <c r="L1514" t="n">
        <v>0.0</v>
      </c>
      <c r="M1514" t="n">
        <v>0.0</v>
      </c>
      <c r="N1514" t="inlineStr">
        <is>
          <t/>
        </is>
      </c>
      <c r="O1514" t="n">
        <v>0.0</v>
      </c>
      <c r="P1514" t="n">
        <v>0.0</v>
      </c>
      <c r="Q1514" t="inlineStr">
        <is>
          <t/>
        </is>
      </c>
      <c r="R1514" t="inlineStr">
        <is>
          <t/>
        </is>
      </c>
      <c r="S1514" t="n">
        <v>0.0</v>
      </c>
      <c r="T1514" t="n">
        <v>0.0</v>
      </c>
      <c r="U1514" t="n">
        <v>0.0</v>
      </c>
      <c r="V1514" t="n">
        <v>0.0</v>
      </c>
      <c r="W1514" t="inlineStr">
        <is>
          <t/>
        </is>
      </c>
      <c r="X1514" t="n">
        <v>0.0</v>
      </c>
      <c r="Y1514" t="n">
        <v>0.0</v>
      </c>
      <c r="Z1514" t="n">
        <v>0.0</v>
      </c>
      <c r="AA1514" t="n">
        <v>0.0</v>
      </c>
      <c r="AB1514" t="n">
        <v>0.0</v>
      </c>
      <c r="AC1514" t="n">
        <v>0.0</v>
      </c>
      <c r="AD1514" t="n">
        <v>0.0</v>
      </c>
      <c r="AE1514" t="n">
        <v>0.0</v>
      </c>
      <c r="AF1514" t="n">
        <v>0.0</v>
      </c>
      <c r="AG1514" t="n">
        <v>0.0</v>
      </c>
      <c r="AH1514" t="n">
        <v>0.0</v>
      </c>
      <c r="AI1514" t="n">
        <v>0.0</v>
      </c>
      <c r="AJ1514" t="n">
        <v>0.0</v>
      </c>
      <c r="AK1514" t="inlineStr">
        <is>
          <t/>
        </is>
      </c>
      <c r="AL1514" t="inlineStr">
        <is>
          <t/>
        </is>
      </c>
    </row>
    <row r="1515">
      <c r="A1515" t="inlineStr">
        <is>
          <t>谁还没冲！100多实现半个月虾仁自由</t>
        </is>
      </c>
      <c r="B1515" t="inlineStr">
        <is>
          <t>69d36c2b000000002301fe89</t>
        </is>
      </c>
      <c r="C1515" s="1514" t="n">
        <f>HYPERLINK("https://www.xiaohongshu.com/explore/69d36c2b000000002301fe89?xsec_token=TBhEDzysvLbwbBD8CIa_-jseLlW5pK9hvQKI394y3PXSU=&amp;xsec_source=pc_trdark","https://www.xiaohongshu.com/explore/69d36c2b000000002301fe89?xsec_token=TBhEDzysvLbwbBD8CIa_-jseLlW5pK9hvQKI394y3PXSU=&amp;xsec_source=pc_trdark")</f>
        <v>0.0</v>
      </c>
      <c r="D1515" t="inlineStr">
        <is>
          <t>婉婉上班吃什么</t>
        </is>
      </c>
      <c r="E1515" t="inlineStr">
        <is>
          <t>11434449706</t>
        </is>
      </c>
      <c r="F1515" t="inlineStr">
        <is>
          <t>2026-04-06 16:17:47</t>
        </is>
      </c>
      <c r="G1515" t="inlineStr">
        <is>
          <t>图文</t>
        </is>
      </c>
      <c r="H1515" t="inlineStr">
        <is>
          <t>手剥虾仁 无冰衣无添加 低脂餐一人食 上班带饭 顺丰包邮 5盒装</t>
        </is>
      </c>
      <c r="I1515" t="inlineStr">
        <is>
          <t>694baba01d450d00013662f0</t>
        </is>
      </c>
      <c r="J1515" t="inlineStr">
        <is>
          <t/>
        </is>
      </c>
      <c r="K1515" t="n">
        <v>0.0</v>
      </c>
      <c r="L1515" t="n">
        <v>0.0</v>
      </c>
      <c r="M1515" t="n">
        <v>0.0</v>
      </c>
      <c r="N1515" t="inlineStr">
        <is>
          <t/>
        </is>
      </c>
      <c r="O1515" t="n">
        <v>0.0</v>
      </c>
      <c r="P1515" t="n">
        <v>0.0</v>
      </c>
      <c r="Q1515" t="inlineStr">
        <is>
          <t/>
        </is>
      </c>
      <c r="R1515" t="inlineStr">
        <is>
          <t/>
        </is>
      </c>
      <c r="S1515" t="n">
        <v>0.0</v>
      </c>
      <c r="T1515" t="n">
        <v>0.0</v>
      </c>
      <c r="U1515" t="n">
        <v>0.0</v>
      </c>
      <c r="V1515" t="n">
        <v>0.0</v>
      </c>
      <c r="W1515" t="inlineStr">
        <is>
          <t/>
        </is>
      </c>
      <c r="X1515" t="n">
        <v>0.0</v>
      </c>
      <c r="Y1515" t="n">
        <v>0.0</v>
      </c>
      <c r="Z1515" t="n">
        <v>0.0</v>
      </c>
      <c r="AA1515" t="n">
        <v>0.0</v>
      </c>
      <c r="AB1515" t="n">
        <v>0.0</v>
      </c>
      <c r="AC1515" t="n">
        <v>0.0</v>
      </c>
      <c r="AD1515" t="n">
        <v>0.0</v>
      </c>
      <c r="AE1515" t="n">
        <v>0.0</v>
      </c>
      <c r="AF1515" t="n">
        <v>0.0</v>
      </c>
      <c r="AG1515" t="n">
        <v>0.0</v>
      </c>
      <c r="AH1515" t="n">
        <v>0.0</v>
      </c>
      <c r="AI1515" t="n">
        <v>0.0</v>
      </c>
      <c r="AJ1515" t="n">
        <v>0.0</v>
      </c>
      <c r="AK1515" t="inlineStr">
        <is>
          <t/>
        </is>
      </c>
      <c r="AL1515" t="inlineStr">
        <is>
          <t/>
        </is>
      </c>
    </row>
    <row r="1516">
      <c r="A1516" t="inlineStr">
        <is>
          <t>爸妈还是低估了100多块的购买力，够吃一周</t>
        </is>
      </c>
      <c r="B1516" t="inlineStr">
        <is>
          <t>69d367310000000023025410</t>
        </is>
      </c>
      <c r="C1516" s="1515" t="n">
        <f>HYPERLINK("https://www.xiaohongshu.com/explore/69d367310000000023025410?xsec_token=TBhEDzysvLbwbBD8CIa_-jseWCRTcwsOpQiEjsSx69kQ4=&amp;xsec_source=pc_trdark","https://www.xiaohongshu.com/explore/69d367310000000023025410?xsec_token=TBhEDzysvLbwbBD8CIa_-jseWCRTcwsOpQiEjsSx69kQ4=&amp;xsec_source=pc_trdark")</f>
        <v>0.0</v>
      </c>
      <c r="D1516" t="inlineStr">
        <is>
          <t>鲜水湾甄选</t>
        </is>
      </c>
      <c r="E1516" t="inlineStr">
        <is>
          <t>27401929161</t>
        </is>
      </c>
      <c r="F1516" t="inlineStr">
        <is>
          <t>2026-04-06 15:56:33</t>
        </is>
      </c>
      <c r="G1516" t="inlineStr">
        <is>
          <t>图文</t>
        </is>
      </c>
      <c r="H1516" t="inlineStr">
        <is>
          <t>手剥虾仁 无冰衣无添加 低脂餐一人食 上班带饭 顺丰包邮 5盒装</t>
        </is>
      </c>
      <c r="I1516" t="inlineStr">
        <is>
          <t>694baba01d450d00013662f0</t>
        </is>
      </c>
      <c r="J1516" t="inlineStr">
        <is>
          <t/>
        </is>
      </c>
      <c r="K1516" t="n">
        <v>0.0</v>
      </c>
      <c r="L1516" t="n">
        <v>0.0</v>
      </c>
      <c r="M1516" t="n">
        <v>0.0</v>
      </c>
      <c r="N1516" t="inlineStr">
        <is>
          <t/>
        </is>
      </c>
      <c r="O1516" t="n">
        <v>0.0</v>
      </c>
      <c r="P1516" t="n">
        <v>0.0</v>
      </c>
      <c r="Q1516" t="inlineStr">
        <is>
          <t/>
        </is>
      </c>
      <c r="R1516" t="inlineStr">
        <is>
          <t/>
        </is>
      </c>
      <c r="S1516" t="n">
        <v>0.0</v>
      </c>
      <c r="T1516" t="n">
        <v>0.0</v>
      </c>
      <c r="U1516" t="n">
        <v>0.0</v>
      </c>
      <c r="V1516" t="n">
        <v>0.0</v>
      </c>
      <c r="W1516" t="inlineStr">
        <is>
          <t/>
        </is>
      </c>
      <c r="X1516" t="n">
        <v>0.0</v>
      </c>
      <c r="Y1516" t="n">
        <v>0.0</v>
      </c>
      <c r="Z1516" t="n">
        <v>0.0</v>
      </c>
      <c r="AA1516" t="n">
        <v>0.0</v>
      </c>
      <c r="AB1516" t="n">
        <v>0.0</v>
      </c>
      <c r="AC1516" t="n">
        <v>0.0</v>
      </c>
      <c r="AD1516" t="n">
        <v>0.0</v>
      </c>
      <c r="AE1516" t="n">
        <v>0.0</v>
      </c>
      <c r="AF1516" t="n">
        <v>0.0</v>
      </c>
      <c r="AG1516" t="n">
        <v>0.0</v>
      </c>
      <c r="AH1516" t="n">
        <v>0.0</v>
      </c>
      <c r="AI1516" t="n">
        <v>0.0</v>
      </c>
      <c r="AJ1516" t="n">
        <v>0.0</v>
      </c>
      <c r="AK1516" t="inlineStr">
        <is>
          <t/>
        </is>
      </c>
      <c r="AL1516" t="inlineStr">
        <is>
          <t/>
        </is>
      </c>
    </row>
    <row r="1517">
      <c r="A1517" t="inlineStr">
        <is>
          <t>奉劝大家不要低估69块的购买力，够吃一周</t>
        </is>
      </c>
      <c r="B1517" t="inlineStr">
        <is>
          <t>69d35c51000000001a034bf6</t>
        </is>
      </c>
      <c r="C1517" s="1516" t="n">
        <f>HYPERLINK("https://www.xiaohongshu.com/explore/69d35c51000000001a034bf6?xsec_token=TBhEDzysvLbwbBD8CIa_-jsc74X85K_WB3vCopyjpnS6g=&amp;xsec_source=pc_trdark","https://www.xiaohongshu.com/explore/69d35c51000000001a034bf6?xsec_token=TBhEDzysvLbwbBD8CIa_-jsc74X85K_WB3vCopyjpnS6g=&amp;xsec_source=pc_trdark")</f>
        <v>0.0</v>
      </c>
      <c r="D1517" t="inlineStr">
        <is>
          <t>婉婉上班吃什么</t>
        </is>
      </c>
      <c r="E1517" t="inlineStr">
        <is>
          <t>11434449706</t>
        </is>
      </c>
      <c r="F1517" t="inlineStr">
        <is>
          <t>2026-04-06 15:10:09</t>
        </is>
      </c>
      <c r="G1517" t="inlineStr">
        <is>
          <t>图文</t>
        </is>
      </c>
      <c r="H1517" t="inlineStr">
        <is>
          <t>手剥虾仁 无冰衣无添加 低脂餐一人食 上班带饭 顺丰包邮 5盒装</t>
        </is>
      </c>
      <c r="I1517" t="inlineStr">
        <is>
          <t>694baba01d450d00013662f0</t>
        </is>
      </c>
      <c r="J1517" t="inlineStr">
        <is>
          <t/>
        </is>
      </c>
      <c r="K1517" t="n">
        <v>0.0</v>
      </c>
      <c r="L1517" t="n">
        <v>0.0</v>
      </c>
      <c r="M1517" t="n">
        <v>0.0</v>
      </c>
      <c r="N1517" t="inlineStr">
        <is>
          <t/>
        </is>
      </c>
      <c r="O1517" t="n">
        <v>0.0</v>
      </c>
      <c r="P1517" t="n">
        <v>0.0</v>
      </c>
      <c r="Q1517" t="inlineStr">
        <is>
          <t/>
        </is>
      </c>
      <c r="R1517" t="inlineStr">
        <is>
          <t/>
        </is>
      </c>
      <c r="S1517" t="n">
        <v>0.0</v>
      </c>
      <c r="T1517" t="n">
        <v>0.0</v>
      </c>
      <c r="U1517" t="n">
        <v>0.0</v>
      </c>
      <c r="V1517" t="n">
        <v>0.0</v>
      </c>
      <c r="W1517" t="inlineStr">
        <is>
          <t/>
        </is>
      </c>
      <c r="X1517" t="n">
        <v>0.0</v>
      </c>
      <c r="Y1517" t="n">
        <v>0.0</v>
      </c>
      <c r="Z1517" t="n">
        <v>0.0</v>
      </c>
      <c r="AA1517" t="n">
        <v>0.0</v>
      </c>
      <c r="AB1517" t="n">
        <v>0.0</v>
      </c>
      <c r="AC1517" t="n">
        <v>0.0</v>
      </c>
      <c r="AD1517" t="n">
        <v>0.0</v>
      </c>
      <c r="AE1517" t="n">
        <v>0.0</v>
      </c>
      <c r="AF1517" t="n">
        <v>0.0</v>
      </c>
      <c r="AG1517" t="n">
        <v>0.0</v>
      </c>
      <c r="AH1517" t="n">
        <v>0.0</v>
      </c>
      <c r="AI1517" t="n">
        <v>0.0</v>
      </c>
      <c r="AJ1517" t="n">
        <v>0.0</v>
      </c>
      <c r="AK1517" t="inlineStr">
        <is>
          <t/>
        </is>
      </c>
      <c r="AL1517" t="inlineStr">
        <is>
          <t/>
        </is>
      </c>
    </row>
    <row r="1518">
      <c r="A1518" t="inlineStr">
        <is>
          <t>脱脂牛马控体，还是得靠虾来解救！</t>
        </is>
      </c>
      <c r="B1518" t="inlineStr">
        <is>
          <t>69d358f7000000001f000296</t>
        </is>
      </c>
      <c r="C1518" s="1517" t="n">
        <f>HYPERLINK("https://www.xiaohongshu.com/explore/69d358f7000000001f000296?xsec_token=TBhEDzysvLbwbBD8CIa_-jsSDF3dEZB1GQZWarlHFH2VQ=&amp;xsec_source=pc_trdark","https://www.xiaohongshu.com/explore/69d358f7000000001f000296?xsec_token=TBhEDzysvLbwbBD8CIa_-jsSDF3dEZB1GQZWarlHFH2VQ=&amp;xsec_source=pc_trdark")</f>
        <v>0.0</v>
      </c>
      <c r="D1518" t="inlineStr">
        <is>
          <t>菲菲上班吃什么</t>
        </is>
      </c>
      <c r="E1518" t="inlineStr">
        <is>
          <t>49936530607</t>
        </is>
      </c>
      <c r="F1518" t="inlineStr">
        <is>
          <t>2026-04-06 14:55:51</t>
        </is>
      </c>
      <c r="G1518" t="inlineStr">
        <is>
          <t>图文</t>
        </is>
      </c>
      <c r="H1518" t="inlineStr">
        <is>
          <t>手剥虾仁 无冰衣无添加 低脂餐一人食 上班带饭 顺丰包邮 5盒装</t>
        </is>
      </c>
      <c r="I1518" t="inlineStr">
        <is>
          <t>694baba01d450d00013662f0</t>
        </is>
      </c>
      <c r="J1518" t="inlineStr">
        <is>
          <t/>
        </is>
      </c>
      <c r="K1518" t="n">
        <v>0.0</v>
      </c>
      <c r="L1518" t="n">
        <v>0.0</v>
      </c>
      <c r="M1518" t="n">
        <v>0.0</v>
      </c>
      <c r="N1518" t="inlineStr">
        <is>
          <t/>
        </is>
      </c>
      <c r="O1518" t="n">
        <v>0.0</v>
      </c>
      <c r="P1518" t="n">
        <v>0.0</v>
      </c>
      <c r="Q1518" t="inlineStr">
        <is>
          <t/>
        </is>
      </c>
      <c r="R1518" t="inlineStr">
        <is>
          <t/>
        </is>
      </c>
      <c r="S1518" t="n">
        <v>0.0</v>
      </c>
      <c r="T1518" t="n">
        <v>0.0</v>
      </c>
      <c r="U1518" t="n">
        <v>0.0</v>
      </c>
      <c r="V1518" t="n">
        <v>0.0</v>
      </c>
      <c r="W1518" t="inlineStr">
        <is>
          <t/>
        </is>
      </c>
      <c r="X1518" t="n">
        <v>0.0</v>
      </c>
      <c r="Y1518" t="n">
        <v>0.0</v>
      </c>
      <c r="Z1518" t="n">
        <v>0.0</v>
      </c>
      <c r="AA1518" t="n">
        <v>0.0</v>
      </c>
      <c r="AB1518" t="n">
        <v>0.0</v>
      </c>
      <c r="AC1518" t="n">
        <v>0.0</v>
      </c>
      <c r="AD1518" t="n">
        <v>0.0</v>
      </c>
      <c r="AE1518" t="n">
        <v>0.0</v>
      </c>
      <c r="AF1518" t="n">
        <v>0.0</v>
      </c>
      <c r="AG1518" t="n">
        <v>0.0</v>
      </c>
      <c r="AH1518" t="n">
        <v>0.0</v>
      </c>
      <c r="AI1518" t="n">
        <v>0.0</v>
      </c>
      <c r="AJ1518" t="n">
        <v>0.0</v>
      </c>
      <c r="AK1518" t="inlineStr">
        <is>
          <t/>
        </is>
      </c>
      <c r="AL1518" t="inlineStr">
        <is>
          <t/>
        </is>
      </c>
    </row>
    <row r="1519">
      <c r="A1519" t="inlineStr">
        <is>
          <t>脱脂牛马的工作餐，终于又一次100斤了</t>
        </is>
      </c>
      <c r="B1519" t="inlineStr">
        <is>
          <t>69d357b80000000022027ad8</t>
        </is>
      </c>
      <c r="C1519" s="1518" t="n">
        <f>HYPERLINK("https://www.xiaohongshu.com/explore/69d357b80000000022027ad8?xsec_token=TBhEDzysvLbwbBD8CIa_-jsQLs7WYqV5oZ0SqwtSVlqWo=&amp;xsec_source=pc_trdark","https://www.xiaohongshu.com/explore/69d357b80000000022027ad8?xsec_token=TBhEDzysvLbwbBD8CIa_-jsQLs7WYqV5oZ0SqwtSVlqWo=&amp;xsec_source=pc_trdark")</f>
        <v>0.0</v>
      </c>
      <c r="D1519" t="inlineStr">
        <is>
          <t>婉婉上班吃什么</t>
        </is>
      </c>
      <c r="E1519" t="inlineStr">
        <is>
          <t>11434449706</t>
        </is>
      </c>
      <c r="F1519" t="inlineStr">
        <is>
          <t>2026-04-06 14:50:32</t>
        </is>
      </c>
      <c r="G1519" t="inlineStr">
        <is>
          <t>图文</t>
        </is>
      </c>
      <c r="H1519" t="inlineStr">
        <is>
          <t>手剥虾仁 无冰衣无添加 低脂餐一人食 上班带饭 顺丰包邮 5盒装</t>
        </is>
      </c>
      <c r="I1519" t="inlineStr">
        <is>
          <t>694baba01d450d00013662f0</t>
        </is>
      </c>
      <c r="J1519" t="inlineStr">
        <is>
          <t/>
        </is>
      </c>
      <c r="K1519" t="n">
        <v>0.0</v>
      </c>
      <c r="L1519" t="n">
        <v>0.0</v>
      </c>
      <c r="M1519" t="n">
        <v>0.0</v>
      </c>
      <c r="N1519" t="inlineStr">
        <is>
          <t/>
        </is>
      </c>
      <c r="O1519" t="n">
        <v>0.0</v>
      </c>
      <c r="P1519" t="n">
        <v>0.0</v>
      </c>
      <c r="Q1519" t="inlineStr">
        <is>
          <t/>
        </is>
      </c>
      <c r="R1519" t="inlineStr">
        <is>
          <t/>
        </is>
      </c>
      <c r="S1519" t="n">
        <v>0.0</v>
      </c>
      <c r="T1519" t="n">
        <v>0.0</v>
      </c>
      <c r="U1519" t="n">
        <v>0.0</v>
      </c>
      <c r="V1519" t="n">
        <v>0.0</v>
      </c>
      <c r="W1519" t="inlineStr">
        <is>
          <t/>
        </is>
      </c>
      <c r="X1519" t="n">
        <v>0.0</v>
      </c>
      <c r="Y1519" t="n">
        <v>0.0</v>
      </c>
      <c r="Z1519" t="n">
        <v>0.0</v>
      </c>
      <c r="AA1519" t="n">
        <v>0.0</v>
      </c>
      <c r="AB1519" t="n">
        <v>0.0</v>
      </c>
      <c r="AC1519" t="n">
        <v>0.0</v>
      </c>
      <c r="AD1519" t="n">
        <v>0.0</v>
      </c>
      <c r="AE1519" t="n">
        <v>0.0</v>
      </c>
      <c r="AF1519" t="n">
        <v>0.0</v>
      </c>
      <c r="AG1519" t="n">
        <v>0.0</v>
      </c>
      <c r="AH1519" t="n">
        <v>0.0</v>
      </c>
      <c r="AI1519" t="n">
        <v>0.0</v>
      </c>
      <c r="AJ1519" t="n">
        <v>0.0</v>
      </c>
      <c r="AK1519" t="inlineStr">
        <is>
          <t/>
        </is>
      </c>
      <c r="AL1519" t="inlineStr">
        <is>
          <t/>
        </is>
      </c>
    </row>
    <row r="1520">
      <c r="A1520" t="inlineStr">
        <is>
          <t>一口沦陷，我的本命低卡主食</t>
        </is>
      </c>
      <c r="B1520" t="inlineStr">
        <is>
          <t>69d345da000000001f00581a</t>
        </is>
      </c>
      <c r="C1520" s="1519" t="n">
        <f>HYPERLINK("https://www.xiaohongshu.com/explore/69d345da000000001f00581a?xsec_token=TBhEDzysvLbwbBD8CIa_-jsaRhUZZqmCkd0gfoiEgTiqQ=&amp;xsec_source=pc_trdark","https://www.xiaohongshu.com/explore/69d345da000000001f00581a?xsec_token=TBhEDzysvLbwbBD8CIa_-jsaRhUZZqmCkd0gfoiEgTiqQ=&amp;xsec_source=pc_trdark")</f>
        <v>0.0</v>
      </c>
      <c r="D1520" t="inlineStr">
        <is>
          <t>菲菲上班吃什么</t>
        </is>
      </c>
      <c r="E1520" t="inlineStr">
        <is>
          <t>49936530607</t>
        </is>
      </c>
      <c r="F1520" t="inlineStr">
        <is>
          <t>2026-04-06 13:34:18</t>
        </is>
      </c>
      <c r="G1520" t="inlineStr">
        <is>
          <t>图文</t>
        </is>
      </c>
      <c r="H1520" t="inlineStr">
        <is>
          <t>手剥虾仁 无冰衣无添加 低脂餐一人食 上班带饭 顺丰包邮 5盒装</t>
        </is>
      </c>
      <c r="I1520" t="inlineStr">
        <is>
          <t>694baba01d450d00013662f0</t>
        </is>
      </c>
      <c r="J1520" t="inlineStr">
        <is>
          <t/>
        </is>
      </c>
      <c r="K1520" t="n">
        <v>0.0</v>
      </c>
      <c r="L1520" t="n">
        <v>0.0</v>
      </c>
      <c r="M1520" t="n">
        <v>0.0</v>
      </c>
      <c r="N1520" t="inlineStr">
        <is>
          <t/>
        </is>
      </c>
      <c r="O1520" t="n">
        <v>0.0</v>
      </c>
      <c r="P1520" t="n">
        <v>0.0</v>
      </c>
      <c r="Q1520" t="inlineStr">
        <is>
          <t/>
        </is>
      </c>
      <c r="R1520" t="inlineStr">
        <is>
          <t/>
        </is>
      </c>
      <c r="S1520" t="n">
        <v>0.0</v>
      </c>
      <c r="T1520" t="n">
        <v>0.0</v>
      </c>
      <c r="U1520" t="n">
        <v>0.0</v>
      </c>
      <c r="V1520" t="n">
        <v>0.0</v>
      </c>
      <c r="W1520" t="inlineStr">
        <is>
          <t/>
        </is>
      </c>
      <c r="X1520" t="n">
        <v>0.0</v>
      </c>
      <c r="Y1520" t="n">
        <v>0.0</v>
      </c>
      <c r="Z1520" t="n">
        <v>0.0</v>
      </c>
      <c r="AA1520" t="n">
        <v>0.0</v>
      </c>
      <c r="AB1520" t="n">
        <v>0.0</v>
      </c>
      <c r="AC1520" t="n">
        <v>0.0</v>
      </c>
      <c r="AD1520" t="n">
        <v>0.0</v>
      </c>
      <c r="AE1520" t="n">
        <v>0.0</v>
      </c>
      <c r="AF1520" t="n">
        <v>0.0</v>
      </c>
      <c r="AG1520" t="n">
        <v>0.0</v>
      </c>
      <c r="AH1520" t="n">
        <v>0.0</v>
      </c>
      <c r="AI1520" t="n">
        <v>0.0</v>
      </c>
      <c r="AJ1520" t="n">
        <v>0.0</v>
      </c>
      <c r="AK1520" t="inlineStr">
        <is>
          <t/>
        </is>
      </c>
      <c r="AL1520" t="inlineStr">
        <is>
          <t/>
        </is>
      </c>
    </row>
    <row r="1521">
      <c r="A1521" t="inlineStr">
        <is>
          <t>以为300没多少，结果把整条鱼发来了</t>
        </is>
      </c>
      <c r="B1521" t="inlineStr">
        <is>
          <t>69d26192000000001e00db36</t>
        </is>
      </c>
      <c r="C1521" s="1520" t="n">
        <f>HYPERLINK("https://www.xiaohongshu.com/explore/69d26192000000001e00db36?xsec_token=TBNrOxL8mRPP3W5KJU-iYJrxqhPVOxvlmFv0jJg7Dtks8=&amp;xsec_source=pc_trdark","https://www.xiaohongshu.com/explore/69d26192000000001e00db36?xsec_token=TBNrOxL8mRPP3W5KJU-iYJrxqhPVOxvlmFv0jJg7Dtks8=&amp;xsec_source=pc_trdark")</f>
        <v>0.0</v>
      </c>
      <c r="D1521" t="inlineStr">
        <is>
          <t>婉婉上班吃什么</t>
        </is>
      </c>
      <c r="E1521" t="inlineStr">
        <is>
          <t>11434449706</t>
        </is>
      </c>
      <c r="F1521" t="inlineStr">
        <is>
          <t>2026-04-05 21:20:18</t>
        </is>
      </c>
      <c r="G1521" t="inlineStr">
        <is>
          <t>图文</t>
        </is>
      </c>
      <c r="H1521" t="inlineStr">
        <is>
          <t>智利三文鱼切块·整条三文鱼·深海鱼一人食健康饮食</t>
        </is>
      </c>
      <c r="I1521" t="inlineStr">
        <is>
          <t>691ac562a524ee0001b51d7b</t>
        </is>
      </c>
      <c r="J1521" t="inlineStr">
        <is>
          <t/>
        </is>
      </c>
      <c r="K1521" t="n">
        <v>0.0</v>
      </c>
      <c r="L1521" t="n">
        <v>0.0</v>
      </c>
      <c r="M1521" t="n">
        <v>0.0</v>
      </c>
      <c r="N1521" t="inlineStr">
        <is>
          <t/>
        </is>
      </c>
      <c r="O1521" t="n">
        <v>0.0</v>
      </c>
      <c r="P1521" t="n">
        <v>0.0</v>
      </c>
      <c r="Q1521" t="inlineStr">
        <is>
          <t/>
        </is>
      </c>
      <c r="R1521" t="inlineStr">
        <is>
          <t/>
        </is>
      </c>
      <c r="S1521" t="n">
        <v>0.0</v>
      </c>
      <c r="T1521" t="n">
        <v>0.0</v>
      </c>
      <c r="U1521" t="n">
        <v>0.0</v>
      </c>
      <c r="V1521" t="n">
        <v>0.0</v>
      </c>
      <c r="W1521" t="inlineStr">
        <is>
          <t/>
        </is>
      </c>
      <c r="X1521" t="n">
        <v>0.0</v>
      </c>
      <c r="Y1521" t="n">
        <v>0.0</v>
      </c>
      <c r="Z1521" t="n">
        <v>0.0</v>
      </c>
      <c r="AA1521" t="n">
        <v>0.0</v>
      </c>
      <c r="AB1521" t="n">
        <v>0.0</v>
      </c>
      <c r="AC1521" t="n">
        <v>0.0</v>
      </c>
      <c r="AD1521" t="n">
        <v>0.0</v>
      </c>
      <c r="AE1521" t="n">
        <v>0.0</v>
      </c>
      <c r="AF1521" t="n">
        <v>0.0</v>
      </c>
      <c r="AG1521" t="n">
        <v>0.0</v>
      </c>
      <c r="AH1521" t="n">
        <v>0.0</v>
      </c>
      <c r="AI1521" t="n">
        <v>0.0</v>
      </c>
      <c r="AJ1521" t="n">
        <v>0.0</v>
      </c>
      <c r="AK1521" t="inlineStr">
        <is>
          <t/>
        </is>
      </c>
      <c r="AL1521" t="inlineStr">
        <is>
          <t/>
        </is>
      </c>
    </row>
    <row r="1522">
      <c r="A1522" t="inlineStr">
        <is>
          <t>在小红书买了整条三文鱼</t>
        </is>
      </c>
      <c r="B1522" t="inlineStr">
        <is>
          <t>69d2392e00000000220276c0</t>
        </is>
      </c>
      <c r="C1522" s="1521" t="n">
        <f>HYPERLINK("https://www.xiaohongshu.com/explore/69d2392e00000000220276c0?xsec_token=TBNrOxL8mRPP3W5KJU-iYJryW_DHRw4A7On6qdHUJTwYE=&amp;xsec_source=pc_trdark","https://www.xiaohongshu.com/explore/69d2392e00000000220276c0?xsec_token=TBNrOxL8mRPP3W5KJU-iYJryW_DHRw4A7On6qdHUJTwYE=&amp;xsec_source=pc_trdark")</f>
        <v>0.0</v>
      </c>
      <c r="D1522" t="inlineStr">
        <is>
          <t>菲菲上班吃什么</t>
        </is>
      </c>
      <c r="E1522" t="inlineStr">
        <is>
          <t>49936530607</t>
        </is>
      </c>
      <c r="F1522" t="inlineStr">
        <is>
          <t>2026-04-05 18:27:58</t>
        </is>
      </c>
      <c r="G1522" t="inlineStr">
        <is>
          <t>图文</t>
        </is>
      </c>
      <c r="H1522" t="inlineStr">
        <is>
          <t>智利三文鱼切块·整条三文鱼·深海鱼一人食健康饮食</t>
        </is>
      </c>
      <c r="I1522" t="inlineStr">
        <is>
          <t>691ac562a524ee0001b51d7b</t>
        </is>
      </c>
      <c r="J1522" t="inlineStr">
        <is>
          <t/>
        </is>
      </c>
      <c r="K1522" t="n">
        <v>0.0</v>
      </c>
      <c r="L1522" t="n">
        <v>0.0</v>
      </c>
      <c r="M1522" t="n">
        <v>0.0</v>
      </c>
      <c r="N1522" t="inlineStr">
        <is>
          <t/>
        </is>
      </c>
      <c r="O1522" t="n">
        <v>0.0</v>
      </c>
      <c r="P1522" t="n">
        <v>0.0</v>
      </c>
      <c r="Q1522" t="inlineStr">
        <is>
          <t/>
        </is>
      </c>
      <c r="R1522" t="inlineStr">
        <is>
          <t/>
        </is>
      </c>
      <c r="S1522" t="n">
        <v>0.0</v>
      </c>
      <c r="T1522" t="n">
        <v>0.0</v>
      </c>
      <c r="U1522" t="n">
        <v>0.0</v>
      </c>
      <c r="V1522" t="n">
        <v>0.0</v>
      </c>
      <c r="W1522" t="inlineStr">
        <is>
          <t/>
        </is>
      </c>
      <c r="X1522" t="n">
        <v>0.0</v>
      </c>
      <c r="Y1522" t="n">
        <v>0.0</v>
      </c>
      <c r="Z1522" t="n">
        <v>0.0</v>
      </c>
      <c r="AA1522" t="n">
        <v>0.0</v>
      </c>
      <c r="AB1522" t="n">
        <v>0.0</v>
      </c>
      <c r="AC1522" t="n">
        <v>0.0</v>
      </c>
      <c r="AD1522" t="n">
        <v>0.0</v>
      </c>
      <c r="AE1522" t="n">
        <v>0.0</v>
      </c>
      <c r="AF1522" t="n">
        <v>0.0</v>
      </c>
      <c r="AG1522" t="n">
        <v>0.0</v>
      </c>
      <c r="AH1522" t="n">
        <v>0.0</v>
      </c>
      <c r="AI1522" t="n">
        <v>0.0</v>
      </c>
      <c r="AJ1522" t="n">
        <v>0.0</v>
      </c>
      <c r="AK1522" t="inlineStr">
        <is>
          <t/>
        </is>
      </c>
      <c r="AL1522" t="inlineStr">
        <is>
          <t/>
        </is>
      </c>
    </row>
    <row r="1523">
      <c r="A1523" t="inlineStr">
        <is>
          <t>给不健身的姐妹一点点震撼</t>
        </is>
      </c>
      <c r="B1523" t="inlineStr">
        <is>
          <t>69d20edf000000001d01f258</t>
        </is>
      </c>
      <c r="C1523" s="1522" t="n">
        <f>HYPERLINK("https://www.xiaohongshu.com/explore/69d20edf000000001d01f258?xsec_token=TBNrOxL8mRPP3W5KJU-iYJrw72S-fCvNjmJE5oBgpEeO8=&amp;xsec_source=pc_trdark","https://www.xiaohongshu.com/explore/69d20edf000000001d01f258?xsec_token=TBNrOxL8mRPP3W5KJU-iYJrw72S-fCvNjmJE5oBgpEeO8=&amp;xsec_source=pc_trdark")</f>
        <v>0.0</v>
      </c>
      <c r="D1523" t="inlineStr">
        <is>
          <t>鲜水湾甄选</t>
        </is>
      </c>
      <c r="E1523" t="inlineStr">
        <is>
          <t>27401929161</t>
        </is>
      </c>
      <c r="F1523" t="inlineStr">
        <is>
          <t>2026-04-05 15:27:27</t>
        </is>
      </c>
      <c r="G1523" t="inlineStr">
        <is>
          <t>图文</t>
        </is>
      </c>
      <c r="H1523" t="inlineStr">
        <is>
          <t>手剥虾仁 无冰衣无添加 低脂餐一人食 上班带饭 顺丰包邮 5盒装</t>
        </is>
      </c>
      <c r="I1523" t="inlineStr">
        <is>
          <t>694baba01d450d00013662f0</t>
        </is>
      </c>
      <c r="J1523" t="inlineStr">
        <is>
          <t/>
        </is>
      </c>
      <c r="K1523" t="n">
        <v>0.0</v>
      </c>
      <c r="L1523" t="n">
        <v>0.0</v>
      </c>
      <c r="M1523" t="n">
        <v>0.0</v>
      </c>
      <c r="N1523" t="inlineStr">
        <is>
          <t/>
        </is>
      </c>
      <c r="O1523" t="n">
        <v>0.0</v>
      </c>
      <c r="P1523" t="n">
        <v>0.0</v>
      </c>
      <c r="Q1523" t="inlineStr">
        <is>
          <t/>
        </is>
      </c>
      <c r="R1523" t="inlineStr">
        <is>
          <t/>
        </is>
      </c>
      <c r="S1523" t="n">
        <v>0.0</v>
      </c>
      <c r="T1523" t="n">
        <v>0.0</v>
      </c>
      <c r="U1523" t="n">
        <v>0.0</v>
      </c>
      <c r="V1523" t="n">
        <v>0.0</v>
      </c>
      <c r="W1523" t="inlineStr">
        <is>
          <t/>
        </is>
      </c>
      <c r="X1523" t="n">
        <v>0.0</v>
      </c>
      <c r="Y1523" t="n">
        <v>0.0</v>
      </c>
      <c r="Z1523" t="n">
        <v>0.0</v>
      </c>
      <c r="AA1523" t="n">
        <v>0.0</v>
      </c>
      <c r="AB1523" t="n">
        <v>0.0</v>
      </c>
      <c r="AC1523" t="n">
        <v>0.0</v>
      </c>
      <c r="AD1523" t="n">
        <v>0.0</v>
      </c>
      <c r="AE1523" t="n">
        <v>0.0</v>
      </c>
      <c r="AF1523" t="n">
        <v>0.0</v>
      </c>
      <c r="AG1523" t="n">
        <v>0.0</v>
      </c>
      <c r="AH1523" t="n">
        <v>0.0</v>
      </c>
      <c r="AI1523" t="n">
        <v>0.0</v>
      </c>
      <c r="AJ1523" t="n">
        <v>0.0</v>
      </c>
      <c r="AK1523" t="inlineStr">
        <is>
          <t/>
        </is>
      </c>
      <c r="AL1523" t="inlineStr">
        <is>
          <t/>
        </is>
      </c>
    </row>
    <row r="1524">
      <c r="A1524" t="inlineStr">
        <is>
          <t>劝所有减脂人：别在超市原价买虾了</t>
        </is>
      </c>
      <c r="B1524" t="inlineStr">
        <is>
          <t>69d20194000000002202919a</t>
        </is>
      </c>
      <c r="C1524" s="1523" t="n">
        <f>HYPERLINK("https://www.xiaohongshu.com/explore/69d20194000000002202919a?xsec_token=TBNrOxL8mRPP3W5KJU-iYJr_wP-Dyn4JwfEYpKDBGhNIA=&amp;xsec_source=pc_trdark","https://www.xiaohongshu.com/explore/69d20194000000002202919a?xsec_token=TBNrOxL8mRPP3W5KJU-iYJr_wP-Dyn4JwfEYpKDBGhNIA=&amp;xsec_source=pc_trdark")</f>
        <v>0.0</v>
      </c>
      <c r="D1524" t="inlineStr">
        <is>
          <t>鲜水湾</t>
        </is>
      </c>
      <c r="E1524" t="inlineStr">
        <is>
          <t>49316638994</t>
        </is>
      </c>
      <c r="F1524" t="inlineStr">
        <is>
          <t>2026-04-05 14:30:44</t>
        </is>
      </c>
      <c r="G1524" t="inlineStr">
        <is>
          <t>图文</t>
        </is>
      </c>
      <c r="H1524" t="inlineStr">
        <is>
          <t>大虾基围虾王牌大虾厄瓜多尔白虾盐冻虾仁海洋大虾送礼顺丰包邮</t>
        </is>
      </c>
      <c r="I1524" t="inlineStr">
        <is>
          <t>690aeb7be379430001e686ac</t>
        </is>
      </c>
      <c r="J1524" t="inlineStr">
        <is>
          <t/>
        </is>
      </c>
      <c r="K1524" t="n">
        <v>0.0</v>
      </c>
      <c r="L1524" t="n">
        <v>0.0</v>
      </c>
      <c r="M1524" t="n">
        <v>0.0</v>
      </c>
      <c r="N1524" t="inlineStr">
        <is>
          <t/>
        </is>
      </c>
      <c r="O1524" t="n">
        <v>0.0</v>
      </c>
      <c r="P1524" t="n">
        <v>0.0</v>
      </c>
      <c r="Q1524" t="inlineStr">
        <is>
          <t/>
        </is>
      </c>
      <c r="R1524" t="inlineStr">
        <is>
          <t/>
        </is>
      </c>
      <c r="S1524" t="n">
        <v>0.0</v>
      </c>
      <c r="T1524" t="n">
        <v>0.0</v>
      </c>
      <c r="U1524" t="n">
        <v>0.0</v>
      </c>
      <c r="V1524" t="n">
        <v>0.0</v>
      </c>
      <c r="W1524" t="inlineStr">
        <is>
          <t/>
        </is>
      </c>
      <c r="X1524" t="n">
        <v>0.0</v>
      </c>
      <c r="Y1524" t="n">
        <v>0.0</v>
      </c>
      <c r="Z1524" t="n">
        <v>0.0</v>
      </c>
      <c r="AA1524" t="n">
        <v>0.0</v>
      </c>
      <c r="AB1524" t="n">
        <v>0.0</v>
      </c>
      <c r="AC1524" t="n">
        <v>0.0</v>
      </c>
      <c r="AD1524" t="n">
        <v>0.0</v>
      </c>
      <c r="AE1524" t="n">
        <v>0.0</v>
      </c>
      <c r="AF1524" t="n">
        <v>0.0</v>
      </c>
      <c r="AG1524" t="n">
        <v>0.0</v>
      </c>
      <c r="AH1524" t="n">
        <v>0.0</v>
      </c>
      <c r="AI1524" t="n">
        <v>0.0</v>
      </c>
      <c r="AJ1524" t="n">
        <v>0.0</v>
      </c>
      <c r="AK1524" t="inlineStr">
        <is>
          <t/>
        </is>
      </c>
      <c r="AL1524" t="inlineStr">
        <is>
          <t/>
        </is>
      </c>
    </row>
    <row r="1525">
      <c r="A1525" t="inlineStr">
        <is>
          <t>我现在开始无比认同父母的消费观</t>
        </is>
      </c>
      <c r="B1525" t="inlineStr">
        <is>
          <t>69d1f45b0000000020039aca</t>
        </is>
      </c>
      <c r="C1525" s="1524" t="n">
        <f>HYPERLINK("https://www.xiaohongshu.com/explore/69d1f45b0000000020039aca?xsec_token=TBT5TAUGV3LcD_GYbSvfENi2Z9VjnyUlAr5gH6Q7fk6W0=&amp;xsec_source=pc_trdark","https://www.xiaohongshu.com/explore/69d1f45b0000000020039aca?xsec_token=TBT5TAUGV3LcD_GYbSvfENi2Z9VjnyUlAr5gH6Q7fk6W0=&amp;xsec_source=pc_trdark")</f>
        <v>0.0</v>
      </c>
      <c r="D1525" t="inlineStr">
        <is>
          <t>婉婉上班吃什么</t>
        </is>
      </c>
      <c r="E1525" t="inlineStr">
        <is>
          <t>11434449706</t>
        </is>
      </c>
      <c r="F1525" t="inlineStr">
        <is>
          <t>2026-04-05 13:34:19</t>
        </is>
      </c>
      <c r="G1525" t="inlineStr">
        <is>
          <t>图文</t>
        </is>
      </c>
      <c r="H1525" t="inlineStr">
        <is>
          <t>手剥虾仁 无冰衣无添加 低脂餐一人食 上班带饭 顺丰包邮 5盒装</t>
        </is>
      </c>
      <c r="I1525" t="inlineStr">
        <is>
          <t>694baba01d450d00013662f0</t>
        </is>
      </c>
      <c r="J1525" t="inlineStr">
        <is>
          <t/>
        </is>
      </c>
      <c r="K1525" t="n">
        <v>0.0</v>
      </c>
      <c r="L1525" t="n">
        <v>0.0</v>
      </c>
      <c r="M1525" t="n">
        <v>0.0</v>
      </c>
      <c r="N1525" t="inlineStr">
        <is>
          <t/>
        </is>
      </c>
      <c r="O1525" t="n">
        <v>0.0</v>
      </c>
      <c r="P1525" t="n">
        <v>0.0</v>
      </c>
      <c r="Q1525" t="inlineStr">
        <is>
          <t/>
        </is>
      </c>
      <c r="R1525" t="inlineStr">
        <is>
          <t/>
        </is>
      </c>
      <c r="S1525" t="n">
        <v>0.0</v>
      </c>
      <c r="T1525" t="n">
        <v>0.0</v>
      </c>
      <c r="U1525" t="n">
        <v>0.0</v>
      </c>
      <c r="V1525" t="n">
        <v>0.0</v>
      </c>
      <c r="W1525" t="inlineStr">
        <is>
          <t/>
        </is>
      </c>
      <c r="X1525" t="n">
        <v>0.0</v>
      </c>
      <c r="Y1525" t="n">
        <v>0.0</v>
      </c>
      <c r="Z1525" t="n">
        <v>0.0</v>
      </c>
      <c r="AA1525" t="n">
        <v>0.0</v>
      </c>
      <c r="AB1525" t="n">
        <v>0.0</v>
      </c>
      <c r="AC1525" t="n">
        <v>0.0</v>
      </c>
      <c r="AD1525" t="n">
        <v>0.0</v>
      </c>
      <c r="AE1525" t="n">
        <v>0.0</v>
      </c>
      <c r="AF1525" t="n">
        <v>0.0</v>
      </c>
      <c r="AG1525" t="n">
        <v>0.0</v>
      </c>
      <c r="AH1525" t="n">
        <v>0.0</v>
      </c>
      <c r="AI1525" t="n">
        <v>0.0</v>
      </c>
      <c r="AJ1525" t="n">
        <v>0.0</v>
      </c>
      <c r="AK1525" t="inlineStr">
        <is>
          <t/>
        </is>
      </c>
      <c r="AL1525" t="inlineStr">
        <is>
          <t/>
        </is>
      </c>
    </row>
    <row r="1526">
      <c r="A1526" t="inlineStr">
        <is>
          <t>区区69，解决了我一周的轻食餐～</t>
        </is>
      </c>
      <c r="B1526" t="inlineStr">
        <is>
          <t>69d132300000000022028994</t>
        </is>
      </c>
      <c r="C1526" s="1525" t="n">
        <f>HYPERLINK("https://www.xiaohongshu.com/explore/69d132300000000022028994?xsec_token=TBT5TAUGV3LcD_GYbSvfENiwqylXzi_vieCmgj-rZSMBY=&amp;xsec_source=pc_trdark","https://www.xiaohongshu.com/explore/69d132300000000022028994?xsec_token=TBT5TAUGV3LcD_GYbSvfENiwqylXzi_vieCmgj-rZSMBY=&amp;xsec_source=pc_trdark")</f>
        <v>0.0</v>
      </c>
      <c r="D1526" t="inlineStr">
        <is>
          <t>婉婉上班吃什么</t>
        </is>
      </c>
      <c r="E1526" t="inlineStr">
        <is>
          <t>11434449706</t>
        </is>
      </c>
      <c r="F1526" t="inlineStr">
        <is>
          <t>2026-04-04 23:45:52</t>
        </is>
      </c>
      <c r="G1526" t="inlineStr">
        <is>
          <t>图文</t>
        </is>
      </c>
      <c r="H1526" t="inlineStr">
        <is>
          <t>手剥虾仁 无冰衣无添加 低脂餐一人食 上班带饭 顺丰包邮 5盒装</t>
        </is>
      </c>
      <c r="I1526" t="inlineStr">
        <is>
          <t>694baba01d450d00013662f0</t>
        </is>
      </c>
      <c r="J1526" t="inlineStr">
        <is>
          <t/>
        </is>
      </c>
      <c r="K1526" t="n">
        <v>0.0</v>
      </c>
      <c r="L1526" t="n">
        <v>0.0</v>
      </c>
      <c r="M1526" t="n">
        <v>0.0</v>
      </c>
      <c r="N1526" t="inlineStr">
        <is>
          <t/>
        </is>
      </c>
      <c r="O1526" t="n">
        <v>0.0</v>
      </c>
      <c r="P1526" t="n">
        <v>0.0</v>
      </c>
      <c r="Q1526" t="inlineStr">
        <is>
          <t/>
        </is>
      </c>
      <c r="R1526" t="inlineStr">
        <is>
          <t/>
        </is>
      </c>
      <c r="S1526" t="n">
        <v>0.0</v>
      </c>
      <c r="T1526" t="n">
        <v>0.0</v>
      </c>
      <c r="U1526" t="n">
        <v>0.0</v>
      </c>
      <c r="V1526" t="n">
        <v>0.0</v>
      </c>
      <c r="W1526" t="inlineStr">
        <is>
          <t/>
        </is>
      </c>
      <c r="X1526" t="n">
        <v>0.0</v>
      </c>
      <c r="Y1526" t="n">
        <v>0.0</v>
      </c>
      <c r="Z1526" t="n">
        <v>0.0</v>
      </c>
      <c r="AA1526" t="n">
        <v>0.0</v>
      </c>
      <c r="AB1526" t="n">
        <v>0.0</v>
      </c>
      <c r="AC1526" t="n">
        <v>0.0</v>
      </c>
      <c r="AD1526" t="n">
        <v>0.0</v>
      </c>
      <c r="AE1526" t="n">
        <v>0.0</v>
      </c>
      <c r="AF1526" t="n">
        <v>0.0</v>
      </c>
      <c r="AG1526" t="n">
        <v>0.0</v>
      </c>
      <c r="AH1526" t="n">
        <v>0.0</v>
      </c>
      <c r="AI1526" t="n">
        <v>0.0</v>
      </c>
      <c r="AJ1526" t="n">
        <v>0.0</v>
      </c>
      <c r="AK1526" t="inlineStr">
        <is>
          <t/>
        </is>
      </c>
      <c r="AL1526" t="inlineStr">
        <is>
          <t/>
        </is>
      </c>
    </row>
    <row r="1527">
      <c r="A1527" t="inlineStr">
        <is>
          <t>减脂人狂喜！建议各位公主提前安排上</t>
        </is>
      </c>
      <c r="B1527" t="inlineStr">
        <is>
          <t>69d12ddc000000001f007e19</t>
        </is>
      </c>
      <c r="C1527" s="1526" t="n">
        <f>HYPERLINK("https://www.xiaohongshu.com/explore/69d12ddc000000001f007e19?xsec_token=TBT5TAUGV3LcD_GYbSvfENi83JmPdqmvBYhaSOBdY4R-Q=&amp;xsec_source=pc_trdark","https://www.xiaohongshu.com/explore/69d12ddc000000001f007e19?xsec_token=TBT5TAUGV3LcD_GYbSvfENi83JmPdqmvBYhaSOBdY4R-Q=&amp;xsec_source=pc_trdark")</f>
        <v>0.0</v>
      </c>
      <c r="D1527" t="inlineStr">
        <is>
          <t>菲菲上班吃什么</t>
        </is>
      </c>
      <c r="E1527" t="inlineStr">
        <is>
          <t>49936530607</t>
        </is>
      </c>
      <c r="F1527" t="inlineStr">
        <is>
          <t>2026-04-04 23:27:24</t>
        </is>
      </c>
      <c r="G1527" t="inlineStr">
        <is>
          <t>图文</t>
        </is>
      </c>
      <c r="H1527" t="inlineStr">
        <is>
          <t>手剥虾仁 无冰衣无添加 低脂餐一人食 上班带饭 顺丰包邮 5盒装</t>
        </is>
      </c>
      <c r="I1527" t="inlineStr">
        <is>
          <t>694baba01d450d00013662f0</t>
        </is>
      </c>
      <c r="J1527" t="inlineStr">
        <is>
          <t/>
        </is>
      </c>
      <c r="K1527" t="n">
        <v>0.0</v>
      </c>
      <c r="L1527" t="n">
        <v>0.0</v>
      </c>
      <c r="M1527" t="n">
        <v>0.0</v>
      </c>
      <c r="N1527" t="inlineStr">
        <is>
          <t/>
        </is>
      </c>
      <c r="O1527" t="n">
        <v>0.0</v>
      </c>
      <c r="P1527" t="n">
        <v>0.0</v>
      </c>
      <c r="Q1527" t="inlineStr">
        <is>
          <t/>
        </is>
      </c>
      <c r="R1527" t="inlineStr">
        <is>
          <t/>
        </is>
      </c>
      <c r="S1527" t="n">
        <v>0.0</v>
      </c>
      <c r="T1527" t="n">
        <v>0.0</v>
      </c>
      <c r="U1527" t="n">
        <v>0.0</v>
      </c>
      <c r="V1527" t="n">
        <v>0.0</v>
      </c>
      <c r="W1527" t="inlineStr">
        <is>
          <t/>
        </is>
      </c>
      <c r="X1527" t="n">
        <v>0.0</v>
      </c>
      <c r="Y1527" t="n">
        <v>0.0</v>
      </c>
      <c r="Z1527" t="n">
        <v>0.0</v>
      </c>
      <c r="AA1527" t="n">
        <v>0.0</v>
      </c>
      <c r="AB1527" t="n">
        <v>0.0</v>
      </c>
      <c r="AC1527" t="n">
        <v>0.0</v>
      </c>
      <c r="AD1527" t="n">
        <v>0.0</v>
      </c>
      <c r="AE1527" t="n">
        <v>0.0</v>
      </c>
      <c r="AF1527" t="n">
        <v>0.0</v>
      </c>
      <c r="AG1527" t="n">
        <v>0.0</v>
      </c>
      <c r="AH1527" t="n">
        <v>0.0</v>
      </c>
      <c r="AI1527" t="n">
        <v>0.0</v>
      </c>
      <c r="AJ1527" t="n">
        <v>0.0</v>
      </c>
      <c r="AK1527" t="inlineStr">
        <is>
          <t/>
        </is>
      </c>
      <c r="AL1527" t="inlineStr">
        <is>
          <t/>
        </is>
      </c>
    </row>
    <row r="1528">
      <c r="A1528" t="inlineStr">
        <is>
          <t>区区69元，承包了我一星期的减脂餐</t>
        </is>
      </c>
      <c r="B1528" t="inlineStr">
        <is>
          <t>69d093450000000023005f63</t>
        </is>
      </c>
      <c r="C1528" s="1527" t="n">
        <f>HYPERLINK("https://www.xiaohongshu.com/explore/69d093450000000023005f63?xsec_token=TBeyEchqibkv4sS2qTvb9mgbykHQJFDvCeNKZ3Y9R7YmA=&amp;xsec_source=pc_trdark","https://www.xiaohongshu.com/explore/69d093450000000023005f63?xsec_token=TBeyEchqibkv4sS2qTvb9mgbykHQJFDvCeNKZ3Y9R7YmA=&amp;xsec_source=pc_trdark")</f>
        <v>0.0</v>
      </c>
      <c r="D1528" t="inlineStr">
        <is>
          <t>菲菲上班吃什么</t>
        </is>
      </c>
      <c r="E1528" t="inlineStr">
        <is>
          <t>49936530607</t>
        </is>
      </c>
      <c r="F1528" t="inlineStr">
        <is>
          <t>2026-04-04 12:27:49</t>
        </is>
      </c>
      <c r="G1528" t="inlineStr">
        <is>
          <t>图文</t>
        </is>
      </c>
      <c r="H1528" t="inlineStr">
        <is>
          <t>手剥虾仁 无冰衣无添加 低脂餐一人食 上班带饭 顺丰包邮 5盒装</t>
        </is>
      </c>
      <c r="I1528" t="inlineStr">
        <is>
          <t>694baba01d450d00013662f0</t>
        </is>
      </c>
      <c r="J1528" t="inlineStr">
        <is>
          <t/>
        </is>
      </c>
      <c r="K1528" t="n">
        <v>0.0</v>
      </c>
      <c r="L1528" t="n">
        <v>0.0</v>
      </c>
      <c r="M1528" t="n">
        <v>0.0</v>
      </c>
      <c r="N1528" t="inlineStr">
        <is>
          <t/>
        </is>
      </c>
      <c r="O1528" t="n">
        <v>0.0</v>
      </c>
      <c r="P1528" t="n">
        <v>0.0</v>
      </c>
      <c r="Q1528" t="inlineStr">
        <is>
          <t/>
        </is>
      </c>
      <c r="R1528" t="inlineStr">
        <is>
          <t/>
        </is>
      </c>
      <c r="S1528" t="n">
        <v>0.0</v>
      </c>
      <c r="T1528" t="n">
        <v>0.0</v>
      </c>
      <c r="U1528" t="n">
        <v>0.0</v>
      </c>
      <c r="V1528" t="n">
        <v>0.0</v>
      </c>
      <c r="W1528" t="inlineStr">
        <is>
          <t/>
        </is>
      </c>
      <c r="X1528" t="n">
        <v>0.0</v>
      </c>
      <c r="Y1528" t="n">
        <v>0.0</v>
      </c>
      <c r="Z1528" t="n">
        <v>0.0</v>
      </c>
      <c r="AA1528" t="n">
        <v>0.0</v>
      </c>
      <c r="AB1528" t="n">
        <v>0.0</v>
      </c>
      <c r="AC1528" t="n">
        <v>0.0</v>
      </c>
      <c r="AD1528" t="n">
        <v>0.0</v>
      </c>
      <c r="AE1528" t="n">
        <v>0.0</v>
      </c>
      <c r="AF1528" t="n">
        <v>0.0</v>
      </c>
      <c r="AG1528" t="n">
        <v>0.0</v>
      </c>
      <c r="AH1528" t="n">
        <v>0.0</v>
      </c>
      <c r="AI1528" t="n">
        <v>0.0</v>
      </c>
      <c r="AJ1528" t="n">
        <v>0.0</v>
      </c>
      <c r="AK1528" t="inlineStr">
        <is>
          <t/>
        </is>
      </c>
      <c r="AL1528" t="inlineStr">
        <is>
          <t/>
        </is>
      </c>
    </row>
    <row r="1529">
      <c r="A1529" t="inlineStr">
        <is>
          <t>脱脂牛马带饭的尽头……</t>
        </is>
      </c>
      <c r="B1529" t="inlineStr">
        <is>
          <t>69cf5e43000000002301e6e7</t>
        </is>
      </c>
      <c r="C1529" s="1528" t="n">
        <f>HYPERLINK("https://www.xiaohongshu.com/explore/69cf5e43000000002301e6e7?xsec_token=TBoE-rkVRcyUvvjX4oFaj2HbNgEJqPnJ-R7OzKa1uvcFw=&amp;xsec_source=pc_trdark","https://www.xiaohongshu.com/explore/69cf5e43000000002301e6e7?xsec_token=TBoE-rkVRcyUvvjX4oFaj2HbNgEJqPnJ-R7OzKa1uvcFw=&amp;xsec_source=pc_trdark")</f>
        <v>0.0</v>
      </c>
      <c r="D1529" t="inlineStr">
        <is>
          <t>菲菲上班吃什么</t>
        </is>
      </c>
      <c r="E1529" t="inlineStr">
        <is>
          <t>49936530607</t>
        </is>
      </c>
      <c r="F1529" t="inlineStr">
        <is>
          <t>2026-04-03 14:29:24</t>
        </is>
      </c>
      <c r="G1529" t="inlineStr">
        <is>
          <t>图文</t>
        </is>
      </c>
      <c r="H1529" t="inlineStr">
        <is>
          <t>手剥虾仁 无冰衣无添加 低脂餐一人食 上班带饭 顺丰包邮 5盒装</t>
        </is>
      </c>
      <c r="I1529" t="inlineStr">
        <is>
          <t>694baba01d450d00013662f0</t>
        </is>
      </c>
      <c r="J1529" t="inlineStr">
        <is>
          <t/>
        </is>
      </c>
      <c r="K1529" t="n">
        <v>0.0</v>
      </c>
      <c r="L1529" t="n">
        <v>0.0</v>
      </c>
      <c r="M1529" t="n">
        <v>0.0</v>
      </c>
      <c r="N1529" t="inlineStr">
        <is>
          <t/>
        </is>
      </c>
      <c r="O1529" t="n">
        <v>0.0</v>
      </c>
      <c r="P1529" t="n">
        <v>0.0</v>
      </c>
      <c r="Q1529" t="inlineStr">
        <is>
          <t/>
        </is>
      </c>
      <c r="R1529" t="inlineStr">
        <is>
          <t/>
        </is>
      </c>
      <c r="S1529" t="n">
        <v>0.0</v>
      </c>
      <c r="T1529" t="n">
        <v>0.0</v>
      </c>
      <c r="U1529" t="n">
        <v>0.0</v>
      </c>
      <c r="V1529" t="n">
        <v>0.0</v>
      </c>
      <c r="W1529" t="inlineStr">
        <is>
          <t/>
        </is>
      </c>
      <c r="X1529" t="n">
        <v>0.0</v>
      </c>
      <c r="Y1529" t="n">
        <v>0.0</v>
      </c>
      <c r="Z1529" t="n">
        <v>0.0</v>
      </c>
      <c r="AA1529" t="n">
        <v>0.0</v>
      </c>
      <c r="AB1529" t="n">
        <v>0.0</v>
      </c>
      <c r="AC1529" t="n">
        <v>0.0</v>
      </c>
      <c r="AD1529" t="n">
        <v>0.0</v>
      </c>
      <c r="AE1529" t="n">
        <v>0.0</v>
      </c>
      <c r="AF1529" t="n">
        <v>0.0</v>
      </c>
      <c r="AG1529" t="n">
        <v>0.0</v>
      </c>
      <c r="AH1529" t="n">
        <v>0.0</v>
      </c>
      <c r="AI1529" t="n">
        <v>0.0</v>
      </c>
      <c r="AJ1529" t="n">
        <v>0.0</v>
      </c>
      <c r="AK1529" t="inlineStr">
        <is>
          <t/>
        </is>
      </c>
      <c r="AL1529" t="inlineStr">
        <is>
          <t/>
        </is>
      </c>
    </row>
    <row r="1530">
      <c r="A1530" t="inlineStr">
        <is>
          <t>自律期主食吃虾仁！开窍了……</t>
        </is>
      </c>
      <c r="B1530" t="inlineStr">
        <is>
          <t>69cf45d2000000001f005706</t>
        </is>
      </c>
      <c r="C1530" s="1529" t="n">
        <f>HYPERLINK("https://www.xiaohongshu.com/explore/69cf45d2000000001f005706?xsec_token=TBoE-rkVRcyUvvjX4oFaj2HfxoOJH_LSfXGgSf60PGJqI=&amp;xsec_source=pc_trdark","https://www.xiaohongshu.com/explore/69cf45d2000000001f005706?xsec_token=TBoE-rkVRcyUvvjX4oFaj2HfxoOJH_LSfXGgSf60PGJqI=&amp;xsec_source=pc_trdark")</f>
        <v>0.0</v>
      </c>
      <c r="D1530" t="inlineStr">
        <is>
          <t>婉婉上班吃什么</t>
        </is>
      </c>
      <c r="E1530" t="inlineStr">
        <is>
          <t>11434449706</t>
        </is>
      </c>
      <c r="F1530" t="inlineStr">
        <is>
          <t>2026-04-03 12:45:06</t>
        </is>
      </c>
      <c r="G1530" t="inlineStr">
        <is>
          <t>图文</t>
        </is>
      </c>
      <c r="H1530" t="inlineStr">
        <is>
          <t>手剥虾仁 无冰衣无添加 低脂餐一人食 上班带饭 顺丰包邮 5盒装</t>
        </is>
      </c>
      <c r="I1530" t="inlineStr">
        <is>
          <t>694baba01d450d00013662f0</t>
        </is>
      </c>
      <c r="J1530" t="inlineStr">
        <is>
          <t/>
        </is>
      </c>
      <c r="K1530" t="n">
        <v>0.0</v>
      </c>
      <c r="L1530" t="n">
        <v>0.0</v>
      </c>
      <c r="M1530" t="n">
        <v>0.0</v>
      </c>
      <c r="N1530" t="inlineStr">
        <is>
          <t/>
        </is>
      </c>
      <c r="O1530" t="n">
        <v>0.0</v>
      </c>
      <c r="P1530" t="n">
        <v>0.0</v>
      </c>
      <c r="Q1530" t="inlineStr">
        <is>
          <t/>
        </is>
      </c>
      <c r="R1530" t="inlineStr">
        <is>
          <t/>
        </is>
      </c>
      <c r="S1530" t="n">
        <v>0.0</v>
      </c>
      <c r="T1530" t="n">
        <v>0.0</v>
      </c>
      <c r="U1530" t="n">
        <v>0.0</v>
      </c>
      <c r="V1530" t="n">
        <v>0.0</v>
      </c>
      <c r="W1530" t="inlineStr">
        <is>
          <t/>
        </is>
      </c>
      <c r="X1530" t="n">
        <v>0.0</v>
      </c>
      <c r="Y1530" t="n">
        <v>0.0</v>
      </c>
      <c r="Z1530" t="n">
        <v>0.0</v>
      </c>
      <c r="AA1530" t="n">
        <v>0.0</v>
      </c>
      <c r="AB1530" t="n">
        <v>0.0</v>
      </c>
      <c r="AC1530" t="n">
        <v>0.0</v>
      </c>
      <c r="AD1530" t="n">
        <v>0.0</v>
      </c>
      <c r="AE1530" t="n">
        <v>0.0</v>
      </c>
      <c r="AF1530" t="n">
        <v>0.0</v>
      </c>
      <c r="AG1530" t="n">
        <v>0.0</v>
      </c>
      <c r="AH1530" t="n">
        <v>0.0</v>
      </c>
      <c r="AI1530" t="n">
        <v>0.0</v>
      </c>
      <c r="AJ1530" t="n">
        <v>0.0</v>
      </c>
      <c r="AK1530" t="inlineStr">
        <is>
          <t/>
        </is>
      </c>
      <c r="AL1530" t="inlineStr">
        <is>
          <t/>
        </is>
      </c>
    </row>
    <row r="1531">
      <c r="A1531" t="inlineStr">
        <is>
          <t>以为 300 没多少，结果把整条三文鱼发来了😂</t>
        </is>
      </c>
      <c r="B1531" t="inlineStr">
        <is>
          <t>69ce6d86000000001b023263</t>
        </is>
      </c>
      <c r="C1531" s="1530" t="n">
        <f>HYPERLINK("https://www.xiaohongshu.com/explore/69ce6d86000000001b023263?xsec_token=TBclHZuM5_fs2QanfU7vVSEp3OU_PNS7RY7VxqE-xzWJ0=&amp;xsec_source=pc_trdark","https://www.xiaohongshu.com/explore/69ce6d86000000001b023263?xsec_token=TBclHZuM5_fs2QanfU7vVSEp3OU_PNS7RY7VxqE-xzWJ0=&amp;xsec_source=pc_trdark")</f>
        <v>0.0</v>
      </c>
      <c r="D1531" t="inlineStr">
        <is>
          <t>婉婉上班吃什么</t>
        </is>
      </c>
      <c r="E1531" t="inlineStr">
        <is>
          <t>11434449706</t>
        </is>
      </c>
      <c r="F1531" t="inlineStr">
        <is>
          <t>2026-04-02 21:22:14</t>
        </is>
      </c>
      <c r="G1531" t="inlineStr">
        <is>
          <t>图文</t>
        </is>
      </c>
      <c r="H1531" t="inlineStr">
        <is>
          <t>智利三文鱼切块·整条三文鱼·深海鱼一人食健康饮食</t>
        </is>
      </c>
      <c r="I1531" t="inlineStr">
        <is>
          <t>691ac562a524ee0001b51d7b</t>
        </is>
      </c>
      <c r="J1531" t="inlineStr">
        <is>
          <t/>
        </is>
      </c>
      <c r="K1531" t="n">
        <v>0.0</v>
      </c>
      <c r="L1531" t="n">
        <v>0.0</v>
      </c>
      <c r="M1531" t="n">
        <v>0.0</v>
      </c>
      <c r="N1531" t="inlineStr">
        <is>
          <t/>
        </is>
      </c>
      <c r="O1531" t="n">
        <v>0.0</v>
      </c>
      <c r="P1531" t="n">
        <v>0.0</v>
      </c>
      <c r="Q1531" t="inlineStr">
        <is>
          <t/>
        </is>
      </c>
      <c r="R1531" t="inlineStr">
        <is>
          <t/>
        </is>
      </c>
      <c r="S1531" t="n">
        <v>0.0</v>
      </c>
      <c r="T1531" t="n">
        <v>0.0</v>
      </c>
      <c r="U1531" t="n">
        <v>0.0</v>
      </c>
      <c r="V1531" t="n">
        <v>0.0</v>
      </c>
      <c r="W1531" t="inlineStr">
        <is>
          <t/>
        </is>
      </c>
      <c r="X1531" t="n">
        <v>0.0</v>
      </c>
      <c r="Y1531" t="n">
        <v>0.0</v>
      </c>
      <c r="Z1531" t="n">
        <v>0.0</v>
      </c>
      <c r="AA1531" t="n">
        <v>0.0</v>
      </c>
      <c r="AB1531" t="n">
        <v>0.0</v>
      </c>
      <c r="AC1531" t="n">
        <v>0.0</v>
      </c>
      <c r="AD1531" t="n">
        <v>0.0</v>
      </c>
      <c r="AE1531" t="n">
        <v>0.0</v>
      </c>
      <c r="AF1531" t="n">
        <v>0.0</v>
      </c>
      <c r="AG1531" t="n">
        <v>0.0</v>
      </c>
      <c r="AH1531" t="n">
        <v>0.0</v>
      </c>
      <c r="AI1531" t="n">
        <v>0.0</v>
      </c>
      <c r="AJ1531" t="n">
        <v>0.0</v>
      </c>
      <c r="AK1531" t="inlineStr">
        <is>
          <t/>
        </is>
      </c>
      <c r="AL1531" t="inlineStr">
        <is>
          <t/>
        </is>
      </c>
    </row>
    <row r="1532">
      <c r="A1532" t="inlineStr">
        <is>
          <t>香煎三文鱼，其实真的没那么复杂</t>
        </is>
      </c>
      <c r="B1532" t="inlineStr">
        <is>
          <t>69ce660d0000000023024531</t>
        </is>
      </c>
      <c r="C1532" s="1531" t="n">
        <f>HYPERLINK("https://www.xiaohongshu.com/explore/69ce660d0000000023024531?xsec_token=TBclHZuM5_fs2QanfU7vVSEtXQ_5i237-DGQzG5HJ0DRE=&amp;xsec_source=pc_trdark","https://www.xiaohongshu.com/explore/69ce660d0000000023024531?xsec_token=TBclHZuM5_fs2QanfU7vVSEtXQ_5i237-DGQzG5HJ0DRE=&amp;xsec_source=pc_trdark")</f>
        <v>0.0</v>
      </c>
      <c r="D1532" t="inlineStr">
        <is>
          <t>鲜水湾甄选</t>
        </is>
      </c>
      <c r="E1532" t="inlineStr">
        <is>
          <t>27401929161</t>
        </is>
      </c>
      <c r="F1532" t="inlineStr">
        <is>
          <t>2026-04-02 20:50:21</t>
        </is>
      </c>
      <c r="G1532" t="inlineStr">
        <is>
          <t>图文</t>
        </is>
      </c>
      <c r="H1532" t="inlineStr">
        <is>
          <t>智利尾端中段整条三文鱼 8斤深海鱼低脂餐囤货一周备菜顺丰包邮</t>
        </is>
      </c>
      <c r="I1532" t="inlineStr">
        <is>
          <t>69fab80d64eb410001ece0c0</t>
        </is>
      </c>
      <c r="J1532" t="inlineStr">
        <is>
          <t/>
        </is>
      </c>
      <c r="K1532" t="n">
        <v>0.0</v>
      </c>
      <c r="L1532" t="n">
        <v>0.0</v>
      </c>
      <c r="M1532" t="n">
        <v>0.0</v>
      </c>
      <c r="N1532" t="inlineStr">
        <is>
          <t/>
        </is>
      </c>
      <c r="O1532" t="n">
        <v>0.0</v>
      </c>
      <c r="P1532" t="n">
        <v>0.0</v>
      </c>
      <c r="Q1532" t="inlineStr">
        <is>
          <t/>
        </is>
      </c>
      <c r="R1532" t="inlineStr">
        <is>
          <t/>
        </is>
      </c>
      <c r="S1532" t="n">
        <v>0.0</v>
      </c>
      <c r="T1532" t="n">
        <v>0.0</v>
      </c>
      <c r="U1532" t="n">
        <v>0.0</v>
      </c>
      <c r="V1532" t="n">
        <v>0.0</v>
      </c>
      <c r="W1532" t="inlineStr">
        <is>
          <t/>
        </is>
      </c>
      <c r="X1532" t="n">
        <v>0.0</v>
      </c>
      <c r="Y1532" t="n">
        <v>0.0</v>
      </c>
      <c r="Z1532" t="n">
        <v>0.0</v>
      </c>
      <c r="AA1532" t="n">
        <v>0.0</v>
      </c>
      <c r="AB1532" t="n">
        <v>0.0</v>
      </c>
      <c r="AC1532" t="n">
        <v>0.0</v>
      </c>
      <c r="AD1532" t="n">
        <v>0.0</v>
      </c>
      <c r="AE1532" t="n">
        <v>0.0</v>
      </c>
      <c r="AF1532" t="n">
        <v>0.0</v>
      </c>
      <c r="AG1532" t="n">
        <v>0.0</v>
      </c>
      <c r="AH1532" t="n">
        <v>0.0</v>
      </c>
      <c r="AI1532" t="n">
        <v>0.0</v>
      </c>
      <c r="AJ1532" t="n">
        <v>0.0</v>
      </c>
      <c r="AK1532" t="inlineStr">
        <is>
          <t/>
        </is>
      </c>
      <c r="AL1532" t="inlineStr">
        <is>
          <t/>
        </is>
      </c>
    </row>
    <row r="1533">
      <c r="A1533" t="inlineStr">
        <is>
          <t>健身搭子对我每天吃一盒虾，表示很奢侈</t>
        </is>
      </c>
      <c r="B1533" t="inlineStr">
        <is>
          <t>69ce378a000000002200c76d</t>
        </is>
      </c>
      <c r="C1533" s="1532" t="n">
        <f>HYPERLINK("https://www.xiaohongshu.com/explore/69ce378a000000002200c76d?xsec_token=TBclHZuM5_fs2QanfU7vVSEnl4D22alXgV7PIETQ1a858=&amp;xsec_source=pc_trdark","https://www.xiaohongshu.com/explore/69ce378a000000002200c76d?xsec_token=TBclHZuM5_fs2QanfU7vVSEnl4D22alXgV7PIETQ1a858=&amp;xsec_source=pc_trdark")</f>
        <v>0.0</v>
      </c>
      <c r="D1533" t="inlineStr">
        <is>
          <t>鲜水湾甄选</t>
        </is>
      </c>
      <c r="E1533" t="inlineStr">
        <is>
          <t>27401929161</t>
        </is>
      </c>
      <c r="F1533" t="inlineStr">
        <is>
          <t>2026-04-02 17:31:54</t>
        </is>
      </c>
      <c r="G1533" t="inlineStr">
        <is>
          <t>图文</t>
        </is>
      </c>
      <c r="H1533" t="inlineStr">
        <is>
          <t>手剥虾仁 无冰衣无添加 低脂餐一人食 上班带饭 顺丰包邮 5盒装</t>
        </is>
      </c>
      <c r="I1533" t="inlineStr">
        <is>
          <t>694baba01d450d00013662f0</t>
        </is>
      </c>
      <c r="J1533" t="inlineStr">
        <is>
          <t/>
        </is>
      </c>
      <c r="K1533" t="n">
        <v>0.0</v>
      </c>
      <c r="L1533" t="n">
        <v>0.0</v>
      </c>
      <c r="M1533" t="n">
        <v>0.0</v>
      </c>
      <c r="N1533" t="inlineStr">
        <is>
          <t/>
        </is>
      </c>
      <c r="O1533" t="n">
        <v>0.0</v>
      </c>
      <c r="P1533" t="n">
        <v>0.0</v>
      </c>
      <c r="Q1533" t="inlineStr">
        <is>
          <t/>
        </is>
      </c>
      <c r="R1533" t="inlineStr">
        <is>
          <t/>
        </is>
      </c>
      <c r="S1533" t="n">
        <v>0.0</v>
      </c>
      <c r="T1533" t="n">
        <v>0.0</v>
      </c>
      <c r="U1533" t="n">
        <v>0.0</v>
      </c>
      <c r="V1533" t="n">
        <v>0.0</v>
      </c>
      <c r="W1533" t="inlineStr">
        <is>
          <t/>
        </is>
      </c>
      <c r="X1533" t="n">
        <v>0.0</v>
      </c>
      <c r="Y1533" t="n">
        <v>0.0</v>
      </c>
      <c r="Z1533" t="n">
        <v>0.0</v>
      </c>
      <c r="AA1533" t="n">
        <v>0.0</v>
      </c>
      <c r="AB1533" t="n">
        <v>0.0</v>
      </c>
      <c r="AC1533" t="n">
        <v>0.0</v>
      </c>
      <c r="AD1533" t="n">
        <v>0.0</v>
      </c>
      <c r="AE1533" t="n">
        <v>0.0</v>
      </c>
      <c r="AF1533" t="n">
        <v>0.0</v>
      </c>
      <c r="AG1533" t="n">
        <v>0.0</v>
      </c>
      <c r="AH1533" t="n">
        <v>0.0</v>
      </c>
      <c r="AI1533" t="n">
        <v>0.0</v>
      </c>
      <c r="AJ1533" t="n">
        <v>0.0</v>
      </c>
      <c r="AK1533" t="inlineStr">
        <is>
          <t/>
        </is>
      </c>
      <c r="AL1533" t="inlineStr">
        <is>
          <t/>
        </is>
      </c>
    </row>
    <row r="1534">
      <c r="A1534" t="inlineStr">
        <is>
          <t>爸妈对于我每天吃虾仁，表示很奢侈🥲…</t>
        </is>
      </c>
      <c r="B1534" t="inlineStr">
        <is>
          <t>69ce2ab9000000001f006ddf</t>
        </is>
      </c>
      <c r="C1534" s="1533" t="n">
        <f>HYPERLINK("https://www.xiaohongshu.com/explore/69ce2ab9000000001f006ddf?xsec_token=TBclHZuM5_fs2QanfU7vVSEmIq21F0N6CyCxKRm67UZXs=&amp;xsec_source=pc_trdark","https://www.xiaohongshu.com/explore/69ce2ab9000000001f006ddf?xsec_token=TBclHZuM5_fs2QanfU7vVSEmIq21F0N6CyCxKRm67UZXs=&amp;xsec_source=pc_trdark")</f>
        <v>0.0</v>
      </c>
      <c r="D1534" t="inlineStr">
        <is>
          <t>菲菲上班吃什么</t>
        </is>
      </c>
      <c r="E1534" t="inlineStr">
        <is>
          <t>49936530607</t>
        </is>
      </c>
      <c r="F1534" t="inlineStr">
        <is>
          <t>2026-04-02 16:37:13</t>
        </is>
      </c>
      <c r="G1534" t="inlineStr">
        <is>
          <t>图文</t>
        </is>
      </c>
      <c r="H1534" t="inlineStr">
        <is>
          <t>手剥虾仁 无冰衣无添加 低脂餐一人食 上班带饭 顺丰包邮 5盒装</t>
        </is>
      </c>
      <c r="I1534" t="inlineStr">
        <is>
          <t>694baba01d450d00013662f0</t>
        </is>
      </c>
      <c r="J1534" t="inlineStr">
        <is>
          <t/>
        </is>
      </c>
      <c r="K1534" t="n">
        <v>0.0</v>
      </c>
      <c r="L1534" t="n">
        <v>0.0</v>
      </c>
      <c r="M1534" t="n">
        <v>0.0</v>
      </c>
      <c r="N1534" t="inlineStr">
        <is>
          <t/>
        </is>
      </c>
      <c r="O1534" t="n">
        <v>0.0</v>
      </c>
      <c r="P1534" t="n">
        <v>0.0</v>
      </c>
      <c r="Q1534" t="inlineStr">
        <is>
          <t/>
        </is>
      </c>
      <c r="R1534" t="inlineStr">
        <is>
          <t/>
        </is>
      </c>
      <c r="S1534" t="n">
        <v>0.0</v>
      </c>
      <c r="T1534" t="n">
        <v>0.0</v>
      </c>
      <c r="U1534" t="n">
        <v>0.0</v>
      </c>
      <c r="V1534" t="n">
        <v>0.0</v>
      </c>
      <c r="W1534" t="inlineStr">
        <is>
          <t/>
        </is>
      </c>
      <c r="X1534" t="n">
        <v>0.0</v>
      </c>
      <c r="Y1534" t="n">
        <v>0.0</v>
      </c>
      <c r="Z1534" t="n">
        <v>0.0</v>
      </c>
      <c r="AA1534" t="n">
        <v>0.0</v>
      </c>
      <c r="AB1534" t="n">
        <v>0.0</v>
      </c>
      <c r="AC1534" t="n">
        <v>0.0</v>
      </c>
      <c r="AD1534" t="n">
        <v>0.0</v>
      </c>
      <c r="AE1534" t="n">
        <v>0.0</v>
      </c>
      <c r="AF1534" t="n">
        <v>0.0</v>
      </c>
      <c r="AG1534" t="n">
        <v>0.0</v>
      </c>
      <c r="AH1534" t="n">
        <v>0.0</v>
      </c>
      <c r="AI1534" t="n">
        <v>0.0</v>
      </c>
      <c r="AJ1534" t="n">
        <v>0.0</v>
      </c>
      <c r="AK1534" t="inlineStr">
        <is>
          <t/>
        </is>
      </c>
      <c r="AL1534" t="inlineStr">
        <is>
          <t/>
        </is>
      </c>
    </row>
    <row r="1535">
      <c r="A1535" t="inlineStr">
        <is>
          <t>第一次对爬坡后吃快碳起了敬意…</t>
        </is>
      </c>
      <c r="B1535" t="inlineStr">
        <is>
          <t>69ce28650000000023023665</t>
        </is>
      </c>
      <c r="C1535" s="1534" t="n">
        <f>HYPERLINK("https://www.xiaohongshu.com/explore/69ce28650000000023023665?xsec_token=TBclHZuM5_fs2QanfU7vVSEjebRFZIeMMwhqZgmE1nrgM=&amp;xsec_source=pc_trdark","https://www.xiaohongshu.com/explore/69ce28650000000023023665?xsec_token=TBclHZuM5_fs2QanfU7vVSEjebRFZIeMMwhqZgmE1nrgM=&amp;xsec_source=pc_trdark")</f>
        <v>0.0</v>
      </c>
      <c r="D1535" t="inlineStr">
        <is>
          <t>鲜水湾甄选</t>
        </is>
      </c>
      <c r="E1535" t="inlineStr">
        <is>
          <t>27401929161</t>
        </is>
      </c>
      <c r="F1535" t="inlineStr">
        <is>
          <t>2026-04-02 16:27:17</t>
        </is>
      </c>
      <c r="G1535" t="inlineStr">
        <is>
          <t>图文</t>
        </is>
      </c>
      <c r="H1535" t="inlineStr">
        <is>
          <t>手剥虾仁 无冰衣无添加 低脂餐一人食 上班带饭 顺丰包邮 5盒装</t>
        </is>
      </c>
      <c r="I1535" t="inlineStr">
        <is>
          <t>694baba01d450d00013662f0</t>
        </is>
      </c>
      <c r="J1535" t="inlineStr">
        <is>
          <t/>
        </is>
      </c>
      <c r="K1535" t="n">
        <v>0.0</v>
      </c>
      <c r="L1535" t="n">
        <v>0.0</v>
      </c>
      <c r="M1535" t="n">
        <v>0.0</v>
      </c>
      <c r="N1535" t="inlineStr">
        <is>
          <t/>
        </is>
      </c>
      <c r="O1535" t="n">
        <v>0.0</v>
      </c>
      <c r="P1535" t="n">
        <v>0.0</v>
      </c>
      <c r="Q1535" t="inlineStr">
        <is>
          <t/>
        </is>
      </c>
      <c r="R1535" t="inlineStr">
        <is>
          <t/>
        </is>
      </c>
      <c r="S1535" t="n">
        <v>0.0</v>
      </c>
      <c r="T1535" t="n">
        <v>0.0</v>
      </c>
      <c r="U1535" t="n">
        <v>0.0</v>
      </c>
      <c r="V1535" t="n">
        <v>0.0</v>
      </c>
      <c r="W1535" t="inlineStr">
        <is>
          <t/>
        </is>
      </c>
      <c r="X1535" t="n">
        <v>0.0</v>
      </c>
      <c r="Y1535" t="n">
        <v>0.0</v>
      </c>
      <c r="Z1535" t="n">
        <v>0.0</v>
      </c>
      <c r="AA1535" t="n">
        <v>0.0</v>
      </c>
      <c r="AB1535" t="n">
        <v>0.0</v>
      </c>
      <c r="AC1535" t="n">
        <v>0.0</v>
      </c>
      <c r="AD1535" t="n">
        <v>0.0</v>
      </c>
      <c r="AE1535" t="n">
        <v>0.0</v>
      </c>
      <c r="AF1535" t="n">
        <v>0.0</v>
      </c>
      <c r="AG1535" t="n">
        <v>0.0</v>
      </c>
      <c r="AH1535" t="n">
        <v>0.0</v>
      </c>
      <c r="AI1535" t="n">
        <v>0.0</v>
      </c>
      <c r="AJ1535" t="n">
        <v>0.0</v>
      </c>
      <c r="AK1535" t="inlineStr">
        <is>
          <t/>
        </is>
      </c>
      <c r="AL1535" t="inlineStr">
        <is>
          <t/>
        </is>
      </c>
    </row>
    <row r="1536">
      <c r="A1536" t="inlineStr">
        <is>
          <t>直观感受一下 100 块的购买力！顺丰包邮</t>
        </is>
      </c>
      <c r="B1536" t="inlineStr">
        <is>
          <t>69ce24be000000001b023981</t>
        </is>
      </c>
      <c r="C1536" s="1535" t="n">
        <f>HYPERLINK("https://www.xiaohongshu.com/explore/69ce24be000000001b023981?xsec_token=TBclHZuM5_fs2QanfU7vVSEvqHlL6y4_TMA3uJ_Wz_rQI=&amp;xsec_source=pc_trdark","https://www.xiaohongshu.com/explore/69ce24be000000001b023981?xsec_token=TBclHZuM5_fs2QanfU7vVSEvqHlL6y4_TMA3uJ_Wz_rQI=&amp;xsec_source=pc_trdark")</f>
        <v>0.0</v>
      </c>
      <c r="D1536" t="inlineStr">
        <is>
          <t>鲜水湾</t>
        </is>
      </c>
      <c r="E1536" t="inlineStr">
        <is>
          <t>49316638994</t>
        </is>
      </c>
      <c r="F1536" t="inlineStr">
        <is>
          <t>2026-04-02 16:11:42</t>
        </is>
      </c>
      <c r="G1536" t="inlineStr">
        <is>
          <t>图文</t>
        </is>
      </c>
      <c r="H1536" t="inlineStr">
        <is>
          <t>手剥虾仁 无冰衣无添加 低脂餐一人食 上班带饭 顺丰包邮 5盒装</t>
        </is>
      </c>
      <c r="I1536" t="inlineStr">
        <is>
          <t>694baba01d450d00013662f0</t>
        </is>
      </c>
      <c r="J1536" t="inlineStr">
        <is>
          <t/>
        </is>
      </c>
      <c r="K1536" t="n">
        <v>0.0</v>
      </c>
      <c r="L1536" t="n">
        <v>0.0</v>
      </c>
      <c r="M1536" t="n">
        <v>0.0</v>
      </c>
      <c r="N1536" t="inlineStr">
        <is>
          <t/>
        </is>
      </c>
      <c r="O1536" t="n">
        <v>0.0</v>
      </c>
      <c r="P1536" t="n">
        <v>0.0</v>
      </c>
      <c r="Q1536" t="inlineStr">
        <is>
          <t/>
        </is>
      </c>
      <c r="R1536" t="inlineStr">
        <is>
          <t/>
        </is>
      </c>
      <c r="S1536" t="n">
        <v>0.0</v>
      </c>
      <c r="T1536" t="n">
        <v>0.0</v>
      </c>
      <c r="U1536" t="n">
        <v>0.0</v>
      </c>
      <c r="V1536" t="n">
        <v>0.0</v>
      </c>
      <c r="W1536" t="inlineStr">
        <is>
          <t/>
        </is>
      </c>
      <c r="X1536" t="n">
        <v>0.0</v>
      </c>
      <c r="Y1536" t="n">
        <v>0.0</v>
      </c>
      <c r="Z1536" t="n">
        <v>0.0</v>
      </c>
      <c r="AA1536" t="n">
        <v>0.0</v>
      </c>
      <c r="AB1536" t="n">
        <v>0.0</v>
      </c>
      <c r="AC1536" t="n">
        <v>0.0</v>
      </c>
      <c r="AD1536" t="n">
        <v>0.0</v>
      </c>
      <c r="AE1536" t="n">
        <v>0.0</v>
      </c>
      <c r="AF1536" t="n">
        <v>0.0</v>
      </c>
      <c r="AG1536" t="n">
        <v>0.0</v>
      </c>
      <c r="AH1536" t="n">
        <v>0.0</v>
      </c>
      <c r="AI1536" t="n">
        <v>0.0</v>
      </c>
      <c r="AJ1536" t="n">
        <v>0.0</v>
      </c>
      <c r="AK1536" t="inlineStr">
        <is>
          <t/>
        </is>
      </c>
      <c r="AL1536" t="inlineStr">
        <is>
          <t/>
        </is>
      </c>
    </row>
    <row r="1537">
      <c r="A1537" t="inlineStr">
        <is>
          <t>真的低估了100块购买力！承包了一周减脂餐！</t>
        </is>
      </c>
      <c r="B1537" t="inlineStr">
        <is>
          <t>69ce1bb2000000002800b1b2</t>
        </is>
      </c>
      <c r="C1537" s="1536" t="n">
        <f>HYPERLINK("https://www.xiaohongshu.com/explore/69ce1bb2000000002800b1b2?xsec_token=TBclHZuM5_fs2QanfU7vVSEmDYMFNh-FXRNp5-Y7OUwDw=&amp;xsec_source=pc_trdark","https://www.xiaohongshu.com/explore/69ce1bb2000000002800b1b2?xsec_token=TBclHZuM5_fs2QanfU7vVSEmDYMFNh-FXRNp5-Y7OUwDw=&amp;xsec_source=pc_trdark")</f>
        <v>0.0</v>
      </c>
      <c r="D1537" t="inlineStr">
        <is>
          <t>菲菲上班吃什么</t>
        </is>
      </c>
      <c r="E1537" t="inlineStr">
        <is>
          <t>49936530607</t>
        </is>
      </c>
      <c r="F1537" t="inlineStr">
        <is>
          <t>2026-04-02 15:33:06</t>
        </is>
      </c>
      <c r="G1537" t="inlineStr">
        <is>
          <t>图文</t>
        </is>
      </c>
      <c r="H1537" t="inlineStr">
        <is>
          <t>手剥虾仁 无冰衣无添加 低脂餐一人食 上班带饭 顺丰包邮 5盒装</t>
        </is>
      </c>
      <c r="I1537" t="inlineStr">
        <is>
          <t>694baba01d450d00013662f0</t>
        </is>
      </c>
      <c r="J1537" t="inlineStr">
        <is>
          <t/>
        </is>
      </c>
      <c r="K1537" t="n">
        <v>0.0</v>
      </c>
      <c r="L1537" t="n">
        <v>0.0</v>
      </c>
      <c r="M1537" t="n">
        <v>0.0</v>
      </c>
      <c r="N1537" t="inlineStr">
        <is>
          <t/>
        </is>
      </c>
      <c r="O1537" t="n">
        <v>0.0</v>
      </c>
      <c r="P1537" t="n">
        <v>0.0</v>
      </c>
      <c r="Q1537" t="inlineStr">
        <is>
          <t/>
        </is>
      </c>
      <c r="R1537" t="inlineStr">
        <is>
          <t/>
        </is>
      </c>
      <c r="S1537" t="n">
        <v>0.0</v>
      </c>
      <c r="T1537" t="n">
        <v>0.0</v>
      </c>
      <c r="U1537" t="n">
        <v>0.0</v>
      </c>
      <c r="V1537" t="n">
        <v>0.0</v>
      </c>
      <c r="W1537" t="inlineStr">
        <is>
          <t/>
        </is>
      </c>
      <c r="X1537" t="n">
        <v>0.0</v>
      </c>
      <c r="Y1537" t="n">
        <v>0.0</v>
      </c>
      <c r="Z1537" t="n">
        <v>0.0</v>
      </c>
      <c r="AA1537" t="n">
        <v>0.0</v>
      </c>
      <c r="AB1537" t="n">
        <v>0.0</v>
      </c>
      <c r="AC1537" t="n">
        <v>0.0</v>
      </c>
      <c r="AD1537" t="n">
        <v>0.0</v>
      </c>
      <c r="AE1537" t="n">
        <v>0.0</v>
      </c>
      <c r="AF1537" t="n">
        <v>0.0</v>
      </c>
      <c r="AG1537" t="n">
        <v>0.0</v>
      </c>
      <c r="AH1537" t="n">
        <v>0.0</v>
      </c>
      <c r="AI1537" t="n">
        <v>0.0</v>
      </c>
      <c r="AJ1537" t="n">
        <v>0.0</v>
      </c>
      <c r="AK1537" t="inlineStr">
        <is>
          <t/>
        </is>
      </c>
      <c r="AL1537" t="inlineStr">
        <is>
          <t/>
        </is>
      </c>
    </row>
    <row r="1538">
      <c r="A1538" t="inlineStr">
        <is>
          <t>真的低估了100块的购买力！承包了一周减脂餐</t>
        </is>
      </c>
      <c r="B1538" t="inlineStr">
        <is>
          <t>69cdd81c000000002301cd07</t>
        </is>
      </c>
      <c r="C1538" s="1537" t="n">
        <f>HYPERLINK("https://www.xiaohongshu.com/explore/69cdd81c000000002301cd07?xsec_token=TB94T6isBuVSIhUV8JYRJ9ZhylTGYaehrC7goq-RpljOw=&amp;xsec_source=pc_trdark","https://www.xiaohongshu.com/explore/69cdd81c000000002301cd07?xsec_token=TB94T6isBuVSIhUV8JYRJ9ZhylTGYaehrC7goq-RpljOw=&amp;xsec_source=pc_trdark")</f>
        <v>0.0</v>
      </c>
      <c r="D1538" t="inlineStr">
        <is>
          <t>鲜水湾</t>
        </is>
      </c>
      <c r="E1538" t="inlineStr">
        <is>
          <t>49316638994</t>
        </is>
      </c>
      <c r="F1538" t="inlineStr">
        <is>
          <t>2026-04-02 10:44:44</t>
        </is>
      </c>
      <c r="G1538" t="inlineStr">
        <is>
          <t>图文</t>
        </is>
      </c>
      <c r="H1538" t="inlineStr">
        <is>
          <t>手剥虾仁 无冰衣无添加 低脂餐一人食 上班带饭 顺丰包邮 5盒装</t>
        </is>
      </c>
      <c r="I1538" t="inlineStr">
        <is>
          <t>694baba01d450d00013662f0</t>
        </is>
      </c>
      <c r="J1538" t="inlineStr">
        <is>
          <t/>
        </is>
      </c>
      <c r="K1538" t="n">
        <v>0.0</v>
      </c>
      <c r="L1538" t="n">
        <v>0.0</v>
      </c>
      <c r="M1538" t="n">
        <v>0.0</v>
      </c>
      <c r="N1538" t="inlineStr">
        <is>
          <t/>
        </is>
      </c>
      <c r="O1538" t="n">
        <v>0.0</v>
      </c>
      <c r="P1538" t="n">
        <v>0.0</v>
      </c>
      <c r="Q1538" t="inlineStr">
        <is>
          <t/>
        </is>
      </c>
      <c r="R1538" t="inlineStr">
        <is>
          <t/>
        </is>
      </c>
      <c r="S1538" t="n">
        <v>0.0</v>
      </c>
      <c r="T1538" t="n">
        <v>0.0</v>
      </c>
      <c r="U1538" t="n">
        <v>0.0</v>
      </c>
      <c r="V1538" t="n">
        <v>0.0</v>
      </c>
      <c r="W1538" t="inlineStr">
        <is>
          <t/>
        </is>
      </c>
      <c r="X1538" t="n">
        <v>0.0</v>
      </c>
      <c r="Y1538" t="n">
        <v>0.0</v>
      </c>
      <c r="Z1538" t="n">
        <v>0.0</v>
      </c>
      <c r="AA1538" t="n">
        <v>0.0</v>
      </c>
      <c r="AB1538" t="n">
        <v>0.0</v>
      </c>
      <c r="AC1538" t="n">
        <v>0.0</v>
      </c>
      <c r="AD1538" t="n">
        <v>0.0</v>
      </c>
      <c r="AE1538" t="n">
        <v>0.0</v>
      </c>
      <c r="AF1538" t="n">
        <v>0.0</v>
      </c>
      <c r="AG1538" t="n">
        <v>0.0</v>
      </c>
      <c r="AH1538" t="n">
        <v>0.0</v>
      </c>
      <c r="AI1538" t="n">
        <v>0.0</v>
      </c>
      <c r="AJ1538" t="n">
        <v>0.0</v>
      </c>
      <c r="AK1538" t="inlineStr">
        <is>
          <t/>
        </is>
      </c>
      <c r="AL1538" t="inlineStr">
        <is>
          <t/>
        </is>
      </c>
    </row>
    <row r="1539">
      <c r="A1539" t="inlineStr">
        <is>
          <t>年轻人严重低估了69块的购买力！</t>
        </is>
      </c>
      <c r="B1539" t="inlineStr">
        <is>
          <t>69ccdff8000000001f0029f5</t>
        </is>
      </c>
      <c r="C1539" s="1538" t="n">
        <f>HYPERLINK("https://www.xiaohongshu.com/explore/69ccdff8000000001f0029f5?xsec_token=TBmwaR-CbxUmnLfgemf1f-glwEGzU2rTdZwFnkXelqdPk=&amp;xsec_source=pc_trdark","https://www.xiaohongshu.com/explore/69ccdff8000000001f0029f5?xsec_token=TBmwaR-CbxUmnLfgemf1f-glwEGzU2rTdZwFnkXelqdPk=&amp;xsec_source=pc_trdark")</f>
        <v>0.0</v>
      </c>
      <c r="D1539" t="inlineStr">
        <is>
          <t>婉婉上班吃什么</t>
        </is>
      </c>
      <c r="E1539" t="inlineStr">
        <is>
          <t>11434449706</t>
        </is>
      </c>
      <c r="F1539" t="inlineStr">
        <is>
          <t>2026-04-01 17:06:00</t>
        </is>
      </c>
      <c r="G1539" t="inlineStr">
        <is>
          <t>图文</t>
        </is>
      </c>
      <c r="H1539" t="inlineStr">
        <is>
          <t>手剥虾仁 无冰衣无添加 低脂餐一人食 上班带饭 顺丰包邮 5盒装</t>
        </is>
      </c>
      <c r="I1539" t="inlineStr">
        <is>
          <t>694baba01d450d00013662f0</t>
        </is>
      </c>
      <c r="J1539" t="inlineStr">
        <is>
          <t/>
        </is>
      </c>
      <c r="K1539" t="n">
        <v>0.0</v>
      </c>
      <c r="L1539" t="n">
        <v>0.0</v>
      </c>
      <c r="M1539" t="n">
        <v>0.0</v>
      </c>
      <c r="N1539" t="inlineStr">
        <is>
          <t/>
        </is>
      </c>
      <c r="O1539" t="n">
        <v>0.0</v>
      </c>
      <c r="P1539" t="n">
        <v>0.0</v>
      </c>
      <c r="Q1539" t="inlineStr">
        <is>
          <t/>
        </is>
      </c>
      <c r="R1539" t="inlineStr">
        <is>
          <t/>
        </is>
      </c>
      <c r="S1539" t="n">
        <v>0.0</v>
      </c>
      <c r="T1539" t="n">
        <v>0.0</v>
      </c>
      <c r="U1539" t="n">
        <v>0.0</v>
      </c>
      <c r="V1539" t="n">
        <v>0.0</v>
      </c>
      <c r="W1539" t="inlineStr">
        <is>
          <t/>
        </is>
      </c>
      <c r="X1539" t="n">
        <v>0.0</v>
      </c>
      <c r="Y1539" t="n">
        <v>0.0</v>
      </c>
      <c r="Z1539" t="n">
        <v>0.0</v>
      </c>
      <c r="AA1539" t="n">
        <v>0.0</v>
      </c>
      <c r="AB1539" t="n">
        <v>0.0</v>
      </c>
      <c r="AC1539" t="n">
        <v>0.0</v>
      </c>
      <c r="AD1539" t="n">
        <v>0.0</v>
      </c>
      <c r="AE1539" t="n">
        <v>0.0</v>
      </c>
      <c r="AF1539" t="n">
        <v>0.0</v>
      </c>
      <c r="AG1539" t="n">
        <v>0.0</v>
      </c>
      <c r="AH1539" t="n">
        <v>0.0</v>
      </c>
      <c r="AI1539" t="n">
        <v>0.0</v>
      </c>
      <c r="AJ1539" t="n">
        <v>0.0</v>
      </c>
      <c r="AK1539" t="inlineStr">
        <is>
          <t/>
        </is>
      </c>
      <c r="AL1539" t="inlineStr">
        <is>
          <t/>
        </is>
      </c>
    </row>
    <row r="1540">
      <c r="A1540" t="inlineStr">
        <is>
          <t>和老爸商量后，春日推出独居一人食小包装</t>
        </is>
      </c>
      <c r="B1540" t="inlineStr">
        <is>
          <t>69ccd2800000000023007d06</t>
        </is>
      </c>
      <c r="C1540" s="1539" t="n">
        <f>HYPERLINK("https://www.xiaohongshu.com/explore/69ccd2800000000023007d06?xsec_token=TBmwaR-CbxUmnLfgemf1f-gtf4tTmt8YBktIC6YAaC0kA=&amp;xsec_source=pc_trdark","https://www.xiaohongshu.com/explore/69ccd2800000000023007d06?xsec_token=TBmwaR-CbxUmnLfgemf1f-gtf4tTmt8YBktIC6YAaC0kA=&amp;xsec_source=pc_trdark")</f>
        <v>0.0</v>
      </c>
      <c r="D1540" t="inlineStr">
        <is>
          <t>鲜水湾</t>
        </is>
      </c>
      <c r="E1540" t="inlineStr">
        <is>
          <t>49316638994</t>
        </is>
      </c>
      <c r="F1540" t="inlineStr">
        <is>
          <t>2026-04-01 16:08:32</t>
        </is>
      </c>
      <c r="G1540" t="inlineStr">
        <is>
          <t>图文</t>
        </is>
      </c>
      <c r="H1540" t="inlineStr">
        <is>
          <t>手剥虾仁 无冰衣无添加 低脂餐一人食 上班带饭 顺丰包邮 5盒装</t>
        </is>
      </c>
      <c r="I1540" t="inlineStr">
        <is>
          <t>694baba01d450d00013662f0</t>
        </is>
      </c>
      <c r="J1540" t="inlineStr">
        <is>
          <t/>
        </is>
      </c>
      <c r="K1540" t="n">
        <v>0.0</v>
      </c>
      <c r="L1540" t="n">
        <v>0.0</v>
      </c>
      <c r="M1540" t="n">
        <v>0.0</v>
      </c>
      <c r="N1540" t="inlineStr">
        <is>
          <t/>
        </is>
      </c>
      <c r="O1540" t="n">
        <v>0.0</v>
      </c>
      <c r="P1540" t="n">
        <v>0.0</v>
      </c>
      <c r="Q1540" t="inlineStr">
        <is>
          <t/>
        </is>
      </c>
      <c r="R1540" t="inlineStr">
        <is>
          <t/>
        </is>
      </c>
      <c r="S1540" t="n">
        <v>0.0</v>
      </c>
      <c r="T1540" t="n">
        <v>0.0</v>
      </c>
      <c r="U1540" t="n">
        <v>0.0</v>
      </c>
      <c r="V1540" t="n">
        <v>0.0</v>
      </c>
      <c r="W1540" t="inlineStr">
        <is>
          <t/>
        </is>
      </c>
      <c r="X1540" t="n">
        <v>0.0</v>
      </c>
      <c r="Y1540" t="n">
        <v>0.0</v>
      </c>
      <c r="Z1540" t="n">
        <v>0.0</v>
      </c>
      <c r="AA1540" t="n">
        <v>0.0</v>
      </c>
      <c r="AB1540" t="n">
        <v>0.0</v>
      </c>
      <c r="AC1540" t="n">
        <v>0.0</v>
      </c>
      <c r="AD1540" t="n">
        <v>0.0</v>
      </c>
      <c r="AE1540" t="n">
        <v>0.0</v>
      </c>
      <c r="AF1540" t="n">
        <v>0.0</v>
      </c>
      <c r="AG1540" t="n">
        <v>0.0</v>
      </c>
      <c r="AH1540" t="n">
        <v>0.0</v>
      </c>
      <c r="AI1540" t="n">
        <v>0.0</v>
      </c>
      <c r="AJ1540" t="n">
        <v>0.0</v>
      </c>
      <c r="AK1540" t="inlineStr">
        <is>
          <t/>
        </is>
      </c>
      <c r="AL1540" t="inlineStr">
        <is>
          <t/>
        </is>
      </c>
    </row>
    <row r="1541">
      <c r="A1541" t="inlineStr">
        <is>
          <t>果然，香煎三文鱼只有0次和无数次！</t>
        </is>
      </c>
      <c r="B1541" t="inlineStr">
        <is>
          <t>69ccac3b0000000023020b83</t>
        </is>
      </c>
      <c r="C1541" s="1540" t="n">
        <f>HYPERLINK("https://www.xiaohongshu.com/explore/69ccac3b0000000023020b83?xsec_token=TBmwaR-CbxUmnLfgemf1f-go-qfnUSyEt7j3PVkWbGrTU=&amp;xsec_source=pc_trdark","https://www.xiaohongshu.com/explore/69ccac3b0000000023020b83?xsec_token=TBmwaR-CbxUmnLfgemf1f-go-qfnUSyEt7j3PVkWbGrTU=&amp;xsec_source=pc_trdark")</f>
        <v>0.0</v>
      </c>
      <c r="D1541" t="inlineStr">
        <is>
          <t>鲜水湾甄选</t>
        </is>
      </c>
      <c r="E1541" t="inlineStr">
        <is>
          <t>27401929161</t>
        </is>
      </c>
      <c r="F1541" t="inlineStr">
        <is>
          <t>2026-04-01 13:25:16</t>
        </is>
      </c>
      <c r="G1541" t="inlineStr">
        <is>
          <t>图文</t>
        </is>
      </c>
      <c r="H1541" t="inlineStr">
        <is>
          <t>智利三文鱼切块·整条三文鱼·深海鱼一人食健康饮食</t>
        </is>
      </c>
      <c r="I1541" t="inlineStr">
        <is>
          <t>691ac562a524ee0001b51d7b</t>
        </is>
      </c>
      <c r="J1541" t="inlineStr">
        <is>
          <t/>
        </is>
      </c>
      <c r="K1541" t="n">
        <v>0.0</v>
      </c>
      <c r="L1541" t="n">
        <v>0.0</v>
      </c>
      <c r="M1541" t="n">
        <v>0.0</v>
      </c>
      <c r="N1541" t="inlineStr">
        <is>
          <t/>
        </is>
      </c>
      <c r="O1541" t="n">
        <v>0.0</v>
      </c>
      <c r="P1541" t="n">
        <v>0.0</v>
      </c>
      <c r="Q1541" t="inlineStr">
        <is>
          <t/>
        </is>
      </c>
      <c r="R1541" t="inlineStr">
        <is>
          <t/>
        </is>
      </c>
      <c r="S1541" t="n">
        <v>0.0</v>
      </c>
      <c r="T1541" t="n">
        <v>0.0</v>
      </c>
      <c r="U1541" t="n">
        <v>0.0</v>
      </c>
      <c r="V1541" t="n">
        <v>0.0</v>
      </c>
      <c r="W1541" t="inlineStr">
        <is>
          <t/>
        </is>
      </c>
      <c r="X1541" t="n">
        <v>0.0</v>
      </c>
      <c r="Y1541" t="n">
        <v>0.0</v>
      </c>
      <c r="Z1541" t="n">
        <v>0.0</v>
      </c>
      <c r="AA1541" t="n">
        <v>0.0</v>
      </c>
      <c r="AB1541" t="n">
        <v>0.0</v>
      </c>
      <c r="AC1541" t="n">
        <v>0.0</v>
      </c>
      <c r="AD1541" t="n">
        <v>0.0</v>
      </c>
      <c r="AE1541" t="n">
        <v>0.0</v>
      </c>
      <c r="AF1541" t="n">
        <v>0.0</v>
      </c>
      <c r="AG1541" t="n">
        <v>0.0</v>
      </c>
      <c r="AH1541" t="n">
        <v>0.0</v>
      </c>
      <c r="AI1541" t="n">
        <v>0.0</v>
      </c>
      <c r="AJ1541" t="n">
        <v>0.0</v>
      </c>
      <c r="AK1541" t="inlineStr">
        <is>
          <t/>
        </is>
      </c>
      <c r="AL1541" t="inlineStr">
        <is>
          <t/>
        </is>
      </c>
    </row>
    <row r="1542">
      <c r="A1542" t="inlineStr">
        <is>
          <t>带饭的尽头…真的是懒人饭</t>
        </is>
      </c>
      <c r="B1542" t="inlineStr">
        <is>
          <t>69ccaa3f000000002301cdb3</t>
        </is>
      </c>
      <c r="C1542" s="1541" t="n">
        <f>HYPERLINK("https://www.xiaohongshu.com/explore/69ccaa3f000000002301cdb3?xsec_token=TBmwaR-CbxUmnLfgemf1f-ghEB0Zsy-YE3k4ZP4fJLfHI=&amp;xsec_source=pc_trdark","https://www.xiaohongshu.com/explore/69ccaa3f000000002301cdb3?xsec_token=TBmwaR-CbxUmnLfgemf1f-ghEB0Zsy-YE3k4ZP4fJLfHI=&amp;xsec_source=pc_trdark")</f>
        <v>0.0</v>
      </c>
      <c r="D1542" t="inlineStr">
        <is>
          <t>菲菲上班吃什么</t>
        </is>
      </c>
      <c r="E1542" t="inlineStr">
        <is>
          <t>49936530607</t>
        </is>
      </c>
      <c r="F1542" t="inlineStr">
        <is>
          <t>2026-04-01 13:16:48</t>
        </is>
      </c>
      <c r="G1542" t="inlineStr">
        <is>
          <t>图文</t>
        </is>
      </c>
      <c r="H1542" t="inlineStr">
        <is>
          <t>手剥虾仁 无冰衣无添加 低脂餐一人食 上班带饭 顺丰包邮 5盒装</t>
        </is>
      </c>
      <c r="I1542" t="inlineStr">
        <is>
          <t>694baba01d450d00013662f0</t>
        </is>
      </c>
      <c r="J1542" t="inlineStr">
        <is>
          <t/>
        </is>
      </c>
      <c r="K1542" t="n">
        <v>0.0</v>
      </c>
      <c r="L1542" t="n">
        <v>0.0</v>
      </c>
      <c r="M1542" t="n">
        <v>0.0</v>
      </c>
      <c r="N1542" t="inlineStr">
        <is>
          <t/>
        </is>
      </c>
      <c r="O1542" t="n">
        <v>0.0</v>
      </c>
      <c r="P1542" t="n">
        <v>0.0</v>
      </c>
      <c r="Q1542" t="inlineStr">
        <is>
          <t/>
        </is>
      </c>
      <c r="R1542" t="inlineStr">
        <is>
          <t/>
        </is>
      </c>
      <c r="S1542" t="n">
        <v>0.0</v>
      </c>
      <c r="T1542" t="n">
        <v>0.0</v>
      </c>
      <c r="U1542" t="n">
        <v>0.0</v>
      </c>
      <c r="V1542" t="n">
        <v>0.0</v>
      </c>
      <c r="W1542" t="inlineStr">
        <is>
          <t/>
        </is>
      </c>
      <c r="X1542" t="n">
        <v>0.0</v>
      </c>
      <c r="Y1542" t="n">
        <v>0.0</v>
      </c>
      <c r="Z1542" t="n">
        <v>0.0</v>
      </c>
      <c r="AA1542" t="n">
        <v>0.0</v>
      </c>
      <c r="AB1542" t="n">
        <v>0.0</v>
      </c>
      <c r="AC1542" t="n">
        <v>0.0</v>
      </c>
      <c r="AD1542" t="n">
        <v>0.0</v>
      </c>
      <c r="AE1542" t="n">
        <v>0.0</v>
      </c>
      <c r="AF1542" t="n">
        <v>0.0</v>
      </c>
      <c r="AG1542" t="n">
        <v>0.0</v>
      </c>
      <c r="AH1542" t="n">
        <v>0.0</v>
      </c>
      <c r="AI1542" t="n">
        <v>0.0</v>
      </c>
      <c r="AJ1542" t="n">
        <v>0.0</v>
      </c>
      <c r="AK1542" t="inlineStr">
        <is>
          <t/>
        </is>
      </c>
      <c r="AL1542" t="inlineStr">
        <is>
          <t/>
        </is>
      </c>
    </row>
    <row r="1543">
      <c r="A1543" t="inlineStr">
        <is>
          <t>瘦子同事带的饭一天比一天离谱…</t>
        </is>
      </c>
      <c r="B1543" t="inlineStr">
        <is>
          <t>69cca8950000000023007bfe</t>
        </is>
      </c>
      <c r="C1543" s="1542" t="n">
        <f>HYPERLINK("https://www.xiaohongshu.com/explore/69cca8950000000023007bfe?xsec_token=TBmwaR-CbxUmnLfgemf1f-gtGco2_NCU7sF7v0WsOg3O4=&amp;xsec_source=pc_trdark","https://www.xiaohongshu.com/explore/69cca8950000000023007bfe?xsec_token=TBmwaR-CbxUmnLfgemf1f-gtGco2_NCU7sF7v0WsOg3O4=&amp;xsec_source=pc_trdark")</f>
        <v>0.0</v>
      </c>
      <c r="D1543" t="inlineStr">
        <is>
          <t>婉婉上班吃什么</t>
        </is>
      </c>
      <c r="E1543" t="inlineStr">
        <is>
          <t>11434449706</t>
        </is>
      </c>
      <c r="F1543" t="inlineStr">
        <is>
          <t>2026-04-01 13:09:41</t>
        </is>
      </c>
      <c r="G1543" t="inlineStr">
        <is>
          <t>图文</t>
        </is>
      </c>
      <c r="H1543" t="inlineStr">
        <is>
          <t>手剥虾仁 无冰衣无添加 低脂餐一人食 上班带饭 顺丰包邮 5盒装</t>
        </is>
      </c>
      <c r="I1543" t="inlineStr">
        <is>
          <t>694baba01d450d00013662f0</t>
        </is>
      </c>
      <c r="J1543" t="inlineStr">
        <is>
          <t/>
        </is>
      </c>
      <c r="K1543" t="n">
        <v>0.0</v>
      </c>
      <c r="L1543" t="n">
        <v>0.0</v>
      </c>
      <c r="M1543" t="n">
        <v>0.0</v>
      </c>
      <c r="N1543" t="inlineStr">
        <is>
          <t/>
        </is>
      </c>
      <c r="O1543" t="n">
        <v>0.0</v>
      </c>
      <c r="P1543" t="n">
        <v>0.0</v>
      </c>
      <c r="Q1543" t="inlineStr">
        <is>
          <t/>
        </is>
      </c>
      <c r="R1543" t="inlineStr">
        <is>
          <t/>
        </is>
      </c>
      <c r="S1543" t="n">
        <v>0.0</v>
      </c>
      <c r="T1543" t="n">
        <v>0.0</v>
      </c>
      <c r="U1543" t="n">
        <v>0.0</v>
      </c>
      <c r="V1543" t="n">
        <v>0.0</v>
      </c>
      <c r="W1543" t="inlineStr">
        <is>
          <t/>
        </is>
      </c>
      <c r="X1543" t="n">
        <v>0.0</v>
      </c>
      <c r="Y1543" t="n">
        <v>0.0</v>
      </c>
      <c r="Z1543" t="n">
        <v>0.0</v>
      </c>
      <c r="AA1543" t="n">
        <v>0.0</v>
      </c>
      <c r="AB1543" t="n">
        <v>0.0</v>
      </c>
      <c r="AC1543" t="n">
        <v>0.0</v>
      </c>
      <c r="AD1543" t="n">
        <v>0.0</v>
      </c>
      <c r="AE1543" t="n">
        <v>0.0</v>
      </c>
      <c r="AF1543" t="n">
        <v>0.0</v>
      </c>
      <c r="AG1543" t="n">
        <v>0.0</v>
      </c>
      <c r="AH1543" t="n">
        <v>0.0</v>
      </c>
      <c r="AI1543" t="n">
        <v>0.0</v>
      </c>
      <c r="AJ1543" t="n">
        <v>0.0</v>
      </c>
      <c r="AK1543" t="inlineStr">
        <is>
          <t/>
        </is>
      </c>
      <c r="AL1543" t="inlineStr">
        <is>
          <t/>
        </is>
      </c>
    </row>
    <row r="1544">
      <c r="A1544" t="inlineStr">
        <is>
          <t>我妈说这个虾仁绝了！让我一定发出来！！</t>
        </is>
      </c>
      <c r="B1544" t="inlineStr">
        <is>
          <t>69cc7dc8000000001a03591f</t>
        </is>
      </c>
      <c r="C1544" s="1543" t="n">
        <f>HYPERLINK("https://www.xiaohongshu.com/explore/69cc7dc8000000001a03591f?xsec_token=TBmwaR-CbxUmnLfgemf1f-gjtOYSW8cioll05tCOm3YSE=&amp;xsec_source=pc_trdark","https://www.xiaohongshu.com/explore/69cc7dc8000000001a03591f?xsec_token=TBmwaR-CbxUmnLfgemf1f-gjtOYSW8cioll05tCOm3YSE=&amp;xsec_source=pc_trdark")</f>
        <v>0.0</v>
      </c>
      <c r="D1544" t="inlineStr">
        <is>
          <t>菲菲上班吃什么</t>
        </is>
      </c>
      <c r="E1544" t="inlineStr">
        <is>
          <t>49936530607</t>
        </is>
      </c>
      <c r="F1544" t="inlineStr">
        <is>
          <t>2026-04-01 10:07:04</t>
        </is>
      </c>
      <c r="G1544" t="inlineStr">
        <is>
          <t>图文</t>
        </is>
      </c>
      <c r="H1544" t="inlineStr">
        <is>
          <t>手剥虾仁 无冰衣无添加 低脂餐一人食 上班带饭 顺丰包邮 5盒装</t>
        </is>
      </c>
      <c r="I1544" t="inlineStr">
        <is>
          <t>694baba01d450d00013662f0</t>
        </is>
      </c>
      <c r="J1544" t="inlineStr">
        <is>
          <t/>
        </is>
      </c>
      <c r="K1544" t="n">
        <v>0.0</v>
      </c>
      <c r="L1544" t="n">
        <v>0.0</v>
      </c>
      <c r="M1544" t="n">
        <v>0.0</v>
      </c>
      <c r="N1544" t="inlineStr">
        <is>
          <t/>
        </is>
      </c>
      <c r="O1544" t="n">
        <v>0.0</v>
      </c>
      <c r="P1544" t="n">
        <v>0.0</v>
      </c>
      <c r="Q1544" t="inlineStr">
        <is>
          <t/>
        </is>
      </c>
      <c r="R1544" t="inlineStr">
        <is>
          <t/>
        </is>
      </c>
      <c r="S1544" t="n">
        <v>0.0</v>
      </c>
      <c r="T1544" t="n">
        <v>0.0</v>
      </c>
      <c r="U1544" t="n">
        <v>0.0</v>
      </c>
      <c r="V1544" t="n">
        <v>0.0</v>
      </c>
      <c r="W1544" t="inlineStr">
        <is>
          <t/>
        </is>
      </c>
      <c r="X1544" t="n">
        <v>0.0</v>
      </c>
      <c r="Y1544" t="n">
        <v>0.0</v>
      </c>
      <c r="Z1544" t="n">
        <v>0.0</v>
      </c>
      <c r="AA1544" t="n">
        <v>0.0</v>
      </c>
      <c r="AB1544" t="n">
        <v>0.0</v>
      </c>
      <c r="AC1544" t="n">
        <v>0.0</v>
      </c>
      <c r="AD1544" t="n">
        <v>0.0</v>
      </c>
      <c r="AE1544" t="n">
        <v>0.0</v>
      </c>
      <c r="AF1544" t="n">
        <v>0.0</v>
      </c>
      <c r="AG1544" t="n">
        <v>0.0</v>
      </c>
      <c r="AH1544" t="n">
        <v>0.0</v>
      </c>
      <c r="AI1544" t="n">
        <v>0.0</v>
      </c>
      <c r="AJ1544" t="n">
        <v>0.0</v>
      </c>
      <c r="AK1544" t="inlineStr">
        <is>
          <t/>
        </is>
      </c>
      <c r="AL1544" t="inlineStr">
        <is>
          <t/>
        </is>
      </c>
    </row>
    <row r="1545">
      <c r="A1545" t="inlineStr">
        <is>
          <t>脱脂牛马带饭启发</t>
        </is>
      </c>
      <c r="B1545" t="inlineStr">
        <is>
          <t>69cbdd72000000002301f884</t>
        </is>
      </c>
      <c r="C1545" s="1544" t="n">
        <f>HYPERLINK("https://www.xiaohongshu.com/explore/69cbdd72000000002301f884?xsec_token=TBNvk7eB588c7ey-qUUMF7ORa2eWAAzo1x-Lkye20xOak=&amp;xsec_source=pc_trdark","https://www.xiaohongshu.com/explore/69cbdd72000000002301f884?xsec_token=TBNvk7eB588c7ey-qUUMF7ORa2eWAAzo1x-Lkye20xOak=&amp;xsec_source=pc_trdark")</f>
        <v>0.0</v>
      </c>
      <c r="D1545" t="inlineStr">
        <is>
          <t>菲菲上班吃什么</t>
        </is>
      </c>
      <c r="E1545" t="inlineStr">
        <is>
          <t>49936530607</t>
        </is>
      </c>
      <c r="F1545" t="inlineStr">
        <is>
          <t>2026-03-31 22:42:58</t>
        </is>
      </c>
      <c r="G1545" t="inlineStr">
        <is>
          <t>图文</t>
        </is>
      </c>
      <c r="H1545" t="inlineStr">
        <is>
          <t>手剥虾仁 无冰衣无添加 低脂餐一人食 上班带饭 顺丰包邮 5盒装</t>
        </is>
      </c>
      <c r="I1545" t="inlineStr">
        <is>
          <t>694baba01d450d00013662f0</t>
        </is>
      </c>
      <c r="J1545" t="inlineStr">
        <is>
          <t/>
        </is>
      </c>
      <c r="K1545" t="n">
        <v>0.0</v>
      </c>
      <c r="L1545" t="n">
        <v>0.0</v>
      </c>
      <c r="M1545" t="n">
        <v>0.0</v>
      </c>
      <c r="N1545" t="inlineStr">
        <is>
          <t/>
        </is>
      </c>
      <c r="O1545" t="n">
        <v>0.0</v>
      </c>
      <c r="P1545" t="n">
        <v>0.0</v>
      </c>
      <c r="Q1545" t="inlineStr">
        <is>
          <t/>
        </is>
      </c>
      <c r="R1545" t="inlineStr">
        <is>
          <t/>
        </is>
      </c>
      <c r="S1545" t="n">
        <v>0.0</v>
      </c>
      <c r="T1545" t="n">
        <v>0.0</v>
      </c>
      <c r="U1545" t="n">
        <v>0.0</v>
      </c>
      <c r="V1545" t="n">
        <v>0.0</v>
      </c>
      <c r="W1545" t="inlineStr">
        <is>
          <t/>
        </is>
      </c>
      <c r="X1545" t="n">
        <v>0.0</v>
      </c>
      <c r="Y1545" t="n">
        <v>0.0</v>
      </c>
      <c r="Z1545" t="n">
        <v>0.0</v>
      </c>
      <c r="AA1545" t="n">
        <v>0.0</v>
      </c>
      <c r="AB1545" t="n">
        <v>0.0</v>
      </c>
      <c r="AC1545" t="n">
        <v>0.0</v>
      </c>
      <c r="AD1545" t="n">
        <v>0.0</v>
      </c>
      <c r="AE1545" t="n">
        <v>0.0</v>
      </c>
      <c r="AF1545" t="n">
        <v>0.0</v>
      </c>
      <c r="AG1545" t="n">
        <v>0.0</v>
      </c>
      <c r="AH1545" t="n">
        <v>0.0</v>
      </c>
      <c r="AI1545" t="n">
        <v>0.0</v>
      </c>
      <c r="AJ1545" t="n">
        <v>0.0</v>
      </c>
      <c r="AK1545" t="inlineStr">
        <is>
          <t/>
        </is>
      </c>
      <c r="AL1545" t="inlineStr">
        <is>
          <t/>
        </is>
      </c>
    </row>
    <row r="1546">
      <c r="A1546" t="inlineStr">
        <is>
          <t>逼自己吃了两周水煮虾仁，结果真的惊到我</t>
        </is>
      </c>
      <c r="B1546" t="inlineStr">
        <is>
          <t>69cbd5a3000000001f00702c</t>
        </is>
      </c>
      <c r="C1546" s="1545" t="n">
        <f>HYPERLINK("https://www.xiaohongshu.com/explore/69cbd5a3000000001f00702c?xsec_token=TBNvk7eB588c7ey-qUUMF7OdLeTEZxb_0FZOaAnUewi20=&amp;xsec_source=pc_trdark","https://www.xiaohongshu.com/explore/69cbd5a3000000001f00702c?xsec_token=TBNvk7eB588c7ey-qUUMF7OdLeTEZxb_0FZOaAnUewi20=&amp;xsec_source=pc_trdark")</f>
        <v>0.0</v>
      </c>
      <c r="D1546" t="inlineStr">
        <is>
          <t>婉婉上班吃什么</t>
        </is>
      </c>
      <c r="E1546" t="inlineStr">
        <is>
          <t>11434449706</t>
        </is>
      </c>
      <c r="F1546" t="inlineStr">
        <is>
          <t>2026-03-31 22:09:39</t>
        </is>
      </c>
      <c r="G1546" t="inlineStr">
        <is>
          <t>图文</t>
        </is>
      </c>
      <c r="H1546" t="inlineStr">
        <is>
          <t>手剥虾仁 无冰衣无添加 低脂餐一人食 上班带饭 顺丰包邮 5盒装</t>
        </is>
      </c>
      <c r="I1546" t="inlineStr">
        <is>
          <t>694baba01d450d00013662f0</t>
        </is>
      </c>
      <c r="J1546" t="inlineStr">
        <is>
          <t/>
        </is>
      </c>
      <c r="K1546" t="n">
        <v>0.0</v>
      </c>
      <c r="L1546" t="n">
        <v>0.0</v>
      </c>
      <c r="M1546" t="n">
        <v>0.0</v>
      </c>
      <c r="N1546" t="inlineStr">
        <is>
          <t/>
        </is>
      </c>
      <c r="O1546" t="n">
        <v>0.0</v>
      </c>
      <c r="P1546" t="n">
        <v>0.0</v>
      </c>
      <c r="Q1546" t="inlineStr">
        <is>
          <t/>
        </is>
      </c>
      <c r="R1546" t="inlineStr">
        <is>
          <t/>
        </is>
      </c>
      <c r="S1546" t="n">
        <v>0.0</v>
      </c>
      <c r="T1546" t="n">
        <v>0.0</v>
      </c>
      <c r="U1546" t="n">
        <v>0.0</v>
      </c>
      <c r="V1546" t="n">
        <v>0.0</v>
      </c>
      <c r="W1546" t="inlineStr">
        <is>
          <t/>
        </is>
      </c>
      <c r="X1546" t="n">
        <v>0.0</v>
      </c>
      <c r="Y1546" t="n">
        <v>0.0</v>
      </c>
      <c r="Z1546" t="n">
        <v>0.0</v>
      </c>
      <c r="AA1546" t="n">
        <v>0.0</v>
      </c>
      <c r="AB1546" t="n">
        <v>0.0</v>
      </c>
      <c r="AC1546" t="n">
        <v>0.0</v>
      </c>
      <c r="AD1546" t="n">
        <v>0.0</v>
      </c>
      <c r="AE1546" t="n">
        <v>0.0</v>
      </c>
      <c r="AF1546" t="n">
        <v>0.0</v>
      </c>
      <c r="AG1546" t="n">
        <v>0.0</v>
      </c>
      <c r="AH1546" t="n">
        <v>0.0</v>
      </c>
      <c r="AI1546" t="n">
        <v>0.0</v>
      </c>
      <c r="AJ1546" t="n">
        <v>0.0</v>
      </c>
      <c r="AK1546" t="inlineStr">
        <is>
          <t/>
        </is>
      </c>
      <c r="AL1546" t="inlineStr">
        <is>
          <t/>
        </is>
      </c>
    </row>
    <row r="1547">
      <c r="A1547" t="inlineStr">
        <is>
          <t>香煎三文鱼，其实真的没有那么复杂[哇R]</t>
        </is>
      </c>
      <c r="B1547" t="inlineStr">
        <is>
          <t>69cb7d16000000002800bb98</t>
        </is>
      </c>
      <c r="C1547" s="1546" t="n">
        <f>HYPERLINK("https://www.xiaohongshu.com/explore/69cb7d16000000002800bb98?xsec_token=TBNvk7eB588c7ey-qUUMF7OZcEhMpBVSv8fJx9Omm68b4=&amp;xsec_source=pc_trdark","https://www.xiaohongshu.com/explore/69cb7d16000000002800bb98?xsec_token=TBNvk7eB588c7ey-qUUMF7OZcEhMpBVSv8fJx9Omm68b4=&amp;xsec_source=pc_trdark")</f>
        <v>0.0</v>
      </c>
      <c r="D1547" t="inlineStr">
        <is>
          <t>菲菲上班吃什么</t>
        </is>
      </c>
      <c r="E1547" t="inlineStr">
        <is>
          <t>49936530607</t>
        </is>
      </c>
      <c r="F1547" t="inlineStr">
        <is>
          <t>2026-03-31 15:51:50</t>
        </is>
      </c>
      <c r="G1547" t="inlineStr">
        <is>
          <t>图文</t>
        </is>
      </c>
      <c r="H1547" t="inlineStr">
        <is>
          <t>智利三文鱼切块·整条三文鱼·深海鱼一人食健康饮食</t>
        </is>
      </c>
      <c r="I1547" t="inlineStr">
        <is>
          <t>691ac562a524ee0001b51d7b</t>
        </is>
      </c>
      <c r="J1547" t="inlineStr">
        <is>
          <t/>
        </is>
      </c>
      <c r="K1547" t="n">
        <v>0.0</v>
      </c>
      <c r="L1547" t="n">
        <v>0.0</v>
      </c>
      <c r="M1547" t="n">
        <v>0.0</v>
      </c>
      <c r="N1547" t="inlineStr">
        <is>
          <t/>
        </is>
      </c>
      <c r="O1547" t="n">
        <v>0.0</v>
      </c>
      <c r="P1547" t="n">
        <v>0.0</v>
      </c>
      <c r="Q1547" t="inlineStr">
        <is>
          <t/>
        </is>
      </c>
      <c r="R1547" t="inlineStr">
        <is>
          <t/>
        </is>
      </c>
      <c r="S1547" t="n">
        <v>0.0</v>
      </c>
      <c r="T1547" t="n">
        <v>0.0</v>
      </c>
      <c r="U1547" t="n">
        <v>0.0</v>
      </c>
      <c r="V1547" t="n">
        <v>0.0</v>
      </c>
      <c r="W1547" t="inlineStr">
        <is>
          <t/>
        </is>
      </c>
      <c r="X1547" t="n">
        <v>0.0</v>
      </c>
      <c r="Y1547" t="n">
        <v>0.0</v>
      </c>
      <c r="Z1547" t="n">
        <v>0.0</v>
      </c>
      <c r="AA1547" t="n">
        <v>0.0</v>
      </c>
      <c r="AB1547" t="n">
        <v>0.0</v>
      </c>
      <c r="AC1547" t="n">
        <v>0.0</v>
      </c>
      <c r="AD1547" t="n">
        <v>0.0</v>
      </c>
      <c r="AE1547" t="n">
        <v>0.0</v>
      </c>
      <c r="AF1547" t="n">
        <v>0.0</v>
      </c>
      <c r="AG1547" t="n">
        <v>0.0</v>
      </c>
      <c r="AH1547" t="n">
        <v>0.0</v>
      </c>
      <c r="AI1547" t="n">
        <v>0.0</v>
      </c>
      <c r="AJ1547" t="n">
        <v>0.0</v>
      </c>
      <c r="AK1547" t="inlineStr">
        <is>
          <t/>
        </is>
      </c>
      <c r="AL1547" t="inlineStr">
        <is>
          <t/>
        </is>
      </c>
    </row>
    <row r="1548">
      <c r="A1548" t="inlineStr">
        <is>
          <t>青岛无冰衣手剥大虾仁入驻小红书了！！</t>
        </is>
      </c>
      <c r="B1548" t="inlineStr">
        <is>
          <t>69cb3f80000000002003a5d1</t>
        </is>
      </c>
      <c r="C1548" s="1547" t="n">
        <f>HYPERLINK("https://www.xiaohongshu.com/explore/69cb3f80000000002003a5d1?xsec_token=TBNvk7eB588c7ey-qUUMF7ORtthKugWghWI6APJvv_W1k=&amp;xsec_source=pc_trdark","https://www.xiaohongshu.com/explore/69cb3f80000000002003a5d1?xsec_token=TBNvk7eB588c7ey-qUUMF7ORtthKugWghWI6APJvv_W1k=&amp;xsec_source=pc_trdark")</f>
        <v>0.0</v>
      </c>
      <c r="D1548" t="inlineStr">
        <is>
          <t>鲜水湾</t>
        </is>
      </c>
      <c r="E1548" t="inlineStr">
        <is>
          <t>49316638994</t>
        </is>
      </c>
      <c r="F1548" t="inlineStr">
        <is>
          <t>2026-03-31 11:29:04</t>
        </is>
      </c>
      <c r="G1548" t="inlineStr">
        <is>
          <t>图文</t>
        </is>
      </c>
      <c r="H1548" t="inlineStr">
        <is>
          <t>手剥虾仁 无冰衣无添加 低脂餐一人食 上班带饭 顺丰包邮 5盒装</t>
        </is>
      </c>
      <c r="I1548" t="inlineStr">
        <is>
          <t>694baba01d450d00013662f0</t>
        </is>
      </c>
      <c r="J1548" t="inlineStr">
        <is>
          <t/>
        </is>
      </c>
      <c r="K1548" t="n">
        <v>0.0</v>
      </c>
      <c r="L1548" t="n">
        <v>0.0</v>
      </c>
      <c r="M1548" t="n">
        <v>0.0</v>
      </c>
      <c r="N1548" t="inlineStr">
        <is>
          <t/>
        </is>
      </c>
      <c r="O1548" t="n">
        <v>0.0</v>
      </c>
      <c r="P1548" t="n">
        <v>0.0</v>
      </c>
      <c r="Q1548" t="inlineStr">
        <is>
          <t/>
        </is>
      </c>
      <c r="R1548" t="inlineStr">
        <is>
          <t/>
        </is>
      </c>
      <c r="S1548" t="n">
        <v>0.0</v>
      </c>
      <c r="T1548" t="n">
        <v>0.0</v>
      </c>
      <c r="U1548" t="n">
        <v>0.0</v>
      </c>
      <c r="V1548" t="n">
        <v>0.0</v>
      </c>
      <c r="W1548" t="inlineStr">
        <is>
          <t/>
        </is>
      </c>
      <c r="X1548" t="n">
        <v>0.0</v>
      </c>
      <c r="Y1548" t="n">
        <v>0.0</v>
      </c>
      <c r="Z1548" t="n">
        <v>0.0</v>
      </c>
      <c r="AA1548" t="n">
        <v>0.0</v>
      </c>
      <c r="AB1548" t="n">
        <v>0.0</v>
      </c>
      <c r="AC1548" t="n">
        <v>0.0</v>
      </c>
      <c r="AD1548" t="n">
        <v>0.0</v>
      </c>
      <c r="AE1548" t="n">
        <v>0.0</v>
      </c>
      <c r="AF1548" t="n">
        <v>0.0</v>
      </c>
      <c r="AG1548" t="n">
        <v>0.0</v>
      </c>
      <c r="AH1548" t="n">
        <v>0.0</v>
      </c>
      <c r="AI1548" t="n">
        <v>0.0</v>
      </c>
      <c r="AJ1548" t="n">
        <v>0.0</v>
      </c>
      <c r="AK1548" t="inlineStr">
        <is>
          <t/>
        </is>
      </c>
      <c r="AL1548" t="inlineStr">
        <is>
          <t/>
        </is>
      </c>
    </row>
    <row r="1549">
      <c r="A1549" t="inlineStr">
        <is>
          <t>完全低估了300多的购买力…</t>
        </is>
      </c>
      <c r="B1549" t="inlineStr">
        <is>
          <t>69ca9b20000000001b022f98</t>
        </is>
      </c>
      <c r="C1549" s="1548" t="n">
        <f>HYPERLINK("https://www.xiaohongshu.com/explore/69ca9b20000000001b022f98?xsec_token=TBZMwIQ43aS0K0DsaEHGlBqgg83skNUCe6chnhZXv2cU0=&amp;xsec_source=pc_trdark","https://www.xiaohongshu.com/explore/69ca9b20000000001b022f98?xsec_token=TBZMwIQ43aS0K0DsaEHGlBqgg83skNUCe6chnhZXv2cU0=&amp;xsec_source=pc_trdark")</f>
        <v>0.0</v>
      </c>
      <c r="D1549" t="inlineStr">
        <is>
          <t>婉婉上班吃什么</t>
        </is>
      </c>
      <c r="E1549" t="inlineStr">
        <is>
          <t>11434449706</t>
        </is>
      </c>
      <c r="F1549" t="inlineStr">
        <is>
          <t>2026-03-30 23:47:44</t>
        </is>
      </c>
      <c r="G1549" t="inlineStr">
        <is>
          <t>图文</t>
        </is>
      </c>
      <c r="H1549" t="inlineStr">
        <is>
          <t>智利三文鱼切块·整条三文鱼·深海鱼一人食健康饮食</t>
        </is>
      </c>
      <c r="I1549" t="inlineStr">
        <is>
          <t>691ac562a524ee0001b51d7b</t>
        </is>
      </c>
      <c r="J1549" t="inlineStr">
        <is>
          <t/>
        </is>
      </c>
      <c r="K1549" t="n">
        <v>0.0</v>
      </c>
      <c r="L1549" t="n">
        <v>0.0</v>
      </c>
      <c r="M1549" t="n">
        <v>0.0</v>
      </c>
      <c r="N1549" t="inlineStr">
        <is>
          <t/>
        </is>
      </c>
      <c r="O1549" t="n">
        <v>0.0</v>
      </c>
      <c r="P1549" t="n">
        <v>0.0</v>
      </c>
      <c r="Q1549" t="inlineStr">
        <is>
          <t/>
        </is>
      </c>
      <c r="R1549" t="inlineStr">
        <is>
          <t/>
        </is>
      </c>
      <c r="S1549" t="n">
        <v>0.0</v>
      </c>
      <c r="T1549" t="n">
        <v>0.0</v>
      </c>
      <c r="U1549" t="n">
        <v>0.0</v>
      </c>
      <c r="V1549" t="n">
        <v>0.0</v>
      </c>
      <c r="W1549" t="inlineStr">
        <is>
          <t/>
        </is>
      </c>
      <c r="X1549" t="n">
        <v>0.0</v>
      </c>
      <c r="Y1549" t="n">
        <v>0.0</v>
      </c>
      <c r="Z1549" t="n">
        <v>0.0</v>
      </c>
      <c r="AA1549" t="n">
        <v>0.0</v>
      </c>
      <c r="AB1549" t="n">
        <v>0.0</v>
      </c>
      <c r="AC1549" t="n">
        <v>0.0</v>
      </c>
      <c r="AD1549" t="n">
        <v>0.0</v>
      </c>
      <c r="AE1549" t="n">
        <v>0.0</v>
      </c>
      <c r="AF1549" t="n">
        <v>0.0</v>
      </c>
      <c r="AG1549" t="n">
        <v>0.0</v>
      </c>
      <c r="AH1549" t="n">
        <v>0.0</v>
      </c>
      <c r="AI1549" t="n">
        <v>0.0</v>
      </c>
      <c r="AJ1549" t="n">
        <v>0.0</v>
      </c>
      <c r="AK1549" t="inlineStr">
        <is>
          <t/>
        </is>
      </c>
      <c r="AL1549" t="inlineStr">
        <is>
          <t/>
        </is>
      </c>
    </row>
    <row r="1550">
      <c r="A1550" t="inlineStr">
        <is>
          <t>以为300多没多少，结果把整条三文鱼发来了</t>
        </is>
      </c>
      <c r="B1550" t="inlineStr">
        <is>
          <t>69ca9180000000001f0062ef</t>
        </is>
      </c>
      <c r="C1550" s="1549" t="n">
        <f>HYPERLINK("https://www.xiaohongshu.com/explore/69ca9180000000001f0062ef?xsec_token=TBZMwIQ43aS0K0DsaEHGlBqn0EtkL28aeZ5-wVlTeBLbI=&amp;xsec_source=pc_trdark","https://www.xiaohongshu.com/explore/69ca9180000000001f0062ef?xsec_token=TBZMwIQ43aS0K0DsaEHGlBqn0EtkL28aeZ5-wVlTeBLbI=&amp;xsec_source=pc_trdark")</f>
        <v>0.0</v>
      </c>
      <c r="D1550" t="inlineStr">
        <is>
          <t>菲菲上班吃什么</t>
        </is>
      </c>
      <c r="E1550" t="inlineStr">
        <is>
          <t>49936530607</t>
        </is>
      </c>
      <c r="F1550" t="inlineStr">
        <is>
          <t>2026-03-30 23:06:40</t>
        </is>
      </c>
      <c r="G1550" t="inlineStr">
        <is>
          <t>图文</t>
        </is>
      </c>
      <c r="H1550" t="inlineStr">
        <is>
          <t>智利三文鱼切块·整条三文鱼·深海鱼一人食健康饮食</t>
        </is>
      </c>
      <c r="I1550" t="inlineStr">
        <is>
          <t>691ac562a524ee0001b51d7b</t>
        </is>
      </c>
      <c r="J1550" t="inlineStr">
        <is>
          <t/>
        </is>
      </c>
      <c r="K1550" t="n">
        <v>0.0</v>
      </c>
      <c r="L1550" t="n">
        <v>0.0</v>
      </c>
      <c r="M1550" t="n">
        <v>0.0</v>
      </c>
      <c r="N1550" t="inlineStr">
        <is>
          <t/>
        </is>
      </c>
      <c r="O1550" t="n">
        <v>0.0</v>
      </c>
      <c r="P1550" t="n">
        <v>0.0</v>
      </c>
      <c r="Q1550" t="inlineStr">
        <is>
          <t/>
        </is>
      </c>
      <c r="R1550" t="inlineStr">
        <is>
          <t/>
        </is>
      </c>
      <c r="S1550" t="n">
        <v>0.0</v>
      </c>
      <c r="T1550" t="n">
        <v>0.0</v>
      </c>
      <c r="U1550" t="n">
        <v>0.0</v>
      </c>
      <c r="V1550" t="n">
        <v>0.0</v>
      </c>
      <c r="W1550" t="inlineStr">
        <is>
          <t/>
        </is>
      </c>
      <c r="X1550" t="n">
        <v>0.0</v>
      </c>
      <c r="Y1550" t="n">
        <v>0.0</v>
      </c>
      <c r="Z1550" t="n">
        <v>0.0</v>
      </c>
      <c r="AA1550" t="n">
        <v>0.0</v>
      </c>
      <c r="AB1550" t="n">
        <v>0.0</v>
      </c>
      <c r="AC1550" t="n">
        <v>0.0</v>
      </c>
      <c r="AD1550" t="n">
        <v>0.0</v>
      </c>
      <c r="AE1550" t="n">
        <v>0.0</v>
      </c>
      <c r="AF1550" t="n">
        <v>0.0</v>
      </c>
      <c r="AG1550" t="n">
        <v>0.0</v>
      </c>
      <c r="AH1550" t="n">
        <v>0.0</v>
      </c>
      <c r="AI1550" t="n">
        <v>0.0</v>
      </c>
      <c r="AJ1550" t="n">
        <v>0.0</v>
      </c>
      <c r="AK1550" t="inlineStr">
        <is>
          <t/>
        </is>
      </c>
      <c r="AL1550" t="inlineStr">
        <is>
          <t/>
        </is>
      </c>
    </row>
    <row r="1551">
      <c r="A1551" t="inlineStr">
        <is>
          <t>奉劝大家不要低估了100来块的购买力…</t>
        </is>
      </c>
      <c r="B1551" t="inlineStr">
        <is>
          <t>69ca4b650000000020038d5c</t>
        </is>
      </c>
      <c r="C1551" s="1550" t="n">
        <f>HYPERLINK("https://www.xiaohongshu.com/explore/69ca4b650000000020038d5c?xsec_token=TBZMwIQ43aS0K0DsaEHGlBqiOJChTYLifzA6OgCAxHaLg=&amp;xsec_source=pc_trdark","https://www.xiaohongshu.com/explore/69ca4b650000000020038d5c?xsec_token=TBZMwIQ43aS0K0DsaEHGlBqiOJChTYLifzA6OgCAxHaLg=&amp;xsec_source=pc_trdark")</f>
        <v>0.0</v>
      </c>
      <c r="D1551" t="inlineStr">
        <is>
          <t>婉婉上班吃什么</t>
        </is>
      </c>
      <c r="E1551" t="inlineStr">
        <is>
          <t>11434449706</t>
        </is>
      </c>
      <c r="F1551" t="inlineStr">
        <is>
          <t>2026-03-30 18:07:33</t>
        </is>
      </c>
      <c r="G1551" t="inlineStr">
        <is>
          <t>图文</t>
        </is>
      </c>
      <c r="H1551" t="inlineStr">
        <is>
          <t>手剥虾仁 无冰衣无添加 低脂餐一人食 上班带饭 顺丰包邮 5盒装</t>
        </is>
      </c>
      <c r="I1551" t="inlineStr">
        <is>
          <t>694baba01d450d00013662f0</t>
        </is>
      </c>
      <c r="J1551" t="inlineStr">
        <is>
          <t/>
        </is>
      </c>
      <c r="K1551" t="n">
        <v>0.0</v>
      </c>
      <c r="L1551" t="n">
        <v>0.0</v>
      </c>
      <c r="M1551" t="n">
        <v>0.0</v>
      </c>
      <c r="N1551" t="inlineStr">
        <is>
          <t/>
        </is>
      </c>
      <c r="O1551" t="n">
        <v>0.0</v>
      </c>
      <c r="P1551" t="n">
        <v>0.0</v>
      </c>
      <c r="Q1551" t="inlineStr">
        <is>
          <t/>
        </is>
      </c>
      <c r="R1551" t="inlineStr">
        <is>
          <t/>
        </is>
      </c>
      <c r="S1551" t="n">
        <v>0.0</v>
      </c>
      <c r="T1551" t="n">
        <v>0.0</v>
      </c>
      <c r="U1551" t="n">
        <v>0.0</v>
      </c>
      <c r="V1551" t="n">
        <v>0.0</v>
      </c>
      <c r="W1551" t="inlineStr">
        <is>
          <t/>
        </is>
      </c>
      <c r="X1551" t="n">
        <v>0.0</v>
      </c>
      <c r="Y1551" t="n">
        <v>0.0</v>
      </c>
      <c r="Z1551" t="n">
        <v>0.0</v>
      </c>
      <c r="AA1551" t="n">
        <v>0.0</v>
      </c>
      <c r="AB1551" t="n">
        <v>0.0</v>
      </c>
      <c r="AC1551" t="n">
        <v>0.0</v>
      </c>
      <c r="AD1551" t="n">
        <v>0.0</v>
      </c>
      <c r="AE1551" t="n">
        <v>0.0</v>
      </c>
      <c r="AF1551" t="n">
        <v>0.0</v>
      </c>
      <c r="AG1551" t="n">
        <v>0.0</v>
      </c>
      <c r="AH1551" t="n">
        <v>0.0</v>
      </c>
      <c r="AI1551" t="n">
        <v>0.0</v>
      </c>
      <c r="AJ1551" t="n">
        <v>0.0</v>
      </c>
      <c r="AK1551" t="inlineStr">
        <is>
          <t/>
        </is>
      </c>
      <c r="AL1551" t="inlineStr">
        <is>
          <t/>
        </is>
      </c>
    </row>
    <row r="1552">
      <c r="A1552" t="inlineStr">
        <is>
          <t>带饭的尽头…真的是极简</t>
        </is>
      </c>
      <c r="B1552" t="inlineStr">
        <is>
          <t>69ca2a12000000002800a3fc</t>
        </is>
      </c>
      <c r="C1552" s="1551" t="n">
        <f>HYPERLINK("https://www.xiaohongshu.com/explore/69ca2a12000000002800a3fc?xsec_token=TBZMwIQ43aS0K0DsaEHGlBqjPy6f1AqJZUap9MJ_avY6Q=&amp;xsec_source=pc_trdark","https://www.xiaohongshu.com/explore/69ca2a12000000002800a3fc?xsec_token=TBZMwIQ43aS0K0DsaEHGlBqjPy6f1AqJZUap9MJ_avY6Q=&amp;xsec_source=pc_trdark")</f>
        <v>0.0</v>
      </c>
      <c r="D1552" t="inlineStr">
        <is>
          <t>鲜水湾</t>
        </is>
      </c>
      <c r="E1552" t="inlineStr">
        <is>
          <t>49316638994</t>
        </is>
      </c>
      <c r="F1552" t="inlineStr">
        <is>
          <t>2026-03-30 15:45:22</t>
        </is>
      </c>
      <c r="G1552" t="inlineStr">
        <is>
          <t>图文</t>
        </is>
      </c>
      <c r="H1552" t="inlineStr">
        <is>
          <t>手剥虾仁 无冰衣无添加 低脂餐一人食 上班带饭 顺丰包邮 5盒装</t>
        </is>
      </c>
      <c r="I1552" t="inlineStr">
        <is>
          <t>694baba01d450d00013662f0</t>
        </is>
      </c>
      <c r="J1552" t="inlineStr">
        <is>
          <t/>
        </is>
      </c>
      <c r="K1552" t="n">
        <v>0.0</v>
      </c>
      <c r="L1552" t="n">
        <v>0.0</v>
      </c>
      <c r="M1552" t="n">
        <v>0.0</v>
      </c>
      <c r="N1552" t="inlineStr">
        <is>
          <t/>
        </is>
      </c>
      <c r="O1552" t="n">
        <v>0.0</v>
      </c>
      <c r="P1552" t="n">
        <v>0.0</v>
      </c>
      <c r="Q1552" t="inlineStr">
        <is>
          <t/>
        </is>
      </c>
      <c r="R1552" t="inlineStr">
        <is>
          <t/>
        </is>
      </c>
      <c r="S1552" t="n">
        <v>0.0</v>
      </c>
      <c r="T1552" t="n">
        <v>0.0</v>
      </c>
      <c r="U1552" t="n">
        <v>0.0</v>
      </c>
      <c r="V1552" t="n">
        <v>0.0</v>
      </c>
      <c r="W1552" t="inlineStr">
        <is>
          <t/>
        </is>
      </c>
      <c r="X1552" t="n">
        <v>0.0</v>
      </c>
      <c r="Y1552" t="n">
        <v>0.0</v>
      </c>
      <c r="Z1552" t="n">
        <v>0.0</v>
      </c>
      <c r="AA1552" t="n">
        <v>0.0</v>
      </c>
      <c r="AB1552" t="n">
        <v>0.0</v>
      </c>
      <c r="AC1552" t="n">
        <v>0.0</v>
      </c>
      <c r="AD1552" t="n">
        <v>0.0</v>
      </c>
      <c r="AE1552" t="n">
        <v>0.0</v>
      </c>
      <c r="AF1552" t="n">
        <v>0.0</v>
      </c>
      <c r="AG1552" t="n">
        <v>0.0</v>
      </c>
      <c r="AH1552" t="n">
        <v>0.0</v>
      </c>
      <c r="AI1552" t="n">
        <v>0.0</v>
      </c>
      <c r="AJ1552" t="n">
        <v>0.0</v>
      </c>
      <c r="AK1552" t="inlineStr">
        <is>
          <t/>
        </is>
      </c>
      <c r="AL1552" t="inlineStr">
        <is>
          <t/>
        </is>
      </c>
    </row>
    <row r="1553">
      <c r="A1553" t="inlineStr">
        <is>
          <t>100来块吃不了一顿火锅，但能承包我一周</t>
        </is>
      </c>
      <c r="B1553" t="inlineStr">
        <is>
          <t>69ca17c8000000001f0004f7</t>
        </is>
      </c>
      <c r="C1553" s="1552" t="n">
        <f>HYPERLINK("https://www.xiaohongshu.com/explore/69ca17c8000000001f0004f7?xsec_token=TBZMwIQ43aS0K0DsaEHGlBqqLcmxaG4YA08ShFTUAVGJg=&amp;xsec_source=pc_trdark","https://www.xiaohongshu.com/explore/69ca17c8000000001f0004f7?xsec_token=TBZMwIQ43aS0K0DsaEHGlBqqLcmxaG4YA08ShFTUAVGJg=&amp;xsec_source=pc_trdark")</f>
        <v>0.0</v>
      </c>
      <c r="D1553" t="inlineStr">
        <is>
          <t>菲菲上班吃什么</t>
        </is>
      </c>
      <c r="E1553" t="inlineStr">
        <is>
          <t>49936530607</t>
        </is>
      </c>
      <c r="F1553" t="inlineStr">
        <is>
          <t>2026-03-30 14:27:20</t>
        </is>
      </c>
      <c r="G1553" t="inlineStr">
        <is>
          <t>图文</t>
        </is>
      </c>
      <c r="H1553" t="inlineStr">
        <is>
          <t>手剥虾仁 无冰衣无添加 低脂餐一人食 上班带饭 顺丰包邮 5盒装</t>
        </is>
      </c>
      <c r="I1553" t="inlineStr">
        <is>
          <t>694baba01d450d00013662f0</t>
        </is>
      </c>
      <c r="J1553" t="inlineStr">
        <is>
          <t/>
        </is>
      </c>
      <c r="K1553" t="n">
        <v>0.0</v>
      </c>
      <c r="L1553" t="n">
        <v>0.0</v>
      </c>
      <c r="M1553" t="n">
        <v>0.0</v>
      </c>
      <c r="N1553" t="inlineStr">
        <is>
          <t/>
        </is>
      </c>
      <c r="O1553" t="n">
        <v>0.0</v>
      </c>
      <c r="P1553" t="n">
        <v>0.0</v>
      </c>
      <c r="Q1553" t="inlineStr">
        <is>
          <t/>
        </is>
      </c>
      <c r="R1553" t="inlineStr">
        <is>
          <t/>
        </is>
      </c>
      <c r="S1553" t="n">
        <v>0.0</v>
      </c>
      <c r="T1553" t="n">
        <v>0.0</v>
      </c>
      <c r="U1553" t="n">
        <v>0.0</v>
      </c>
      <c r="V1553" t="n">
        <v>0.0</v>
      </c>
      <c r="W1553" t="inlineStr">
        <is>
          <t/>
        </is>
      </c>
      <c r="X1553" t="n">
        <v>0.0</v>
      </c>
      <c r="Y1553" t="n">
        <v>0.0</v>
      </c>
      <c r="Z1553" t="n">
        <v>0.0</v>
      </c>
      <c r="AA1553" t="n">
        <v>0.0</v>
      </c>
      <c r="AB1553" t="n">
        <v>0.0</v>
      </c>
      <c r="AC1553" t="n">
        <v>0.0</v>
      </c>
      <c r="AD1553" t="n">
        <v>0.0</v>
      </c>
      <c r="AE1553" t="n">
        <v>0.0</v>
      </c>
      <c r="AF1553" t="n">
        <v>0.0</v>
      </c>
      <c r="AG1553" t="n">
        <v>0.0</v>
      </c>
      <c r="AH1553" t="n">
        <v>0.0</v>
      </c>
      <c r="AI1553" t="n">
        <v>0.0</v>
      </c>
      <c r="AJ1553" t="n">
        <v>0.0</v>
      </c>
      <c r="AK1553" t="inlineStr">
        <is>
          <t/>
        </is>
      </c>
      <c r="AL1553" t="inlineStr">
        <is>
          <t/>
        </is>
      </c>
    </row>
    <row r="1554">
      <c r="A1554" t="inlineStr">
        <is>
          <t>100来块解决我半个月的上班带饭</t>
        </is>
      </c>
      <c r="B1554" t="inlineStr">
        <is>
          <t>69ca07a600000000220243b5</t>
        </is>
      </c>
      <c r="C1554" s="1553" t="n">
        <f>HYPERLINK("https://www.xiaohongshu.com/explore/69ca07a600000000220243b5?xsec_token=TBZMwIQ43aS0K0DsaEHGlBqnSzVMVOKf_ZtO_Bf43xZRY=&amp;xsec_source=pc_trdark","https://www.xiaohongshu.com/explore/69ca07a600000000220243b5?xsec_token=TBZMwIQ43aS0K0DsaEHGlBqnSzVMVOKf_ZtO_Bf43xZRY=&amp;xsec_source=pc_trdark")</f>
        <v>0.0</v>
      </c>
      <c r="D1554" t="inlineStr">
        <is>
          <t>婉婉上班吃什么</t>
        </is>
      </c>
      <c r="E1554" t="inlineStr">
        <is>
          <t>11434449706</t>
        </is>
      </c>
      <c r="F1554" t="inlineStr">
        <is>
          <t>2026-03-30 13:18:30</t>
        </is>
      </c>
      <c r="G1554" t="inlineStr">
        <is>
          <t>图文</t>
        </is>
      </c>
      <c r="H1554" t="inlineStr">
        <is>
          <t>手剥虾仁 无冰衣无添加 低脂餐一人食 上班带饭 顺丰包邮 5盒装</t>
        </is>
      </c>
      <c r="I1554" t="inlineStr">
        <is>
          <t>694baba01d450d00013662f0</t>
        </is>
      </c>
      <c r="J1554" t="inlineStr">
        <is>
          <t/>
        </is>
      </c>
      <c r="K1554" t="n">
        <v>0.0</v>
      </c>
      <c r="L1554" t="n">
        <v>0.0</v>
      </c>
      <c r="M1554" t="n">
        <v>0.0</v>
      </c>
      <c r="N1554" t="inlineStr">
        <is>
          <t/>
        </is>
      </c>
      <c r="O1554" t="n">
        <v>0.0</v>
      </c>
      <c r="P1554" t="n">
        <v>0.0</v>
      </c>
      <c r="Q1554" t="inlineStr">
        <is>
          <t/>
        </is>
      </c>
      <c r="R1554" t="inlineStr">
        <is>
          <t/>
        </is>
      </c>
      <c r="S1554" t="n">
        <v>0.0</v>
      </c>
      <c r="T1554" t="n">
        <v>0.0</v>
      </c>
      <c r="U1554" t="n">
        <v>0.0</v>
      </c>
      <c r="V1554" t="n">
        <v>0.0</v>
      </c>
      <c r="W1554" t="inlineStr">
        <is>
          <t/>
        </is>
      </c>
      <c r="X1554" t="n">
        <v>0.0</v>
      </c>
      <c r="Y1554" t="n">
        <v>0.0</v>
      </c>
      <c r="Z1554" t="n">
        <v>0.0</v>
      </c>
      <c r="AA1554" t="n">
        <v>0.0</v>
      </c>
      <c r="AB1554" t="n">
        <v>0.0</v>
      </c>
      <c r="AC1554" t="n">
        <v>0.0</v>
      </c>
      <c r="AD1554" t="n">
        <v>0.0</v>
      </c>
      <c r="AE1554" t="n">
        <v>0.0</v>
      </c>
      <c r="AF1554" t="n">
        <v>0.0</v>
      </c>
      <c r="AG1554" t="n">
        <v>0.0</v>
      </c>
      <c r="AH1554" t="n">
        <v>0.0</v>
      </c>
      <c r="AI1554" t="n">
        <v>0.0</v>
      </c>
      <c r="AJ1554" t="n">
        <v>0.0</v>
      </c>
      <c r="AK1554" t="inlineStr">
        <is>
          <t/>
        </is>
      </c>
      <c r="AL1554" t="inlineStr">
        <is>
          <t/>
        </is>
      </c>
    </row>
    <row r="1555">
      <c r="A1555" t="inlineStr">
        <is>
          <t>还好被我找到了，不用处理的蛋白质补给</t>
        </is>
      </c>
      <c r="B1555" t="inlineStr">
        <is>
          <t>69ca0620000000001a037781</t>
        </is>
      </c>
      <c r="C1555" s="1554" t="n">
        <f>HYPERLINK("https://www.xiaohongshu.com/explore/69ca0620000000001a037781?xsec_token=TBZMwIQ43aS0K0DsaEHGlBqsH8zufDUsptKb9sv29pnMg=&amp;xsec_source=pc_trdark","https://www.xiaohongshu.com/explore/69ca0620000000001a037781?xsec_token=TBZMwIQ43aS0K0DsaEHGlBqsH8zufDUsptKb9sv29pnMg=&amp;xsec_source=pc_trdark")</f>
        <v>0.0</v>
      </c>
      <c r="D1555" t="inlineStr">
        <is>
          <t>菲菲上班吃什么</t>
        </is>
      </c>
      <c r="E1555" t="inlineStr">
        <is>
          <t>49936530607</t>
        </is>
      </c>
      <c r="F1555" t="inlineStr">
        <is>
          <t>2026-03-30 13:12:00</t>
        </is>
      </c>
      <c r="G1555" t="inlineStr">
        <is>
          <t>图文</t>
        </is>
      </c>
      <c r="H1555" t="inlineStr">
        <is>
          <t>手剥虾仁 无冰衣无添加 低脂餐一人食 上班带饭 顺丰包邮 5盒装</t>
        </is>
      </c>
      <c r="I1555" t="inlineStr">
        <is>
          <t>694baba01d450d00013662f0</t>
        </is>
      </c>
      <c r="J1555" t="inlineStr">
        <is>
          <t/>
        </is>
      </c>
      <c r="K1555" t="n">
        <v>0.0</v>
      </c>
      <c r="L1555" t="n">
        <v>0.0</v>
      </c>
      <c r="M1555" t="n">
        <v>0.0</v>
      </c>
      <c r="N1555" t="inlineStr">
        <is>
          <t/>
        </is>
      </c>
      <c r="O1555" t="n">
        <v>0.0</v>
      </c>
      <c r="P1555" t="n">
        <v>0.0</v>
      </c>
      <c r="Q1555" t="inlineStr">
        <is>
          <t/>
        </is>
      </c>
      <c r="R1555" t="inlineStr">
        <is>
          <t/>
        </is>
      </c>
      <c r="S1555" t="n">
        <v>0.0</v>
      </c>
      <c r="T1555" t="n">
        <v>0.0</v>
      </c>
      <c r="U1555" t="n">
        <v>0.0</v>
      </c>
      <c r="V1555" t="n">
        <v>0.0</v>
      </c>
      <c r="W1555" t="inlineStr">
        <is>
          <t/>
        </is>
      </c>
      <c r="X1555" t="n">
        <v>0.0</v>
      </c>
      <c r="Y1555" t="n">
        <v>0.0</v>
      </c>
      <c r="Z1555" t="n">
        <v>0.0</v>
      </c>
      <c r="AA1555" t="n">
        <v>0.0</v>
      </c>
      <c r="AB1555" t="n">
        <v>0.0</v>
      </c>
      <c r="AC1555" t="n">
        <v>0.0</v>
      </c>
      <c r="AD1555" t="n">
        <v>0.0</v>
      </c>
      <c r="AE1555" t="n">
        <v>0.0</v>
      </c>
      <c r="AF1555" t="n">
        <v>0.0</v>
      </c>
      <c r="AG1555" t="n">
        <v>0.0</v>
      </c>
      <c r="AH1555" t="n">
        <v>0.0</v>
      </c>
      <c r="AI1555" t="n">
        <v>0.0</v>
      </c>
      <c r="AJ1555" t="n">
        <v>0.0</v>
      </c>
      <c r="AK1555" t="inlineStr">
        <is>
          <t/>
        </is>
      </c>
      <c r="AL1555" t="inlineStr">
        <is>
          <t/>
        </is>
      </c>
    </row>
    <row r="1556">
      <c r="A1556" t="inlineStr">
        <is>
          <t>315过后，大家都买这种无保水剂的虾仁了</t>
        </is>
      </c>
      <c r="B1556" t="inlineStr">
        <is>
          <t>69c94348000000001e00e321</t>
        </is>
      </c>
      <c r="C1556" s="1555" t="n">
        <f>HYPERLINK("https://www.xiaohongshu.com/explore/69c94348000000001e00e321?xsec_token=TBbpP5CiN94LtvLtPXlqbAxcA1xLNWjVfTml-izYYRin0=&amp;xsec_source=pc_trdark","https://www.xiaohongshu.com/explore/69c94348000000001e00e321?xsec_token=TBbpP5CiN94LtvLtPXlqbAxcA1xLNWjVfTml-izYYRin0=&amp;xsec_source=pc_trdark")</f>
        <v>0.0</v>
      </c>
      <c r="D1556" t="inlineStr">
        <is>
          <t>鲜水湾</t>
        </is>
      </c>
      <c r="E1556" t="inlineStr">
        <is>
          <t>49316638994</t>
        </is>
      </c>
      <c r="F1556" t="inlineStr">
        <is>
          <t>2026-03-29 23:20:40</t>
        </is>
      </c>
      <c r="G1556" t="inlineStr">
        <is>
          <t>图文</t>
        </is>
      </c>
      <c r="H1556" t="inlineStr">
        <is>
          <t>手剥虾仁 无冰衣无添加 低脂餐一人食 上班带饭 顺丰包邮 5盒装</t>
        </is>
      </c>
      <c r="I1556" t="inlineStr">
        <is>
          <t>694baba01d450d00013662f0</t>
        </is>
      </c>
      <c r="J1556" t="inlineStr">
        <is>
          <t/>
        </is>
      </c>
      <c r="K1556" t="n">
        <v>0.0</v>
      </c>
      <c r="L1556" t="n">
        <v>0.0</v>
      </c>
      <c r="M1556" t="n">
        <v>0.0</v>
      </c>
      <c r="N1556" t="inlineStr">
        <is>
          <t/>
        </is>
      </c>
      <c r="O1556" t="n">
        <v>0.0</v>
      </c>
      <c r="P1556" t="n">
        <v>0.0</v>
      </c>
      <c r="Q1556" t="inlineStr">
        <is>
          <t/>
        </is>
      </c>
      <c r="R1556" t="inlineStr">
        <is>
          <t/>
        </is>
      </c>
      <c r="S1556" t="n">
        <v>0.0</v>
      </c>
      <c r="T1556" t="n">
        <v>0.0</v>
      </c>
      <c r="U1556" t="n">
        <v>0.0</v>
      </c>
      <c r="V1556" t="n">
        <v>0.0</v>
      </c>
      <c r="W1556" t="inlineStr">
        <is>
          <t/>
        </is>
      </c>
      <c r="X1556" t="n">
        <v>0.0</v>
      </c>
      <c r="Y1556" t="n">
        <v>0.0</v>
      </c>
      <c r="Z1556" t="n">
        <v>0.0</v>
      </c>
      <c r="AA1556" t="n">
        <v>0.0</v>
      </c>
      <c r="AB1556" t="n">
        <v>0.0</v>
      </c>
      <c r="AC1556" t="n">
        <v>0.0</v>
      </c>
      <c r="AD1556" t="n">
        <v>0.0</v>
      </c>
      <c r="AE1556" t="n">
        <v>0.0</v>
      </c>
      <c r="AF1556" t="n">
        <v>0.0</v>
      </c>
      <c r="AG1556" t="n">
        <v>0.0</v>
      </c>
      <c r="AH1556" t="n">
        <v>0.0</v>
      </c>
      <c r="AI1556" t="n">
        <v>0.0</v>
      </c>
      <c r="AJ1556" t="n">
        <v>0.0</v>
      </c>
      <c r="AK1556" t="inlineStr">
        <is>
          <t/>
        </is>
      </c>
      <c r="AL1556" t="inlineStr">
        <is>
          <t/>
        </is>
      </c>
    </row>
    <row r="1557">
      <c r="A1557" t="inlineStr">
        <is>
          <t>泪水打湿控体餐！坚持so到100斤！</t>
        </is>
      </c>
      <c r="B1557" t="inlineStr">
        <is>
          <t>69c92c4b000000001a037418</t>
        </is>
      </c>
      <c r="C1557" s="1556" t="n">
        <f>HYPERLINK("https://www.xiaohongshu.com/explore/69c92c4b000000001a037418?xsec_token=TBbpP5CiN94LtvLtPXlqbAxWUlSJdSlXbGwEKV-nC_i4Y=&amp;xsec_source=pc_trdark","https://www.xiaohongshu.com/explore/69c92c4b000000001a037418?xsec_token=TBbpP5CiN94LtvLtPXlqbAxWUlSJdSlXbGwEKV-nC_i4Y=&amp;xsec_source=pc_trdark")</f>
        <v>0.0</v>
      </c>
      <c r="D1557" t="inlineStr">
        <is>
          <t>婉婉上班吃什么</t>
        </is>
      </c>
      <c r="E1557" t="inlineStr">
        <is>
          <t>11434449706</t>
        </is>
      </c>
      <c r="F1557" t="inlineStr">
        <is>
          <t>2026-03-29 21:42:35</t>
        </is>
      </c>
      <c r="G1557" t="inlineStr">
        <is>
          <t>图文</t>
        </is>
      </c>
      <c r="H1557" t="inlineStr">
        <is>
          <t>智利三文鱼切块·整条三文鱼·深海鱼一人食健康饮食</t>
        </is>
      </c>
      <c r="I1557" t="inlineStr">
        <is>
          <t>691ac562a524ee0001b51d7b</t>
        </is>
      </c>
      <c r="J1557" t="inlineStr">
        <is>
          <t/>
        </is>
      </c>
      <c r="K1557" t="n">
        <v>0.0</v>
      </c>
      <c r="L1557" t="n">
        <v>0.0</v>
      </c>
      <c r="M1557" t="n">
        <v>0.0</v>
      </c>
      <c r="N1557" t="inlineStr">
        <is>
          <t/>
        </is>
      </c>
      <c r="O1557" t="n">
        <v>0.0</v>
      </c>
      <c r="P1557" t="n">
        <v>0.0</v>
      </c>
      <c r="Q1557" t="inlineStr">
        <is>
          <t/>
        </is>
      </c>
      <c r="R1557" t="inlineStr">
        <is>
          <t/>
        </is>
      </c>
      <c r="S1557" t="n">
        <v>0.0</v>
      </c>
      <c r="T1557" t="n">
        <v>0.0</v>
      </c>
      <c r="U1557" t="n">
        <v>0.0</v>
      </c>
      <c r="V1557" t="n">
        <v>0.0</v>
      </c>
      <c r="W1557" t="inlineStr">
        <is>
          <t/>
        </is>
      </c>
      <c r="X1557" t="n">
        <v>0.0</v>
      </c>
      <c r="Y1557" t="n">
        <v>0.0</v>
      </c>
      <c r="Z1557" t="n">
        <v>0.0</v>
      </c>
      <c r="AA1557" t="n">
        <v>0.0</v>
      </c>
      <c r="AB1557" t="n">
        <v>0.0</v>
      </c>
      <c r="AC1557" t="n">
        <v>0.0</v>
      </c>
      <c r="AD1557" t="n">
        <v>0.0</v>
      </c>
      <c r="AE1557" t="n">
        <v>0.0</v>
      </c>
      <c r="AF1557" t="n">
        <v>0.0</v>
      </c>
      <c r="AG1557" t="n">
        <v>0.0</v>
      </c>
      <c r="AH1557" t="n">
        <v>0.0</v>
      </c>
      <c r="AI1557" t="n">
        <v>0.0</v>
      </c>
      <c r="AJ1557" t="n">
        <v>0.0</v>
      </c>
      <c r="AK1557" t="inlineStr">
        <is>
          <t/>
        </is>
      </c>
      <c r="AL1557" t="inlineStr">
        <is>
          <t/>
        </is>
      </c>
    </row>
    <row r="1558">
      <c r="A1558" t="inlineStr">
        <is>
          <t>试过了！确实比鸡胸肉牛</t>
        </is>
      </c>
      <c r="B1558" t="inlineStr">
        <is>
          <t>69c926e20000000022025f2d</t>
        </is>
      </c>
      <c r="C1558" s="1557" t="n">
        <f>HYPERLINK("https://www.xiaohongshu.com/explore/69c926e20000000022025f2d?xsec_token=TBbpP5CiN94LtvLtPXlqbAxTQ-5U8FWS7GT2acXQVc1ng=&amp;xsec_source=pc_trdark","https://www.xiaohongshu.com/explore/69c926e20000000022025f2d?xsec_token=TBbpP5CiN94LtvLtPXlqbAxTQ-5U8FWS7GT2acXQVc1ng=&amp;xsec_source=pc_trdark")</f>
        <v>0.0</v>
      </c>
      <c r="D1558" t="inlineStr">
        <is>
          <t>菲菲上班吃什么</t>
        </is>
      </c>
      <c r="E1558" t="inlineStr">
        <is>
          <t>49936530607</t>
        </is>
      </c>
      <c r="F1558" t="inlineStr">
        <is>
          <t>2026-03-29 21:19:30</t>
        </is>
      </c>
      <c r="G1558" t="inlineStr">
        <is>
          <t>图文</t>
        </is>
      </c>
      <c r="H1558" t="inlineStr">
        <is>
          <t>智利三文鱼切块·整条三文鱼·深海鱼一人食健康饮食</t>
        </is>
      </c>
      <c r="I1558" t="inlineStr">
        <is>
          <t>691ac562a524ee0001b51d7b</t>
        </is>
      </c>
      <c r="J1558" t="inlineStr">
        <is>
          <t/>
        </is>
      </c>
      <c r="K1558" t="n">
        <v>0.0</v>
      </c>
      <c r="L1558" t="n">
        <v>0.0</v>
      </c>
      <c r="M1558" t="n">
        <v>0.0</v>
      </c>
      <c r="N1558" t="inlineStr">
        <is>
          <t/>
        </is>
      </c>
      <c r="O1558" t="n">
        <v>0.0</v>
      </c>
      <c r="P1558" t="n">
        <v>0.0</v>
      </c>
      <c r="Q1558" t="inlineStr">
        <is>
          <t/>
        </is>
      </c>
      <c r="R1558" t="inlineStr">
        <is>
          <t/>
        </is>
      </c>
      <c r="S1558" t="n">
        <v>0.0</v>
      </c>
      <c r="T1558" t="n">
        <v>0.0</v>
      </c>
      <c r="U1558" t="n">
        <v>0.0</v>
      </c>
      <c r="V1558" t="n">
        <v>0.0</v>
      </c>
      <c r="W1558" t="inlineStr">
        <is>
          <t/>
        </is>
      </c>
      <c r="X1558" t="n">
        <v>0.0</v>
      </c>
      <c r="Y1558" t="n">
        <v>0.0</v>
      </c>
      <c r="Z1558" t="n">
        <v>0.0</v>
      </c>
      <c r="AA1558" t="n">
        <v>0.0</v>
      </c>
      <c r="AB1558" t="n">
        <v>0.0</v>
      </c>
      <c r="AC1558" t="n">
        <v>0.0</v>
      </c>
      <c r="AD1558" t="n">
        <v>0.0</v>
      </c>
      <c r="AE1558" t="n">
        <v>0.0</v>
      </c>
      <c r="AF1558" t="n">
        <v>0.0</v>
      </c>
      <c r="AG1558" t="n">
        <v>0.0</v>
      </c>
      <c r="AH1558" t="n">
        <v>0.0</v>
      </c>
      <c r="AI1558" t="n">
        <v>0.0</v>
      </c>
      <c r="AJ1558" t="n">
        <v>0.0</v>
      </c>
      <c r="AK1558" t="inlineStr">
        <is>
          <t/>
        </is>
      </c>
      <c r="AL1558" t="inlineStr">
        <is>
          <t/>
        </is>
      </c>
    </row>
    <row r="1559">
      <c r="A1559" t="inlineStr">
        <is>
          <t>我宣布这是管理期解馋天花板！</t>
        </is>
      </c>
      <c r="B1559" t="inlineStr">
        <is>
          <t>69c8f5fd00000000220294cd</t>
        </is>
      </c>
      <c r="C1559" s="1558" t="n">
        <f>HYPERLINK("https://www.xiaohongshu.com/explore/69c8f5fd00000000220294cd?xsec_token=TBSs0bsvi6YGXB042lLCz_JEoPg41IHbFy4Jz0jglpGtk=&amp;xsec_source=pc_trdark","https://www.xiaohongshu.com/explore/69c8f5fd00000000220294cd?xsec_token=TBSs0bsvi6YGXB042lLCz_JEoPg41IHbFy4Jz0jglpGtk=&amp;xsec_source=pc_trdark")</f>
        <v>0.0</v>
      </c>
      <c r="D1559" t="inlineStr">
        <is>
          <t>鲜水湾</t>
        </is>
      </c>
      <c r="E1559" t="inlineStr">
        <is>
          <t>49316638994</t>
        </is>
      </c>
      <c r="F1559" t="inlineStr">
        <is>
          <t>2026-03-29 17:50:53</t>
        </is>
      </c>
      <c r="G1559" t="inlineStr">
        <is>
          <t>图文</t>
        </is>
      </c>
      <c r="H1559" t="inlineStr">
        <is>
          <t>智利三文鱼切块·整条三文鱼·深海鱼一人食健康饮食</t>
        </is>
      </c>
      <c r="I1559" t="inlineStr">
        <is>
          <t>691ac562a524ee0001b51d7b</t>
        </is>
      </c>
      <c r="J1559" t="inlineStr">
        <is>
          <t/>
        </is>
      </c>
      <c r="K1559" t="n">
        <v>0.0</v>
      </c>
      <c r="L1559" t="n">
        <v>0.0</v>
      </c>
      <c r="M1559" t="n">
        <v>0.0</v>
      </c>
      <c r="N1559" t="inlineStr">
        <is>
          <t/>
        </is>
      </c>
      <c r="O1559" t="n">
        <v>0.0</v>
      </c>
      <c r="P1559" t="n">
        <v>0.0</v>
      </c>
      <c r="Q1559" t="inlineStr">
        <is>
          <t/>
        </is>
      </c>
      <c r="R1559" t="inlineStr">
        <is>
          <t/>
        </is>
      </c>
      <c r="S1559" t="n">
        <v>0.0</v>
      </c>
      <c r="T1559" t="n">
        <v>0.0</v>
      </c>
      <c r="U1559" t="n">
        <v>0.0</v>
      </c>
      <c r="V1559" t="n">
        <v>0.0</v>
      </c>
      <c r="W1559" t="inlineStr">
        <is>
          <t/>
        </is>
      </c>
      <c r="X1559" t="n">
        <v>0.0</v>
      </c>
      <c r="Y1559" t="n">
        <v>0.0</v>
      </c>
      <c r="Z1559" t="n">
        <v>0.0</v>
      </c>
      <c r="AA1559" t="n">
        <v>0.0</v>
      </c>
      <c r="AB1559" t="n">
        <v>0.0</v>
      </c>
      <c r="AC1559" t="n">
        <v>0.0</v>
      </c>
      <c r="AD1559" t="n">
        <v>0.0</v>
      </c>
      <c r="AE1559" t="n">
        <v>0.0</v>
      </c>
      <c r="AF1559" t="n">
        <v>0.0</v>
      </c>
      <c r="AG1559" t="n">
        <v>0.0</v>
      </c>
      <c r="AH1559" t="n">
        <v>0.0</v>
      </c>
      <c r="AI1559" t="n">
        <v>0.0</v>
      </c>
      <c r="AJ1559" t="n">
        <v>0.0</v>
      </c>
      <c r="AK1559" t="inlineStr">
        <is>
          <t/>
        </is>
      </c>
      <c r="AL1559" t="inlineStr">
        <is>
          <t/>
        </is>
      </c>
    </row>
    <row r="1560">
      <c r="A1560" t="inlineStr">
        <is>
          <t>区区100来块，解决我一周的减脂晚餐🥹</t>
        </is>
      </c>
      <c r="B1560" t="inlineStr">
        <is>
          <t>69c8efc6000000001b022df0</t>
        </is>
      </c>
      <c r="C1560" s="1559" t="n">
        <f>HYPERLINK("https://www.xiaohongshu.com/explore/69c8efc6000000001b022df0?xsec_token=TBSs0bsvi6YGXB042lLCz_JAyCRa2A-E7ppqa8FqxRzQg=&amp;xsec_source=pc_trdark","https://www.xiaohongshu.com/explore/69c8efc6000000001b022df0?xsec_token=TBSs0bsvi6YGXB042lLCz_JAyCRa2A-E7ppqa8FqxRzQg=&amp;xsec_source=pc_trdark")</f>
        <v>0.0</v>
      </c>
      <c r="D1560" t="inlineStr">
        <is>
          <t>婉婉上班吃什么</t>
        </is>
      </c>
      <c r="E1560" t="inlineStr">
        <is>
          <t>11434449706</t>
        </is>
      </c>
      <c r="F1560" t="inlineStr">
        <is>
          <t>2026-03-29 17:24:22</t>
        </is>
      </c>
      <c r="G1560" t="inlineStr">
        <is>
          <t>图文</t>
        </is>
      </c>
      <c r="H1560" t="inlineStr">
        <is>
          <t>智利三文鱼切块·整条三文鱼·深海鱼一人食健康饮食</t>
        </is>
      </c>
      <c r="I1560" t="inlineStr">
        <is>
          <t>691ac562a524ee0001b51d7b</t>
        </is>
      </c>
      <c r="J1560" t="inlineStr">
        <is>
          <t/>
        </is>
      </c>
      <c r="K1560" t="n">
        <v>0.0</v>
      </c>
      <c r="L1560" t="n">
        <v>0.0</v>
      </c>
      <c r="M1560" t="n">
        <v>0.0</v>
      </c>
      <c r="N1560" t="inlineStr">
        <is>
          <t/>
        </is>
      </c>
      <c r="O1560" t="n">
        <v>0.0</v>
      </c>
      <c r="P1560" t="n">
        <v>0.0</v>
      </c>
      <c r="Q1560" t="inlineStr">
        <is>
          <t/>
        </is>
      </c>
      <c r="R1560" t="inlineStr">
        <is>
          <t/>
        </is>
      </c>
      <c r="S1560" t="n">
        <v>0.0</v>
      </c>
      <c r="T1560" t="n">
        <v>0.0</v>
      </c>
      <c r="U1560" t="n">
        <v>0.0</v>
      </c>
      <c r="V1560" t="n">
        <v>0.0</v>
      </c>
      <c r="W1560" t="inlineStr">
        <is>
          <t/>
        </is>
      </c>
      <c r="X1560" t="n">
        <v>0.0</v>
      </c>
      <c r="Y1560" t="n">
        <v>0.0</v>
      </c>
      <c r="Z1560" t="n">
        <v>0.0</v>
      </c>
      <c r="AA1560" t="n">
        <v>0.0</v>
      </c>
      <c r="AB1560" t="n">
        <v>0.0</v>
      </c>
      <c r="AC1560" t="n">
        <v>0.0</v>
      </c>
      <c r="AD1560" t="n">
        <v>0.0</v>
      </c>
      <c r="AE1560" t="n">
        <v>0.0</v>
      </c>
      <c r="AF1560" t="n">
        <v>0.0</v>
      </c>
      <c r="AG1560" t="n">
        <v>0.0</v>
      </c>
      <c r="AH1560" t="n">
        <v>0.0</v>
      </c>
      <c r="AI1560" t="n">
        <v>0.0</v>
      </c>
      <c r="AJ1560" t="n">
        <v>0.0</v>
      </c>
      <c r="AK1560" t="inlineStr">
        <is>
          <t/>
        </is>
      </c>
      <c r="AL1560" t="inlineStr">
        <is>
          <t/>
        </is>
      </c>
    </row>
    <row r="1561">
      <c r="A1561" t="inlineStr">
        <is>
          <t>因为一个人，带动了全办公室</t>
        </is>
      </c>
      <c r="B1561" t="inlineStr">
        <is>
          <t>69c8de3b000000002300420f</t>
        </is>
      </c>
      <c r="C1561" s="1560" t="n">
        <f>HYPERLINK("https://www.xiaohongshu.com/explore/69c8de3b000000002300420f?xsec_token=TBSs0bsvi6YGXB042lLCz_JFTTqblRfPNeM92tfhZ_fBs=&amp;xsec_source=pc_trdark","https://www.xiaohongshu.com/explore/69c8de3b000000002300420f?xsec_token=TBSs0bsvi6YGXB042lLCz_JFTTqblRfPNeM92tfhZ_fBs=&amp;xsec_source=pc_trdark")</f>
        <v>0.0</v>
      </c>
      <c r="D1561" t="inlineStr">
        <is>
          <t>菲菲上班吃什么</t>
        </is>
      </c>
      <c r="E1561" t="inlineStr">
        <is>
          <t>49936530607</t>
        </is>
      </c>
      <c r="F1561" t="inlineStr">
        <is>
          <t>2026-03-29 16:09:31</t>
        </is>
      </c>
      <c r="G1561" t="inlineStr">
        <is>
          <t>图文</t>
        </is>
      </c>
      <c r="H1561" t="inlineStr">
        <is>
          <t>手剥虾仁 无冰衣无添加 低脂餐一人食 上班带饭 顺丰包邮 5盒装</t>
        </is>
      </c>
      <c r="I1561" t="inlineStr">
        <is>
          <t>694baba01d450d00013662f0</t>
        </is>
      </c>
      <c r="J1561" t="inlineStr">
        <is>
          <t/>
        </is>
      </c>
      <c r="K1561" t="n">
        <v>0.0</v>
      </c>
      <c r="L1561" t="n">
        <v>0.0</v>
      </c>
      <c r="M1561" t="n">
        <v>0.0</v>
      </c>
      <c r="N1561" t="inlineStr">
        <is>
          <t/>
        </is>
      </c>
      <c r="O1561" t="n">
        <v>0.0</v>
      </c>
      <c r="P1561" t="n">
        <v>0.0</v>
      </c>
      <c r="Q1561" t="inlineStr">
        <is>
          <t/>
        </is>
      </c>
      <c r="R1561" t="inlineStr">
        <is>
          <t/>
        </is>
      </c>
      <c r="S1561" t="n">
        <v>0.0</v>
      </c>
      <c r="T1561" t="n">
        <v>0.0</v>
      </c>
      <c r="U1561" t="n">
        <v>0.0</v>
      </c>
      <c r="V1561" t="n">
        <v>0.0</v>
      </c>
      <c r="W1561" t="inlineStr">
        <is>
          <t/>
        </is>
      </c>
      <c r="X1561" t="n">
        <v>0.0</v>
      </c>
      <c r="Y1561" t="n">
        <v>0.0</v>
      </c>
      <c r="Z1561" t="n">
        <v>0.0</v>
      </c>
      <c r="AA1561" t="n">
        <v>0.0</v>
      </c>
      <c r="AB1561" t="n">
        <v>0.0</v>
      </c>
      <c r="AC1561" t="n">
        <v>0.0</v>
      </c>
      <c r="AD1561" t="n">
        <v>0.0</v>
      </c>
      <c r="AE1561" t="n">
        <v>0.0</v>
      </c>
      <c r="AF1561" t="n">
        <v>0.0</v>
      </c>
      <c r="AG1561" t="n">
        <v>0.0</v>
      </c>
      <c r="AH1561" t="n">
        <v>0.0</v>
      </c>
      <c r="AI1561" t="n">
        <v>0.0</v>
      </c>
      <c r="AJ1561" t="n">
        <v>0.0</v>
      </c>
      <c r="AK1561" t="inlineStr">
        <is>
          <t/>
        </is>
      </c>
      <c r="AL1561" t="inlineStr">
        <is>
          <t/>
        </is>
      </c>
    </row>
    <row r="1562">
      <c r="A1562" t="inlineStr">
        <is>
          <t>春日减脂花不了多少！69块够吃整整一周～</t>
        </is>
      </c>
      <c r="B1562" t="inlineStr">
        <is>
          <t>69c88fcd000000001e00efe1</t>
        </is>
      </c>
      <c r="C1562" s="1561" t="n">
        <f>HYPERLINK("https://www.xiaohongshu.com/explore/69c88fcd000000001e00efe1?xsec_token=TBSs0bsvi6YGXB042lLCz_JIGVtvM6GJtxdde7PdP0-84=&amp;xsec_source=pc_trdark","https://www.xiaohongshu.com/explore/69c88fcd000000001e00efe1?xsec_token=TBSs0bsvi6YGXB042lLCz_JIGVtvM6GJtxdde7PdP0-84=&amp;xsec_source=pc_trdark")</f>
        <v>0.0</v>
      </c>
      <c r="D1562" t="inlineStr">
        <is>
          <t>菲菲上班吃什么</t>
        </is>
      </c>
      <c r="E1562" t="inlineStr">
        <is>
          <t>49936530607</t>
        </is>
      </c>
      <c r="F1562" t="inlineStr">
        <is>
          <t>2026-03-29 10:34:53</t>
        </is>
      </c>
      <c r="G1562" t="inlineStr">
        <is>
          <t>图文</t>
        </is>
      </c>
      <c r="H1562" t="inlineStr">
        <is>
          <t>手剥虾仁 无冰衣无添加 低脂餐一人食 上班带饭 顺丰包邮 5盒装</t>
        </is>
      </c>
      <c r="I1562" t="inlineStr">
        <is>
          <t>694baba01d450d00013662f0</t>
        </is>
      </c>
      <c r="J1562" t="inlineStr">
        <is>
          <t/>
        </is>
      </c>
      <c r="K1562" t="n">
        <v>0.0</v>
      </c>
      <c r="L1562" t="n">
        <v>0.0</v>
      </c>
      <c r="M1562" t="n">
        <v>0.0</v>
      </c>
      <c r="N1562" t="inlineStr">
        <is>
          <t/>
        </is>
      </c>
      <c r="O1562" t="n">
        <v>0.0</v>
      </c>
      <c r="P1562" t="n">
        <v>0.0</v>
      </c>
      <c r="Q1562" t="inlineStr">
        <is>
          <t/>
        </is>
      </c>
      <c r="R1562" t="inlineStr">
        <is>
          <t/>
        </is>
      </c>
      <c r="S1562" t="n">
        <v>0.0</v>
      </c>
      <c r="T1562" t="n">
        <v>0.0</v>
      </c>
      <c r="U1562" t="n">
        <v>0.0</v>
      </c>
      <c r="V1562" t="n">
        <v>0.0</v>
      </c>
      <c r="W1562" t="inlineStr">
        <is>
          <t/>
        </is>
      </c>
      <c r="X1562" t="n">
        <v>0.0</v>
      </c>
      <c r="Y1562" t="n">
        <v>0.0</v>
      </c>
      <c r="Z1562" t="n">
        <v>0.0</v>
      </c>
      <c r="AA1562" t="n">
        <v>0.0</v>
      </c>
      <c r="AB1562" t="n">
        <v>0.0</v>
      </c>
      <c r="AC1562" t="n">
        <v>0.0</v>
      </c>
      <c r="AD1562" t="n">
        <v>0.0</v>
      </c>
      <c r="AE1562" t="n">
        <v>0.0</v>
      </c>
      <c r="AF1562" t="n">
        <v>0.0</v>
      </c>
      <c r="AG1562" t="n">
        <v>0.0</v>
      </c>
      <c r="AH1562" t="n">
        <v>0.0</v>
      </c>
      <c r="AI1562" t="n">
        <v>0.0</v>
      </c>
      <c r="AJ1562" t="n">
        <v>0.0</v>
      </c>
      <c r="AK1562" t="inlineStr">
        <is>
          <t/>
        </is>
      </c>
      <c r="AL1562" t="inlineStr">
        <is>
          <t/>
        </is>
      </c>
    </row>
    <row r="1563">
      <c r="A1563" t="inlineStr">
        <is>
          <t>同事以为我每天吃虾仁很奢侈…</t>
        </is>
      </c>
      <c r="B1563" t="inlineStr">
        <is>
          <t>69c64f8d000000001a02f457</t>
        </is>
      </c>
      <c r="C1563" s="1562" t="n">
        <f>HYPERLINK("https://www.xiaohongshu.com/explore/69c64f8d000000001a02f457?xsec_token=TBR8u6ZWGQ_m04-W6r1rkZPKSUNbykKgeuPy9jsIVA_VU=&amp;xsec_source=pc_trdark","https://www.xiaohongshu.com/explore/69c64f8d000000001a02f457?xsec_token=TBR8u6ZWGQ_m04-W6r1rkZPKSUNbykKgeuPy9jsIVA_VU=&amp;xsec_source=pc_trdark")</f>
        <v>0.0</v>
      </c>
      <c r="D1563" t="inlineStr">
        <is>
          <t>婉婉上班吃什么</t>
        </is>
      </c>
      <c r="E1563" t="inlineStr">
        <is>
          <t>11434449706</t>
        </is>
      </c>
      <c r="F1563" t="inlineStr">
        <is>
          <t>2026-03-27 17:36:13</t>
        </is>
      </c>
      <c r="G1563" t="inlineStr">
        <is>
          <t>图文</t>
        </is>
      </c>
      <c r="H1563" t="inlineStr">
        <is>
          <t>手剥虾仁 无冰衣无添加 低脂餐一人食 上班带饭 顺丰包邮 5盒装</t>
        </is>
      </c>
      <c r="I1563" t="inlineStr">
        <is>
          <t>694baba01d450d00013662f0</t>
        </is>
      </c>
      <c r="J1563" t="inlineStr">
        <is>
          <t/>
        </is>
      </c>
      <c r="K1563" t="n">
        <v>0.0</v>
      </c>
      <c r="L1563" t="n">
        <v>0.0</v>
      </c>
      <c r="M1563" t="n">
        <v>0.0</v>
      </c>
      <c r="N1563" t="inlineStr">
        <is>
          <t/>
        </is>
      </c>
      <c r="O1563" t="n">
        <v>0.0</v>
      </c>
      <c r="P1563" t="n">
        <v>0.0</v>
      </c>
      <c r="Q1563" t="inlineStr">
        <is>
          <t/>
        </is>
      </c>
      <c r="R1563" t="inlineStr">
        <is>
          <t/>
        </is>
      </c>
      <c r="S1563" t="n">
        <v>0.0</v>
      </c>
      <c r="T1563" t="n">
        <v>0.0</v>
      </c>
      <c r="U1563" t="n">
        <v>0.0</v>
      </c>
      <c r="V1563" t="n">
        <v>0.0</v>
      </c>
      <c r="W1563" t="inlineStr">
        <is>
          <t/>
        </is>
      </c>
      <c r="X1563" t="n">
        <v>0.0</v>
      </c>
      <c r="Y1563" t="n">
        <v>0.0</v>
      </c>
      <c r="Z1563" t="n">
        <v>0.0</v>
      </c>
      <c r="AA1563" t="n">
        <v>0.0</v>
      </c>
      <c r="AB1563" t="n">
        <v>0.0</v>
      </c>
      <c r="AC1563" t="n">
        <v>0.0</v>
      </c>
      <c r="AD1563" t="n">
        <v>0.0</v>
      </c>
      <c r="AE1563" t="n">
        <v>0.0</v>
      </c>
      <c r="AF1563" t="n">
        <v>0.0</v>
      </c>
      <c r="AG1563" t="n">
        <v>0.0</v>
      </c>
      <c r="AH1563" t="n">
        <v>0.0</v>
      </c>
      <c r="AI1563" t="n">
        <v>0.0</v>
      </c>
      <c r="AJ1563" t="n">
        <v>0.0</v>
      </c>
      <c r="AK1563" t="inlineStr">
        <is>
          <t/>
        </is>
      </c>
      <c r="AL1563" t="inlineStr">
        <is>
          <t/>
        </is>
      </c>
    </row>
    <row r="1564">
      <c r="A1564" t="inlineStr">
        <is>
          <t>因为上班带饭被同事误以为家境拮据…</t>
        </is>
      </c>
      <c r="B1564" t="inlineStr">
        <is>
          <t>69c627150000000023006d2e</t>
        </is>
      </c>
      <c r="C1564" s="1563" t="n">
        <f>HYPERLINK("https://www.xiaohongshu.com/explore/69c627150000000023006d2e?xsec_token=TBR8u6ZWGQ_m04-W6r1rkZPHdEc13tXva5z2A-caBz_A4=&amp;xsec_source=pc_trdark","https://www.xiaohongshu.com/explore/69c627150000000023006d2e?xsec_token=TBR8u6ZWGQ_m04-W6r1rkZPHdEc13tXva5z2A-caBz_A4=&amp;xsec_source=pc_trdark")</f>
        <v>0.0</v>
      </c>
      <c r="D1564" t="inlineStr">
        <is>
          <t>菲菲上班吃什么</t>
        </is>
      </c>
      <c r="E1564" t="inlineStr">
        <is>
          <t>49936530607</t>
        </is>
      </c>
      <c r="F1564" t="inlineStr">
        <is>
          <t>2026-03-27 14:43:33</t>
        </is>
      </c>
      <c r="G1564" t="inlineStr">
        <is>
          <t>图文</t>
        </is>
      </c>
      <c r="H1564" t="inlineStr">
        <is>
          <t>手剥虾仁 无冰衣无添加 低脂餐一人食 上班带饭 顺丰包邮 5盒装</t>
        </is>
      </c>
      <c r="I1564" t="inlineStr">
        <is>
          <t>694baba01d450d00013662f0</t>
        </is>
      </c>
      <c r="J1564" t="inlineStr">
        <is>
          <t/>
        </is>
      </c>
      <c r="K1564" t="n">
        <v>0.0</v>
      </c>
      <c r="L1564" t="n">
        <v>0.0</v>
      </c>
      <c r="M1564" t="n">
        <v>0.0</v>
      </c>
      <c r="N1564" t="inlineStr">
        <is>
          <t/>
        </is>
      </c>
      <c r="O1564" t="n">
        <v>0.0</v>
      </c>
      <c r="P1564" t="n">
        <v>0.0</v>
      </c>
      <c r="Q1564" t="inlineStr">
        <is>
          <t/>
        </is>
      </c>
      <c r="R1564" t="inlineStr">
        <is>
          <t/>
        </is>
      </c>
      <c r="S1564" t="n">
        <v>0.0</v>
      </c>
      <c r="T1564" t="n">
        <v>0.0</v>
      </c>
      <c r="U1564" t="n">
        <v>0.0</v>
      </c>
      <c r="V1564" t="n">
        <v>0.0</v>
      </c>
      <c r="W1564" t="inlineStr">
        <is>
          <t/>
        </is>
      </c>
      <c r="X1564" t="n">
        <v>0.0</v>
      </c>
      <c r="Y1564" t="n">
        <v>0.0</v>
      </c>
      <c r="Z1564" t="n">
        <v>0.0</v>
      </c>
      <c r="AA1564" t="n">
        <v>0.0</v>
      </c>
      <c r="AB1564" t="n">
        <v>0.0</v>
      </c>
      <c r="AC1564" t="n">
        <v>0.0</v>
      </c>
      <c r="AD1564" t="n">
        <v>0.0</v>
      </c>
      <c r="AE1564" t="n">
        <v>0.0</v>
      </c>
      <c r="AF1564" t="n">
        <v>0.0</v>
      </c>
      <c r="AG1564" t="n">
        <v>0.0</v>
      </c>
      <c r="AH1564" t="n">
        <v>0.0</v>
      </c>
      <c r="AI1564" t="n">
        <v>0.0</v>
      </c>
      <c r="AJ1564" t="n">
        <v>0.0</v>
      </c>
      <c r="AK1564" t="inlineStr">
        <is>
          <t/>
        </is>
      </c>
      <c r="AL1564" t="inlineStr">
        <is>
          <t/>
        </is>
      </c>
    </row>
    <row r="1565">
      <c r="A1565" t="inlineStr">
        <is>
          <t>姐的体态直接焊亖在高蛋白上！</t>
        </is>
      </c>
      <c r="B1565" t="inlineStr">
        <is>
          <t>69c625700000000023014616</t>
        </is>
      </c>
      <c r="C1565" s="1564" t="n">
        <f>HYPERLINK("https://www.xiaohongshu.com/explore/69c625700000000023014616?xsec_token=TBR8u6ZWGQ_m04-W6r1rkZPDvU2Q5QwrofWpspEfjCr-w=&amp;xsec_source=pc_trdark","https://www.xiaohongshu.com/explore/69c625700000000023014616?xsec_token=TBR8u6ZWGQ_m04-W6r1rkZPDvU2Q5QwrofWpspEfjCr-w=&amp;xsec_source=pc_trdark")</f>
        <v>0.0</v>
      </c>
      <c r="D1565" t="inlineStr">
        <is>
          <t>婉婉上班吃什么</t>
        </is>
      </c>
      <c r="E1565" t="inlineStr">
        <is>
          <t>11434449706</t>
        </is>
      </c>
      <c r="F1565" t="inlineStr">
        <is>
          <t>2026-03-27 14:36:32</t>
        </is>
      </c>
      <c r="G1565" t="inlineStr">
        <is>
          <t>图文</t>
        </is>
      </c>
      <c r="H1565" t="inlineStr">
        <is>
          <t>手剥虾仁 无冰衣无添加 低脂餐一人食 上班带饭 顺丰包邮 5盒装</t>
        </is>
      </c>
      <c r="I1565" t="inlineStr">
        <is>
          <t>694baba01d450d00013662f0</t>
        </is>
      </c>
      <c r="J1565" t="inlineStr">
        <is>
          <t/>
        </is>
      </c>
      <c r="K1565" t="n">
        <v>0.0</v>
      </c>
      <c r="L1565" t="n">
        <v>0.0</v>
      </c>
      <c r="M1565" t="n">
        <v>0.0</v>
      </c>
      <c r="N1565" t="inlineStr">
        <is>
          <t/>
        </is>
      </c>
      <c r="O1565" t="n">
        <v>0.0</v>
      </c>
      <c r="P1565" t="n">
        <v>0.0</v>
      </c>
      <c r="Q1565" t="inlineStr">
        <is>
          <t/>
        </is>
      </c>
      <c r="R1565" t="inlineStr">
        <is>
          <t/>
        </is>
      </c>
      <c r="S1565" t="n">
        <v>0.0</v>
      </c>
      <c r="T1565" t="n">
        <v>0.0</v>
      </c>
      <c r="U1565" t="n">
        <v>0.0</v>
      </c>
      <c r="V1565" t="n">
        <v>0.0</v>
      </c>
      <c r="W1565" t="inlineStr">
        <is>
          <t/>
        </is>
      </c>
      <c r="X1565" t="n">
        <v>0.0</v>
      </c>
      <c r="Y1565" t="n">
        <v>0.0</v>
      </c>
      <c r="Z1565" t="n">
        <v>0.0</v>
      </c>
      <c r="AA1565" t="n">
        <v>0.0</v>
      </c>
      <c r="AB1565" t="n">
        <v>0.0</v>
      </c>
      <c r="AC1565" t="n">
        <v>0.0</v>
      </c>
      <c r="AD1565" t="n">
        <v>0.0</v>
      </c>
      <c r="AE1565" t="n">
        <v>0.0</v>
      </c>
      <c r="AF1565" t="n">
        <v>0.0</v>
      </c>
      <c r="AG1565" t="n">
        <v>0.0</v>
      </c>
      <c r="AH1565" t="n">
        <v>0.0</v>
      </c>
      <c r="AI1565" t="n">
        <v>0.0</v>
      </c>
      <c r="AJ1565" t="n">
        <v>0.0</v>
      </c>
      <c r="AK1565" t="inlineStr">
        <is>
          <t/>
        </is>
      </c>
      <c r="AL1565" t="inlineStr">
        <is>
          <t/>
        </is>
      </c>
    </row>
    <row r="1566">
      <c r="A1566" t="inlineStr">
        <is>
          <t>别和⛰️姆的虾仁比，真的不够打！</t>
        </is>
      </c>
      <c r="B1566" t="inlineStr">
        <is>
          <t>69c622f000000000220244c2</t>
        </is>
      </c>
      <c r="C1566" s="1565" t="n">
        <f>HYPERLINK("https://www.xiaohongshu.com/explore/69c622f000000000220244c2?xsec_token=TBR8u6ZWGQ_m04-W6r1rkZPM54ak1lcj086aCLu42wmOE=&amp;xsec_source=pc_trdark","https://www.xiaohongshu.com/explore/69c622f000000000220244c2?xsec_token=TBR8u6ZWGQ_m04-W6r1rkZPM54ak1lcj086aCLu42wmOE=&amp;xsec_source=pc_trdark")</f>
        <v>0.0</v>
      </c>
      <c r="D1566" t="inlineStr">
        <is>
          <t>鲜水湾</t>
        </is>
      </c>
      <c r="E1566" t="inlineStr">
        <is>
          <t>49316638994</t>
        </is>
      </c>
      <c r="F1566" t="inlineStr">
        <is>
          <t>2026-03-27 14:25:52</t>
        </is>
      </c>
      <c r="G1566" t="inlineStr">
        <is>
          <t>图文</t>
        </is>
      </c>
      <c r="H1566" t="inlineStr">
        <is>
          <t>手剥虾仁 无冰衣无添加 低脂餐一人食 上班带饭 顺丰包邮 5盒装</t>
        </is>
      </c>
      <c r="I1566" t="inlineStr">
        <is>
          <t>694baba01d450d00013662f0</t>
        </is>
      </c>
      <c r="J1566" t="inlineStr">
        <is>
          <t/>
        </is>
      </c>
      <c r="K1566" t="n">
        <v>0.0</v>
      </c>
      <c r="L1566" t="n">
        <v>0.0</v>
      </c>
      <c r="M1566" t="n">
        <v>0.0</v>
      </c>
      <c r="N1566" t="inlineStr">
        <is>
          <t/>
        </is>
      </c>
      <c r="O1566" t="n">
        <v>0.0</v>
      </c>
      <c r="P1566" t="n">
        <v>0.0</v>
      </c>
      <c r="Q1566" t="inlineStr">
        <is>
          <t/>
        </is>
      </c>
      <c r="R1566" t="inlineStr">
        <is>
          <t/>
        </is>
      </c>
      <c r="S1566" t="n">
        <v>0.0</v>
      </c>
      <c r="T1566" t="n">
        <v>0.0</v>
      </c>
      <c r="U1566" t="n">
        <v>0.0</v>
      </c>
      <c r="V1566" t="n">
        <v>0.0</v>
      </c>
      <c r="W1566" t="inlineStr">
        <is>
          <t/>
        </is>
      </c>
      <c r="X1566" t="n">
        <v>0.0</v>
      </c>
      <c r="Y1566" t="n">
        <v>0.0</v>
      </c>
      <c r="Z1566" t="n">
        <v>0.0</v>
      </c>
      <c r="AA1566" t="n">
        <v>0.0</v>
      </c>
      <c r="AB1566" t="n">
        <v>0.0</v>
      </c>
      <c r="AC1566" t="n">
        <v>0.0</v>
      </c>
      <c r="AD1566" t="n">
        <v>0.0</v>
      </c>
      <c r="AE1566" t="n">
        <v>0.0</v>
      </c>
      <c r="AF1566" t="n">
        <v>0.0</v>
      </c>
      <c r="AG1566" t="n">
        <v>0.0</v>
      </c>
      <c r="AH1566" t="n">
        <v>0.0</v>
      </c>
      <c r="AI1566" t="n">
        <v>0.0</v>
      </c>
      <c r="AJ1566" t="n">
        <v>0.0</v>
      </c>
      <c r="AK1566" t="inlineStr">
        <is>
          <t/>
        </is>
      </c>
      <c r="AL1566" t="inlineStr">
        <is>
          <t/>
        </is>
      </c>
    </row>
    <row r="1567">
      <c r="A1567" t="inlineStr">
        <is>
          <t>当代减肥人的冰箱</t>
        </is>
      </c>
      <c r="B1567" t="inlineStr">
        <is>
          <t>69c500960000000022028a8c</t>
        </is>
      </c>
      <c r="C1567" s="1566" t="n">
        <f>HYPERLINK("https://www.xiaohongshu.com/explore/69c500960000000022028a8c?xsec_token=TBe2pVMaF-KgU6DP2LLO6mLXHqOLQO5RE-EZo5AB5JQOc=&amp;xsec_source=pc_trdark","https://www.xiaohongshu.com/explore/69c500960000000022028a8c?xsec_token=TBe2pVMaF-KgU6DP2LLO6mLXHqOLQO5RE-EZo5AB5JQOc=&amp;xsec_source=pc_trdark")</f>
        <v>0.0</v>
      </c>
      <c r="D1567" t="inlineStr">
        <is>
          <t>菲菲上班吃什么</t>
        </is>
      </c>
      <c r="E1567" t="inlineStr">
        <is>
          <t>49936530607</t>
        </is>
      </c>
      <c r="F1567" t="inlineStr">
        <is>
          <t>2026-03-26 17:47:02</t>
        </is>
      </c>
      <c r="G1567" t="inlineStr">
        <is>
          <t>图文</t>
        </is>
      </c>
      <c r="H1567" t="inlineStr">
        <is>
          <t>手剥虾仁 无冰衣无添加 低脂餐一人食 上班带饭 顺丰包邮 5盒装</t>
        </is>
      </c>
      <c r="I1567" t="inlineStr">
        <is>
          <t>694baba01d450d00013662f0</t>
        </is>
      </c>
      <c r="J1567" t="inlineStr">
        <is>
          <t/>
        </is>
      </c>
      <c r="K1567" t="n">
        <v>0.0</v>
      </c>
      <c r="L1567" t="n">
        <v>0.0</v>
      </c>
      <c r="M1567" t="n">
        <v>0.0</v>
      </c>
      <c r="N1567" t="inlineStr">
        <is>
          <t/>
        </is>
      </c>
      <c r="O1567" t="n">
        <v>0.0</v>
      </c>
      <c r="P1567" t="n">
        <v>0.0</v>
      </c>
      <c r="Q1567" t="inlineStr">
        <is>
          <t/>
        </is>
      </c>
      <c r="R1567" t="inlineStr">
        <is>
          <t/>
        </is>
      </c>
      <c r="S1567" t="n">
        <v>0.0</v>
      </c>
      <c r="T1567" t="n">
        <v>0.0</v>
      </c>
      <c r="U1567" t="n">
        <v>0.0</v>
      </c>
      <c r="V1567" t="n">
        <v>0.0</v>
      </c>
      <c r="W1567" t="inlineStr">
        <is>
          <t/>
        </is>
      </c>
      <c r="X1567" t="n">
        <v>0.0</v>
      </c>
      <c r="Y1567" t="n">
        <v>0.0</v>
      </c>
      <c r="Z1567" t="n">
        <v>0.0</v>
      </c>
      <c r="AA1567" t="n">
        <v>0.0</v>
      </c>
      <c r="AB1567" t="n">
        <v>0.0</v>
      </c>
      <c r="AC1567" t="n">
        <v>0.0</v>
      </c>
      <c r="AD1567" t="n">
        <v>0.0</v>
      </c>
      <c r="AE1567" t="n">
        <v>0.0</v>
      </c>
      <c r="AF1567" t="n">
        <v>0.0</v>
      </c>
      <c r="AG1567" t="n">
        <v>0.0</v>
      </c>
      <c r="AH1567" t="n">
        <v>0.0</v>
      </c>
      <c r="AI1567" t="n">
        <v>0.0</v>
      </c>
      <c r="AJ1567" t="n">
        <v>0.0</v>
      </c>
      <c r="AK1567" t="inlineStr">
        <is>
          <t/>
        </is>
      </c>
      <c r="AL1567" t="inlineStr">
        <is>
          <t/>
        </is>
      </c>
    </row>
    <row r="1568">
      <c r="A1568" t="inlineStr">
        <is>
          <t>春日控体真不贵，69够我吃一周了…</t>
        </is>
      </c>
      <c r="B1568" t="inlineStr">
        <is>
          <t>69c4f0cc000000001f007cae</t>
        </is>
      </c>
      <c r="C1568" s="1567" t="n">
        <f>HYPERLINK("https://www.xiaohongshu.com/explore/69c4f0cc000000001f007cae?xsec_token=TBIVv4KG_Is8XT8uyOgDE1R4214HMT7yef3fMvIHU0yQI=&amp;xsec_source=pc_trdark","https://www.xiaohongshu.com/explore/69c4f0cc000000001f007cae?xsec_token=TBIVv4KG_Is8XT8uyOgDE1R4214HMT7yef3fMvIHU0yQI=&amp;xsec_source=pc_trdark")</f>
        <v>0.0</v>
      </c>
      <c r="D1568" t="inlineStr">
        <is>
          <t>菲菲上班吃什么</t>
        </is>
      </c>
      <c r="E1568" t="inlineStr">
        <is>
          <t>49936530607</t>
        </is>
      </c>
      <c r="F1568" t="inlineStr">
        <is>
          <t>2026-03-26 16:39:40</t>
        </is>
      </c>
      <c r="G1568" t="inlineStr">
        <is>
          <t>图文</t>
        </is>
      </c>
      <c r="H1568" t="inlineStr">
        <is>
          <t>手剥虾仁 无冰衣无添加 低脂餐一人食 上班带饭 顺丰包邮 5盒装</t>
        </is>
      </c>
      <c r="I1568" t="inlineStr">
        <is>
          <t>694baba01d450d00013662f0</t>
        </is>
      </c>
      <c r="J1568" t="inlineStr">
        <is>
          <t/>
        </is>
      </c>
      <c r="K1568" t="n">
        <v>0.0</v>
      </c>
      <c r="L1568" t="n">
        <v>0.0</v>
      </c>
      <c r="M1568" t="n">
        <v>0.0</v>
      </c>
      <c r="N1568" t="inlineStr">
        <is>
          <t/>
        </is>
      </c>
      <c r="O1568" t="n">
        <v>0.0</v>
      </c>
      <c r="P1568" t="n">
        <v>0.0</v>
      </c>
      <c r="Q1568" t="inlineStr">
        <is>
          <t/>
        </is>
      </c>
      <c r="R1568" t="inlineStr">
        <is>
          <t/>
        </is>
      </c>
      <c r="S1568" t="n">
        <v>0.0</v>
      </c>
      <c r="T1568" t="n">
        <v>0.0</v>
      </c>
      <c r="U1568" t="n">
        <v>0.0</v>
      </c>
      <c r="V1568" t="n">
        <v>0.0</v>
      </c>
      <c r="W1568" t="inlineStr">
        <is>
          <t/>
        </is>
      </c>
      <c r="X1568" t="n">
        <v>0.0</v>
      </c>
      <c r="Y1568" t="n">
        <v>0.0</v>
      </c>
      <c r="Z1568" t="n">
        <v>0.0</v>
      </c>
      <c r="AA1568" t="n">
        <v>0.0</v>
      </c>
      <c r="AB1568" t="n">
        <v>0.0</v>
      </c>
      <c r="AC1568" t="n">
        <v>0.0</v>
      </c>
      <c r="AD1568" t="n">
        <v>0.0</v>
      </c>
      <c r="AE1568" t="n">
        <v>0.0</v>
      </c>
      <c r="AF1568" t="n">
        <v>0.0</v>
      </c>
      <c r="AG1568" t="n">
        <v>0.0</v>
      </c>
      <c r="AH1568" t="n">
        <v>0.0</v>
      </c>
      <c r="AI1568" t="n">
        <v>0.0</v>
      </c>
      <c r="AJ1568" t="n">
        <v>0.0</v>
      </c>
      <c r="AK1568" t="inlineStr">
        <is>
          <t/>
        </is>
      </c>
      <c r="AL1568" t="inlineStr">
        <is>
          <t/>
        </is>
      </c>
    </row>
    <row r="1569">
      <c r="A1569" t="inlineStr">
        <is>
          <t>奉劝年轻人不要低估了100来块的购买力…</t>
        </is>
      </c>
      <c r="B1569" t="inlineStr">
        <is>
          <t>69c3f245000000001b02373f</t>
        </is>
      </c>
      <c r="C1569" s="1568" t="n">
        <f>HYPERLINK("https://www.xiaohongshu.com/explore/69c3f245000000001b02373f?xsec_token=TBedSEQ7qtT06AlsylOAiUw9kWusqmsKfTaGgNtaMW1c0=&amp;xsec_source=pc_trdark","https://www.xiaohongshu.com/explore/69c3f245000000001b02373f?xsec_token=TBedSEQ7qtT06AlsylOAiUw9kWusqmsKfTaGgNtaMW1c0=&amp;xsec_source=pc_trdark")</f>
        <v>0.0</v>
      </c>
      <c r="D1569" t="inlineStr">
        <is>
          <t>婉婉上班吃什么</t>
        </is>
      </c>
      <c r="E1569" t="inlineStr">
        <is>
          <t>11434449706</t>
        </is>
      </c>
      <c r="F1569" t="inlineStr">
        <is>
          <t>2026-03-25 22:33:41</t>
        </is>
      </c>
      <c r="G1569" t="inlineStr">
        <is>
          <t>图文</t>
        </is>
      </c>
      <c r="H1569" t="inlineStr">
        <is>
          <t>手剥虾仁 无冰衣无添加 低脂餐一人食 上班带饭 顺丰包邮 5盒装</t>
        </is>
      </c>
      <c r="I1569" t="inlineStr">
        <is>
          <t>694baba01d450d00013662f0</t>
        </is>
      </c>
      <c r="J1569" t="inlineStr">
        <is>
          <t/>
        </is>
      </c>
      <c r="K1569" t="n">
        <v>0.0</v>
      </c>
      <c r="L1569" t="n">
        <v>0.0</v>
      </c>
      <c r="M1569" t="n">
        <v>0.0</v>
      </c>
      <c r="N1569" t="inlineStr">
        <is>
          <t/>
        </is>
      </c>
      <c r="O1569" t="n">
        <v>0.0</v>
      </c>
      <c r="P1569" t="n">
        <v>0.0</v>
      </c>
      <c r="Q1569" t="inlineStr">
        <is>
          <t/>
        </is>
      </c>
      <c r="R1569" t="inlineStr">
        <is>
          <t/>
        </is>
      </c>
      <c r="S1569" t="n">
        <v>0.0</v>
      </c>
      <c r="T1569" t="n">
        <v>0.0</v>
      </c>
      <c r="U1569" t="n">
        <v>0.0</v>
      </c>
      <c r="V1569" t="n">
        <v>0.0</v>
      </c>
      <c r="W1569" t="inlineStr">
        <is>
          <t/>
        </is>
      </c>
      <c r="X1569" t="n">
        <v>0.0</v>
      </c>
      <c r="Y1569" t="n">
        <v>0.0</v>
      </c>
      <c r="Z1569" t="n">
        <v>0.0</v>
      </c>
      <c r="AA1569" t="n">
        <v>0.0</v>
      </c>
      <c r="AB1569" t="n">
        <v>0.0</v>
      </c>
      <c r="AC1569" t="n">
        <v>0.0</v>
      </c>
      <c r="AD1569" t="n">
        <v>0.0</v>
      </c>
      <c r="AE1569" t="n">
        <v>0.0</v>
      </c>
      <c r="AF1569" t="n">
        <v>0.0</v>
      </c>
      <c r="AG1569" t="n">
        <v>0.0</v>
      </c>
      <c r="AH1569" t="n">
        <v>0.0</v>
      </c>
      <c r="AI1569" t="n">
        <v>0.0</v>
      </c>
      <c r="AJ1569" t="n">
        <v>0.0</v>
      </c>
      <c r="AK1569" t="inlineStr">
        <is>
          <t/>
        </is>
      </c>
      <c r="AL1569" t="inlineStr">
        <is>
          <t/>
        </is>
      </c>
    </row>
    <row r="1570">
      <c r="A1570" t="inlineStr">
        <is>
          <t>自律期吃虾仁，等夏天惊艳所有人✨</t>
        </is>
      </c>
      <c r="B1570" t="inlineStr">
        <is>
          <t>69c3ab55000000002003b156</t>
        </is>
      </c>
      <c r="C1570" s="1569" t="n">
        <f>HYPERLINK("https://www.xiaohongshu.com/explore/69c3ab55000000002003b156?xsec_token=TBedSEQ7qtT06AlsylOAiUw193Xer2MO19pY6OYqhmB-I=&amp;xsec_source=pc_trdark","https://www.xiaohongshu.com/explore/69c3ab55000000002003b156?xsec_token=TBedSEQ7qtT06AlsylOAiUw193Xer2MO19pY6OYqhmB-I=&amp;xsec_source=pc_trdark")</f>
        <v>0.0</v>
      </c>
      <c r="D1570" t="inlineStr">
        <is>
          <t>婉婉上班吃什么</t>
        </is>
      </c>
      <c r="E1570" t="inlineStr">
        <is>
          <t>11434449706</t>
        </is>
      </c>
      <c r="F1570" t="inlineStr">
        <is>
          <t>2026-03-25 17:31:01</t>
        </is>
      </c>
      <c r="G1570" t="inlineStr">
        <is>
          <t>图文</t>
        </is>
      </c>
      <c r="H1570" t="inlineStr">
        <is>
          <t>手剥虾仁 无冰衣无添加 低脂餐一人食 上班带饭 顺丰包邮 5盒装</t>
        </is>
      </c>
      <c r="I1570" t="inlineStr">
        <is>
          <t>694baba01d450d00013662f0</t>
        </is>
      </c>
      <c r="J1570" t="inlineStr">
        <is>
          <t/>
        </is>
      </c>
      <c r="K1570" t="n">
        <v>0.0</v>
      </c>
      <c r="L1570" t="n">
        <v>0.0</v>
      </c>
      <c r="M1570" t="n">
        <v>0.0</v>
      </c>
      <c r="N1570" t="inlineStr">
        <is>
          <t/>
        </is>
      </c>
      <c r="O1570" t="n">
        <v>0.0</v>
      </c>
      <c r="P1570" t="n">
        <v>0.0</v>
      </c>
      <c r="Q1570" t="inlineStr">
        <is>
          <t/>
        </is>
      </c>
      <c r="R1570" t="inlineStr">
        <is>
          <t/>
        </is>
      </c>
      <c r="S1570" t="n">
        <v>0.0</v>
      </c>
      <c r="T1570" t="n">
        <v>0.0</v>
      </c>
      <c r="U1570" t="n">
        <v>0.0</v>
      </c>
      <c r="V1570" t="n">
        <v>0.0</v>
      </c>
      <c r="W1570" t="inlineStr">
        <is>
          <t/>
        </is>
      </c>
      <c r="X1570" t="n">
        <v>0.0</v>
      </c>
      <c r="Y1570" t="n">
        <v>0.0</v>
      </c>
      <c r="Z1570" t="n">
        <v>0.0</v>
      </c>
      <c r="AA1570" t="n">
        <v>0.0</v>
      </c>
      <c r="AB1570" t="n">
        <v>0.0</v>
      </c>
      <c r="AC1570" t="n">
        <v>0.0</v>
      </c>
      <c r="AD1570" t="n">
        <v>0.0</v>
      </c>
      <c r="AE1570" t="n">
        <v>0.0</v>
      </c>
      <c r="AF1570" t="n">
        <v>0.0</v>
      </c>
      <c r="AG1570" t="n">
        <v>0.0</v>
      </c>
      <c r="AH1570" t="n">
        <v>0.0</v>
      </c>
      <c r="AI1570" t="n">
        <v>0.0</v>
      </c>
      <c r="AJ1570" t="n">
        <v>0.0</v>
      </c>
      <c r="AK1570" t="inlineStr">
        <is>
          <t/>
        </is>
      </c>
      <c r="AL1570" t="inlineStr">
        <is>
          <t/>
        </is>
      </c>
    </row>
    <row r="1571">
      <c r="A1571" t="inlineStr">
        <is>
          <t>感谢315🥹，让更多宝妈知道了咱家无添加虾仁</t>
        </is>
      </c>
      <c r="B1571" t="inlineStr">
        <is>
          <t>69c396410000000023017924</t>
        </is>
      </c>
      <c r="C1571" s="1570" t="n">
        <f>HYPERLINK("https://www.xiaohongshu.com/explore/69c396410000000023017924?xsec_token=TBedSEQ7qtT06AlsylOAiUw6flfVHpUzyomzIzIbtRSWY=&amp;xsec_source=pc_trdark","https://www.xiaohongshu.com/explore/69c396410000000023017924?xsec_token=TBedSEQ7qtT06AlsylOAiUw6flfVHpUzyomzIzIbtRSWY=&amp;xsec_source=pc_trdark")</f>
        <v>0.0</v>
      </c>
      <c r="D1571" t="inlineStr">
        <is>
          <t>鲜水湾</t>
        </is>
      </c>
      <c r="E1571" t="inlineStr">
        <is>
          <t>49316638994</t>
        </is>
      </c>
      <c r="F1571" t="inlineStr">
        <is>
          <t>2026-03-25 16:01:05</t>
        </is>
      </c>
      <c r="G1571" t="inlineStr">
        <is>
          <t>图文</t>
        </is>
      </c>
      <c r="H1571" t="inlineStr">
        <is>
          <t>手剥虾仁 无冰衣无添加 低脂餐一人食 上班带饭 顺丰包邮 5盒装</t>
        </is>
      </c>
      <c r="I1571" t="inlineStr">
        <is>
          <t>694baba01d450d00013662f0</t>
        </is>
      </c>
      <c r="J1571" t="inlineStr">
        <is>
          <t/>
        </is>
      </c>
      <c r="K1571" t="n">
        <v>0.0</v>
      </c>
      <c r="L1571" t="n">
        <v>0.0</v>
      </c>
      <c r="M1571" t="n">
        <v>0.0</v>
      </c>
      <c r="N1571" t="inlineStr">
        <is>
          <t/>
        </is>
      </c>
      <c r="O1571" t="n">
        <v>0.0</v>
      </c>
      <c r="P1571" t="n">
        <v>0.0</v>
      </c>
      <c r="Q1571" t="inlineStr">
        <is>
          <t/>
        </is>
      </c>
      <c r="R1571" t="inlineStr">
        <is>
          <t/>
        </is>
      </c>
      <c r="S1571" t="n">
        <v>0.0</v>
      </c>
      <c r="T1571" t="n">
        <v>0.0</v>
      </c>
      <c r="U1571" t="n">
        <v>0.0</v>
      </c>
      <c r="V1571" t="n">
        <v>0.0</v>
      </c>
      <c r="W1571" t="inlineStr">
        <is>
          <t/>
        </is>
      </c>
      <c r="X1571" t="n">
        <v>0.0</v>
      </c>
      <c r="Y1571" t="n">
        <v>0.0</v>
      </c>
      <c r="Z1571" t="n">
        <v>0.0</v>
      </c>
      <c r="AA1571" t="n">
        <v>0.0</v>
      </c>
      <c r="AB1571" t="n">
        <v>0.0</v>
      </c>
      <c r="AC1571" t="n">
        <v>0.0</v>
      </c>
      <c r="AD1571" t="n">
        <v>0.0</v>
      </c>
      <c r="AE1571" t="n">
        <v>0.0</v>
      </c>
      <c r="AF1571" t="n">
        <v>0.0</v>
      </c>
      <c r="AG1571" t="n">
        <v>0.0</v>
      </c>
      <c r="AH1571" t="n">
        <v>0.0</v>
      </c>
      <c r="AI1571" t="n">
        <v>0.0</v>
      </c>
      <c r="AJ1571" t="n">
        <v>0.0</v>
      </c>
      <c r="AK1571" t="inlineStr">
        <is>
          <t/>
        </is>
      </c>
      <c r="AL1571" t="inlineStr">
        <is>
          <t/>
        </is>
      </c>
    </row>
    <row r="1572">
      <c r="A1572" t="inlineStr">
        <is>
          <t>身材管理期，回购N次的虾仁</t>
        </is>
      </c>
      <c r="B1572" t="inlineStr">
        <is>
          <t>69c37d2400000000280091cf</t>
        </is>
      </c>
      <c r="C1572" s="1571" t="n">
        <f>HYPERLINK("https://www.xiaohongshu.com/explore/69c37d2400000000280091cf?xsec_token=TBedSEQ7qtT06AlsylOAiUwz9Bn-nHH8Uq6SfcVIvXlvY=&amp;xsec_source=pc_trdark","https://www.xiaohongshu.com/explore/69c37d2400000000280091cf?xsec_token=TBedSEQ7qtT06AlsylOAiUwz9Bn-nHH8Uq6SfcVIvXlvY=&amp;xsec_source=pc_trdark")</f>
        <v>0.0</v>
      </c>
      <c r="D1572" t="inlineStr">
        <is>
          <t>婉婉上班吃什么</t>
        </is>
      </c>
      <c r="E1572" t="inlineStr">
        <is>
          <t>11434449706</t>
        </is>
      </c>
      <c r="F1572" t="inlineStr">
        <is>
          <t>2026-03-25 14:13:56</t>
        </is>
      </c>
      <c r="G1572" t="inlineStr">
        <is>
          <t>图文</t>
        </is>
      </c>
      <c r="H1572" t="inlineStr">
        <is>
          <t>手剥虾仁 无冰衣无添加 低脂餐一人食 上班带饭 顺丰包邮 5盒装</t>
        </is>
      </c>
      <c r="I1572" t="inlineStr">
        <is>
          <t>694baba01d450d00013662f0</t>
        </is>
      </c>
      <c r="J1572" t="inlineStr">
        <is>
          <t/>
        </is>
      </c>
      <c r="K1572" t="n">
        <v>0.0</v>
      </c>
      <c r="L1572" t="n">
        <v>0.0</v>
      </c>
      <c r="M1572" t="n">
        <v>0.0</v>
      </c>
      <c r="N1572" t="inlineStr">
        <is>
          <t/>
        </is>
      </c>
      <c r="O1572" t="n">
        <v>0.0</v>
      </c>
      <c r="P1572" t="n">
        <v>0.0</v>
      </c>
      <c r="Q1572" t="inlineStr">
        <is>
          <t/>
        </is>
      </c>
      <c r="R1572" t="inlineStr">
        <is>
          <t/>
        </is>
      </c>
      <c r="S1572" t="n">
        <v>0.0</v>
      </c>
      <c r="T1572" t="n">
        <v>0.0</v>
      </c>
      <c r="U1572" t="n">
        <v>0.0</v>
      </c>
      <c r="V1572" t="n">
        <v>0.0</v>
      </c>
      <c r="W1572" t="inlineStr">
        <is>
          <t/>
        </is>
      </c>
      <c r="X1572" t="n">
        <v>0.0</v>
      </c>
      <c r="Y1572" t="n">
        <v>0.0</v>
      </c>
      <c r="Z1572" t="n">
        <v>0.0</v>
      </c>
      <c r="AA1572" t="n">
        <v>0.0</v>
      </c>
      <c r="AB1572" t="n">
        <v>0.0</v>
      </c>
      <c r="AC1572" t="n">
        <v>0.0</v>
      </c>
      <c r="AD1572" t="n">
        <v>0.0</v>
      </c>
      <c r="AE1572" t="n">
        <v>0.0</v>
      </c>
      <c r="AF1572" t="n">
        <v>0.0</v>
      </c>
      <c r="AG1572" t="n">
        <v>0.0</v>
      </c>
      <c r="AH1572" t="n">
        <v>0.0</v>
      </c>
      <c r="AI1572" t="n">
        <v>0.0</v>
      </c>
      <c r="AJ1572" t="n">
        <v>0.0</v>
      </c>
      <c r="AK1572" t="inlineStr">
        <is>
          <t/>
        </is>
      </c>
      <c r="AL1572" t="inlineStr">
        <is>
          <t/>
        </is>
      </c>
    </row>
    <row r="1573">
      <c r="A1573" t="inlineStr">
        <is>
          <t>原来长期吃这个虾仁会让人...</t>
        </is>
      </c>
      <c r="B1573" t="inlineStr">
        <is>
          <t>69c34874000000001f005fa9</t>
        </is>
      </c>
      <c r="C1573" s="1572" t="n">
        <f>HYPERLINK("https://www.xiaohongshu.com/explore/69c34874000000001f005fa9?xsec_token=TBedSEQ7qtT06AlsylOAiUwx4UUTeAAgQYwvw-0lMHymU=&amp;xsec_source=pc_trdark","https://www.xiaohongshu.com/explore/69c34874000000001f005fa9?xsec_token=TBedSEQ7qtT06AlsylOAiUwx4UUTeAAgQYwvw-0lMHymU=&amp;xsec_source=pc_trdark")</f>
        <v>0.0</v>
      </c>
      <c r="D1573" t="inlineStr">
        <is>
          <t>婉婉上班吃什么</t>
        </is>
      </c>
      <c r="E1573" t="inlineStr">
        <is>
          <t>11434449706</t>
        </is>
      </c>
      <c r="F1573" t="inlineStr">
        <is>
          <t>2026-03-25 10:29:08</t>
        </is>
      </c>
      <c r="G1573" t="inlineStr">
        <is>
          <t>图文</t>
        </is>
      </c>
      <c r="H1573" t="inlineStr">
        <is>
          <t>手剥虾仁 无冰衣无添加 低脂餐一人食 上班带饭 顺丰包邮 5盒装</t>
        </is>
      </c>
      <c r="I1573" t="inlineStr">
        <is>
          <t>694baba01d450d00013662f0</t>
        </is>
      </c>
      <c r="J1573" t="inlineStr">
        <is>
          <t/>
        </is>
      </c>
      <c r="K1573" t="n">
        <v>0.0</v>
      </c>
      <c r="L1573" t="n">
        <v>0.0</v>
      </c>
      <c r="M1573" t="n">
        <v>0.0</v>
      </c>
      <c r="N1573" t="inlineStr">
        <is>
          <t/>
        </is>
      </c>
      <c r="O1573" t="n">
        <v>0.0</v>
      </c>
      <c r="P1573" t="n">
        <v>0.0</v>
      </c>
      <c r="Q1573" t="inlineStr">
        <is>
          <t/>
        </is>
      </c>
      <c r="R1573" t="inlineStr">
        <is>
          <t/>
        </is>
      </c>
      <c r="S1573" t="n">
        <v>0.0</v>
      </c>
      <c r="T1573" t="n">
        <v>0.0</v>
      </c>
      <c r="U1573" t="n">
        <v>0.0</v>
      </c>
      <c r="V1573" t="n">
        <v>0.0</v>
      </c>
      <c r="W1573" t="inlineStr">
        <is>
          <t/>
        </is>
      </c>
      <c r="X1573" t="n">
        <v>0.0</v>
      </c>
      <c r="Y1573" t="n">
        <v>0.0</v>
      </c>
      <c r="Z1573" t="n">
        <v>0.0</v>
      </c>
      <c r="AA1573" t="n">
        <v>0.0</v>
      </c>
      <c r="AB1573" t="n">
        <v>0.0</v>
      </c>
      <c r="AC1573" t="n">
        <v>0.0</v>
      </c>
      <c r="AD1573" t="n">
        <v>0.0</v>
      </c>
      <c r="AE1573" t="n">
        <v>0.0</v>
      </c>
      <c r="AF1573" t="n">
        <v>0.0</v>
      </c>
      <c r="AG1573" t="n">
        <v>0.0</v>
      </c>
      <c r="AH1573" t="n">
        <v>0.0</v>
      </c>
      <c r="AI1573" t="n">
        <v>0.0</v>
      </c>
      <c r="AJ1573" t="n">
        <v>0.0</v>
      </c>
      <c r="AK1573" t="inlineStr">
        <is>
          <t/>
        </is>
      </c>
      <c r="AL1573" t="inlineStr">
        <is>
          <t/>
        </is>
      </c>
    </row>
    <row r="1574">
      <c r="A1574" t="inlineStr">
        <is>
          <t>别拿⛰️姆🎁马跟我比，真就不够打</t>
        </is>
      </c>
      <c r="B1574" t="inlineStr">
        <is>
          <t>69c24d14000000001b020d51</t>
        </is>
      </c>
      <c r="C1574" s="1573" t="n">
        <f>HYPERLINK("https://www.xiaohongshu.com/explore/69c24d14000000001b020d51?xsec_token=TBUqBR5MVQnv6JPS0VJV95uNg_KoVE1NQXO2y-tC5iPj4=&amp;xsec_source=pc_trdark","https://www.xiaohongshu.com/explore/69c24d14000000001b020d51?xsec_token=TBUqBR5MVQnv6JPS0VJV95uNg_KoVE1NQXO2y-tC5iPj4=&amp;xsec_source=pc_trdark")</f>
        <v>0.0</v>
      </c>
      <c r="D1574" t="inlineStr">
        <is>
          <t>鲜水湾</t>
        </is>
      </c>
      <c r="E1574" t="inlineStr">
        <is>
          <t>49316638994</t>
        </is>
      </c>
      <c r="F1574" t="inlineStr">
        <is>
          <t>2026-03-24 16:36:36</t>
        </is>
      </c>
      <c r="G1574" t="inlineStr">
        <is>
          <t>图文</t>
        </is>
      </c>
      <c r="H1574" t="inlineStr">
        <is>
          <t>手剥虾仁 无冰衣无添加 低脂餐一人食 上班带饭 顺丰包邮 5盒装</t>
        </is>
      </c>
      <c r="I1574" t="inlineStr">
        <is>
          <t>694baba01d450d00013662f0</t>
        </is>
      </c>
      <c r="J1574" t="inlineStr">
        <is>
          <t/>
        </is>
      </c>
      <c r="K1574" t="n">
        <v>0.0</v>
      </c>
      <c r="L1574" t="n">
        <v>0.0</v>
      </c>
      <c r="M1574" t="n">
        <v>0.0</v>
      </c>
      <c r="N1574" t="inlineStr">
        <is>
          <t/>
        </is>
      </c>
      <c r="O1574" t="n">
        <v>0.0</v>
      </c>
      <c r="P1574" t="n">
        <v>0.0</v>
      </c>
      <c r="Q1574" t="inlineStr">
        <is>
          <t/>
        </is>
      </c>
      <c r="R1574" t="inlineStr">
        <is>
          <t/>
        </is>
      </c>
      <c r="S1574" t="n">
        <v>0.0</v>
      </c>
      <c r="T1574" t="n">
        <v>0.0</v>
      </c>
      <c r="U1574" t="n">
        <v>0.0</v>
      </c>
      <c r="V1574" t="n">
        <v>0.0</v>
      </c>
      <c r="W1574" t="inlineStr">
        <is>
          <t/>
        </is>
      </c>
      <c r="X1574" t="n">
        <v>0.0</v>
      </c>
      <c r="Y1574" t="n">
        <v>0.0</v>
      </c>
      <c r="Z1574" t="n">
        <v>0.0</v>
      </c>
      <c r="AA1574" t="n">
        <v>0.0</v>
      </c>
      <c r="AB1574" t="n">
        <v>0.0</v>
      </c>
      <c r="AC1574" t="n">
        <v>0.0</v>
      </c>
      <c r="AD1574" t="n">
        <v>0.0</v>
      </c>
      <c r="AE1574" t="n">
        <v>0.0</v>
      </c>
      <c r="AF1574" t="n">
        <v>0.0</v>
      </c>
      <c r="AG1574" t="n">
        <v>0.0</v>
      </c>
      <c r="AH1574" t="n">
        <v>0.0</v>
      </c>
      <c r="AI1574" t="n">
        <v>0.0</v>
      </c>
      <c r="AJ1574" t="n">
        <v>0.0</v>
      </c>
      <c r="AK1574" t="inlineStr">
        <is>
          <t/>
        </is>
      </c>
      <c r="AL1574" t="inlineStr">
        <is>
          <t/>
        </is>
      </c>
    </row>
    <row r="1575">
      <c r="A1575" t="inlineStr">
        <is>
          <t>现在的年轻人真的低估了100来块的购买力！</t>
        </is>
      </c>
      <c r="B1575" t="inlineStr">
        <is>
          <t>69c24388000000002202ac04</t>
        </is>
      </c>
      <c r="C1575" s="1574" t="n">
        <f>HYPERLINK("https://www.xiaohongshu.com/explore/69c24388000000002202ac04?xsec_token=TBUqBR5MVQnv6JPS0VJV95uDefB4ya4NNaD8F0Hp3-I8A=&amp;xsec_source=pc_trdark","https://www.xiaohongshu.com/explore/69c24388000000002202ac04?xsec_token=TBUqBR5MVQnv6JPS0VJV95uDefB4ya4NNaD8F0Hp3-I8A=&amp;xsec_source=pc_trdark")</f>
        <v>0.0</v>
      </c>
      <c r="D1575" t="inlineStr">
        <is>
          <t>菲菲上班吃什么</t>
        </is>
      </c>
      <c r="E1575" t="inlineStr">
        <is>
          <t>49936530607</t>
        </is>
      </c>
      <c r="F1575" t="inlineStr">
        <is>
          <t>2026-03-24 15:55:52</t>
        </is>
      </c>
      <c r="G1575" t="inlineStr">
        <is>
          <t>图文</t>
        </is>
      </c>
      <c r="H1575" t="inlineStr">
        <is>
          <t>智利三文鱼切块·整条三文鱼·深海鱼一人食健康饮食</t>
        </is>
      </c>
      <c r="I1575" t="inlineStr">
        <is>
          <t>691ac562a524ee0001b51d7b</t>
        </is>
      </c>
      <c r="J1575" t="inlineStr">
        <is>
          <t/>
        </is>
      </c>
      <c r="K1575" t="n">
        <v>0.0</v>
      </c>
      <c r="L1575" t="n">
        <v>0.0</v>
      </c>
      <c r="M1575" t="n">
        <v>0.0</v>
      </c>
      <c r="N1575" t="inlineStr">
        <is>
          <t/>
        </is>
      </c>
      <c r="O1575" t="n">
        <v>0.0</v>
      </c>
      <c r="P1575" t="n">
        <v>0.0</v>
      </c>
      <c r="Q1575" t="inlineStr">
        <is>
          <t/>
        </is>
      </c>
      <c r="R1575" t="inlineStr">
        <is>
          <t/>
        </is>
      </c>
      <c r="S1575" t="n">
        <v>0.0</v>
      </c>
      <c r="T1575" t="n">
        <v>0.0</v>
      </c>
      <c r="U1575" t="n">
        <v>0.0</v>
      </c>
      <c r="V1575" t="n">
        <v>0.0</v>
      </c>
      <c r="W1575" t="inlineStr">
        <is>
          <t/>
        </is>
      </c>
      <c r="X1575" t="n">
        <v>0.0</v>
      </c>
      <c r="Y1575" t="n">
        <v>0.0</v>
      </c>
      <c r="Z1575" t="n">
        <v>0.0</v>
      </c>
      <c r="AA1575" t="n">
        <v>0.0</v>
      </c>
      <c r="AB1575" t="n">
        <v>0.0</v>
      </c>
      <c r="AC1575" t="n">
        <v>0.0</v>
      </c>
      <c r="AD1575" t="n">
        <v>0.0</v>
      </c>
      <c r="AE1575" t="n">
        <v>0.0</v>
      </c>
      <c r="AF1575" t="n">
        <v>0.0</v>
      </c>
      <c r="AG1575" t="n">
        <v>0.0</v>
      </c>
      <c r="AH1575" t="n">
        <v>0.0</v>
      </c>
      <c r="AI1575" t="n">
        <v>0.0</v>
      </c>
      <c r="AJ1575" t="n">
        <v>0.0</v>
      </c>
      <c r="AK1575" t="inlineStr">
        <is>
          <t/>
        </is>
      </c>
      <c r="AL1575" t="inlineStr">
        <is>
          <t/>
        </is>
      </c>
    </row>
    <row r="1576">
      <c r="A1576" t="inlineStr">
        <is>
          <t>以为100块没多少，结果够我自律期吃半个月了</t>
        </is>
      </c>
      <c r="B1576" t="inlineStr">
        <is>
          <t>69c1f172000000001b0235d8</t>
        </is>
      </c>
      <c r="C1576" s="1575" t="n">
        <f>HYPERLINK("https://www.xiaohongshu.com/explore/69c1f172000000001b0235d8?xsec_token=TBltfkQyXS0u_Ko7SgIzuBYioy9b9lBs3Ey2ozWJqU_EQ=&amp;xsec_source=pc_trdark","https://www.xiaohongshu.com/explore/69c1f172000000001b0235d8?xsec_token=TBltfkQyXS0u_Ko7SgIzuBYioy9b9lBs3Ey2ozWJqU_EQ=&amp;xsec_source=pc_trdark")</f>
        <v>0.0</v>
      </c>
      <c r="D1576" t="inlineStr">
        <is>
          <t>婉婉上班吃什么</t>
        </is>
      </c>
      <c r="E1576" t="inlineStr">
        <is>
          <t>11434449706</t>
        </is>
      </c>
      <c r="F1576" t="inlineStr">
        <is>
          <t>2026-03-24 10:05:38</t>
        </is>
      </c>
      <c r="G1576" t="inlineStr">
        <is>
          <t>图文</t>
        </is>
      </c>
      <c r="H1576" t="inlineStr">
        <is>
          <t>手剥虾仁 无冰衣无添加 低脂餐一人食 上班带饭 顺丰包邮 5盒装</t>
        </is>
      </c>
      <c r="I1576" t="inlineStr">
        <is>
          <t>694baba01d450d00013662f0</t>
        </is>
      </c>
      <c r="J1576" t="inlineStr">
        <is>
          <t/>
        </is>
      </c>
      <c r="K1576" t="n">
        <v>0.0</v>
      </c>
      <c r="L1576" t="n">
        <v>0.0</v>
      </c>
      <c r="M1576" t="n">
        <v>0.0</v>
      </c>
      <c r="N1576" t="inlineStr">
        <is>
          <t/>
        </is>
      </c>
      <c r="O1576" t="n">
        <v>0.0</v>
      </c>
      <c r="P1576" t="n">
        <v>0.0</v>
      </c>
      <c r="Q1576" t="inlineStr">
        <is>
          <t/>
        </is>
      </c>
      <c r="R1576" t="inlineStr">
        <is>
          <t/>
        </is>
      </c>
      <c r="S1576" t="n">
        <v>0.0</v>
      </c>
      <c r="T1576" t="n">
        <v>0.0</v>
      </c>
      <c r="U1576" t="n">
        <v>0.0</v>
      </c>
      <c r="V1576" t="n">
        <v>0.0</v>
      </c>
      <c r="W1576" t="inlineStr">
        <is>
          <t/>
        </is>
      </c>
      <c r="X1576" t="n">
        <v>0.0</v>
      </c>
      <c r="Y1576" t="n">
        <v>0.0</v>
      </c>
      <c r="Z1576" t="n">
        <v>0.0</v>
      </c>
      <c r="AA1576" t="n">
        <v>0.0</v>
      </c>
      <c r="AB1576" t="n">
        <v>0.0</v>
      </c>
      <c r="AC1576" t="n">
        <v>0.0</v>
      </c>
      <c r="AD1576" t="n">
        <v>0.0</v>
      </c>
      <c r="AE1576" t="n">
        <v>0.0</v>
      </c>
      <c r="AF1576" t="n">
        <v>0.0</v>
      </c>
      <c r="AG1576" t="n">
        <v>0.0</v>
      </c>
      <c r="AH1576" t="n">
        <v>0.0</v>
      </c>
      <c r="AI1576" t="n">
        <v>0.0</v>
      </c>
      <c r="AJ1576" t="n">
        <v>0.0</v>
      </c>
      <c r="AK1576" t="inlineStr">
        <is>
          <t/>
        </is>
      </c>
      <c r="AL1576" t="inlineStr">
        <is>
          <t/>
        </is>
      </c>
    </row>
    <row r="1577">
      <c r="A1577" t="inlineStr">
        <is>
          <t>感谢315🙏让我家这种无添加的虾仁被看见</t>
        </is>
      </c>
      <c r="B1577" t="inlineStr">
        <is>
          <t>69c163a4000000002300793e</t>
        </is>
      </c>
      <c r="C1577" s="1576" t="n">
        <f>HYPERLINK("https://www.xiaohongshu.com/explore/69c163a4000000002300793e?xsec_token=TBltfkQyXS0u_Ko7SgIzuBYqYPIbSZEWkSKdBNkQLpaDA=&amp;xsec_source=pc_trdark","https://www.xiaohongshu.com/explore/69c163a4000000002300793e?xsec_token=TBltfkQyXS0u_Ko7SgIzuBYqYPIbSZEWkSKdBNkQLpaDA=&amp;xsec_source=pc_trdark")</f>
        <v>0.0</v>
      </c>
      <c r="D1577" t="inlineStr">
        <is>
          <t>鲜水湾</t>
        </is>
      </c>
      <c r="E1577" t="inlineStr">
        <is>
          <t>49316638994</t>
        </is>
      </c>
      <c r="F1577" t="inlineStr">
        <is>
          <t>2026-03-24 00:00:36</t>
        </is>
      </c>
      <c r="G1577" t="inlineStr">
        <is>
          <t>图文</t>
        </is>
      </c>
      <c r="H1577" t="inlineStr">
        <is>
          <t>手剥虾仁 无冰衣无添加 低脂餐一人食 上班带饭 顺丰包邮 5盒装</t>
        </is>
      </c>
      <c r="I1577" t="inlineStr">
        <is>
          <t>694baba01d450d00013662f0</t>
        </is>
      </c>
      <c r="J1577" t="inlineStr">
        <is>
          <t/>
        </is>
      </c>
      <c r="K1577" t="n">
        <v>0.0</v>
      </c>
      <c r="L1577" t="n">
        <v>0.0</v>
      </c>
      <c r="M1577" t="n">
        <v>0.0</v>
      </c>
      <c r="N1577" t="inlineStr">
        <is>
          <t/>
        </is>
      </c>
      <c r="O1577" t="n">
        <v>0.0</v>
      </c>
      <c r="P1577" t="n">
        <v>0.0</v>
      </c>
      <c r="Q1577" t="inlineStr">
        <is>
          <t/>
        </is>
      </c>
      <c r="R1577" t="inlineStr">
        <is>
          <t/>
        </is>
      </c>
      <c r="S1577" t="n">
        <v>0.0</v>
      </c>
      <c r="T1577" t="n">
        <v>0.0</v>
      </c>
      <c r="U1577" t="n">
        <v>0.0</v>
      </c>
      <c r="V1577" t="n">
        <v>0.0</v>
      </c>
      <c r="W1577" t="inlineStr">
        <is>
          <t/>
        </is>
      </c>
      <c r="X1577" t="n">
        <v>0.0</v>
      </c>
      <c r="Y1577" t="n">
        <v>0.0</v>
      </c>
      <c r="Z1577" t="n">
        <v>0.0</v>
      </c>
      <c r="AA1577" t="n">
        <v>0.0</v>
      </c>
      <c r="AB1577" t="n">
        <v>0.0</v>
      </c>
      <c r="AC1577" t="n">
        <v>0.0</v>
      </c>
      <c r="AD1577" t="n">
        <v>0.0</v>
      </c>
      <c r="AE1577" t="n">
        <v>0.0</v>
      </c>
      <c r="AF1577" t="n">
        <v>0.0</v>
      </c>
      <c r="AG1577" t="n">
        <v>0.0</v>
      </c>
      <c r="AH1577" t="n">
        <v>0.0</v>
      </c>
      <c r="AI1577" t="n">
        <v>0.0</v>
      </c>
      <c r="AJ1577" t="n">
        <v>0.0</v>
      </c>
      <c r="AK1577" t="inlineStr">
        <is>
          <t/>
        </is>
      </c>
      <c r="AL1577" t="inlineStr">
        <is>
          <t/>
        </is>
      </c>
    </row>
    <row r="1578">
      <c r="A1578" t="inlineStr">
        <is>
          <t>100块搞定半个月轻食！</t>
        </is>
      </c>
      <c r="B1578" t="inlineStr">
        <is>
          <t>69c160d200000000220286e8</t>
        </is>
      </c>
      <c r="C1578" s="1577" t="n">
        <f>HYPERLINK("https://www.xiaohongshu.com/explore/69c160d200000000220286e8?xsec_token=TBltfkQyXS0u_Ko7SgIzuBYswyYeIA_ICVuzn23_suCO8=&amp;xsec_source=pc_trdark","https://www.xiaohongshu.com/explore/69c160d200000000220286e8?xsec_token=TBltfkQyXS0u_Ko7SgIzuBYswyYeIA_ICVuzn23_suCO8=&amp;xsec_source=pc_trdark")</f>
        <v>0.0</v>
      </c>
      <c r="D1578" t="inlineStr">
        <is>
          <t>婉婉上班吃什么</t>
        </is>
      </c>
      <c r="E1578" t="inlineStr">
        <is>
          <t>11434449706</t>
        </is>
      </c>
      <c r="F1578" t="inlineStr">
        <is>
          <t>2026-03-23 23:48:34</t>
        </is>
      </c>
      <c r="G1578" t="inlineStr">
        <is>
          <t>图文</t>
        </is>
      </c>
      <c r="H1578" t="inlineStr">
        <is>
          <t>手剥虾仁 无冰衣无添加 低脂餐一人食 上班带饭 顺丰包邮 5盒装</t>
        </is>
      </c>
      <c r="I1578" t="inlineStr">
        <is>
          <t>694baba01d450d00013662f0</t>
        </is>
      </c>
      <c r="J1578" t="inlineStr">
        <is>
          <t/>
        </is>
      </c>
      <c r="K1578" t="n">
        <v>0.0</v>
      </c>
      <c r="L1578" t="n">
        <v>0.0</v>
      </c>
      <c r="M1578" t="n">
        <v>0.0</v>
      </c>
      <c r="N1578" t="inlineStr">
        <is>
          <t/>
        </is>
      </c>
      <c r="O1578" t="n">
        <v>0.0</v>
      </c>
      <c r="P1578" t="n">
        <v>0.0</v>
      </c>
      <c r="Q1578" t="inlineStr">
        <is>
          <t/>
        </is>
      </c>
      <c r="R1578" t="inlineStr">
        <is>
          <t/>
        </is>
      </c>
      <c r="S1578" t="n">
        <v>0.0</v>
      </c>
      <c r="T1578" t="n">
        <v>0.0</v>
      </c>
      <c r="U1578" t="n">
        <v>0.0</v>
      </c>
      <c r="V1578" t="n">
        <v>0.0</v>
      </c>
      <c r="W1578" t="inlineStr">
        <is>
          <t/>
        </is>
      </c>
      <c r="X1578" t="n">
        <v>0.0</v>
      </c>
      <c r="Y1578" t="n">
        <v>0.0</v>
      </c>
      <c r="Z1578" t="n">
        <v>0.0</v>
      </c>
      <c r="AA1578" t="n">
        <v>0.0</v>
      </c>
      <c r="AB1578" t="n">
        <v>0.0</v>
      </c>
      <c r="AC1578" t="n">
        <v>0.0</v>
      </c>
      <c r="AD1578" t="n">
        <v>0.0</v>
      </c>
      <c r="AE1578" t="n">
        <v>0.0</v>
      </c>
      <c r="AF1578" t="n">
        <v>0.0</v>
      </c>
      <c r="AG1578" t="n">
        <v>0.0</v>
      </c>
      <c r="AH1578" t="n">
        <v>0.0</v>
      </c>
      <c r="AI1578" t="n">
        <v>0.0</v>
      </c>
      <c r="AJ1578" t="n">
        <v>0.0</v>
      </c>
      <c r="AK1578" t="inlineStr">
        <is>
          <t/>
        </is>
      </c>
      <c r="AL1578" t="inlineStr">
        <is>
          <t/>
        </is>
      </c>
    </row>
    <row r="1579">
      <c r="A1579" t="inlineStr">
        <is>
          <t>第一次直观感受到100来块的威力！</t>
        </is>
      </c>
      <c r="B1579" t="inlineStr">
        <is>
          <t>69c14c73000000001b022934</t>
        </is>
      </c>
      <c r="C1579" s="1578" t="n">
        <f>HYPERLINK("https://www.xiaohongshu.com/explore/69c14c73000000001b022934?xsec_token=TBltfkQyXS0u_Ko7SgIzuBYlyucDfee2r2kJ6TThxT5mA=&amp;xsec_source=pc_trdark","https://www.xiaohongshu.com/explore/69c14c73000000001b022934?xsec_token=TBltfkQyXS0u_Ko7SgIzuBYlyucDfee2r2kJ6TThxT5mA=&amp;xsec_source=pc_trdark")</f>
        <v>0.0</v>
      </c>
      <c r="D1579" t="inlineStr">
        <is>
          <t>婉婉上班吃什么</t>
        </is>
      </c>
      <c r="E1579" t="inlineStr">
        <is>
          <t>11434449706</t>
        </is>
      </c>
      <c r="F1579" t="inlineStr">
        <is>
          <t>2026-03-23 22:21:39</t>
        </is>
      </c>
      <c r="G1579" t="inlineStr">
        <is>
          <t>图文</t>
        </is>
      </c>
      <c r="H1579" t="inlineStr">
        <is>
          <t>手剥虾仁 无冰衣无添加 低脂餐一人食 上班带饭 顺丰包邮 5盒装</t>
        </is>
      </c>
      <c r="I1579" t="inlineStr">
        <is>
          <t>694baba01d450d00013662f0</t>
        </is>
      </c>
      <c r="J1579" t="inlineStr">
        <is>
          <t/>
        </is>
      </c>
      <c r="K1579" t="n">
        <v>0.0</v>
      </c>
      <c r="L1579" t="n">
        <v>0.0</v>
      </c>
      <c r="M1579" t="n">
        <v>0.0</v>
      </c>
      <c r="N1579" t="inlineStr">
        <is>
          <t/>
        </is>
      </c>
      <c r="O1579" t="n">
        <v>0.0</v>
      </c>
      <c r="P1579" t="n">
        <v>0.0</v>
      </c>
      <c r="Q1579" t="inlineStr">
        <is>
          <t/>
        </is>
      </c>
      <c r="R1579" t="inlineStr">
        <is>
          <t/>
        </is>
      </c>
      <c r="S1579" t="n">
        <v>0.0</v>
      </c>
      <c r="T1579" t="n">
        <v>0.0</v>
      </c>
      <c r="U1579" t="n">
        <v>0.0</v>
      </c>
      <c r="V1579" t="n">
        <v>0.0</v>
      </c>
      <c r="W1579" t="inlineStr">
        <is>
          <t/>
        </is>
      </c>
      <c r="X1579" t="n">
        <v>0.0</v>
      </c>
      <c r="Y1579" t="n">
        <v>0.0</v>
      </c>
      <c r="Z1579" t="n">
        <v>0.0</v>
      </c>
      <c r="AA1579" t="n">
        <v>0.0</v>
      </c>
      <c r="AB1579" t="n">
        <v>0.0</v>
      </c>
      <c r="AC1579" t="n">
        <v>0.0</v>
      </c>
      <c r="AD1579" t="n">
        <v>0.0</v>
      </c>
      <c r="AE1579" t="n">
        <v>0.0</v>
      </c>
      <c r="AF1579" t="n">
        <v>0.0</v>
      </c>
      <c r="AG1579" t="n">
        <v>0.0</v>
      </c>
      <c r="AH1579" t="n">
        <v>0.0</v>
      </c>
      <c r="AI1579" t="n">
        <v>0.0</v>
      </c>
      <c r="AJ1579" t="n">
        <v>0.0</v>
      </c>
      <c r="AK1579" t="inlineStr">
        <is>
          <t/>
        </is>
      </c>
      <c r="AL1579" t="inlineStr">
        <is>
          <t/>
        </is>
      </c>
    </row>
    <row r="1580">
      <c r="A1580" t="inlineStr">
        <is>
          <t>发现大家都严重低估了100来块的购买力…</t>
        </is>
      </c>
      <c r="B1580" t="inlineStr">
        <is>
          <t>69c14136000000001f00088f</t>
        </is>
      </c>
      <c r="C1580" s="1579" t="n">
        <f>HYPERLINK("https://www.xiaohongshu.com/explore/69c14136000000001f00088f?xsec_token=TBltfkQyXS0u_Ko7SgIzuBYtg0X6pJMeOEdeA9E5HnIUg=&amp;xsec_source=pc_trdark","https://www.xiaohongshu.com/explore/69c14136000000001f00088f?xsec_token=TBltfkQyXS0u_Ko7SgIzuBYtg0X6pJMeOEdeA9E5HnIUg=&amp;xsec_source=pc_trdark")</f>
        <v>0.0</v>
      </c>
      <c r="D1580" t="inlineStr">
        <is>
          <t>鲜水湾</t>
        </is>
      </c>
      <c r="E1580" t="inlineStr">
        <is>
          <t>49316638994</t>
        </is>
      </c>
      <c r="F1580" t="inlineStr">
        <is>
          <t>2026-03-23 21:33:42</t>
        </is>
      </c>
      <c r="G1580" t="inlineStr">
        <is>
          <t>图文</t>
        </is>
      </c>
      <c r="H1580" t="inlineStr">
        <is>
          <t>手剥虾仁 无冰衣无添加 低脂餐一人食 上班带饭 顺丰包邮 5盒装</t>
        </is>
      </c>
      <c r="I1580" t="inlineStr">
        <is>
          <t>694baba01d450d00013662f0</t>
        </is>
      </c>
      <c r="J1580" t="inlineStr">
        <is>
          <t/>
        </is>
      </c>
      <c r="K1580" t="n">
        <v>0.0</v>
      </c>
      <c r="L1580" t="n">
        <v>0.0</v>
      </c>
      <c r="M1580" t="n">
        <v>0.0</v>
      </c>
      <c r="N1580" t="inlineStr">
        <is>
          <t/>
        </is>
      </c>
      <c r="O1580" t="n">
        <v>0.0</v>
      </c>
      <c r="P1580" t="n">
        <v>0.0</v>
      </c>
      <c r="Q1580" t="inlineStr">
        <is>
          <t/>
        </is>
      </c>
      <c r="R1580" t="inlineStr">
        <is>
          <t/>
        </is>
      </c>
      <c r="S1580" t="n">
        <v>0.0</v>
      </c>
      <c r="T1580" t="n">
        <v>0.0</v>
      </c>
      <c r="U1580" t="n">
        <v>0.0</v>
      </c>
      <c r="V1580" t="n">
        <v>0.0</v>
      </c>
      <c r="W1580" t="inlineStr">
        <is>
          <t/>
        </is>
      </c>
      <c r="X1580" t="n">
        <v>0.0</v>
      </c>
      <c r="Y1580" t="n">
        <v>0.0</v>
      </c>
      <c r="Z1580" t="n">
        <v>0.0</v>
      </c>
      <c r="AA1580" t="n">
        <v>0.0</v>
      </c>
      <c r="AB1580" t="n">
        <v>0.0</v>
      </c>
      <c r="AC1580" t="n">
        <v>0.0</v>
      </c>
      <c r="AD1580" t="n">
        <v>0.0</v>
      </c>
      <c r="AE1580" t="n">
        <v>0.0</v>
      </c>
      <c r="AF1580" t="n">
        <v>0.0</v>
      </c>
      <c r="AG1580" t="n">
        <v>0.0</v>
      </c>
      <c r="AH1580" t="n">
        <v>0.0</v>
      </c>
      <c r="AI1580" t="n">
        <v>0.0</v>
      </c>
      <c r="AJ1580" t="n">
        <v>0.0</v>
      </c>
      <c r="AK1580" t="inlineStr">
        <is>
          <t/>
        </is>
      </c>
      <c r="AL1580" t="inlineStr">
        <is>
          <t/>
        </is>
      </c>
    </row>
    <row r="1581">
      <c r="A1581" t="inlineStr">
        <is>
          <t>以为69没多少，结果够我吃一周控体餐了🥹</t>
        </is>
      </c>
      <c r="B1581" t="inlineStr">
        <is>
          <t>69c136150000000023014524</t>
        </is>
      </c>
      <c r="C1581" s="1580" t="n">
        <f>HYPERLINK("https://www.xiaohongshu.com/explore/69c136150000000023014524?xsec_token=TBltfkQyXS0u_Ko7SgIzuBYhZpBDkUoNmGlgixHyIAFE0=&amp;xsec_source=pc_trdark","https://www.xiaohongshu.com/explore/69c136150000000023014524?xsec_token=TBltfkQyXS0u_Ko7SgIzuBYhZpBDkUoNmGlgixHyIAFE0=&amp;xsec_source=pc_trdark")</f>
        <v>0.0</v>
      </c>
      <c r="D1581" t="inlineStr">
        <is>
          <t>鲜水湾</t>
        </is>
      </c>
      <c r="E1581" t="inlineStr">
        <is>
          <t>49316638994</t>
        </is>
      </c>
      <c r="F1581" t="inlineStr">
        <is>
          <t>2026-03-23 20:46:13</t>
        </is>
      </c>
      <c r="G1581" t="inlineStr">
        <is>
          <t>图文</t>
        </is>
      </c>
      <c r="H1581" t="inlineStr">
        <is>
          <t>手剥虾仁 无冰衣无添加 低脂餐一人食 上班带饭 顺丰包邮 5盒装</t>
        </is>
      </c>
      <c r="I1581" t="inlineStr">
        <is>
          <t>694baba01d450d00013662f0</t>
        </is>
      </c>
      <c r="J1581" t="inlineStr">
        <is>
          <t/>
        </is>
      </c>
      <c r="K1581" t="n">
        <v>0.0</v>
      </c>
      <c r="L1581" t="n">
        <v>0.0</v>
      </c>
      <c r="M1581" t="n">
        <v>0.0</v>
      </c>
      <c r="N1581" t="inlineStr">
        <is>
          <t/>
        </is>
      </c>
      <c r="O1581" t="n">
        <v>0.0</v>
      </c>
      <c r="P1581" t="n">
        <v>0.0</v>
      </c>
      <c r="Q1581" t="inlineStr">
        <is>
          <t/>
        </is>
      </c>
      <c r="R1581" t="inlineStr">
        <is>
          <t/>
        </is>
      </c>
      <c r="S1581" t="n">
        <v>0.0</v>
      </c>
      <c r="T1581" t="n">
        <v>0.0</v>
      </c>
      <c r="U1581" t="n">
        <v>0.0</v>
      </c>
      <c r="V1581" t="n">
        <v>0.0</v>
      </c>
      <c r="W1581" t="inlineStr">
        <is>
          <t/>
        </is>
      </c>
      <c r="X1581" t="n">
        <v>0.0</v>
      </c>
      <c r="Y1581" t="n">
        <v>0.0</v>
      </c>
      <c r="Z1581" t="n">
        <v>0.0</v>
      </c>
      <c r="AA1581" t="n">
        <v>0.0</v>
      </c>
      <c r="AB1581" t="n">
        <v>0.0</v>
      </c>
      <c r="AC1581" t="n">
        <v>0.0</v>
      </c>
      <c r="AD1581" t="n">
        <v>0.0</v>
      </c>
      <c r="AE1581" t="n">
        <v>0.0</v>
      </c>
      <c r="AF1581" t="n">
        <v>0.0</v>
      </c>
      <c r="AG1581" t="n">
        <v>0.0</v>
      </c>
      <c r="AH1581" t="n">
        <v>0.0</v>
      </c>
      <c r="AI1581" t="n">
        <v>0.0</v>
      </c>
      <c r="AJ1581" t="n">
        <v>0.0</v>
      </c>
      <c r="AK1581" t="inlineStr">
        <is>
          <t/>
        </is>
      </c>
      <c r="AL1581" t="inlineStr">
        <is>
          <t/>
        </is>
      </c>
    </row>
    <row r="1582">
      <c r="A1582" t="inlineStr">
        <is>
          <t>因为我一个人，带动了办公室…</t>
        </is>
      </c>
      <c r="B1582" t="inlineStr">
        <is>
          <t>69c10ac5000000002301d11c</t>
        </is>
      </c>
      <c r="C1582" s="1581" t="n">
        <f>HYPERLINK("https://www.xiaohongshu.com/explore/69c10ac5000000002301d11c?xsec_token=TBltfkQyXS0u_Ko7SgIzuBYjxWKFk1iLojPrukKWTjTL0=&amp;xsec_source=pc_trdark","https://www.xiaohongshu.com/explore/69c10ac5000000002301d11c?xsec_token=TBltfkQyXS0u_Ko7SgIzuBYjxWKFk1iLojPrukKWTjTL0=&amp;xsec_source=pc_trdark")</f>
        <v>0.0</v>
      </c>
      <c r="D1582" t="inlineStr">
        <is>
          <t>菲菲上班吃什么</t>
        </is>
      </c>
      <c r="E1582" t="inlineStr">
        <is>
          <t>49936530607</t>
        </is>
      </c>
      <c r="F1582" t="inlineStr">
        <is>
          <t>2026-03-23 17:41:25</t>
        </is>
      </c>
      <c r="G1582" t="inlineStr">
        <is>
          <t>图文</t>
        </is>
      </c>
      <c r="H1582" t="inlineStr">
        <is>
          <t>手剥虾仁 无冰衣无添加 低脂餐一人食 上班带饭 顺丰包邮 5盒装</t>
        </is>
      </c>
      <c r="I1582" t="inlineStr">
        <is>
          <t>694baba01d450d00013662f0</t>
        </is>
      </c>
      <c r="J1582" t="inlineStr">
        <is>
          <t/>
        </is>
      </c>
      <c r="K1582" t="n">
        <v>0.0</v>
      </c>
      <c r="L1582" t="n">
        <v>0.0</v>
      </c>
      <c r="M1582" t="n">
        <v>0.0</v>
      </c>
      <c r="N1582" t="inlineStr">
        <is>
          <t/>
        </is>
      </c>
      <c r="O1582" t="n">
        <v>0.0</v>
      </c>
      <c r="P1582" t="n">
        <v>0.0</v>
      </c>
      <c r="Q1582" t="inlineStr">
        <is>
          <t/>
        </is>
      </c>
      <c r="R1582" t="inlineStr">
        <is>
          <t/>
        </is>
      </c>
      <c r="S1582" t="n">
        <v>0.0</v>
      </c>
      <c r="T1582" t="n">
        <v>0.0</v>
      </c>
      <c r="U1582" t="n">
        <v>0.0</v>
      </c>
      <c r="V1582" t="n">
        <v>0.0</v>
      </c>
      <c r="W1582" t="inlineStr">
        <is>
          <t/>
        </is>
      </c>
      <c r="X1582" t="n">
        <v>0.0</v>
      </c>
      <c r="Y1582" t="n">
        <v>0.0</v>
      </c>
      <c r="Z1582" t="n">
        <v>0.0</v>
      </c>
      <c r="AA1582" t="n">
        <v>0.0</v>
      </c>
      <c r="AB1582" t="n">
        <v>0.0</v>
      </c>
      <c r="AC1582" t="n">
        <v>0.0</v>
      </c>
      <c r="AD1582" t="n">
        <v>0.0</v>
      </c>
      <c r="AE1582" t="n">
        <v>0.0</v>
      </c>
      <c r="AF1582" t="n">
        <v>0.0</v>
      </c>
      <c r="AG1582" t="n">
        <v>0.0</v>
      </c>
      <c r="AH1582" t="n">
        <v>0.0</v>
      </c>
      <c r="AI1582" t="n">
        <v>0.0</v>
      </c>
      <c r="AJ1582" t="n">
        <v>0.0</v>
      </c>
      <c r="AK1582" t="inlineStr">
        <is>
          <t/>
        </is>
      </c>
      <c r="AL1582" t="inlineStr">
        <is>
          <t/>
        </is>
      </c>
    </row>
    <row r="1583">
      <c r="A1583" t="inlineStr">
        <is>
          <t>不得不说三文鱼真的是控体圣物</t>
        </is>
      </c>
      <c r="B1583" t="inlineStr">
        <is>
          <t>69c103dd0000000023024919</t>
        </is>
      </c>
      <c r="C1583" s="1582" t="n">
        <f>HYPERLINK("https://www.xiaohongshu.com/explore/69c103dd0000000023024919?xsec_token=TBltfkQyXS0u_Ko7SgIzuBYqjCTDVpx7vRlKlXvsarIck=&amp;xsec_source=pc_trdark","https://www.xiaohongshu.com/explore/69c103dd0000000023024919?xsec_token=TBltfkQyXS0u_Ko7SgIzuBYqjCTDVpx7vRlKlXvsarIck=&amp;xsec_source=pc_trdark")</f>
        <v>0.0</v>
      </c>
      <c r="D1583" t="inlineStr">
        <is>
          <t>鲜水湾甄选</t>
        </is>
      </c>
      <c r="E1583" t="inlineStr">
        <is>
          <t>27401929161</t>
        </is>
      </c>
      <c r="F1583" t="inlineStr">
        <is>
          <t>2026-03-23 17:11:57</t>
        </is>
      </c>
      <c r="G1583" t="inlineStr">
        <is>
          <t>图文</t>
        </is>
      </c>
      <c r="H1583" t="inlineStr">
        <is>
          <t>智利三文鱼切块·整条三文鱼·深海鱼一人食健康饮食</t>
        </is>
      </c>
      <c r="I1583" t="inlineStr">
        <is>
          <t>691ac562a524ee0001b51d7b</t>
        </is>
      </c>
      <c r="J1583" t="inlineStr">
        <is>
          <t/>
        </is>
      </c>
      <c r="K1583" t="n">
        <v>0.0</v>
      </c>
      <c r="L1583" t="n">
        <v>0.0</v>
      </c>
      <c r="M1583" t="n">
        <v>0.0</v>
      </c>
      <c r="N1583" t="inlineStr">
        <is>
          <t/>
        </is>
      </c>
      <c r="O1583" t="n">
        <v>0.0</v>
      </c>
      <c r="P1583" t="n">
        <v>0.0</v>
      </c>
      <c r="Q1583" t="inlineStr">
        <is>
          <t/>
        </is>
      </c>
      <c r="R1583" t="inlineStr">
        <is>
          <t/>
        </is>
      </c>
      <c r="S1583" t="n">
        <v>0.0</v>
      </c>
      <c r="T1583" t="n">
        <v>0.0</v>
      </c>
      <c r="U1583" t="n">
        <v>0.0</v>
      </c>
      <c r="V1583" t="n">
        <v>0.0</v>
      </c>
      <c r="W1583" t="inlineStr">
        <is>
          <t/>
        </is>
      </c>
      <c r="X1583" t="n">
        <v>0.0</v>
      </c>
      <c r="Y1583" t="n">
        <v>0.0</v>
      </c>
      <c r="Z1583" t="n">
        <v>0.0</v>
      </c>
      <c r="AA1583" t="n">
        <v>0.0</v>
      </c>
      <c r="AB1583" t="n">
        <v>0.0</v>
      </c>
      <c r="AC1583" t="n">
        <v>0.0</v>
      </c>
      <c r="AD1583" t="n">
        <v>0.0</v>
      </c>
      <c r="AE1583" t="n">
        <v>0.0</v>
      </c>
      <c r="AF1583" t="n">
        <v>0.0</v>
      </c>
      <c r="AG1583" t="n">
        <v>0.0</v>
      </c>
      <c r="AH1583" t="n">
        <v>0.0</v>
      </c>
      <c r="AI1583" t="n">
        <v>0.0</v>
      </c>
      <c r="AJ1583" t="n">
        <v>0.0</v>
      </c>
      <c r="AK1583" t="inlineStr">
        <is>
          <t/>
        </is>
      </c>
      <c r="AL1583" t="inlineStr">
        <is>
          <t/>
        </is>
      </c>
    </row>
    <row r="1584">
      <c r="A1584" t="inlineStr">
        <is>
          <t>同事问我：天天带饭，是因为穷吗？</t>
        </is>
      </c>
      <c r="B1584" t="inlineStr">
        <is>
          <t>69c0d9b80000000023017b7c</t>
        </is>
      </c>
      <c r="C1584" s="1583" t="n">
        <f>HYPERLINK("https://www.xiaohongshu.com/explore/69c0d9b80000000023017b7c?xsec_token=TBlSRAgxB_sBYkF02kEEKO5zTUqmQEvgLfWbtwclihx_0=&amp;xsec_source=pc_trdark","https://www.xiaohongshu.com/explore/69c0d9b80000000023017b7c?xsec_token=TBlSRAgxB_sBYkF02kEEKO5zTUqmQEvgLfWbtwclihx_0=&amp;xsec_source=pc_trdark")</f>
        <v>0.0</v>
      </c>
      <c r="D1584" t="inlineStr">
        <is>
          <t>菲菲上班吃什么</t>
        </is>
      </c>
      <c r="E1584" t="inlineStr">
        <is>
          <t>49936530607</t>
        </is>
      </c>
      <c r="F1584" t="inlineStr">
        <is>
          <t>2026-03-23 14:12:08</t>
        </is>
      </c>
      <c r="G1584" t="inlineStr">
        <is>
          <t>图文</t>
        </is>
      </c>
      <c r="H1584" t="inlineStr">
        <is>
          <t>手剥虾仁 无冰衣无添加 低脂餐一人食 上班带饭 顺丰包邮 5盒装</t>
        </is>
      </c>
      <c r="I1584" t="inlineStr">
        <is>
          <t>694baba01d450d00013662f0</t>
        </is>
      </c>
      <c r="J1584" t="inlineStr">
        <is>
          <t/>
        </is>
      </c>
      <c r="K1584" t="n">
        <v>0.0</v>
      </c>
      <c r="L1584" t="n">
        <v>0.0</v>
      </c>
      <c r="M1584" t="n">
        <v>0.0</v>
      </c>
      <c r="N1584" t="inlineStr">
        <is>
          <t/>
        </is>
      </c>
      <c r="O1584" t="n">
        <v>0.0</v>
      </c>
      <c r="P1584" t="n">
        <v>0.0</v>
      </c>
      <c r="Q1584" t="inlineStr">
        <is>
          <t/>
        </is>
      </c>
      <c r="R1584" t="inlineStr">
        <is>
          <t/>
        </is>
      </c>
      <c r="S1584" t="n">
        <v>0.0</v>
      </c>
      <c r="T1584" t="n">
        <v>0.0</v>
      </c>
      <c r="U1584" t="n">
        <v>0.0</v>
      </c>
      <c r="V1584" t="n">
        <v>0.0</v>
      </c>
      <c r="W1584" t="inlineStr">
        <is>
          <t/>
        </is>
      </c>
      <c r="X1584" t="n">
        <v>0.0</v>
      </c>
      <c r="Y1584" t="n">
        <v>0.0</v>
      </c>
      <c r="Z1584" t="n">
        <v>0.0</v>
      </c>
      <c r="AA1584" t="n">
        <v>0.0</v>
      </c>
      <c r="AB1584" t="n">
        <v>0.0</v>
      </c>
      <c r="AC1584" t="n">
        <v>0.0</v>
      </c>
      <c r="AD1584" t="n">
        <v>0.0</v>
      </c>
      <c r="AE1584" t="n">
        <v>0.0</v>
      </c>
      <c r="AF1584" t="n">
        <v>0.0</v>
      </c>
      <c r="AG1584" t="n">
        <v>0.0</v>
      </c>
      <c r="AH1584" t="n">
        <v>0.0</v>
      </c>
      <c r="AI1584" t="n">
        <v>0.0</v>
      </c>
      <c r="AJ1584" t="n">
        <v>0.0</v>
      </c>
      <c r="AK1584" t="inlineStr">
        <is>
          <t/>
        </is>
      </c>
      <c r="AL1584" t="inlineStr">
        <is>
          <t/>
        </is>
      </c>
    </row>
    <row r="1585">
      <c r="A1585" t="inlineStr">
        <is>
          <t>上班带饭的尽头是…极简</t>
        </is>
      </c>
      <c r="B1585" t="inlineStr">
        <is>
          <t>69c0d03a000000001f001f27</t>
        </is>
      </c>
      <c r="C1585" s="1584" t="n">
        <f>HYPERLINK("https://www.xiaohongshu.com/explore/69c0d03a000000001f001f27?xsec_token=TBlSRAgxB_sBYkF02kEEKO56skowvUCWBbvPNdCCCV_SI=&amp;xsec_source=pc_trdark","https://www.xiaohongshu.com/explore/69c0d03a000000001f001f27?xsec_token=TBlSRAgxB_sBYkF02kEEKO56skowvUCWBbvPNdCCCV_SI=&amp;xsec_source=pc_trdark")</f>
        <v>0.0</v>
      </c>
      <c r="D1585" t="inlineStr">
        <is>
          <t>菲菲上班吃什么</t>
        </is>
      </c>
      <c r="E1585" t="inlineStr">
        <is>
          <t>49936530607</t>
        </is>
      </c>
      <c r="F1585" t="inlineStr">
        <is>
          <t>2026-03-23 13:31:38</t>
        </is>
      </c>
      <c r="G1585" t="inlineStr">
        <is>
          <t>图文</t>
        </is>
      </c>
      <c r="H1585" t="inlineStr">
        <is>
          <t>手剥虾仁 无冰衣无添加 低脂餐一人食 上班带饭 顺丰包邮 5盒装</t>
        </is>
      </c>
      <c r="I1585" t="inlineStr">
        <is>
          <t>694baba01d450d00013662f0</t>
        </is>
      </c>
      <c r="J1585" t="inlineStr">
        <is>
          <t/>
        </is>
      </c>
      <c r="K1585" t="n">
        <v>0.0</v>
      </c>
      <c r="L1585" t="n">
        <v>0.0</v>
      </c>
      <c r="M1585" t="n">
        <v>0.0</v>
      </c>
      <c r="N1585" t="inlineStr">
        <is>
          <t/>
        </is>
      </c>
      <c r="O1585" t="n">
        <v>0.0</v>
      </c>
      <c r="P1585" t="n">
        <v>0.0</v>
      </c>
      <c r="Q1585" t="inlineStr">
        <is>
          <t/>
        </is>
      </c>
      <c r="R1585" t="inlineStr">
        <is>
          <t/>
        </is>
      </c>
      <c r="S1585" t="n">
        <v>0.0</v>
      </c>
      <c r="T1585" t="n">
        <v>0.0</v>
      </c>
      <c r="U1585" t="n">
        <v>0.0</v>
      </c>
      <c r="V1585" t="n">
        <v>0.0</v>
      </c>
      <c r="W1585" t="inlineStr">
        <is>
          <t/>
        </is>
      </c>
      <c r="X1585" t="n">
        <v>0.0</v>
      </c>
      <c r="Y1585" t="n">
        <v>0.0</v>
      </c>
      <c r="Z1585" t="n">
        <v>0.0</v>
      </c>
      <c r="AA1585" t="n">
        <v>0.0</v>
      </c>
      <c r="AB1585" t="n">
        <v>0.0</v>
      </c>
      <c r="AC1585" t="n">
        <v>0.0</v>
      </c>
      <c r="AD1585" t="n">
        <v>0.0</v>
      </c>
      <c r="AE1585" t="n">
        <v>0.0</v>
      </c>
      <c r="AF1585" t="n">
        <v>0.0</v>
      </c>
      <c r="AG1585" t="n">
        <v>0.0</v>
      </c>
      <c r="AH1585" t="n">
        <v>0.0</v>
      </c>
      <c r="AI1585" t="n">
        <v>0.0</v>
      </c>
      <c r="AJ1585" t="n">
        <v>0.0</v>
      </c>
      <c r="AK1585" t="inlineStr">
        <is>
          <t/>
        </is>
      </c>
      <c r="AL1585" t="inlineStr">
        <is>
          <t/>
        </is>
      </c>
    </row>
    <row r="1586">
      <c r="A1586" t="inlineStr">
        <is>
          <t>100块够吃一周的！和外卖说再见👋</t>
        </is>
      </c>
      <c r="B1586" t="inlineStr">
        <is>
          <t>69c0c1fd0000000023015a4e</t>
        </is>
      </c>
      <c r="C1586" s="1585" t="n">
        <f>HYPERLINK("https://www.xiaohongshu.com/explore/69c0c1fd0000000023015a4e?xsec_token=TBlSRAgxB_sBYkF02kEEKO5zZd1eF8eXLXKM01ZZV1N2g=&amp;xsec_source=pc_trdark","https://www.xiaohongshu.com/explore/69c0c1fd0000000023015a4e?xsec_token=TBlSRAgxB_sBYkF02kEEKO5zZd1eF8eXLXKM01ZZV1N2g=&amp;xsec_source=pc_trdark")</f>
        <v>0.0</v>
      </c>
      <c r="D1586" t="inlineStr">
        <is>
          <t>婉婉上班吃什么</t>
        </is>
      </c>
      <c r="E1586" t="inlineStr">
        <is>
          <t>11434449706</t>
        </is>
      </c>
      <c r="F1586" t="inlineStr">
        <is>
          <t>2026-03-23 12:30:53</t>
        </is>
      </c>
      <c r="G1586" t="inlineStr">
        <is>
          <t>图文</t>
        </is>
      </c>
      <c r="H1586" t="inlineStr">
        <is>
          <t>手剥虾仁 无冰衣无添加 低脂餐一人食 上班带饭 顺丰包邮 5盒装</t>
        </is>
      </c>
      <c r="I1586" t="inlineStr">
        <is>
          <t>694baba01d450d00013662f0</t>
        </is>
      </c>
      <c r="J1586" t="inlineStr">
        <is>
          <t/>
        </is>
      </c>
      <c r="K1586" t="n">
        <v>0.0</v>
      </c>
      <c r="L1586" t="n">
        <v>0.0</v>
      </c>
      <c r="M1586" t="n">
        <v>0.0</v>
      </c>
      <c r="N1586" t="inlineStr">
        <is>
          <t/>
        </is>
      </c>
      <c r="O1586" t="n">
        <v>0.0</v>
      </c>
      <c r="P1586" t="n">
        <v>0.0</v>
      </c>
      <c r="Q1586" t="inlineStr">
        <is>
          <t/>
        </is>
      </c>
      <c r="R1586" t="inlineStr">
        <is>
          <t/>
        </is>
      </c>
      <c r="S1586" t="n">
        <v>0.0</v>
      </c>
      <c r="T1586" t="n">
        <v>0.0</v>
      </c>
      <c r="U1586" t="n">
        <v>0.0</v>
      </c>
      <c r="V1586" t="n">
        <v>0.0</v>
      </c>
      <c r="W1586" t="inlineStr">
        <is>
          <t/>
        </is>
      </c>
      <c r="X1586" t="n">
        <v>0.0</v>
      </c>
      <c r="Y1586" t="n">
        <v>0.0</v>
      </c>
      <c r="Z1586" t="n">
        <v>0.0</v>
      </c>
      <c r="AA1586" t="n">
        <v>0.0</v>
      </c>
      <c r="AB1586" t="n">
        <v>0.0</v>
      </c>
      <c r="AC1586" t="n">
        <v>0.0</v>
      </c>
      <c r="AD1586" t="n">
        <v>0.0</v>
      </c>
      <c r="AE1586" t="n">
        <v>0.0</v>
      </c>
      <c r="AF1586" t="n">
        <v>0.0</v>
      </c>
      <c r="AG1586" t="n">
        <v>0.0</v>
      </c>
      <c r="AH1586" t="n">
        <v>0.0</v>
      </c>
      <c r="AI1586" t="n">
        <v>0.0</v>
      </c>
      <c r="AJ1586" t="n">
        <v>0.0</v>
      </c>
      <c r="AK1586" t="inlineStr">
        <is>
          <t/>
        </is>
      </c>
      <c r="AL1586" t="inlineStr">
        <is>
          <t/>
        </is>
      </c>
    </row>
    <row r="1587">
      <c r="A1587" t="inlineStr">
        <is>
          <t>春日减脂真不多，69够吃一周了</t>
        </is>
      </c>
      <c r="B1587" t="inlineStr">
        <is>
          <t>69c09361000000002800a916</t>
        </is>
      </c>
      <c r="C1587" s="1586" t="n">
        <f>HYPERLINK("https://www.xiaohongshu.com/explore/69c09361000000002800a916?xsec_token=TBlSRAgxB_sBYkF02kEEKO5y-ckkdG4CF0rDFP7N6KDno=&amp;xsec_source=pc_trdark","https://www.xiaohongshu.com/explore/69c09361000000002800a916?xsec_token=TBlSRAgxB_sBYkF02kEEKO5y-ckkdG4CF0rDFP7N6KDno=&amp;xsec_source=pc_trdark")</f>
        <v>0.0</v>
      </c>
      <c r="D1587" t="inlineStr">
        <is>
          <t>鲜水湾</t>
        </is>
      </c>
      <c r="E1587" t="inlineStr">
        <is>
          <t>49316638994</t>
        </is>
      </c>
      <c r="F1587" t="inlineStr">
        <is>
          <t>2026-03-23 09:12:01</t>
        </is>
      </c>
      <c r="G1587" t="inlineStr">
        <is>
          <t>图文</t>
        </is>
      </c>
      <c r="H1587" t="inlineStr">
        <is>
          <t>手剥虾仁 无冰衣无添加 低脂餐一人食 上班带饭 顺丰包邮 5盒装</t>
        </is>
      </c>
      <c r="I1587" t="inlineStr">
        <is>
          <t>694baba01d450d00013662f0</t>
        </is>
      </c>
      <c r="J1587" t="inlineStr">
        <is>
          <t/>
        </is>
      </c>
      <c r="K1587" t="n">
        <v>0.0</v>
      </c>
      <c r="L1587" t="n">
        <v>0.0</v>
      </c>
      <c r="M1587" t="n">
        <v>0.0</v>
      </c>
      <c r="N1587" t="inlineStr">
        <is>
          <t/>
        </is>
      </c>
      <c r="O1587" t="n">
        <v>0.0</v>
      </c>
      <c r="P1587" t="n">
        <v>0.0</v>
      </c>
      <c r="Q1587" t="inlineStr">
        <is>
          <t/>
        </is>
      </c>
      <c r="R1587" t="inlineStr">
        <is>
          <t/>
        </is>
      </c>
      <c r="S1587" t="n">
        <v>0.0</v>
      </c>
      <c r="T1587" t="n">
        <v>0.0</v>
      </c>
      <c r="U1587" t="n">
        <v>0.0</v>
      </c>
      <c r="V1587" t="n">
        <v>0.0</v>
      </c>
      <c r="W1587" t="inlineStr">
        <is>
          <t/>
        </is>
      </c>
      <c r="X1587" t="n">
        <v>0.0</v>
      </c>
      <c r="Y1587" t="n">
        <v>0.0</v>
      </c>
      <c r="Z1587" t="n">
        <v>0.0</v>
      </c>
      <c r="AA1587" t="n">
        <v>0.0</v>
      </c>
      <c r="AB1587" t="n">
        <v>0.0</v>
      </c>
      <c r="AC1587" t="n">
        <v>0.0</v>
      </c>
      <c r="AD1587" t="n">
        <v>0.0</v>
      </c>
      <c r="AE1587" t="n">
        <v>0.0</v>
      </c>
      <c r="AF1587" t="n">
        <v>0.0</v>
      </c>
      <c r="AG1587" t="n">
        <v>0.0</v>
      </c>
      <c r="AH1587" t="n">
        <v>0.0</v>
      </c>
      <c r="AI1587" t="n">
        <v>0.0</v>
      </c>
      <c r="AJ1587" t="n">
        <v>0.0</v>
      </c>
      <c r="AK1587" t="inlineStr">
        <is>
          <t/>
        </is>
      </c>
      <c r="AL1587" t="inlineStr">
        <is>
          <t/>
        </is>
      </c>
    </row>
    <row r="1588">
      <c r="A1588" t="inlineStr">
        <is>
          <t>一人食手剥海虾仁🍤 终于和老爸敲定上线啦！</t>
        </is>
      </c>
      <c r="B1588" t="inlineStr">
        <is>
          <t>69bff38d0000000028009a81</t>
        </is>
      </c>
      <c r="C1588" s="1587" t="n">
        <f>HYPERLINK("https://www.xiaohongshu.com/explore/69bff38d0000000028009a81?xsec_token=TBpIkisErOCQ5-QyFALsYM8LfbyTNaBbIGQyDzUk6i8g4=&amp;xsec_source=pc_trdark","https://www.xiaohongshu.com/explore/69bff38d0000000028009a81?xsec_token=TBpIkisErOCQ5-QyFALsYM8LfbyTNaBbIGQyDzUk6i8g4=&amp;xsec_source=pc_trdark")</f>
        <v>0.0</v>
      </c>
      <c r="D1588" t="inlineStr">
        <is>
          <t>鲜水湾</t>
        </is>
      </c>
      <c r="E1588" t="inlineStr">
        <is>
          <t>49316638994</t>
        </is>
      </c>
      <c r="F1588" t="inlineStr">
        <is>
          <t>2026-03-22 21:50:05</t>
        </is>
      </c>
      <c r="G1588" t="inlineStr">
        <is>
          <t>图文</t>
        </is>
      </c>
      <c r="H1588" t="inlineStr">
        <is>
          <t>手剥虾仁 无冰衣无添加 低脂餐一人食 上班带饭 顺丰包邮 5盒装</t>
        </is>
      </c>
      <c r="I1588" t="inlineStr">
        <is>
          <t>694baba01d450d00013662f0</t>
        </is>
      </c>
      <c r="J1588" t="inlineStr">
        <is>
          <t/>
        </is>
      </c>
      <c r="K1588" t="n">
        <v>0.0</v>
      </c>
      <c r="L1588" t="n">
        <v>0.0</v>
      </c>
      <c r="M1588" t="n">
        <v>0.0</v>
      </c>
      <c r="N1588" t="inlineStr">
        <is>
          <t/>
        </is>
      </c>
      <c r="O1588" t="n">
        <v>0.0</v>
      </c>
      <c r="P1588" t="n">
        <v>0.0</v>
      </c>
      <c r="Q1588" t="inlineStr">
        <is>
          <t/>
        </is>
      </c>
      <c r="R1588" t="inlineStr">
        <is>
          <t/>
        </is>
      </c>
      <c r="S1588" t="n">
        <v>0.0</v>
      </c>
      <c r="T1588" t="n">
        <v>0.0</v>
      </c>
      <c r="U1588" t="n">
        <v>0.0</v>
      </c>
      <c r="V1588" t="n">
        <v>0.0</v>
      </c>
      <c r="W1588" t="inlineStr">
        <is>
          <t/>
        </is>
      </c>
      <c r="X1588" t="n">
        <v>0.0</v>
      </c>
      <c r="Y1588" t="n">
        <v>0.0</v>
      </c>
      <c r="Z1588" t="n">
        <v>0.0</v>
      </c>
      <c r="AA1588" t="n">
        <v>0.0</v>
      </c>
      <c r="AB1588" t="n">
        <v>0.0</v>
      </c>
      <c r="AC1588" t="n">
        <v>0.0</v>
      </c>
      <c r="AD1588" t="n">
        <v>0.0</v>
      </c>
      <c r="AE1588" t="n">
        <v>0.0</v>
      </c>
      <c r="AF1588" t="n">
        <v>0.0</v>
      </c>
      <c r="AG1588" t="n">
        <v>0.0</v>
      </c>
      <c r="AH1588" t="n">
        <v>0.0</v>
      </c>
      <c r="AI1588" t="n">
        <v>0.0</v>
      </c>
      <c r="AJ1588" t="n">
        <v>0.0</v>
      </c>
      <c r="AK1588" t="inlineStr">
        <is>
          <t/>
        </is>
      </c>
      <c r="AL1588" t="inlineStr">
        <is>
          <t/>
        </is>
      </c>
    </row>
    <row r="1589">
      <c r="A1589" t="inlineStr">
        <is>
          <t>70💰的购买力解决我上班一周的带饭</t>
        </is>
      </c>
      <c r="B1589" t="inlineStr">
        <is>
          <t>69bfe1a2000000001f0036e7</t>
        </is>
      </c>
      <c r="C1589" s="1588" t="n">
        <f>HYPERLINK("https://www.xiaohongshu.com/explore/69bfe1a2000000001f0036e7?xsec_token=TBpIkisErOCQ5-QyFALsYM8JSJ7eY2wdnpL6u8zHCepQ4=&amp;xsec_source=pc_trdark","https://www.xiaohongshu.com/explore/69bfe1a2000000001f0036e7?xsec_token=TBpIkisErOCQ5-QyFALsYM8JSJ7eY2wdnpL6u8zHCepQ4=&amp;xsec_source=pc_trdark")</f>
        <v>0.0</v>
      </c>
      <c r="D1589" t="inlineStr">
        <is>
          <t>鲜水湾</t>
        </is>
      </c>
      <c r="E1589" t="inlineStr">
        <is>
          <t>49316638994</t>
        </is>
      </c>
      <c r="F1589" t="inlineStr">
        <is>
          <t>2026-03-22 20:33:38</t>
        </is>
      </c>
      <c r="G1589" t="inlineStr">
        <is>
          <t>图文</t>
        </is>
      </c>
      <c r="H1589" t="inlineStr">
        <is>
          <t>手剥虾仁 无冰衣无添加 低脂餐一人食 上班带饭 顺丰包邮 5盒装</t>
        </is>
      </c>
      <c r="I1589" t="inlineStr">
        <is>
          <t>694baba01d450d00013662f0</t>
        </is>
      </c>
      <c r="J1589" t="inlineStr">
        <is>
          <t/>
        </is>
      </c>
      <c r="K1589" t="n">
        <v>0.0</v>
      </c>
      <c r="L1589" t="n">
        <v>0.0</v>
      </c>
      <c r="M1589" t="n">
        <v>0.0</v>
      </c>
      <c r="N1589" t="inlineStr">
        <is>
          <t/>
        </is>
      </c>
      <c r="O1589" t="n">
        <v>0.0</v>
      </c>
      <c r="P1589" t="n">
        <v>0.0</v>
      </c>
      <c r="Q1589" t="inlineStr">
        <is>
          <t/>
        </is>
      </c>
      <c r="R1589" t="inlineStr">
        <is>
          <t/>
        </is>
      </c>
      <c r="S1589" t="n">
        <v>0.0</v>
      </c>
      <c r="T1589" t="n">
        <v>0.0</v>
      </c>
      <c r="U1589" t="n">
        <v>0.0</v>
      </c>
      <c r="V1589" t="n">
        <v>0.0</v>
      </c>
      <c r="W1589" t="inlineStr">
        <is>
          <t/>
        </is>
      </c>
      <c r="X1589" t="n">
        <v>0.0</v>
      </c>
      <c r="Y1589" t="n">
        <v>0.0</v>
      </c>
      <c r="Z1589" t="n">
        <v>0.0</v>
      </c>
      <c r="AA1589" t="n">
        <v>0.0</v>
      </c>
      <c r="AB1589" t="n">
        <v>0.0</v>
      </c>
      <c r="AC1589" t="n">
        <v>0.0</v>
      </c>
      <c r="AD1589" t="n">
        <v>0.0</v>
      </c>
      <c r="AE1589" t="n">
        <v>0.0</v>
      </c>
      <c r="AF1589" t="n">
        <v>0.0</v>
      </c>
      <c r="AG1589" t="n">
        <v>0.0</v>
      </c>
      <c r="AH1589" t="n">
        <v>0.0</v>
      </c>
      <c r="AI1589" t="n">
        <v>0.0</v>
      </c>
      <c r="AJ1589" t="n">
        <v>0.0</v>
      </c>
      <c r="AK1589" t="inlineStr">
        <is>
          <t/>
        </is>
      </c>
      <c r="AL1589" t="inlineStr">
        <is>
          <t/>
        </is>
      </c>
    </row>
    <row r="1590">
      <c r="A1590" t="inlineStr">
        <is>
          <t>节后不挨饿也能稳稳⬇️！小基数亲测巨管用</t>
        </is>
      </c>
      <c r="B1590" t="inlineStr">
        <is>
          <t>69be578f0000000020039b18</t>
        </is>
      </c>
      <c r="C1590" s="1589" t="n">
        <f>HYPERLINK("https://www.xiaohongshu.com/explore/69be578f0000000020039b18?xsec_token=TBEV1jCaY14J6usHdX26xRKNaj7MyCTqa6lHpu4sDS8zc=&amp;xsec_source=pc_trdark","https://www.xiaohongshu.com/explore/69be578f0000000020039b18?xsec_token=TBEV1jCaY14J6usHdX26xRKNaj7MyCTqa6lHpu4sDS8zc=&amp;xsec_source=pc_trdark")</f>
        <v>0.0</v>
      </c>
      <c r="D1590" t="inlineStr">
        <is>
          <t>婉婉上班吃什么</t>
        </is>
      </c>
      <c r="E1590" t="inlineStr">
        <is>
          <t>11434449706</t>
        </is>
      </c>
      <c r="F1590" t="inlineStr">
        <is>
          <t>2026-03-21 16:32:15</t>
        </is>
      </c>
      <c r="G1590" t="inlineStr">
        <is>
          <t>图文</t>
        </is>
      </c>
      <c r="H1590" t="inlineStr">
        <is>
          <t>手剥虾仁 无冰衣无添加 低脂餐一人食 上班带饭 顺丰包邮 5盒装</t>
        </is>
      </c>
      <c r="I1590" t="inlineStr">
        <is>
          <t>694baba01d450d00013662f0</t>
        </is>
      </c>
      <c r="J1590" t="inlineStr">
        <is>
          <t/>
        </is>
      </c>
      <c r="K1590" t="n">
        <v>0.0</v>
      </c>
      <c r="L1590" t="n">
        <v>0.0</v>
      </c>
      <c r="M1590" t="n">
        <v>0.0</v>
      </c>
      <c r="N1590" t="inlineStr">
        <is>
          <t/>
        </is>
      </c>
      <c r="O1590" t="n">
        <v>0.0</v>
      </c>
      <c r="P1590" t="n">
        <v>0.0</v>
      </c>
      <c r="Q1590" t="inlineStr">
        <is>
          <t/>
        </is>
      </c>
      <c r="R1590" t="inlineStr">
        <is>
          <t/>
        </is>
      </c>
      <c r="S1590" t="n">
        <v>0.0</v>
      </c>
      <c r="T1590" t="n">
        <v>0.0</v>
      </c>
      <c r="U1590" t="n">
        <v>0.0</v>
      </c>
      <c r="V1590" t="n">
        <v>0.0</v>
      </c>
      <c r="W1590" t="inlineStr">
        <is>
          <t/>
        </is>
      </c>
      <c r="X1590" t="n">
        <v>0.0</v>
      </c>
      <c r="Y1590" t="n">
        <v>0.0</v>
      </c>
      <c r="Z1590" t="n">
        <v>0.0</v>
      </c>
      <c r="AA1590" t="n">
        <v>0.0</v>
      </c>
      <c r="AB1590" t="n">
        <v>0.0</v>
      </c>
      <c r="AC1590" t="n">
        <v>0.0</v>
      </c>
      <c r="AD1590" t="n">
        <v>0.0</v>
      </c>
      <c r="AE1590" t="n">
        <v>0.0</v>
      </c>
      <c r="AF1590" t="n">
        <v>0.0</v>
      </c>
      <c r="AG1590" t="n">
        <v>0.0</v>
      </c>
      <c r="AH1590" t="n">
        <v>0.0</v>
      </c>
      <c r="AI1590" t="n">
        <v>0.0</v>
      </c>
      <c r="AJ1590" t="n">
        <v>0.0</v>
      </c>
      <c r="AK1590" t="inlineStr">
        <is>
          <t/>
        </is>
      </c>
      <c r="AL1590" t="inlineStr">
        <is>
          <t/>
        </is>
      </c>
    </row>
    <row r="1591">
      <c r="A1591" t="inlineStr">
        <is>
          <t>自己赚钱后真的在报复性吃虾吃到撑！</t>
        </is>
      </c>
      <c r="B1591" t="inlineStr">
        <is>
          <t>69be5232000000001e00ef47</t>
        </is>
      </c>
      <c r="C1591" s="1590" t="n">
        <f>HYPERLINK("https://www.xiaohongshu.com/explore/69be5232000000001e00ef47?xsec_token=TBEV1jCaY14J6usHdX26xRKHKJsrP9a2Rzr_2vHzAEWtY=&amp;xsec_source=pc_trdark","https://www.xiaohongshu.com/explore/69be5232000000001e00ef47?xsec_token=TBEV1jCaY14J6usHdX26xRKHKJsrP9a2Rzr_2vHzAEWtY=&amp;xsec_source=pc_trdark")</f>
        <v>0.0</v>
      </c>
      <c r="D1591" t="inlineStr">
        <is>
          <t>婉婉上班吃什么</t>
        </is>
      </c>
      <c r="E1591" t="inlineStr">
        <is>
          <t>11434449706</t>
        </is>
      </c>
      <c r="F1591" t="inlineStr">
        <is>
          <t>2026-03-21 16:09:22</t>
        </is>
      </c>
      <c r="G1591" t="inlineStr">
        <is>
          <t>图文</t>
        </is>
      </c>
      <c r="H1591" t="inlineStr">
        <is>
          <t>手剥虾仁 无冰衣无添加 低脂餐一人食 上班带饭 顺丰包邮 5盒装</t>
        </is>
      </c>
      <c r="I1591" t="inlineStr">
        <is>
          <t>694baba01d450d00013662f0</t>
        </is>
      </c>
      <c r="J1591" t="inlineStr">
        <is>
          <t/>
        </is>
      </c>
      <c r="K1591" t="n">
        <v>0.0</v>
      </c>
      <c r="L1591" t="n">
        <v>0.0</v>
      </c>
      <c r="M1591" t="n">
        <v>0.0</v>
      </c>
      <c r="N1591" t="inlineStr">
        <is>
          <t/>
        </is>
      </c>
      <c r="O1591" t="n">
        <v>0.0</v>
      </c>
      <c r="P1591" t="n">
        <v>0.0</v>
      </c>
      <c r="Q1591" t="inlineStr">
        <is>
          <t/>
        </is>
      </c>
      <c r="R1591" t="inlineStr">
        <is>
          <t/>
        </is>
      </c>
      <c r="S1591" t="n">
        <v>0.0</v>
      </c>
      <c r="T1591" t="n">
        <v>0.0</v>
      </c>
      <c r="U1591" t="n">
        <v>0.0</v>
      </c>
      <c r="V1591" t="n">
        <v>0.0</v>
      </c>
      <c r="W1591" t="inlineStr">
        <is>
          <t/>
        </is>
      </c>
      <c r="X1591" t="n">
        <v>0.0</v>
      </c>
      <c r="Y1591" t="n">
        <v>0.0</v>
      </c>
      <c r="Z1591" t="n">
        <v>0.0</v>
      </c>
      <c r="AA1591" t="n">
        <v>0.0</v>
      </c>
      <c r="AB1591" t="n">
        <v>0.0</v>
      </c>
      <c r="AC1591" t="n">
        <v>0.0</v>
      </c>
      <c r="AD1591" t="n">
        <v>0.0</v>
      </c>
      <c r="AE1591" t="n">
        <v>0.0</v>
      </c>
      <c r="AF1591" t="n">
        <v>0.0</v>
      </c>
      <c r="AG1591" t="n">
        <v>0.0</v>
      </c>
      <c r="AH1591" t="n">
        <v>0.0</v>
      </c>
      <c r="AI1591" t="n">
        <v>0.0</v>
      </c>
      <c r="AJ1591" t="n">
        <v>0.0</v>
      </c>
      <c r="AK1591" t="inlineStr">
        <is>
          <t/>
        </is>
      </c>
      <c r="AL1591" t="inlineStr">
        <is>
          <t/>
        </is>
      </c>
    </row>
    <row r="1592">
      <c r="A1592" t="inlineStr">
        <is>
          <t>现在的人严重低估了60来块的购买力</t>
        </is>
      </c>
      <c r="B1592" t="inlineStr">
        <is>
          <t>69be4e15000000002800aa80</t>
        </is>
      </c>
      <c r="C1592" s="1591" t="n">
        <f>HYPERLINK("https://www.xiaohongshu.com/explore/69be4e15000000002800aa80?xsec_token=TBEV1jCaY14J6usHdX26xRKCo50U8oEibng1Ke-zYKGLU=&amp;xsec_source=pc_trdark","https://www.xiaohongshu.com/explore/69be4e15000000002800aa80?xsec_token=TBEV1jCaY14J6usHdX26xRKCo50U8oEibng1Ke-zYKGLU=&amp;xsec_source=pc_trdark")</f>
        <v>0.0</v>
      </c>
      <c r="D1592" t="inlineStr">
        <is>
          <t>菲菲上班吃什么</t>
        </is>
      </c>
      <c r="E1592" t="inlineStr">
        <is>
          <t>49936530607</t>
        </is>
      </c>
      <c r="F1592" t="inlineStr">
        <is>
          <t>2026-03-21 15:51:49</t>
        </is>
      </c>
      <c r="G1592" t="inlineStr">
        <is>
          <t>图文</t>
        </is>
      </c>
      <c r="H1592" t="inlineStr">
        <is>
          <t>大虾基围虾王牌大虾厄瓜多尔白虾盐冻虾仁海洋大虾送礼顺丰包邮</t>
        </is>
      </c>
      <c r="I1592" t="inlineStr">
        <is>
          <t>690aeb7be379430001e686ac</t>
        </is>
      </c>
      <c r="J1592" t="inlineStr">
        <is>
          <t/>
        </is>
      </c>
      <c r="K1592" t="n">
        <v>0.0</v>
      </c>
      <c r="L1592" t="n">
        <v>0.0</v>
      </c>
      <c r="M1592" t="n">
        <v>0.0</v>
      </c>
      <c r="N1592" t="inlineStr">
        <is>
          <t/>
        </is>
      </c>
      <c r="O1592" t="n">
        <v>0.0</v>
      </c>
      <c r="P1592" t="n">
        <v>0.0</v>
      </c>
      <c r="Q1592" t="inlineStr">
        <is>
          <t/>
        </is>
      </c>
      <c r="R1592" t="inlineStr">
        <is>
          <t/>
        </is>
      </c>
      <c r="S1592" t="n">
        <v>0.0</v>
      </c>
      <c r="T1592" t="n">
        <v>0.0</v>
      </c>
      <c r="U1592" t="n">
        <v>0.0</v>
      </c>
      <c r="V1592" t="n">
        <v>0.0</v>
      </c>
      <c r="W1592" t="inlineStr">
        <is>
          <t/>
        </is>
      </c>
      <c r="X1592" t="n">
        <v>0.0</v>
      </c>
      <c r="Y1592" t="n">
        <v>0.0</v>
      </c>
      <c r="Z1592" t="n">
        <v>0.0</v>
      </c>
      <c r="AA1592" t="n">
        <v>0.0</v>
      </c>
      <c r="AB1592" t="n">
        <v>0.0</v>
      </c>
      <c r="AC1592" t="n">
        <v>0.0</v>
      </c>
      <c r="AD1592" t="n">
        <v>0.0</v>
      </c>
      <c r="AE1592" t="n">
        <v>0.0</v>
      </c>
      <c r="AF1592" t="n">
        <v>0.0</v>
      </c>
      <c r="AG1592" t="n">
        <v>0.0</v>
      </c>
      <c r="AH1592" t="n">
        <v>0.0</v>
      </c>
      <c r="AI1592" t="n">
        <v>0.0</v>
      </c>
      <c r="AJ1592" t="n">
        <v>0.0</v>
      </c>
      <c r="AK1592" t="inlineStr">
        <is>
          <t/>
        </is>
      </c>
      <c r="AL1592" t="inlineStr">
        <is>
          <t/>
        </is>
      </c>
    </row>
    <row r="1593">
      <c r="A1593" t="inlineStr">
        <is>
          <t>请教教我爸无添加虾仁怎么在网上卖出去😭</t>
        </is>
      </c>
      <c r="B1593" t="inlineStr">
        <is>
          <t>69be4653000000002202a9a5</t>
        </is>
      </c>
      <c r="C1593" s="1592" t="n">
        <f>HYPERLINK("https://www.xiaohongshu.com/explore/69be4653000000002202a9a5?xsec_token=TBEV1jCaY14J6usHdX26xRKFoxZuZe6v7l4sEqC3HXtAE=&amp;xsec_source=pc_trdark","https://www.xiaohongshu.com/explore/69be4653000000002202a9a5?xsec_token=TBEV1jCaY14J6usHdX26xRKFoxZuZe6v7l4sEqC3HXtAE=&amp;xsec_source=pc_trdark")</f>
        <v>0.0</v>
      </c>
      <c r="D1593" t="inlineStr">
        <is>
          <t>鲜水湾</t>
        </is>
      </c>
      <c r="E1593" t="inlineStr">
        <is>
          <t>49316638994</t>
        </is>
      </c>
      <c r="F1593" t="inlineStr">
        <is>
          <t>2026-03-21 15:18:43</t>
        </is>
      </c>
      <c r="G1593" t="inlineStr">
        <is>
          <t>图文</t>
        </is>
      </c>
      <c r="H1593" t="inlineStr">
        <is>
          <t>手剥虾仁 无冰衣无添加 低脂餐一人食 上班带饭 顺丰包邮 5盒装</t>
        </is>
      </c>
      <c r="I1593" t="inlineStr">
        <is>
          <t>694baba01d450d00013662f0</t>
        </is>
      </c>
      <c r="J1593" t="inlineStr">
        <is>
          <t/>
        </is>
      </c>
      <c r="K1593" t="n">
        <v>0.0</v>
      </c>
      <c r="L1593" t="n">
        <v>0.0</v>
      </c>
      <c r="M1593" t="n">
        <v>0.0</v>
      </c>
      <c r="N1593" t="inlineStr">
        <is>
          <t/>
        </is>
      </c>
      <c r="O1593" t="n">
        <v>0.0</v>
      </c>
      <c r="P1593" t="n">
        <v>0.0</v>
      </c>
      <c r="Q1593" t="inlineStr">
        <is>
          <t/>
        </is>
      </c>
      <c r="R1593" t="inlineStr">
        <is>
          <t/>
        </is>
      </c>
      <c r="S1593" t="n">
        <v>0.0</v>
      </c>
      <c r="T1593" t="n">
        <v>0.0</v>
      </c>
      <c r="U1593" t="n">
        <v>0.0</v>
      </c>
      <c r="V1593" t="n">
        <v>0.0</v>
      </c>
      <c r="W1593" t="inlineStr">
        <is>
          <t/>
        </is>
      </c>
      <c r="X1593" t="n">
        <v>0.0</v>
      </c>
      <c r="Y1593" t="n">
        <v>0.0</v>
      </c>
      <c r="Z1593" t="n">
        <v>0.0</v>
      </c>
      <c r="AA1593" t="n">
        <v>0.0</v>
      </c>
      <c r="AB1593" t="n">
        <v>0.0</v>
      </c>
      <c r="AC1593" t="n">
        <v>0.0</v>
      </c>
      <c r="AD1593" t="n">
        <v>0.0</v>
      </c>
      <c r="AE1593" t="n">
        <v>0.0</v>
      </c>
      <c r="AF1593" t="n">
        <v>0.0</v>
      </c>
      <c r="AG1593" t="n">
        <v>0.0</v>
      </c>
      <c r="AH1593" t="n">
        <v>0.0</v>
      </c>
      <c r="AI1593" t="n">
        <v>0.0</v>
      </c>
      <c r="AJ1593" t="n">
        <v>0.0</v>
      </c>
      <c r="AK1593" t="inlineStr">
        <is>
          <t/>
        </is>
      </c>
      <c r="AL1593" t="inlineStr">
        <is>
          <t/>
        </is>
      </c>
    </row>
    <row r="1594">
      <c r="A1594" t="inlineStr">
        <is>
          <t>身材管理期虾仁和牛肉怎么选？我全要有的～</t>
        </is>
      </c>
      <c r="B1594" t="inlineStr">
        <is>
          <t>69bd6b52000000001f0015a2</t>
        </is>
      </c>
      <c r="C1594" s="1593" t="n">
        <f>HYPERLINK("https://www.xiaohongshu.com/explore/69bd6b52000000001f0015a2?xsec_token=TBRwbx0S6Y78qN5wWC1_PyBJ9jgyQRpLMHTKQvs-0CR0A=&amp;xsec_source=pc_trdark","https://www.xiaohongshu.com/explore/69bd6b52000000001f0015a2?xsec_token=TBRwbx0S6Y78qN5wWC1_PyBJ9jgyQRpLMHTKQvs-0CR0A=&amp;xsec_source=pc_trdark")</f>
        <v>0.0</v>
      </c>
      <c r="D1594" t="inlineStr">
        <is>
          <t>菲菲上班吃什么</t>
        </is>
      </c>
      <c r="E1594" t="inlineStr">
        <is>
          <t>49936530607</t>
        </is>
      </c>
      <c r="F1594" t="inlineStr">
        <is>
          <t>2026-03-20 23:44:18</t>
        </is>
      </c>
      <c r="G1594" t="inlineStr">
        <is>
          <t>图文</t>
        </is>
      </c>
      <c r="H1594" t="inlineStr">
        <is>
          <t>手剥虾仁 无冰衣无添加 低脂餐一人食 上班带饭 顺丰包邮 5盒装</t>
        </is>
      </c>
      <c r="I1594" t="inlineStr">
        <is>
          <t>694baba01d450d00013662f0</t>
        </is>
      </c>
      <c r="J1594" t="inlineStr">
        <is>
          <t/>
        </is>
      </c>
      <c r="K1594" t="n">
        <v>0.0</v>
      </c>
      <c r="L1594" t="n">
        <v>0.0</v>
      </c>
      <c r="M1594" t="n">
        <v>0.0</v>
      </c>
      <c r="N1594" t="inlineStr">
        <is>
          <t/>
        </is>
      </c>
      <c r="O1594" t="n">
        <v>0.0</v>
      </c>
      <c r="P1594" t="n">
        <v>0.0</v>
      </c>
      <c r="Q1594" t="inlineStr">
        <is>
          <t/>
        </is>
      </c>
      <c r="R1594" t="inlineStr">
        <is>
          <t/>
        </is>
      </c>
      <c r="S1594" t="n">
        <v>0.0</v>
      </c>
      <c r="T1594" t="n">
        <v>0.0</v>
      </c>
      <c r="U1594" t="n">
        <v>0.0</v>
      </c>
      <c r="V1594" t="n">
        <v>0.0</v>
      </c>
      <c r="W1594" t="inlineStr">
        <is>
          <t/>
        </is>
      </c>
      <c r="X1594" t="n">
        <v>0.0</v>
      </c>
      <c r="Y1594" t="n">
        <v>0.0</v>
      </c>
      <c r="Z1594" t="n">
        <v>0.0</v>
      </c>
      <c r="AA1594" t="n">
        <v>0.0</v>
      </c>
      <c r="AB1594" t="n">
        <v>0.0</v>
      </c>
      <c r="AC1594" t="n">
        <v>0.0</v>
      </c>
      <c r="AD1594" t="n">
        <v>0.0</v>
      </c>
      <c r="AE1594" t="n">
        <v>0.0</v>
      </c>
      <c r="AF1594" t="n">
        <v>0.0</v>
      </c>
      <c r="AG1594" t="n">
        <v>0.0</v>
      </c>
      <c r="AH1594" t="n">
        <v>0.0</v>
      </c>
      <c r="AI1594" t="n">
        <v>0.0</v>
      </c>
      <c r="AJ1594" t="n">
        <v>0.0</v>
      </c>
      <c r="AK1594" t="inlineStr">
        <is>
          <t/>
        </is>
      </c>
      <c r="AL1594" t="inlineStr">
        <is>
          <t/>
        </is>
      </c>
    </row>
    <row r="1595">
      <c r="A1595" t="inlineStr">
        <is>
          <t>爸妈对我于我每天吃一碗虾仁表示很奢侈…</t>
        </is>
      </c>
      <c r="B1595" t="inlineStr">
        <is>
          <t>69bd624d000000002003b666</t>
        </is>
      </c>
      <c r="C1595" s="1594" t="n">
        <f>HYPERLINK("https://www.xiaohongshu.com/explore/69bd624d000000002003b666?xsec_token=TBRwbx0S6Y78qN5wWC1_PyBE4Oj0S4yC8EPQWHC1dRHn8=&amp;xsec_source=pc_trdark","https://www.xiaohongshu.com/explore/69bd624d000000002003b666?xsec_token=TBRwbx0S6Y78qN5wWC1_PyBE4Oj0S4yC8EPQWHC1dRHn8=&amp;xsec_source=pc_trdark")</f>
        <v>0.0</v>
      </c>
      <c r="D1595" t="inlineStr">
        <is>
          <t>菲菲上班吃什么</t>
        </is>
      </c>
      <c r="E1595" t="inlineStr">
        <is>
          <t>49936530607</t>
        </is>
      </c>
      <c r="F1595" t="inlineStr">
        <is>
          <t>2026-03-20 23:05:49</t>
        </is>
      </c>
      <c r="G1595" t="inlineStr">
        <is>
          <t>图文</t>
        </is>
      </c>
      <c r="H1595" t="inlineStr">
        <is>
          <t>手剥虾仁 无冰衣无添加 低脂餐一人食 上班带饭 顺丰包邮 5盒装</t>
        </is>
      </c>
      <c r="I1595" t="inlineStr">
        <is>
          <t>694baba01d450d00013662f0</t>
        </is>
      </c>
      <c r="J1595" t="inlineStr">
        <is>
          <t/>
        </is>
      </c>
      <c r="K1595" t="n">
        <v>0.0</v>
      </c>
      <c r="L1595" t="n">
        <v>0.0</v>
      </c>
      <c r="M1595" t="n">
        <v>0.0</v>
      </c>
      <c r="N1595" t="inlineStr">
        <is>
          <t/>
        </is>
      </c>
      <c r="O1595" t="n">
        <v>0.0</v>
      </c>
      <c r="P1595" t="n">
        <v>0.0</v>
      </c>
      <c r="Q1595" t="inlineStr">
        <is>
          <t/>
        </is>
      </c>
      <c r="R1595" t="inlineStr">
        <is>
          <t/>
        </is>
      </c>
      <c r="S1595" t="n">
        <v>0.0</v>
      </c>
      <c r="T1595" t="n">
        <v>0.0</v>
      </c>
      <c r="U1595" t="n">
        <v>0.0</v>
      </c>
      <c r="V1595" t="n">
        <v>0.0</v>
      </c>
      <c r="W1595" t="inlineStr">
        <is>
          <t/>
        </is>
      </c>
      <c r="X1595" t="n">
        <v>0.0</v>
      </c>
      <c r="Y1595" t="n">
        <v>0.0</v>
      </c>
      <c r="Z1595" t="n">
        <v>0.0</v>
      </c>
      <c r="AA1595" t="n">
        <v>0.0</v>
      </c>
      <c r="AB1595" t="n">
        <v>0.0</v>
      </c>
      <c r="AC1595" t="n">
        <v>0.0</v>
      </c>
      <c r="AD1595" t="n">
        <v>0.0</v>
      </c>
      <c r="AE1595" t="n">
        <v>0.0</v>
      </c>
      <c r="AF1595" t="n">
        <v>0.0</v>
      </c>
      <c r="AG1595" t="n">
        <v>0.0</v>
      </c>
      <c r="AH1595" t="n">
        <v>0.0</v>
      </c>
      <c r="AI1595" t="n">
        <v>0.0</v>
      </c>
      <c r="AJ1595" t="n">
        <v>0.0</v>
      </c>
      <c r="AK1595" t="inlineStr">
        <is>
          <t/>
        </is>
      </c>
      <c r="AL1595" t="inlineStr">
        <is>
          <t/>
        </is>
      </c>
    </row>
    <row r="1596">
      <c r="A1596" t="inlineStr">
        <is>
          <t>区区69块💰承包了我一星期减脂餐</t>
        </is>
      </c>
      <c r="B1596" t="inlineStr">
        <is>
          <t>69bd027c000000001f007dc1</t>
        </is>
      </c>
      <c r="C1596" s="1595" t="n">
        <f>HYPERLINK("https://www.xiaohongshu.com/explore/69bd027c000000001f007dc1?xsec_token=TBRwbx0S6Y78qN5wWC1_PyBHONLIcXZuNu9QffIcJOvOQ=&amp;xsec_source=pc_trdark","https://www.xiaohongshu.com/explore/69bd027c000000001f007dc1?xsec_token=TBRwbx0S6Y78qN5wWC1_PyBHONLIcXZuNu9QffIcJOvOQ=&amp;xsec_source=pc_trdark")</f>
        <v>0.0</v>
      </c>
      <c r="D1596" t="inlineStr">
        <is>
          <t>菲菲上班吃什么</t>
        </is>
      </c>
      <c r="E1596" t="inlineStr">
        <is>
          <t>49936530607</t>
        </is>
      </c>
      <c r="F1596" t="inlineStr">
        <is>
          <t>2026-03-20 16:17:00</t>
        </is>
      </c>
      <c r="G1596" t="inlineStr">
        <is>
          <t>图文</t>
        </is>
      </c>
      <c r="H1596" t="inlineStr">
        <is>
          <t>手剥虾仁 无冰衣无添加 低脂餐一人食 上班带饭 顺丰包邮 5盒装</t>
        </is>
      </c>
      <c r="I1596" t="inlineStr">
        <is>
          <t>694baba01d450d00013662f0</t>
        </is>
      </c>
      <c r="J1596" t="inlineStr">
        <is>
          <t/>
        </is>
      </c>
      <c r="K1596" t="n">
        <v>0.0</v>
      </c>
      <c r="L1596" t="n">
        <v>0.0</v>
      </c>
      <c r="M1596" t="n">
        <v>0.0</v>
      </c>
      <c r="N1596" t="inlineStr">
        <is>
          <t/>
        </is>
      </c>
      <c r="O1596" t="n">
        <v>0.0</v>
      </c>
      <c r="P1596" t="n">
        <v>0.0</v>
      </c>
      <c r="Q1596" t="inlineStr">
        <is>
          <t/>
        </is>
      </c>
      <c r="R1596" t="inlineStr">
        <is>
          <t/>
        </is>
      </c>
      <c r="S1596" t="n">
        <v>0.0</v>
      </c>
      <c r="T1596" t="n">
        <v>0.0</v>
      </c>
      <c r="U1596" t="n">
        <v>0.0</v>
      </c>
      <c r="V1596" t="n">
        <v>0.0</v>
      </c>
      <c r="W1596" t="inlineStr">
        <is>
          <t/>
        </is>
      </c>
      <c r="X1596" t="n">
        <v>0.0</v>
      </c>
      <c r="Y1596" t="n">
        <v>0.0</v>
      </c>
      <c r="Z1596" t="n">
        <v>0.0</v>
      </c>
      <c r="AA1596" t="n">
        <v>0.0</v>
      </c>
      <c r="AB1596" t="n">
        <v>0.0</v>
      </c>
      <c r="AC1596" t="n">
        <v>0.0</v>
      </c>
      <c r="AD1596" t="n">
        <v>0.0</v>
      </c>
      <c r="AE1596" t="n">
        <v>0.0</v>
      </c>
      <c r="AF1596" t="n">
        <v>0.0</v>
      </c>
      <c r="AG1596" t="n">
        <v>0.0</v>
      </c>
      <c r="AH1596" t="n">
        <v>0.0</v>
      </c>
      <c r="AI1596" t="n">
        <v>0.0</v>
      </c>
      <c r="AJ1596" t="n">
        <v>0.0</v>
      </c>
      <c r="AK1596" t="inlineStr">
        <is>
          <t/>
        </is>
      </c>
      <c r="AL1596" t="inlineStr">
        <is>
          <t/>
        </is>
      </c>
    </row>
    <row r="1597">
      <c r="A1597" t="inlineStr">
        <is>
          <t>凭一己之力带动办公室买了十盒大虾</t>
        </is>
      </c>
      <c r="B1597" t="inlineStr">
        <is>
          <t>69bcf368000000001f007237</t>
        </is>
      </c>
      <c r="C1597" s="1596" t="n">
        <f>HYPERLINK("https://www.xiaohongshu.com/explore/69bcf368000000001f007237?xsec_token=TBfIJFVzszocpn5U7ogutYTb4kLDS1TrbXamekLWs7VLY=&amp;xsec_source=pc_trdark","https://www.xiaohongshu.com/explore/69bcf368000000001f007237?xsec_token=TBfIJFVzszocpn5U7ogutYTb4kLDS1TrbXamekLWs7VLY=&amp;xsec_source=pc_trdark")</f>
        <v>0.0</v>
      </c>
      <c r="D1597" t="inlineStr">
        <is>
          <t>婉婉上班吃什么</t>
        </is>
      </c>
      <c r="E1597" t="inlineStr">
        <is>
          <t>11434449706</t>
        </is>
      </c>
      <c r="F1597" t="inlineStr">
        <is>
          <t>2026-03-20 15:12:40</t>
        </is>
      </c>
      <c r="G1597" t="inlineStr">
        <is>
          <t>图文</t>
        </is>
      </c>
      <c r="H1597" t="inlineStr">
        <is>
          <t>大虾基围虾王牌大虾厄瓜多尔白虾盐冻虾仁海洋大虾送礼顺丰包邮</t>
        </is>
      </c>
      <c r="I1597" t="inlineStr">
        <is>
          <t>690aeb7be379430001e686ac</t>
        </is>
      </c>
      <c r="J1597" t="inlineStr">
        <is>
          <t/>
        </is>
      </c>
      <c r="K1597" t="n">
        <v>0.0</v>
      </c>
      <c r="L1597" t="n">
        <v>0.0</v>
      </c>
      <c r="M1597" t="n">
        <v>0.0</v>
      </c>
      <c r="N1597" t="inlineStr">
        <is>
          <t/>
        </is>
      </c>
      <c r="O1597" t="n">
        <v>0.0</v>
      </c>
      <c r="P1597" t="n">
        <v>0.0</v>
      </c>
      <c r="Q1597" t="inlineStr">
        <is>
          <t/>
        </is>
      </c>
      <c r="R1597" t="inlineStr">
        <is>
          <t/>
        </is>
      </c>
      <c r="S1597" t="n">
        <v>0.0</v>
      </c>
      <c r="T1597" t="n">
        <v>0.0</v>
      </c>
      <c r="U1597" t="n">
        <v>0.0</v>
      </c>
      <c r="V1597" t="n">
        <v>0.0</v>
      </c>
      <c r="W1597" t="inlineStr">
        <is>
          <t/>
        </is>
      </c>
      <c r="X1597" t="n">
        <v>0.0</v>
      </c>
      <c r="Y1597" t="n">
        <v>0.0</v>
      </c>
      <c r="Z1597" t="n">
        <v>0.0</v>
      </c>
      <c r="AA1597" t="n">
        <v>0.0</v>
      </c>
      <c r="AB1597" t="n">
        <v>0.0</v>
      </c>
      <c r="AC1597" t="n">
        <v>0.0</v>
      </c>
      <c r="AD1597" t="n">
        <v>0.0</v>
      </c>
      <c r="AE1597" t="n">
        <v>0.0</v>
      </c>
      <c r="AF1597" t="n">
        <v>0.0</v>
      </c>
      <c r="AG1597" t="n">
        <v>0.0</v>
      </c>
      <c r="AH1597" t="n">
        <v>0.0</v>
      </c>
      <c r="AI1597" t="n">
        <v>0.0</v>
      </c>
      <c r="AJ1597" t="n">
        <v>0.0</v>
      </c>
      <c r="AK1597" t="inlineStr">
        <is>
          <t/>
        </is>
      </c>
      <c r="AL1597" t="inlineStr">
        <is>
          <t/>
        </is>
      </c>
    </row>
    <row r="1598">
      <c r="A1598" t="inlineStr">
        <is>
          <t>算了不劝了……这价卖保水剂虾仁，那真没良心</t>
        </is>
      </c>
      <c r="B1598" t="inlineStr">
        <is>
          <t>69bcdae4000000001a02d392</t>
        </is>
      </c>
      <c r="C1598" s="1597" t="n">
        <f>HYPERLINK("https://www.xiaohongshu.com/explore/69bcdae4000000001a02d392?xsec_token=TBfIJFVzszocpn5U7ogutYTYV7gvs086Vg6V5meGtLkyc=&amp;xsec_source=pc_trdark","https://www.xiaohongshu.com/explore/69bcdae4000000001a02d392?xsec_token=TBfIJFVzszocpn5U7ogutYTYV7gvs086Vg6V5meGtLkyc=&amp;xsec_source=pc_trdark")</f>
        <v>0.0</v>
      </c>
      <c r="D1598" t="inlineStr">
        <is>
          <t>鲜水湾</t>
        </is>
      </c>
      <c r="E1598" t="inlineStr">
        <is>
          <t>49316638994</t>
        </is>
      </c>
      <c r="F1598" t="inlineStr">
        <is>
          <t>2026-03-20 13:28:04</t>
        </is>
      </c>
      <c r="G1598" t="inlineStr">
        <is>
          <t>图文</t>
        </is>
      </c>
      <c r="H1598" t="inlineStr">
        <is>
          <t>手剥虾仁 无冰衣无添加 低脂餐一人食 上班带饭 顺丰包邮 5盒装</t>
        </is>
      </c>
      <c r="I1598" t="inlineStr">
        <is>
          <t>694baba01d450d00013662f0</t>
        </is>
      </c>
      <c r="J1598" t="inlineStr">
        <is>
          <t/>
        </is>
      </c>
      <c r="K1598" t="n">
        <v>0.0</v>
      </c>
      <c r="L1598" t="n">
        <v>0.0</v>
      </c>
      <c r="M1598" t="n">
        <v>0.0</v>
      </c>
      <c r="N1598" t="inlineStr">
        <is>
          <t/>
        </is>
      </c>
      <c r="O1598" t="n">
        <v>0.0</v>
      </c>
      <c r="P1598" t="n">
        <v>0.0</v>
      </c>
      <c r="Q1598" t="inlineStr">
        <is>
          <t/>
        </is>
      </c>
      <c r="R1598" t="inlineStr">
        <is>
          <t/>
        </is>
      </c>
      <c r="S1598" t="n">
        <v>0.0</v>
      </c>
      <c r="T1598" t="n">
        <v>0.0</v>
      </c>
      <c r="U1598" t="n">
        <v>0.0</v>
      </c>
      <c r="V1598" t="n">
        <v>0.0</v>
      </c>
      <c r="W1598" t="inlineStr">
        <is>
          <t/>
        </is>
      </c>
      <c r="X1598" t="n">
        <v>0.0</v>
      </c>
      <c r="Y1598" t="n">
        <v>0.0</v>
      </c>
      <c r="Z1598" t="n">
        <v>0.0</v>
      </c>
      <c r="AA1598" t="n">
        <v>0.0</v>
      </c>
      <c r="AB1598" t="n">
        <v>0.0</v>
      </c>
      <c r="AC1598" t="n">
        <v>0.0</v>
      </c>
      <c r="AD1598" t="n">
        <v>0.0</v>
      </c>
      <c r="AE1598" t="n">
        <v>0.0</v>
      </c>
      <c r="AF1598" t="n">
        <v>0.0</v>
      </c>
      <c r="AG1598" t="n">
        <v>0.0</v>
      </c>
      <c r="AH1598" t="n">
        <v>0.0</v>
      </c>
      <c r="AI1598" t="n">
        <v>0.0</v>
      </c>
      <c r="AJ1598" t="n">
        <v>0.0</v>
      </c>
      <c r="AK1598" t="inlineStr">
        <is>
          <t/>
        </is>
      </c>
      <c r="AL1598" t="inlineStr">
        <is>
          <t/>
        </is>
      </c>
    </row>
    <row r="1599">
      <c r="A1599" t="inlineStr">
        <is>
          <t>谁还去超市买虾呀，小红书买的便宜又好吃</t>
        </is>
      </c>
      <c r="B1599" t="inlineStr">
        <is>
          <t>69bcd6740000000023004715</t>
        </is>
      </c>
      <c r="C1599" s="1598" t="n">
        <f>HYPERLINK("https://www.xiaohongshu.com/explore/69bcd6740000000023004715?xsec_token=TBfIJFVzszocpn5U7ogutYTXvwd83yVWY4mdrR6sbSuLc=&amp;xsec_source=pc_trdark","https://www.xiaohongshu.com/explore/69bcd6740000000023004715?xsec_token=TBfIJFVzszocpn5U7ogutYTXvwd83yVWY4mdrR6sbSuLc=&amp;xsec_source=pc_trdark")</f>
        <v>0.0</v>
      </c>
      <c r="D1599" t="inlineStr">
        <is>
          <t>鲜水湾</t>
        </is>
      </c>
      <c r="E1599" t="inlineStr">
        <is>
          <t>49316638994</t>
        </is>
      </c>
      <c r="F1599" t="inlineStr">
        <is>
          <t>2026-03-20 13:09:08</t>
        </is>
      </c>
      <c r="G1599" t="inlineStr">
        <is>
          <t>图文</t>
        </is>
      </c>
      <c r="H1599" t="inlineStr">
        <is>
          <t>大虾基围虾王牌大虾厄瓜多尔白虾盐冻虾仁海洋大虾送礼顺丰包邮</t>
        </is>
      </c>
      <c r="I1599" t="inlineStr">
        <is>
          <t>690aeb7be379430001e686ac</t>
        </is>
      </c>
      <c r="J1599" t="inlineStr">
        <is>
          <t/>
        </is>
      </c>
      <c r="K1599" t="n">
        <v>0.0</v>
      </c>
      <c r="L1599" t="n">
        <v>0.0</v>
      </c>
      <c r="M1599" t="n">
        <v>0.0</v>
      </c>
      <c r="N1599" t="inlineStr">
        <is>
          <t/>
        </is>
      </c>
      <c r="O1599" t="n">
        <v>0.0</v>
      </c>
      <c r="P1599" t="n">
        <v>0.0</v>
      </c>
      <c r="Q1599" t="inlineStr">
        <is>
          <t/>
        </is>
      </c>
      <c r="R1599" t="inlineStr">
        <is>
          <t/>
        </is>
      </c>
      <c r="S1599" t="n">
        <v>0.0</v>
      </c>
      <c r="T1599" t="n">
        <v>0.0</v>
      </c>
      <c r="U1599" t="n">
        <v>0.0</v>
      </c>
      <c r="V1599" t="n">
        <v>0.0</v>
      </c>
      <c r="W1599" t="inlineStr">
        <is>
          <t/>
        </is>
      </c>
      <c r="X1599" t="n">
        <v>0.0</v>
      </c>
      <c r="Y1599" t="n">
        <v>0.0</v>
      </c>
      <c r="Z1599" t="n">
        <v>0.0</v>
      </c>
      <c r="AA1599" t="n">
        <v>0.0</v>
      </c>
      <c r="AB1599" t="n">
        <v>0.0</v>
      </c>
      <c r="AC1599" t="n">
        <v>0.0</v>
      </c>
      <c r="AD1599" t="n">
        <v>0.0</v>
      </c>
      <c r="AE1599" t="n">
        <v>0.0</v>
      </c>
      <c r="AF1599" t="n">
        <v>0.0</v>
      </c>
      <c r="AG1599" t="n">
        <v>0.0</v>
      </c>
      <c r="AH1599" t="n">
        <v>0.0</v>
      </c>
      <c r="AI1599" t="n">
        <v>0.0</v>
      </c>
      <c r="AJ1599" t="n">
        <v>0.0</v>
      </c>
      <c r="AK1599" t="inlineStr">
        <is>
          <t/>
        </is>
      </c>
      <c r="AL1599" t="inlineStr">
        <is>
          <t/>
        </is>
      </c>
    </row>
    <row r="1600">
      <c r="A1600" t="inlineStr">
        <is>
          <t>没人觉得控体人上班带饭跟省钱吗？</t>
        </is>
      </c>
      <c r="B1600" t="inlineStr">
        <is>
          <t>69bcbb300000000022027560</t>
        </is>
      </c>
      <c r="C1600" s="1599" t="n">
        <f>HYPERLINK("https://www.xiaohongshu.com/explore/69bcbb300000000022027560?xsec_token=TBfIJFVzszocpn5U7ogutYTfGcnlzgFXMFpLWIFi325DA=&amp;xsec_source=pc_trdark","https://www.xiaohongshu.com/explore/69bcbb300000000022027560?xsec_token=TBfIJFVzszocpn5U7ogutYTfGcnlzgFXMFpLWIFi325DA=&amp;xsec_source=pc_trdark")</f>
        <v>0.0</v>
      </c>
      <c r="D1600" t="inlineStr">
        <is>
          <t>菲菲上班吃什么</t>
        </is>
      </c>
      <c r="E1600" t="inlineStr">
        <is>
          <t>49936530607</t>
        </is>
      </c>
      <c r="F1600" t="inlineStr">
        <is>
          <t>2026-03-20 11:12:48</t>
        </is>
      </c>
      <c r="G1600" t="inlineStr">
        <is>
          <t>图文</t>
        </is>
      </c>
      <c r="H1600" t="inlineStr">
        <is>
          <t>手剥虾仁 无冰衣无添加 低脂餐一人食 上班带饭 顺丰包邮 5盒装</t>
        </is>
      </c>
      <c r="I1600" t="inlineStr">
        <is>
          <t>694baba01d450d00013662f0</t>
        </is>
      </c>
      <c r="J1600" t="inlineStr">
        <is>
          <t/>
        </is>
      </c>
      <c r="K1600" t="n">
        <v>0.0</v>
      </c>
      <c r="L1600" t="n">
        <v>0.0</v>
      </c>
      <c r="M1600" t="n">
        <v>0.0</v>
      </c>
      <c r="N1600" t="inlineStr">
        <is>
          <t/>
        </is>
      </c>
      <c r="O1600" t="n">
        <v>0.0</v>
      </c>
      <c r="P1600" t="n">
        <v>0.0</v>
      </c>
      <c r="Q1600" t="inlineStr">
        <is>
          <t/>
        </is>
      </c>
      <c r="R1600" t="inlineStr">
        <is>
          <t/>
        </is>
      </c>
      <c r="S1600" t="n">
        <v>0.0</v>
      </c>
      <c r="T1600" t="n">
        <v>0.0</v>
      </c>
      <c r="U1600" t="n">
        <v>0.0</v>
      </c>
      <c r="V1600" t="n">
        <v>0.0</v>
      </c>
      <c r="W1600" t="inlineStr">
        <is>
          <t/>
        </is>
      </c>
      <c r="X1600" t="n">
        <v>0.0</v>
      </c>
      <c r="Y1600" t="n">
        <v>0.0</v>
      </c>
      <c r="Z1600" t="n">
        <v>0.0</v>
      </c>
      <c r="AA1600" t="n">
        <v>0.0</v>
      </c>
      <c r="AB1600" t="n">
        <v>0.0</v>
      </c>
      <c r="AC1600" t="n">
        <v>0.0</v>
      </c>
      <c r="AD1600" t="n">
        <v>0.0</v>
      </c>
      <c r="AE1600" t="n">
        <v>0.0</v>
      </c>
      <c r="AF1600" t="n">
        <v>0.0</v>
      </c>
      <c r="AG1600" t="n">
        <v>0.0</v>
      </c>
      <c r="AH1600" t="n">
        <v>0.0</v>
      </c>
      <c r="AI1600" t="n">
        <v>0.0</v>
      </c>
      <c r="AJ1600" t="n">
        <v>0.0</v>
      </c>
      <c r="AK1600" t="inlineStr">
        <is>
          <t/>
        </is>
      </c>
      <c r="AL1600" t="inlineStr">
        <is>
          <t/>
        </is>
      </c>
    </row>
    <row r="1601">
      <c r="A1601" t="inlineStr">
        <is>
          <t>爸妈总说我天天吃虾仁太奢侈！</t>
        </is>
      </c>
      <c r="B1601" t="inlineStr">
        <is>
          <t>69bcb440000000001f00573b</t>
        </is>
      </c>
      <c r="C1601" s="1600" t="n">
        <f>HYPERLINK("https://www.xiaohongshu.com/explore/69bcb440000000001f00573b?xsec_token=TBfIJFVzszocpn5U7ogutYTcHoqKvrLfOuSp-MkrScpAY=&amp;xsec_source=pc_trdark","https://www.xiaohongshu.com/explore/69bcb440000000001f00573b?xsec_token=TBfIJFVzszocpn5U7ogutYTcHoqKvrLfOuSp-MkrScpAY=&amp;xsec_source=pc_trdark")</f>
        <v>0.0</v>
      </c>
      <c r="D1601" t="inlineStr">
        <is>
          <t>婉婉上班吃什么</t>
        </is>
      </c>
      <c r="E1601" t="inlineStr">
        <is>
          <t>11434449706</t>
        </is>
      </c>
      <c r="F1601" t="inlineStr">
        <is>
          <t>2026-03-20 10:43:12</t>
        </is>
      </c>
      <c r="G1601" t="inlineStr">
        <is>
          <t>图文</t>
        </is>
      </c>
      <c r="H1601" t="inlineStr">
        <is>
          <t>手剥虾仁 无冰衣无添加 低脂餐一人食 上班带饭 顺丰包邮 5盒装</t>
        </is>
      </c>
      <c r="I1601" t="inlineStr">
        <is>
          <t>694baba01d450d00013662f0</t>
        </is>
      </c>
      <c r="J1601" t="inlineStr">
        <is>
          <t/>
        </is>
      </c>
      <c r="K1601" t="n">
        <v>0.0</v>
      </c>
      <c r="L1601" t="n">
        <v>0.0</v>
      </c>
      <c r="M1601" t="n">
        <v>0.0</v>
      </c>
      <c r="N1601" t="inlineStr">
        <is>
          <t/>
        </is>
      </c>
      <c r="O1601" t="n">
        <v>0.0</v>
      </c>
      <c r="P1601" t="n">
        <v>0.0</v>
      </c>
      <c r="Q1601" t="inlineStr">
        <is>
          <t/>
        </is>
      </c>
      <c r="R1601" t="inlineStr">
        <is>
          <t/>
        </is>
      </c>
      <c r="S1601" t="n">
        <v>0.0</v>
      </c>
      <c r="T1601" t="n">
        <v>0.0</v>
      </c>
      <c r="U1601" t="n">
        <v>0.0</v>
      </c>
      <c r="V1601" t="n">
        <v>0.0</v>
      </c>
      <c r="W1601" t="inlineStr">
        <is>
          <t/>
        </is>
      </c>
      <c r="X1601" t="n">
        <v>0.0</v>
      </c>
      <c r="Y1601" t="n">
        <v>0.0</v>
      </c>
      <c r="Z1601" t="n">
        <v>0.0</v>
      </c>
      <c r="AA1601" t="n">
        <v>0.0</v>
      </c>
      <c r="AB1601" t="n">
        <v>0.0</v>
      </c>
      <c r="AC1601" t="n">
        <v>0.0</v>
      </c>
      <c r="AD1601" t="n">
        <v>0.0</v>
      </c>
      <c r="AE1601" t="n">
        <v>0.0</v>
      </c>
      <c r="AF1601" t="n">
        <v>0.0</v>
      </c>
      <c r="AG1601" t="n">
        <v>0.0</v>
      </c>
      <c r="AH1601" t="n">
        <v>0.0</v>
      </c>
      <c r="AI1601" t="n">
        <v>0.0</v>
      </c>
      <c r="AJ1601" t="n">
        <v>0.0</v>
      </c>
      <c r="AK1601" t="inlineStr">
        <is>
          <t/>
        </is>
      </c>
      <c r="AL1601" t="inlineStr">
        <is>
          <t/>
        </is>
      </c>
    </row>
    <row r="1602">
      <c r="A1602" t="inlineStr">
        <is>
          <t>我也不想买啊🥹但69够我吃一周轻食餐的了</t>
        </is>
      </c>
      <c r="B1602" t="inlineStr">
        <is>
          <t>69bbe275000000002800b6c0</t>
        </is>
      </c>
      <c r="C1602" s="1601" t="n">
        <f>HYPERLINK("https://www.xiaohongshu.com/explore/69bbe275000000002800b6c0?xsec_token=TBbjiHoA30T3IRnkbtYIm1O3l3hV-Xq7HfvCa3FsLTq84=&amp;xsec_source=pc_trdark","https://www.xiaohongshu.com/explore/69bbe275000000002800b6c0?xsec_token=TBbjiHoA30T3IRnkbtYIm1O3l3hV-Xq7HfvCa3FsLTq84=&amp;xsec_source=pc_trdark")</f>
        <v>0.0</v>
      </c>
      <c r="D1602" t="inlineStr">
        <is>
          <t>菲菲上班吃什么</t>
        </is>
      </c>
      <c r="E1602" t="inlineStr">
        <is>
          <t>49936530607</t>
        </is>
      </c>
      <c r="F1602" t="inlineStr">
        <is>
          <t>2026-03-19 19:48:05</t>
        </is>
      </c>
      <c r="G1602" t="inlineStr">
        <is>
          <t>图文</t>
        </is>
      </c>
      <c r="H1602" t="inlineStr">
        <is>
          <t>手剥虾仁 无冰衣无添加 低脂餐一人食 上班带饭 顺丰包邮 5盒装</t>
        </is>
      </c>
      <c r="I1602" t="inlineStr">
        <is>
          <t>694baba01d450d00013662f0</t>
        </is>
      </c>
      <c r="J1602" t="inlineStr">
        <is>
          <t/>
        </is>
      </c>
      <c r="K1602" t="n">
        <v>0.0</v>
      </c>
      <c r="L1602" t="n">
        <v>0.0</v>
      </c>
      <c r="M1602" t="n">
        <v>0.0</v>
      </c>
      <c r="N1602" t="inlineStr">
        <is>
          <t/>
        </is>
      </c>
      <c r="O1602" t="n">
        <v>0.0</v>
      </c>
      <c r="P1602" t="n">
        <v>0.0</v>
      </c>
      <c r="Q1602" t="inlineStr">
        <is>
          <t/>
        </is>
      </c>
      <c r="R1602" t="inlineStr">
        <is>
          <t/>
        </is>
      </c>
      <c r="S1602" t="n">
        <v>0.0</v>
      </c>
      <c r="T1602" t="n">
        <v>0.0</v>
      </c>
      <c r="U1602" t="n">
        <v>0.0</v>
      </c>
      <c r="V1602" t="n">
        <v>0.0</v>
      </c>
      <c r="W1602" t="inlineStr">
        <is>
          <t/>
        </is>
      </c>
      <c r="X1602" t="n">
        <v>0.0</v>
      </c>
      <c r="Y1602" t="n">
        <v>0.0</v>
      </c>
      <c r="Z1602" t="n">
        <v>0.0</v>
      </c>
      <c r="AA1602" t="n">
        <v>0.0</v>
      </c>
      <c r="AB1602" t="n">
        <v>0.0</v>
      </c>
      <c r="AC1602" t="n">
        <v>0.0</v>
      </c>
      <c r="AD1602" t="n">
        <v>0.0</v>
      </c>
      <c r="AE1602" t="n">
        <v>0.0</v>
      </c>
      <c r="AF1602" t="n">
        <v>0.0</v>
      </c>
      <c r="AG1602" t="n">
        <v>0.0</v>
      </c>
      <c r="AH1602" t="n">
        <v>0.0</v>
      </c>
      <c r="AI1602" t="n">
        <v>0.0</v>
      </c>
      <c r="AJ1602" t="n">
        <v>0.0</v>
      </c>
      <c r="AK1602" t="inlineStr">
        <is>
          <t/>
        </is>
      </c>
      <c r="AL1602" t="inlineStr">
        <is>
          <t/>
        </is>
      </c>
    </row>
    <row r="1603">
      <c r="A1603" t="inlineStr">
        <is>
          <t>年后控体真花不了多少钱，69够吃一周了</t>
        </is>
      </c>
      <c r="B1603" t="inlineStr">
        <is>
          <t>69bbc9c6000000001a0379e6</t>
        </is>
      </c>
      <c r="C1603" s="1602" t="n">
        <f>HYPERLINK("https://www.xiaohongshu.com/explore/69bbc9c6000000001a0379e6?xsec_token=TBbjiHoA30T3IRnkbtYIm1OxSddf9eHzcGykE9ubc0Lgk=&amp;xsec_source=pc_trdark","https://www.xiaohongshu.com/explore/69bbc9c6000000001a0379e6?xsec_token=TBbjiHoA30T3IRnkbtYIm1OxSddf9eHzcGykE9ubc0Lgk=&amp;xsec_source=pc_trdark")</f>
        <v>0.0</v>
      </c>
      <c r="D1603" t="inlineStr">
        <is>
          <t>婉婉上班吃什么</t>
        </is>
      </c>
      <c r="E1603" t="inlineStr">
        <is>
          <t>11434449706</t>
        </is>
      </c>
      <c r="F1603" t="inlineStr">
        <is>
          <t>2026-03-19 18:02:46</t>
        </is>
      </c>
      <c r="G1603" t="inlineStr">
        <is>
          <t>图文</t>
        </is>
      </c>
      <c r="H1603" t="inlineStr">
        <is>
          <t>手剥虾仁 无冰衣无添加 低脂餐一人食 上班带饭 顺丰包邮 5盒装</t>
        </is>
      </c>
      <c r="I1603" t="inlineStr">
        <is>
          <t>694baba01d450d00013662f0</t>
        </is>
      </c>
      <c r="J1603" t="inlineStr">
        <is>
          <t/>
        </is>
      </c>
      <c r="K1603" t="n">
        <v>0.0</v>
      </c>
      <c r="L1603" t="n">
        <v>0.0</v>
      </c>
      <c r="M1603" t="n">
        <v>0.0</v>
      </c>
      <c r="N1603" t="inlineStr">
        <is>
          <t/>
        </is>
      </c>
      <c r="O1603" t="n">
        <v>0.0</v>
      </c>
      <c r="P1603" t="n">
        <v>0.0</v>
      </c>
      <c r="Q1603" t="inlineStr">
        <is>
          <t/>
        </is>
      </c>
      <c r="R1603" t="inlineStr">
        <is>
          <t/>
        </is>
      </c>
      <c r="S1603" t="n">
        <v>0.0</v>
      </c>
      <c r="T1603" t="n">
        <v>0.0</v>
      </c>
      <c r="U1603" t="n">
        <v>0.0</v>
      </c>
      <c r="V1603" t="n">
        <v>0.0</v>
      </c>
      <c r="W1603" t="inlineStr">
        <is>
          <t/>
        </is>
      </c>
      <c r="X1603" t="n">
        <v>0.0</v>
      </c>
      <c r="Y1603" t="n">
        <v>0.0</v>
      </c>
      <c r="Z1603" t="n">
        <v>0.0</v>
      </c>
      <c r="AA1603" t="n">
        <v>0.0</v>
      </c>
      <c r="AB1603" t="n">
        <v>0.0</v>
      </c>
      <c r="AC1603" t="n">
        <v>0.0</v>
      </c>
      <c r="AD1603" t="n">
        <v>0.0</v>
      </c>
      <c r="AE1603" t="n">
        <v>0.0</v>
      </c>
      <c r="AF1603" t="n">
        <v>0.0</v>
      </c>
      <c r="AG1603" t="n">
        <v>0.0</v>
      </c>
      <c r="AH1603" t="n">
        <v>0.0</v>
      </c>
      <c r="AI1603" t="n">
        <v>0.0</v>
      </c>
      <c r="AJ1603" t="n">
        <v>0.0</v>
      </c>
      <c r="AK1603" t="inlineStr">
        <is>
          <t/>
        </is>
      </c>
      <c r="AL1603" t="inlineStr">
        <is>
          <t/>
        </is>
      </c>
    </row>
    <row r="1604">
      <c r="A1604" t="inlineStr">
        <is>
          <t>小小69元，承包了我一周减脂餐的快乐</t>
        </is>
      </c>
      <c r="B1604" t="inlineStr">
        <is>
          <t>69bbb262000000002301d917</t>
        </is>
      </c>
      <c r="C1604" s="1603" t="n">
        <f>HYPERLINK("https://www.xiaohongshu.com/explore/69bbb262000000002301d917?xsec_token=TBbjiHoA30T3IRnkbtYIm1O-yrKFLvtkBR58U2weum4tQ=&amp;xsec_source=pc_trdark","https://www.xiaohongshu.com/explore/69bbb262000000002301d917?xsec_token=TBbjiHoA30T3IRnkbtYIm1O-yrKFLvtkBR58U2weum4tQ=&amp;xsec_source=pc_trdark")</f>
        <v>0.0</v>
      </c>
      <c r="D1604" t="inlineStr">
        <is>
          <t>菲菲上班吃什么</t>
        </is>
      </c>
      <c r="E1604" t="inlineStr">
        <is>
          <t>49936530607</t>
        </is>
      </c>
      <c r="F1604" t="inlineStr">
        <is>
          <t>2026-03-19 16:22:58</t>
        </is>
      </c>
      <c r="G1604" t="inlineStr">
        <is>
          <t>图文</t>
        </is>
      </c>
      <c r="H1604" t="inlineStr">
        <is>
          <t>手剥虾仁 无冰衣无添加 低脂餐一人食 上班带饭 顺丰包邮 5盒装</t>
        </is>
      </c>
      <c r="I1604" t="inlineStr">
        <is>
          <t>694baba01d450d00013662f0</t>
        </is>
      </c>
      <c r="J1604" t="inlineStr">
        <is>
          <t/>
        </is>
      </c>
      <c r="K1604" t="n">
        <v>0.0</v>
      </c>
      <c r="L1604" t="n">
        <v>0.0</v>
      </c>
      <c r="M1604" t="n">
        <v>0.0</v>
      </c>
      <c r="N1604" t="inlineStr">
        <is>
          <t/>
        </is>
      </c>
      <c r="O1604" t="n">
        <v>0.0</v>
      </c>
      <c r="P1604" t="n">
        <v>0.0</v>
      </c>
      <c r="Q1604" t="inlineStr">
        <is>
          <t/>
        </is>
      </c>
      <c r="R1604" t="inlineStr">
        <is>
          <t/>
        </is>
      </c>
      <c r="S1604" t="n">
        <v>0.0</v>
      </c>
      <c r="T1604" t="n">
        <v>0.0</v>
      </c>
      <c r="U1604" t="n">
        <v>0.0</v>
      </c>
      <c r="V1604" t="n">
        <v>0.0</v>
      </c>
      <c r="W1604" t="inlineStr">
        <is>
          <t/>
        </is>
      </c>
      <c r="X1604" t="n">
        <v>0.0</v>
      </c>
      <c r="Y1604" t="n">
        <v>0.0</v>
      </c>
      <c r="Z1604" t="n">
        <v>0.0</v>
      </c>
      <c r="AA1604" t="n">
        <v>0.0</v>
      </c>
      <c r="AB1604" t="n">
        <v>0.0</v>
      </c>
      <c r="AC1604" t="n">
        <v>0.0</v>
      </c>
      <c r="AD1604" t="n">
        <v>0.0</v>
      </c>
      <c r="AE1604" t="n">
        <v>0.0</v>
      </c>
      <c r="AF1604" t="n">
        <v>0.0</v>
      </c>
      <c r="AG1604" t="n">
        <v>0.0</v>
      </c>
      <c r="AH1604" t="n">
        <v>0.0</v>
      </c>
      <c r="AI1604" t="n">
        <v>0.0</v>
      </c>
      <c r="AJ1604" t="n">
        <v>0.0</v>
      </c>
      <c r="AK1604" t="inlineStr">
        <is>
          <t/>
        </is>
      </c>
      <c r="AL1604" t="inlineStr">
        <is>
          <t/>
        </is>
      </c>
    </row>
    <row r="1605">
      <c r="A1605" t="inlineStr">
        <is>
          <t>买的时候没人告诉我，69💰吃一周减脂餐</t>
        </is>
      </c>
      <c r="B1605" t="inlineStr">
        <is>
          <t>69bbaf6b000000001f00728f</t>
        </is>
      </c>
      <c r="C1605" s="1604" t="n">
        <f>HYPERLINK("https://www.xiaohongshu.com/explore/69bbaf6b000000001f00728f?xsec_token=TBbjiHoA30T3IRnkbtYIm1OwoGZUAlXdefd9Vw2fNtEPU=&amp;xsec_source=pc_trdark","https://www.xiaohongshu.com/explore/69bbaf6b000000001f00728f?xsec_token=TBbjiHoA30T3IRnkbtYIm1OwoGZUAlXdefd9Vw2fNtEPU=&amp;xsec_source=pc_trdark")</f>
        <v>0.0</v>
      </c>
      <c r="D1605" t="inlineStr">
        <is>
          <t>婉婉上班吃什么</t>
        </is>
      </c>
      <c r="E1605" t="inlineStr">
        <is>
          <t>11434449706</t>
        </is>
      </c>
      <c r="F1605" t="inlineStr">
        <is>
          <t>2026-03-19 16:10:19</t>
        </is>
      </c>
      <c r="G1605" t="inlineStr">
        <is>
          <t>图文</t>
        </is>
      </c>
      <c r="H1605" t="inlineStr">
        <is>
          <t>手剥虾仁 无冰衣无添加 低脂餐一人食 上班带饭 顺丰包邮 5盒装</t>
        </is>
      </c>
      <c r="I1605" t="inlineStr">
        <is>
          <t>694baba01d450d00013662f0</t>
        </is>
      </c>
      <c r="J1605" t="inlineStr">
        <is>
          <t/>
        </is>
      </c>
      <c r="K1605" t="n">
        <v>0.0</v>
      </c>
      <c r="L1605" t="n">
        <v>0.0</v>
      </c>
      <c r="M1605" t="n">
        <v>0.0</v>
      </c>
      <c r="N1605" t="inlineStr">
        <is>
          <t/>
        </is>
      </c>
      <c r="O1605" t="n">
        <v>0.0</v>
      </c>
      <c r="P1605" t="n">
        <v>0.0</v>
      </c>
      <c r="Q1605" t="inlineStr">
        <is>
          <t/>
        </is>
      </c>
      <c r="R1605" t="inlineStr">
        <is>
          <t/>
        </is>
      </c>
      <c r="S1605" t="n">
        <v>0.0</v>
      </c>
      <c r="T1605" t="n">
        <v>0.0</v>
      </c>
      <c r="U1605" t="n">
        <v>0.0</v>
      </c>
      <c r="V1605" t="n">
        <v>0.0</v>
      </c>
      <c r="W1605" t="inlineStr">
        <is>
          <t/>
        </is>
      </c>
      <c r="X1605" t="n">
        <v>0.0</v>
      </c>
      <c r="Y1605" t="n">
        <v>0.0</v>
      </c>
      <c r="Z1605" t="n">
        <v>0.0</v>
      </c>
      <c r="AA1605" t="n">
        <v>0.0</v>
      </c>
      <c r="AB1605" t="n">
        <v>0.0</v>
      </c>
      <c r="AC1605" t="n">
        <v>0.0</v>
      </c>
      <c r="AD1605" t="n">
        <v>0.0</v>
      </c>
      <c r="AE1605" t="n">
        <v>0.0</v>
      </c>
      <c r="AF1605" t="n">
        <v>0.0</v>
      </c>
      <c r="AG1605" t="n">
        <v>0.0</v>
      </c>
      <c r="AH1605" t="n">
        <v>0.0</v>
      </c>
      <c r="AI1605" t="n">
        <v>0.0</v>
      </c>
      <c r="AJ1605" t="n">
        <v>0.0</v>
      </c>
      <c r="AK1605" t="inlineStr">
        <is>
          <t/>
        </is>
      </c>
      <c r="AL1605" t="inlineStr">
        <is>
          <t/>
        </is>
      </c>
    </row>
    <row r="1606">
      <c r="A1606" t="inlineStr">
        <is>
          <t>以为69没多少，结果够我上班带饭吃一周了</t>
        </is>
      </c>
      <c r="B1606" t="inlineStr">
        <is>
          <t>69bba9e40000000023006d0f</t>
        </is>
      </c>
      <c r="C1606" s="1605" t="n">
        <f>HYPERLINK("https://www.xiaohongshu.com/explore/69bba9e40000000023006d0f?xsec_token=TBbjiHoA30T3IRnkbtYIm1O__KQgP5Jms9DwDmCvlV_3E=&amp;xsec_source=pc_trdark","https://www.xiaohongshu.com/explore/69bba9e40000000023006d0f?xsec_token=TBbjiHoA30T3IRnkbtYIm1O__KQgP5Jms9DwDmCvlV_3E=&amp;xsec_source=pc_trdark")</f>
        <v>0.0</v>
      </c>
      <c r="D1606" t="inlineStr">
        <is>
          <t>菲菲上班吃什么</t>
        </is>
      </c>
      <c r="E1606" t="inlineStr">
        <is>
          <t>49936530607</t>
        </is>
      </c>
      <c r="F1606" t="inlineStr">
        <is>
          <t>2026-03-19 15:46:44</t>
        </is>
      </c>
      <c r="G1606" t="inlineStr">
        <is>
          <t>图文</t>
        </is>
      </c>
      <c r="H1606" t="inlineStr">
        <is>
          <t>手剥虾仁 无冰衣无添加 低脂餐一人食 上班带饭 顺丰包邮 5盒装</t>
        </is>
      </c>
      <c r="I1606" t="inlineStr">
        <is>
          <t>694baba01d450d00013662f0</t>
        </is>
      </c>
      <c r="J1606" t="inlineStr">
        <is>
          <t/>
        </is>
      </c>
      <c r="K1606" t="n">
        <v>0.0</v>
      </c>
      <c r="L1606" t="n">
        <v>0.0</v>
      </c>
      <c r="M1606" t="n">
        <v>0.0</v>
      </c>
      <c r="N1606" t="inlineStr">
        <is>
          <t/>
        </is>
      </c>
      <c r="O1606" t="n">
        <v>0.0</v>
      </c>
      <c r="P1606" t="n">
        <v>0.0</v>
      </c>
      <c r="Q1606" t="inlineStr">
        <is>
          <t/>
        </is>
      </c>
      <c r="R1606" t="inlineStr">
        <is>
          <t/>
        </is>
      </c>
      <c r="S1606" t="n">
        <v>0.0</v>
      </c>
      <c r="T1606" t="n">
        <v>0.0</v>
      </c>
      <c r="U1606" t="n">
        <v>0.0</v>
      </c>
      <c r="V1606" t="n">
        <v>0.0</v>
      </c>
      <c r="W1606" t="inlineStr">
        <is>
          <t/>
        </is>
      </c>
      <c r="X1606" t="n">
        <v>0.0</v>
      </c>
      <c r="Y1606" t="n">
        <v>0.0</v>
      </c>
      <c r="Z1606" t="n">
        <v>0.0</v>
      </c>
      <c r="AA1606" t="n">
        <v>0.0</v>
      </c>
      <c r="AB1606" t="n">
        <v>0.0</v>
      </c>
      <c r="AC1606" t="n">
        <v>0.0</v>
      </c>
      <c r="AD1606" t="n">
        <v>0.0</v>
      </c>
      <c r="AE1606" t="n">
        <v>0.0</v>
      </c>
      <c r="AF1606" t="n">
        <v>0.0</v>
      </c>
      <c r="AG1606" t="n">
        <v>0.0</v>
      </c>
      <c r="AH1606" t="n">
        <v>0.0</v>
      </c>
      <c r="AI1606" t="n">
        <v>0.0</v>
      </c>
      <c r="AJ1606" t="n">
        <v>0.0</v>
      </c>
      <c r="AK1606" t="inlineStr">
        <is>
          <t/>
        </is>
      </c>
      <c r="AL1606" t="inlineStr">
        <is>
          <t/>
        </is>
      </c>
    </row>
    <row r="1607">
      <c r="A1607" t="inlineStr">
        <is>
          <t>这个练后餐我真的给到夯！</t>
        </is>
      </c>
      <c r="B1607" t="inlineStr">
        <is>
          <t>69bb9b6a0000000023012ff1</t>
        </is>
      </c>
      <c r="C1607" s="1606" t="n">
        <f>HYPERLINK("https://www.xiaohongshu.com/explore/69bb9b6a0000000023012ff1?xsec_token=TBbjiHoA30T3IRnkbtYIm1O2jdzxCoWRDxquNwSr_l6G4=&amp;xsec_source=pc_trdark","https://www.xiaohongshu.com/explore/69bb9b6a0000000023012ff1?xsec_token=TBbjiHoA30T3IRnkbtYIm1O2jdzxCoWRDxquNwSr_l6G4=&amp;xsec_source=pc_trdark")</f>
        <v>0.0</v>
      </c>
      <c r="D1607" t="inlineStr">
        <is>
          <t>鲜水湾甄选</t>
        </is>
      </c>
      <c r="E1607" t="inlineStr">
        <is>
          <t>27401929161</t>
        </is>
      </c>
      <c r="F1607" t="inlineStr">
        <is>
          <t>2026-03-19 14:44:58</t>
        </is>
      </c>
      <c r="G1607" t="inlineStr">
        <is>
          <t>图文</t>
        </is>
      </c>
      <c r="H1607" t="inlineStr">
        <is>
          <t>手剥虾仁 无冰衣无添加 低脂餐一人食 上班带饭 顺丰包邮 5盒装</t>
        </is>
      </c>
      <c r="I1607" t="inlineStr">
        <is>
          <t>694baba01d450d00013662f0</t>
        </is>
      </c>
      <c r="J1607" t="inlineStr">
        <is>
          <t/>
        </is>
      </c>
      <c r="K1607" t="n">
        <v>0.0</v>
      </c>
      <c r="L1607" t="n">
        <v>0.0</v>
      </c>
      <c r="M1607" t="n">
        <v>0.0</v>
      </c>
      <c r="N1607" t="inlineStr">
        <is>
          <t/>
        </is>
      </c>
      <c r="O1607" t="n">
        <v>0.0</v>
      </c>
      <c r="P1607" t="n">
        <v>0.0</v>
      </c>
      <c r="Q1607" t="inlineStr">
        <is>
          <t/>
        </is>
      </c>
      <c r="R1607" t="inlineStr">
        <is>
          <t/>
        </is>
      </c>
      <c r="S1607" t="n">
        <v>0.0</v>
      </c>
      <c r="T1607" t="n">
        <v>0.0</v>
      </c>
      <c r="U1607" t="n">
        <v>0.0</v>
      </c>
      <c r="V1607" t="n">
        <v>0.0</v>
      </c>
      <c r="W1607" t="inlineStr">
        <is>
          <t/>
        </is>
      </c>
      <c r="X1607" t="n">
        <v>0.0</v>
      </c>
      <c r="Y1607" t="n">
        <v>0.0</v>
      </c>
      <c r="Z1607" t="n">
        <v>0.0</v>
      </c>
      <c r="AA1607" t="n">
        <v>0.0</v>
      </c>
      <c r="AB1607" t="n">
        <v>0.0</v>
      </c>
      <c r="AC1607" t="n">
        <v>0.0</v>
      </c>
      <c r="AD1607" t="n">
        <v>0.0</v>
      </c>
      <c r="AE1607" t="n">
        <v>0.0</v>
      </c>
      <c r="AF1607" t="n">
        <v>0.0</v>
      </c>
      <c r="AG1607" t="n">
        <v>0.0</v>
      </c>
      <c r="AH1607" t="n">
        <v>0.0</v>
      </c>
      <c r="AI1607" t="n">
        <v>0.0</v>
      </c>
      <c r="AJ1607" t="n">
        <v>0.0</v>
      </c>
      <c r="AK1607" t="inlineStr">
        <is>
          <t/>
        </is>
      </c>
      <c r="AL1607" t="inlineStr">
        <is>
          <t/>
        </is>
      </c>
    </row>
    <row r="1608">
      <c r="A1608" t="inlineStr">
        <is>
          <t>和大家讨论后🥹，推出一人食小包装虾仁</t>
        </is>
      </c>
      <c r="B1608" t="inlineStr">
        <is>
          <t>69bb985400000000280085d7</t>
        </is>
      </c>
      <c r="C1608" s="1607" t="n">
        <f>HYPERLINK("https://www.xiaohongshu.com/explore/69bb985400000000280085d7?xsec_token=TBbjiHoA30T3IRnkbtYIm1O9XndBCjbnmoVMLYAwJVTWQ=&amp;xsec_source=pc_trdark","https://www.xiaohongshu.com/explore/69bb985400000000280085d7?xsec_token=TBbjiHoA30T3IRnkbtYIm1O9XndBCjbnmoVMLYAwJVTWQ=&amp;xsec_source=pc_trdark")</f>
        <v>0.0</v>
      </c>
      <c r="D1608" t="inlineStr">
        <is>
          <t>鲜水湾</t>
        </is>
      </c>
      <c r="E1608" t="inlineStr">
        <is>
          <t>49316638994</t>
        </is>
      </c>
      <c r="F1608" t="inlineStr">
        <is>
          <t>2026-03-19 14:31:48</t>
        </is>
      </c>
      <c r="G1608" t="inlineStr">
        <is>
          <t>图文</t>
        </is>
      </c>
      <c r="H1608" t="inlineStr">
        <is>
          <t>手剥虾仁 无冰衣无添加 低脂餐一人食 上班带饭 顺丰包邮 5盒装</t>
        </is>
      </c>
      <c r="I1608" t="inlineStr">
        <is>
          <t>694baba01d450d00013662f0</t>
        </is>
      </c>
      <c r="J1608" t="inlineStr">
        <is>
          <t/>
        </is>
      </c>
      <c r="K1608" t="n">
        <v>0.0</v>
      </c>
      <c r="L1608" t="n">
        <v>0.0</v>
      </c>
      <c r="M1608" t="n">
        <v>0.0</v>
      </c>
      <c r="N1608" t="inlineStr">
        <is>
          <t/>
        </is>
      </c>
      <c r="O1608" t="n">
        <v>0.0</v>
      </c>
      <c r="P1608" t="n">
        <v>0.0</v>
      </c>
      <c r="Q1608" t="inlineStr">
        <is>
          <t/>
        </is>
      </c>
      <c r="R1608" t="inlineStr">
        <is>
          <t/>
        </is>
      </c>
      <c r="S1608" t="n">
        <v>0.0</v>
      </c>
      <c r="T1608" t="n">
        <v>0.0</v>
      </c>
      <c r="U1608" t="n">
        <v>0.0</v>
      </c>
      <c r="V1608" t="n">
        <v>0.0</v>
      </c>
      <c r="W1608" t="inlineStr">
        <is>
          <t/>
        </is>
      </c>
      <c r="X1608" t="n">
        <v>0.0</v>
      </c>
      <c r="Y1608" t="n">
        <v>0.0</v>
      </c>
      <c r="Z1608" t="n">
        <v>0.0</v>
      </c>
      <c r="AA1608" t="n">
        <v>0.0</v>
      </c>
      <c r="AB1608" t="n">
        <v>0.0</v>
      </c>
      <c r="AC1608" t="n">
        <v>0.0</v>
      </c>
      <c r="AD1608" t="n">
        <v>0.0</v>
      </c>
      <c r="AE1608" t="n">
        <v>0.0</v>
      </c>
      <c r="AF1608" t="n">
        <v>0.0</v>
      </c>
      <c r="AG1608" t="n">
        <v>0.0</v>
      </c>
      <c r="AH1608" t="n">
        <v>0.0</v>
      </c>
      <c r="AI1608" t="n">
        <v>0.0</v>
      </c>
      <c r="AJ1608" t="n">
        <v>0.0</v>
      </c>
      <c r="AK1608" t="inlineStr">
        <is>
          <t/>
        </is>
      </c>
      <c r="AL1608" t="inlineStr">
        <is>
          <t/>
        </is>
      </c>
    </row>
    <row r="1609">
      <c r="A1609" t="inlineStr">
        <is>
          <t>请大数据把我推荐给上班带饭的宝子</t>
        </is>
      </c>
      <c r="B1609" t="inlineStr">
        <is>
          <t>69bb65a4000000002301ff2b</t>
        </is>
      </c>
      <c r="C1609" s="1608" t="n">
        <f>HYPERLINK("https://www.xiaohongshu.com/explore/69bb65a4000000002301ff2b?xsec_token=TBbjiHoA30T3IRnkbtYIm1O0mDNBiovlJQcw6P_G6mCaU=&amp;xsec_source=pc_trdark","https://www.xiaohongshu.com/explore/69bb65a4000000002301ff2b?xsec_token=TBbjiHoA30T3IRnkbtYIm1O0mDNBiovlJQcw6P_G6mCaU=&amp;xsec_source=pc_trdark")</f>
        <v>0.0</v>
      </c>
      <c r="D1609" t="inlineStr">
        <is>
          <t>婉婉上班吃什么</t>
        </is>
      </c>
      <c r="E1609" t="inlineStr">
        <is>
          <t>11434449706</t>
        </is>
      </c>
      <c r="F1609" t="inlineStr">
        <is>
          <t>2026-03-19 10:55:32</t>
        </is>
      </c>
      <c r="G1609" t="inlineStr">
        <is>
          <t>图文</t>
        </is>
      </c>
      <c r="H1609" t="inlineStr">
        <is>
          <t>手剥虾仁 无冰衣无添加 低脂餐一人食 上班带饭 顺丰包邮 5盒装</t>
        </is>
      </c>
      <c r="I1609" t="inlineStr">
        <is>
          <t>694baba01d450d00013662f0</t>
        </is>
      </c>
      <c r="J1609" t="inlineStr">
        <is>
          <t/>
        </is>
      </c>
      <c r="K1609" t="n">
        <v>0.0</v>
      </c>
      <c r="L1609" t="n">
        <v>0.0</v>
      </c>
      <c r="M1609" t="n">
        <v>0.0</v>
      </c>
      <c r="N1609" t="inlineStr">
        <is>
          <t/>
        </is>
      </c>
      <c r="O1609" t="n">
        <v>0.0</v>
      </c>
      <c r="P1609" t="n">
        <v>0.0</v>
      </c>
      <c r="Q1609" t="inlineStr">
        <is>
          <t/>
        </is>
      </c>
      <c r="R1609" t="inlineStr">
        <is>
          <t/>
        </is>
      </c>
      <c r="S1609" t="n">
        <v>0.0</v>
      </c>
      <c r="T1609" t="n">
        <v>0.0</v>
      </c>
      <c r="U1609" t="n">
        <v>0.0</v>
      </c>
      <c r="V1609" t="n">
        <v>0.0</v>
      </c>
      <c r="W1609" t="inlineStr">
        <is>
          <t/>
        </is>
      </c>
      <c r="X1609" t="n">
        <v>0.0</v>
      </c>
      <c r="Y1609" t="n">
        <v>0.0</v>
      </c>
      <c r="Z1609" t="n">
        <v>0.0</v>
      </c>
      <c r="AA1609" t="n">
        <v>0.0</v>
      </c>
      <c r="AB1609" t="n">
        <v>0.0</v>
      </c>
      <c r="AC1609" t="n">
        <v>0.0</v>
      </c>
      <c r="AD1609" t="n">
        <v>0.0</v>
      </c>
      <c r="AE1609" t="n">
        <v>0.0</v>
      </c>
      <c r="AF1609" t="n">
        <v>0.0</v>
      </c>
      <c r="AG1609" t="n">
        <v>0.0</v>
      </c>
      <c r="AH1609" t="n">
        <v>0.0</v>
      </c>
      <c r="AI1609" t="n">
        <v>0.0</v>
      </c>
      <c r="AJ1609" t="n">
        <v>0.0</v>
      </c>
      <c r="AK1609" t="inlineStr">
        <is>
          <t/>
        </is>
      </c>
      <c r="AL1609" t="inlineStr">
        <is>
          <t/>
        </is>
      </c>
    </row>
    <row r="1610">
      <c r="A1610" t="inlineStr">
        <is>
          <t>和老爸商量后，为早八人推出的专属小包</t>
        </is>
      </c>
      <c r="B1610" t="inlineStr">
        <is>
          <t>69babf45000000002301e817</t>
        </is>
      </c>
      <c r="C1610" s="1609" t="n">
        <f>HYPERLINK("https://www.xiaohongshu.com/explore/69babf45000000002301e817?xsec_token=TBgJVNruMKjnZKfHBYiZtZCStu98H5zeA0Ok453wTNTlw=&amp;xsec_source=pc_trdark","https://www.xiaohongshu.com/explore/69babf45000000002301e817?xsec_token=TBgJVNruMKjnZKfHBYiZtZCStu98H5zeA0Ok453wTNTlw=&amp;xsec_source=pc_trdark")</f>
        <v>0.0</v>
      </c>
      <c r="D1610" t="inlineStr">
        <is>
          <t>鲜水湾</t>
        </is>
      </c>
      <c r="E1610" t="inlineStr">
        <is>
          <t>49316638994</t>
        </is>
      </c>
      <c r="F1610" t="inlineStr">
        <is>
          <t>2026-03-18 23:05:41</t>
        </is>
      </c>
      <c r="G1610" t="inlineStr">
        <is>
          <t>图文</t>
        </is>
      </c>
      <c r="H1610" t="inlineStr">
        <is>
          <t>手剥虾仁 无冰衣无添加 低脂餐一人食 上班带饭 顺丰包邮 5盒装</t>
        </is>
      </c>
      <c r="I1610" t="inlineStr">
        <is>
          <t>694baba01d450d00013662f0</t>
        </is>
      </c>
      <c r="J1610" t="inlineStr">
        <is>
          <t/>
        </is>
      </c>
      <c r="K1610" t="n">
        <v>0.0</v>
      </c>
      <c r="L1610" t="n">
        <v>0.0</v>
      </c>
      <c r="M1610" t="n">
        <v>0.0</v>
      </c>
      <c r="N1610" t="inlineStr">
        <is>
          <t/>
        </is>
      </c>
      <c r="O1610" t="n">
        <v>0.0</v>
      </c>
      <c r="P1610" t="n">
        <v>0.0</v>
      </c>
      <c r="Q1610" t="inlineStr">
        <is>
          <t/>
        </is>
      </c>
      <c r="R1610" t="inlineStr">
        <is>
          <t/>
        </is>
      </c>
      <c r="S1610" t="n">
        <v>0.0</v>
      </c>
      <c r="T1610" t="n">
        <v>0.0</v>
      </c>
      <c r="U1610" t="n">
        <v>0.0</v>
      </c>
      <c r="V1610" t="n">
        <v>0.0</v>
      </c>
      <c r="W1610" t="inlineStr">
        <is>
          <t/>
        </is>
      </c>
      <c r="X1610" t="n">
        <v>0.0</v>
      </c>
      <c r="Y1610" t="n">
        <v>0.0</v>
      </c>
      <c r="Z1610" t="n">
        <v>0.0</v>
      </c>
      <c r="AA1610" t="n">
        <v>0.0</v>
      </c>
      <c r="AB1610" t="n">
        <v>0.0</v>
      </c>
      <c r="AC1610" t="n">
        <v>0.0</v>
      </c>
      <c r="AD1610" t="n">
        <v>0.0</v>
      </c>
      <c r="AE1610" t="n">
        <v>0.0</v>
      </c>
      <c r="AF1610" t="n">
        <v>0.0</v>
      </c>
      <c r="AG1610" t="n">
        <v>0.0</v>
      </c>
      <c r="AH1610" t="n">
        <v>0.0</v>
      </c>
      <c r="AI1610" t="n">
        <v>0.0</v>
      </c>
      <c r="AJ1610" t="n">
        <v>0.0</v>
      </c>
      <c r="AK1610" t="inlineStr">
        <is>
          <t/>
        </is>
      </c>
      <c r="AL1610" t="inlineStr">
        <is>
          <t/>
        </is>
      </c>
    </row>
    <row r="1611">
      <c r="A1611" t="inlineStr">
        <is>
          <t>在小红书买的！一人食小包装虾仁🍤</t>
        </is>
      </c>
      <c r="B1611" t="inlineStr">
        <is>
          <t>69babd40000000002302116a</t>
        </is>
      </c>
      <c r="C1611" s="1610" t="n">
        <f>HYPERLINK("https://www.xiaohongshu.com/explore/69babd40000000002302116a?xsec_token=TBgJVNruMKjnZKfHBYiZtZCSfHKszfRzVYvjHLoPCVc9c=&amp;xsec_source=pc_trdark","https://www.xiaohongshu.com/explore/69babd40000000002302116a?xsec_token=TBgJVNruMKjnZKfHBYiZtZCSfHKszfRzVYvjHLoPCVc9c=&amp;xsec_source=pc_trdark")</f>
        <v>0.0</v>
      </c>
      <c r="D1611" t="inlineStr">
        <is>
          <t>鲜水湾甄选</t>
        </is>
      </c>
      <c r="E1611" t="inlineStr">
        <is>
          <t>27401929161</t>
        </is>
      </c>
      <c r="F1611" t="inlineStr">
        <is>
          <t>2026-03-18 22:57:04</t>
        </is>
      </c>
      <c r="G1611" t="inlineStr">
        <is>
          <t>图文</t>
        </is>
      </c>
      <c r="H1611" t="inlineStr">
        <is>
          <t>手剥虾仁 无冰衣无添加 低脂餐一人食 上班带饭 顺丰包邮 5盒装</t>
        </is>
      </c>
      <c r="I1611" t="inlineStr">
        <is>
          <t>694baba01d450d00013662f0</t>
        </is>
      </c>
      <c r="J1611" t="inlineStr">
        <is>
          <t/>
        </is>
      </c>
      <c r="K1611" t="n">
        <v>0.0</v>
      </c>
      <c r="L1611" t="n">
        <v>0.0</v>
      </c>
      <c r="M1611" t="n">
        <v>0.0</v>
      </c>
      <c r="N1611" t="inlineStr">
        <is>
          <t/>
        </is>
      </c>
      <c r="O1611" t="n">
        <v>0.0</v>
      </c>
      <c r="P1611" t="n">
        <v>0.0</v>
      </c>
      <c r="Q1611" t="inlineStr">
        <is>
          <t/>
        </is>
      </c>
      <c r="R1611" t="inlineStr">
        <is>
          <t/>
        </is>
      </c>
      <c r="S1611" t="n">
        <v>0.0</v>
      </c>
      <c r="T1611" t="n">
        <v>0.0</v>
      </c>
      <c r="U1611" t="n">
        <v>0.0</v>
      </c>
      <c r="V1611" t="n">
        <v>0.0</v>
      </c>
      <c r="W1611" t="inlineStr">
        <is>
          <t/>
        </is>
      </c>
      <c r="X1611" t="n">
        <v>0.0</v>
      </c>
      <c r="Y1611" t="n">
        <v>0.0</v>
      </c>
      <c r="Z1611" t="n">
        <v>0.0</v>
      </c>
      <c r="AA1611" t="n">
        <v>0.0</v>
      </c>
      <c r="AB1611" t="n">
        <v>0.0</v>
      </c>
      <c r="AC1611" t="n">
        <v>0.0</v>
      </c>
      <c r="AD1611" t="n">
        <v>0.0</v>
      </c>
      <c r="AE1611" t="n">
        <v>0.0</v>
      </c>
      <c r="AF1611" t="n">
        <v>0.0</v>
      </c>
      <c r="AG1611" t="n">
        <v>0.0</v>
      </c>
      <c r="AH1611" t="n">
        <v>0.0</v>
      </c>
      <c r="AI1611" t="n">
        <v>0.0</v>
      </c>
      <c r="AJ1611" t="n">
        <v>0.0</v>
      </c>
      <c r="AK1611" t="inlineStr">
        <is>
          <t/>
        </is>
      </c>
      <c r="AL1611" t="inlineStr">
        <is>
          <t/>
        </is>
      </c>
    </row>
    <row r="1612">
      <c r="A1612" t="inlineStr">
        <is>
          <t>和老爸商量后，为减脂姐妹推出的专属小包</t>
        </is>
      </c>
      <c r="B1612" t="inlineStr">
        <is>
          <t>69bab98f000000001e00ed7f</t>
        </is>
      </c>
      <c r="C1612" s="1611" t="n">
        <f>HYPERLINK("https://www.xiaohongshu.com/explore/69bab98f000000001e00ed7f?xsec_token=TBgJVNruMKjnZKfHBYiZtZCfVT2O1BN2ZUonsdjPGghDw=&amp;xsec_source=pc_trdark","https://www.xiaohongshu.com/explore/69bab98f000000001e00ed7f?xsec_token=TBgJVNruMKjnZKfHBYiZtZCfVT2O1BN2ZUonsdjPGghDw=&amp;xsec_source=pc_trdark")</f>
        <v>0.0</v>
      </c>
      <c r="D1612" t="inlineStr">
        <is>
          <t>婉婉上班吃什么</t>
        </is>
      </c>
      <c r="E1612" t="inlineStr">
        <is>
          <t>11434449706</t>
        </is>
      </c>
      <c r="F1612" t="inlineStr">
        <is>
          <t>2026-03-18 22:41:19</t>
        </is>
      </c>
      <c r="G1612" t="inlineStr">
        <is>
          <t>图文</t>
        </is>
      </c>
      <c r="H1612" t="inlineStr">
        <is>
          <t>手剥虾仁 无冰衣无添加 低脂餐一人食 上班带饭 顺丰包邮 5盒装</t>
        </is>
      </c>
      <c r="I1612" t="inlineStr">
        <is>
          <t>694baba01d450d00013662f0</t>
        </is>
      </c>
      <c r="J1612" t="inlineStr">
        <is>
          <t/>
        </is>
      </c>
      <c r="K1612" t="n">
        <v>0.0</v>
      </c>
      <c r="L1612" t="n">
        <v>0.0</v>
      </c>
      <c r="M1612" t="n">
        <v>0.0</v>
      </c>
      <c r="N1612" t="inlineStr">
        <is>
          <t/>
        </is>
      </c>
      <c r="O1612" t="n">
        <v>0.0</v>
      </c>
      <c r="P1612" t="n">
        <v>0.0</v>
      </c>
      <c r="Q1612" t="inlineStr">
        <is>
          <t/>
        </is>
      </c>
      <c r="R1612" t="inlineStr">
        <is>
          <t/>
        </is>
      </c>
      <c r="S1612" t="n">
        <v>0.0</v>
      </c>
      <c r="T1612" t="n">
        <v>0.0</v>
      </c>
      <c r="U1612" t="n">
        <v>0.0</v>
      </c>
      <c r="V1612" t="n">
        <v>0.0</v>
      </c>
      <c r="W1612" t="inlineStr">
        <is>
          <t/>
        </is>
      </c>
      <c r="X1612" t="n">
        <v>0.0</v>
      </c>
      <c r="Y1612" t="n">
        <v>0.0</v>
      </c>
      <c r="Z1612" t="n">
        <v>0.0</v>
      </c>
      <c r="AA1612" t="n">
        <v>0.0</v>
      </c>
      <c r="AB1612" t="n">
        <v>0.0</v>
      </c>
      <c r="AC1612" t="n">
        <v>0.0</v>
      </c>
      <c r="AD1612" t="n">
        <v>0.0</v>
      </c>
      <c r="AE1612" t="n">
        <v>0.0</v>
      </c>
      <c r="AF1612" t="n">
        <v>0.0</v>
      </c>
      <c r="AG1612" t="n">
        <v>0.0</v>
      </c>
      <c r="AH1612" t="n">
        <v>0.0</v>
      </c>
      <c r="AI1612" t="n">
        <v>0.0</v>
      </c>
      <c r="AJ1612" t="n">
        <v>0.0</v>
      </c>
      <c r="AK1612" t="inlineStr">
        <is>
          <t/>
        </is>
      </c>
      <c r="AL1612" t="inlineStr">
        <is>
          <t/>
        </is>
      </c>
    </row>
    <row r="1613">
      <c r="A1613" t="inlineStr">
        <is>
          <t/>
        </is>
      </c>
      <c r="B1613" t="inlineStr">
        <is>
          <t>69ba9686000000001e00c419</t>
        </is>
      </c>
      <c r="C1613" s="1612" t="n">
        <f>HYPERLINK("https://www.xiaohongshu.com/explore/69ba9686000000001e00c419?xsec_token=TBgJVNruMKjnZKfHBYiZtZCWoTTdCB9k62G9vVOx2-c04=&amp;xsec_source=pc_trdark","https://www.xiaohongshu.com/explore/69ba9686000000001e00c419?xsec_token=TBgJVNruMKjnZKfHBYiZtZCWoTTdCB9k62G9vVOx2-c04=&amp;xsec_source=pc_trdark")</f>
        <v>0.0</v>
      </c>
      <c r="D1613" t="inlineStr">
        <is>
          <t>婉婉上班吃什么</t>
        </is>
      </c>
      <c r="E1613" t="inlineStr">
        <is>
          <t>11434449706</t>
        </is>
      </c>
      <c r="F1613" t="inlineStr">
        <is>
          <t>2026-03-18 20:11:50</t>
        </is>
      </c>
      <c r="G1613" t="inlineStr">
        <is>
          <t>图文</t>
        </is>
      </c>
      <c r="H1613" t="inlineStr">
        <is>
          <t>手剥虾仁 无冰衣无添加 低脂餐一人食 上班带饭 顺丰包邮 5盒装</t>
        </is>
      </c>
      <c r="I1613" t="inlineStr">
        <is>
          <t>694baba01d450d00013662f0</t>
        </is>
      </c>
      <c r="J1613" t="inlineStr">
        <is>
          <t/>
        </is>
      </c>
      <c r="K1613" t="n">
        <v>0.0</v>
      </c>
      <c r="L1613" t="n">
        <v>0.0</v>
      </c>
      <c r="M1613" t="n">
        <v>0.0</v>
      </c>
      <c r="N1613" t="inlineStr">
        <is>
          <t/>
        </is>
      </c>
      <c r="O1613" t="n">
        <v>0.0</v>
      </c>
      <c r="P1613" t="n">
        <v>0.0</v>
      </c>
      <c r="Q1613" t="inlineStr">
        <is>
          <t/>
        </is>
      </c>
      <c r="R1613" t="inlineStr">
        <is>
          <t/>
        </is>
      </c>
      <c r="S1613" t="n">
        <v>0.0</v>
      </c>
      <c r="T1613" t="n">
        <v>0.0</v>
      </c>
      <c r="U1613" t="n">
        <v>0.0</v>
      </c>
      <c r="V1613" t="n">
        <v>0.0</v>
      </c>
      <c r="W1613" t="inlineStr">
        <is>
          <t/>
        </is>
      </c>
      <c r="X1613" t="n">
        <v>0.0</v>
      </c>
      <c r="Y1613" t="n">
        <v>0.0</v>
      </c>
      <c r="Z1613" t="n">
        <v>0.0</v>
      </c>
      <c r="AA1613" t="n">
        <v>0.0</v>
      </c>
      <c r="AB1613" t="n">
        <v>0.0</v>
      </c>
      <c r="AC1613" t="n">
        <v>0.0</v>
      </c>
      <c r="AD1613" t="n">
        <v>0.0</v>
      </c>
      <c r="AE1613" t="n">
        <v>0.0</v>
      </c>
      <c r="AF1613" t="n">
        <v>0.0</v>
      </c>
      <c r="AG1613" t="n">
        <v>0.0</v>
      </c>
      <c r="AH1613" t="n">
        <v>0.0</v>
      </c>
      <c r="AI1613" t="n">
        <v>0.0</v>
      </c>
      <c r="AJ1613" t="n">
        <v>0.0</v>
      </c>
      <c r="AK1613" t="inlineStr">
        <is>
          <t/>
        </is>
      </c>
      <c r="AL1613" t="inlineStr">
        <is>
          <t/>
        </is>
      </c>
    </row>
    <row r="1614">
      <c r="A1614" t="inlineStr">
        <is>
          <t>春日减脂，区区69块够我吃一周了</t>
        </is>
      </c>
      <c r="B1614" t="inlineStr">
        <is>
          <t>69ba7578000000001f002c39</t>
        </is>
      </c>
      <c r="C1614" s="1613" t="n">
        <f>HYPERLINK("https://www.xiaohongshu.com/explore/69ba7578000000001f002c39?xsec_token=TBgJVNruMKjnZKfHBYiZtZCY9CC4nsdsGps32PrUEX_ic=&amp;xsec_source=pc_trdark","https://www.xiaohongshu.com/explore/69ba7578000000001f002c39?xsec_token=TBgJVNruMKjnZKfHBYiZtZCY9CC4nsdsGps32PrUEX_ic=&amp;xsec_source=pc_trdark")</f>
        <v>0.0</v>
      </c>
      <c r="D1614" t="inlineStr">
        <is>
          <t>婉婉上班吃什么</t>
        </is>
      </c>
      <c r="E1614" t="inlineStr">
        <is>
          <t>11434449706</t>
        </is>
      </c>
      <c r="F1614" t="inlineStr">
        <is>
          <t>2026-03-18 17:50:48</t>
        </is>
      </c>
      <c r="G1614" t="inlineStr">
        <is>
          <t>图文</t>
        </is>
      </c>
      <c r="H1614" t="inlineStr">
        <is>
          <t>手剥虾仁 无冰衣无添加 低脂餐一人食 上班带饭 顺丰包邮 5盒装</t>
        </is>
      </c>
      <c r="I1614" t="inlineStr">
        <is>
          <t>694baba01d450d00013662f0</t>
        </is>
      </c>
      <c r="J1614" t="inlineStr">
        <is>
          <t/>
        </is>
      </c>
      <c r="K1614" t="n">
        <v>0.0</v>
      </c>
      <c r="L1614" t="n">
        <v>0.0</v>
      </c>
      <c r="M1614" t="n">
        <v>0.0</v>
      </c>
      <c r="N1614" t="inlineStr">
        <is>
          <t/>
        </is>
      </c>
      <c r="O1614" t="n">
        <v>0.0</v>
      </c>
      <c r="P1614" t="n">
        <v>0.0</v>
      </c>
      <c r="Q1614" t="inlineStr">
        <is>
          <t/>
        </is>
      </c>
      <c r="R1614" t="inlineStr">
        <is>
          <t/>
        </is>
      </c>
      <c r="S1614" t="n">
        <v>0.0</v>
      </c>
      <c r="T1614" t="n">
        <v>0.0</v>
      </c>
      <c r="U1614" t="n">
        <v>0.0</v>
      </c>
      <c r="V1614" t="n">
        <v>0.0</v>
      </c>
      <c r="W1614" t="inlineStr">
        <is>
          <t/>
        </is>
      </c>
      <c r="X1614" t="n">
        <v>0.0</v>
      </c>
      <c r="Y1614" t="n">
        <v>0.0</v>
      </c>
      <c r="Z1614" t="n">
        <v>0.0</v>
      </c>
      <c r="AA1614" t="n">
        <v>0.0</v>
      </c>
      <c r="AB1614" t="n">
        <v>0.0</v>
      </c>
      <c r="AC1614" t="n">
        <v>0.0</v>
      </c>
      <c r="AD1614" t="n">
        <v>0.0</v>
      </c>
      <c r="AE1614" t="n">
        <v>0.0</v>
      </c>
      <c r="AF1614" t="n">
        <v>0.0</v>
      </c>
      <c r="AG1614" t="n">
        <v>0.0</v>
      </c>
      <c r="AH1614" t="n">
        <v>0.0</v>
      </c>
      <c r="AI1614" t="n">
        <v>0.0</v>
      </c>
      <c r="AJ1614" t="n">
        <v>0.0</v>
      </c>
      <c r="AK1614" t="inlineStr">
        <is>
          <t/>
        </is>
      </c>
      <c r="AL1614" t="inlineStr">
        <is>
          <t/>
        </is>
      </c>
    </row>
    <row r="1615">
      <c r="A1615" t="inlineStr">
        <is>
          <t>姐妹们别乱买了！69元搞定一周轻食餐</t>
        </is>
      </c>
      <c r="B1615" t="inlineStr">
        <is>
          <t>69ba54d2000000001e00fadd</t>
        </is>
      </c>
      <c r="C1615" s="1614" t="n">
        <f>HYPERLINK("https://www.xiaohongshu.com/explore/69ba54d2000000001e00fadd?xsec_token=TBgJVNruMKjnZKfHBYiZtZCRhIFVSuBP68jlu-FJ4WHG8=&amp;xsec_source=pc_trdark","https://www.xiaohongshu.com/explore/69ba54d2000000001e00fadd?xsec_token=TBgJVNruMKjnZKfHBYiZtZCRhIFVSuBP68jlu-FJ4WHG8=&amp;xsec_source=pc_trdark")</f>
        <v>0.0</v>
      </c>
      <c r="D1615" t="inlineStr">
        <is>
          <t>婉婉上班吃什么</t>
        </is>
      </c>
      <c r="E1615" t="inlineStr">
        <is>
          <t>11434449706</t>
        </is>
      </c>
      <c r="F1615" t="inlineStr">
        <is>
          <t>2026-03-18 15:31:30</t>
        </is>
      </c>
      <c r="G1615" t="inlineStr">
        <is>
          <t>图文</t>
        </is>
      </c>
      <c r="H1615" t="inlineStr">
        <is>
          <t>手剥虾仁 无冰衣无添加 低脂餐一人食 上班带饭 顺丰包邮 5盒装</t>
        </is>
      </c>
      <c r="I1615" t="inlineStr">
        <is>
          <t>694baba01d450d00013662f0</t>
        </is>
      </c>
      <c r="J1615" t="inlineStr">
        <is>
          <t/>
        </is>
      </c>
      <c r="K1615" t="n">
        <v>0.0</v>
      </c>
      <c r="L1615" t="n">
        <v>0.0</v>
      </c>
      <c r="M1615" t="n">
        <v>0.0</v>
      </c>
      <c r="N1615" t="inlineStr">
        <is>
          <t/>
        </is>
      </c>
      <c r="O1615" t="n">
        <v>0.0</v>
      </c>
      <c r="P1615" t="n">
        <v>0.0</v>
      </c>
      <c r="Q1615" t="inlineStr">
        <is>
          <t/>
        </is>
      </c>
      <c r="R1615" t="inlineStr">
        <is>
          <t/>
        </is>
      </c>
      <c r="S1615" t="n">
        <v>0.0</v>
      </c>
      <c r="T1615" t="n">
        <v>0.0</v>
      </c>
      <c r="U1615" t="n">
        <v>0.0</v>
      </c>
      <c r="V1615" t="n">
        <v>0.0</v>
      </c>
      <c r="W1615" t="inlineStr">
        <is>
          <t/>
        </is>
      </c>
      <c r="X1615" t="n">
        <v>0.0</v>
      </c>
      <c r="Y1615" t="n">
        <v>0.0</v>
      </c>
      <c r="Z1615" t="n">
        <v>0.0</v>
      </c>
      <c r="AA1615" t="n">
        <v>0.0</v>
      </c>
      <c r="AB1615" t="n">
        <v>0.0</v>
      </c>
      <c r="AC1615" t="n">
        <v>0.0</v>
      </c>
      <c r="AD1615" t="n">
        <v>0.0</v>
      </c>
      <c r="AE1615" t="n">
        <v>0.0</v>
      </c>
      <c r="AF1615" t="n">
        <v>0.0</v>
      </c>
      <c r="AG1615" t="n">
        <v>0.0</v>
      </c>
      <c r="AH1615" t="n">
        <v>0.0</v>
      </c>
      <c r="AI1615" t="n">
        <v>0.0</v>
      </c>
      <c r="AJ1615" t="n">
        <v>0.0</v>
      </c>
      <c r="AK1615" t="inlineStr">
        <is>
          <t/>
        </is>
      </c>
      <c r="AL1615" t="inlineStr">
        <is>
          <t/>
        </is>
      </c>
    </row>
    <row r="1616">
      <c r="A1616" t="inlineStr">
        <is>
          <t>69块够吃一周！跟轻食外卖说再见👋</t>
        </is>
      </c>
      <c r="B1616" t="inlineStr">
        <is>
          <t>69b9ff77000000001e00c6f6</t>
        </is>
      </c>
      <c r="C1616" s="1615" t="n">
        <f>HYPERLINK("https://www.xiaohongshu.com/explore/69b9ff77000000001e00c6f6?xsec_token=TBgv0wN35T_w0yZx7fmvlvfENEVz80flCoYM_4A5XkUAg=&amp;xsec_source=pc_trdark","https://www.xiaohongshu.com/explore/69b9ff77000000001e00c6f6?xsec_token=TBgv0wN35T_w0yZx7fmvlvfENEVz80flCoYM_4A5XkUAg=&amp;xsec_source=pc_trdark")</f>
        <v>0.0</v>
      </c>
      <c r="D1616" t="inlineStr">
        <is>
          <t>婉婉上班吃什么</t>
        </is>
      </c>
      <c r="E1616" t="inlineStr">
        <is>
          <t>11434449706</t>
        </is>
      </c>
      <c r="F1616" t="inlineStr">
        <is>
          <t>2026-03-18 09:27:19</t>
        </is>
      </c>
      <c r="G1616" t="inlineStr">
        <is>
          <t>图文</t>
        </is>
      </c>
      <c r="H1616" t="inlineStr">
        <is>
          <t>手剥虾仁 无冰衣无添加 低脂餐一人食 上班带饭 顺丰包邮 5盒装</t>
        </is>
      </c>
      <c r="I1616" t="inlineStr">
        <is>
          <t>694baba01d450d00013662f0</t>
        </is>
      </c>
      <c r="J1616" t="inlineStr">
        <is>
          <t/>
        </is>
      </c>
      <c r="K1616" t="n">
        <v>0.0</v>
      </c>
      <c r="L1616" t="n">
        <v>0.0</v>
      </c>
      <c r="M1616" t="n">
        <v>0.0</v>
      </c>
      <c r="N1616" t="inlineStr">
        <is>
          <t/>
        </is>
      </c>
      <c r="O1616" t="n">
        <v>0.0</v>
      </c>
      <c r="P1616" t="n">
        <v>0.0</v>
      </c>
      <c r="Q1616" t="inlineStr">
        <is>
          <t/>
        </is>
      </c>
      <c r="R1616" t="inlineStr">
        <is>
          <t/>
        </is>
      </c>
      <c r="S1616" t="n">
        <v>0.0</v>
      </c>
      <c r="T1616" t="n">
        <v>0.0</v>
      </c>
      <c r="U1616" t="n">
        <v>0.0</v>
      </c>
      <c r="V1616" t="n">
        <v>0.0</v>
      </c>
      <c r="W1616" t="inlineStr">
        <is>
          <t/>
        </is>
      </c>
      <c r="X1616" t="n">
        <v>0.0</v>
      </c>
      <c r="Y1616" t="n">
        <v>0.0</v>
      </c>
      <c r="Z1616" t="n">
        <v>0.0</v>
      </c>
      <c r="AA1616" t="n">
        <v>0.0</v>
      </c>
      <c r="AB1616" t="n">
        <v>0.0</v>
      </c>
      <c r="AC1616" t="n">
        <v>0.0</v>
      </c>
      <c r="AD1616" t="n">
        <v>0.0</v>
      </c>
      <c r="AE1616" t="n">
        <v>0.0</v>
      </c>
      <c r="AF1616" t="n">
        <v>0.0</v>
      </c>
      <c r="AG1616" t="n">
        <v>0.0</v>
      </c>
      <c r="AH1616" t="n">
        <v>0.0</v>
      </c>
      <c r="AI1616" t="n">
        <v>0.0</v>
      </c>
      <c r="AJ1616" t="n">
        <v>0.0</v>
      </c>
      <c r="AK1616" t="inlineStr">
        <is>
          <t/>
        </is>
      </c>
      <c r="AL1616" t="inlineStr">
        <is>
          <t/>
        </is>
      </c>
    </row>
    <row r="1617">
      <c r="A1617" t="inlineStr">
        <is>
          <t>推荐身材管理期的宝子们都去吃这个</t>
        </is>
      </c>
      <c r="B1617" t="inlineStr">
        <is>
          <t>69b960eb000000001f005fed</t>
        </is>
      </c>
      <c r="C1617" s="1616" t="n">
        <f>HYPERLINK("https://www.xiaohongshu.com/explore/69b960eb000000001f005fed?xsec_token=TBgv0wN35T_w0yZx7fmvlvfJbThzeDNCyPQnQJpvdvF70=&amp;xsec_source=pc_trdark","https://www.xiaohongshu.com/explore/69b960eb000000001f005fed?xsec_token=TBgv0wN35T_w0yZx7fmvlvfJbThzeDNCyPQnQJpvdvF70=&amp;xsec_source=pc_trdark")</f>
        <v>0.0</v>
      </c>
      <c r="D1617" t="inlineStr">
        <is>
          <t>婉婉上班吃什么</t>
        </is>
      </c>
      <c r="E1617" t="inlineStr">
        <is>
          <t>11434449706</t>
        </is>
      </c>
      <c r="F1617" t="inlineStr">
        <is>
          <t>2026-03-17 22:10:52</t>
        </is>
      </c>
      <c r="G1617" t="inlineStr">
        <is>
          <t>图文</t>
        </is>
      </c>
      <c r="H1617" t="inlineStr">
        <is>
          <t>手剥虾仁 无冰衣无添加 低脂餐一人食 上班带饭 顺丰包邮 5盒装</t>
        </is>
      </c>
      <c r="I1617" t="inlineStr">
        <is>
          <t>694baba01d450d00013662f0</t>
        </is>
      </c>
      <c r="J1617" t="inlineStr">
        <is>
          <t/>
        </is>
      </c>
      <c r="K1617" t="n">
        <v>0.0</v>
      </c>
      <c r="L1617" t="n">
        <v>0.0</v>
      </c>
      <c r="M1617" t="n">
        <v>0.0</v>
      </c>
      <c r="N1617" t="inlineStr">
        <is>
          <t/>
        </is>
      </c>
      <c r="O1617" t="n">
        <v>0.0</v>
      </c>
      <c r="P1617" t="n">
        <v>0.0</v>
      </c>
      <c r="Q1617" t="inlineStr">
        <is>
          <t/>
        </is>
      </c>
      <c r="R1617" t="inlineStr">
        <is>
          <t/>
        </is>
      </c>
      <c r="S1617" t="n">
        <v>0.0</v>
      </c>
      <c r="T1617" t="n">
        <v>0.0</v>
      </c>
      <c r="U1617" t="n">
        <v>0.0</v>
      </c>
      <c r="V1617" t="n">
        <v>0.0</v>
      </c>
      <c r="W1617" t="inlineStr">
        <is>
          <t/>
        </is>
      </c>
      <c r="X1617" t="n">
        <v>0.0</v>
      </c>
      <c r="Y1617" t="n">
        <v>0.0</v>
      </c>
      <c r="Z1617" t="n">
        <v>0.0</v>
      </c>
      <c r="AA1617" t="n">
        <v>0.0</v>
      </c>
      <c r="AB1617" t="n">
        <v>0.0</v>
      </c>
      <c r="AC1617" t="n">
        <v>0.0</v>
      </c>
      <c r="AD1617" t="n">
        <v>0.0</v>
      </c>
      <c r="AE1617" t="n">
        <v>0.0</v>
      </c>
      <c r="AF1617" t="n">
        <v>0.0</v>
      </c>
      <c r="AG1617" t="n">
        <v>0.0</v>
      </c>
      <c r="AH1617" t="n">
        <v>0.0</v>
      </c>
      <c r="AI1617" t="n">
        <v>0.0</v>
      </c>
      <c r="AJ1617" t="n">
        <v>0.0</v>
      </c>
      <c r="AK1617" t="inlineStr">
        <is>
          <t/>
        </is>
      </c>
      <c r="AL1617" t="inlineStr">
        <is>
          <t/>
        </is>
      </c>
    </row>
    <row r="1618">
      <c r="A1618" t="inlineStr">
        <is>
          <t>和老爸商量后，推出春日减脂一人食🍤</t>
        </is>
      </c>
      <c r="B1618" t="inlineStr">
        <is>
          <t>69b94607000000001a035b94</t>
        </is>
      </c>
      <c r="C1618" s="1617" t="n">
        <f>HYPERLINK("https://www.xiaohongshu.com/explore/69b94607000000001a035b94?xsec_token=TBgv0wN35T_w0yZx7fmvlvfJoR_pDxBMUke9Fy6OCxewU=&amp;xsec_source=pc_trdark","https://www.xiaohongshu.com/explore/69b94607000000001a035b94?xsec_token=TBgv0wN35T_w0yZx7fmvlvfJoR_pDxBMUke9Fy6OCxewU=&amp;xsec_source=pc_trdark")</f>
        <v>0.0</v>
      </c>
      <c r="D1618" t="inlineStr">
        <is>
          <t>鲜水湾</t>
        </is>
      </c>
      <c r="E1618" t="inlineStr">
        <is>
          <t>49316638994</t>
        </is>
      </c>
      <c r="F1618" t="inlineStr">
        <is>
          <t>2026-03-17 20:16:07</t>
        </is>
      </c>
      <c r="G1618" t="inlineStr">
        <is>
          <t>图文</t>
        </is>
      </c>
      <c r="H1618" t="inlineStr">
        <is>
          <t>手剥虾仁 无冰衣无添加 低脂餐一人食 上班带饭 顺丰包邮 5盒装</t>
        </is>
      </c>
      <c r="I1618" t="inlineStr">
        <is>
          <t>694baba01d450d00013662f0</t>
        </is>
      </c>
      <c r="J1618" t="inlineStr">
        <is>
          <t/>
        </is>
      </c>
      <c r="K1618" t="n">
        <v>0.0</v>
      </c>
      <c r="L1618" t="n">
        <v>0.0</v>
      </c>
      <c r="M1618" t="n">
        <v>0.0</v>
      </c>
      <c r="N1618" t="inlineStr">
        <is>
          <t/>
        </is>
      </c>
      <c r="O1618" t="n">
        <v>0.0</v>
      </c>
      <c r="P1618" t="n">
        <v>0.0</v>
      </c>
      <c r="Q1618" t="inlineStr">
        <is>
          <t/>
        </is>
      </c>
      <c r="R1618" t="inlineStr">
        <is>
          <t/>
        </is>
      </c>
      <c r="S1618" t="n">
        <v>0.0</v>
      </c>
      <c r="T1618" t="n">
        <v>0.0</v>
      </c>
      <c r="U1618" t="n">
        <v>0.0</v>
      </c>
      <c r="V1618" t="n">
        <v>0.0</v>
      </c>
      <c r="W1618" t="inlineStr">
        <is>
          <t/>
        </is>
      </c>
      <c r="X1618" t="n">
        <v>0.0</v>
      </c>
      <c r="Y1618" t="n">
        <v>0.0</v>
      </c>
      <c r="Z1618" t="n">
        <v>0.0</v>
      </c>
      <c r="AA1618" t="n">
        <v>0.0</v>
      </c>
      <c r="AB1618" t="n">
        <v>0.0</v>
      </c>
      <c r="AC1618" t="n">
        <v>0.0</v>
      </c>
      <c r="AD1618" t="n">
        <v>0.0</v>
      </c>
      <c r="AE1618" t="n">
        <v>0.0</v>
      </c>
      <c r="AF1618" t="n">
        <v>0.0</v>
      </c>
      <c r="AG1618" t="n">
        <v>0.0</v>
      </c>
      <c r="AH1618" t="n">
        <v>0.0</v>
      </c>
      <c r="AI1618" t="n">
        <v>0.0</v>
      </c>
      <c r="AJ1618" t="n">
        <v>0.0</v>
      </c>
      <c r="AK1618" t="inlineStr">
        <is>
          <t/>
        </is>
      </c>
      <c r="AL1618" t="inlineStr">
        <is>
          <t/>
        </is>
      </c>
    </row>
    <row r="1619">
      <c r="A1619" t="inlineStr">
        <is>
          <t>泪水打湿减脂餐！这虾仁怎么能这么好吃啊！！</t>
        </is>
      </c>
      <c r="B1619" t="inlineStr">
        <is>
          <t>69b912070000000020039d0b</t>
        </is>
      </c>
      <c r="C1619" s="1618" t="n">
        <f>HYPERLINK("https://www.xiaohongshu.com/explore/69b912070000000020039d0b?xsec_token=TBgv0wN35T_w0yZx7fmvlvfOAzXEHPbOtPNqdMKGrTUMg=&amp;xsec_source=pc_trdark","https://www.xiaohongshu.com/explore/69b912070000000020039d0b?xsec_token=TBgv0wN35T_w0yZx7fmvlvfOAzXEHPbOtPNqdMKGrTUMg=&amp;xsec_source=pc_trdark")</f>
        <v>0.0</v>
      </c>
      <c r="D1619" t="inlineStr">
        <is>
          <t>婉婉上班吃什么</t>
        </is>
      </c>
      <c r="E1619" t="inlineStr">
        <is>
          <t>11434449706</t>
        </is>
      </c>
      <c r="F1619" t="inlineStr">
        <is>
          <t>2026-03-17 16:34:15</t>
        </is>
      </c>
      <c r="G1619" t="inlineStr">
        <is>
          <t>图文</t>
        </is>
      </c>
      <c r="H1619" t="inlineStr">
        <is>
          <t>手剥虾仁 无冰衣无添加 低脂餐一人食 上班带饭 顺丰包邮 5盒装</t>
        </is>
      </c>
      <c r="I1619" t="inlineStr">
        <is>
          <t>694baba01d450d00013662f0</t>
        </is>
      </c>
      <c r="J1619" t="inlineStr">
        <is>
          <t/>
        </is>
      </c>
      <c r="K1619" t="n">
        <v>0.0</v>
      </c>
      <c r="L1619" t="n">
        <v>0.0</v>
      </c>
      <c r="M1619" t="n">
        <v>0.0</v>
      </c>
      <c r="N1619" t="inlineStr">
        <is>
          <t/>
        </is>
      </c>
      <c r="O1619" t="n">
        <v>0.0</v>
      </c>
      <c r="P1619" t="n">
        <v>0.0</v>
      </c>
      <c r="Q1619" t="inlineStr">
        <is>
          <t/>
        </is>
      </c>
      <c r="R1619" t="inlineStr">
        <is>
          <t/>
        </is>
      </c>
      <c r="S1619" t="n">
        <v>0.0</v>
      </c>
      <c r="T1619" t="n">
        <v>0.0</v>
      </c>
      <c r="U1619" t="n">
        <v>0.0</v>
      </c>
      <c r="V1619" t="n">
        <v>0.0</v>
      </c>
      <c r="W1619" t="inlineStr">
        <is>
          <t/>
        </is>
      </c>
      <c r="X1619" t="n">
        <v>0.0</v>
      </c>
      <c r="Y1619" t="n">
        <v>0.0</v>
      </c>
      <c r="Z1619" t="n">
        <v>0.0</v>
      </c>
      <c r="AA1619" t="n">
        <v>0.0</v>
      </c>
      <c r="AB1619" t="n">
        <v>0.0</v>
      </c>
      <c r="AC1619" t="n">
        <v>0.0</v>
      </c>
      <c r="AD1619" t="n">
        <v>0.0</v>
      </c>
      <c r="AE1619" t="n">
        <v>0.0</v>
      </c>
      <c r="AF1619" t="n">
        <v>0.0</v>
      </c>
      <c r="AG1619" t="n">
        <v>0.0</v>
      </c>
      <c r="AH1619" t="n">
        <v>0.0</v>
      </c>
      <c r="AI1619" t="n">
        <v>0.0</v>
      </c>
      <c r="AJ1619" t="n">
        <v>0.0</v>
      </c>
      <c r="AK1619" t="inlineStr">
        <is>
          <t/>
        </is>
      </c>
      <c r="AL1619" t="inlineStr">
        <is>
          <t/>
        </is>
      </c>
    </row>
    <row r="1620">
      <c r="A1620" t="inlineStr">
        <is>
          <t>说一个撑死人但热量很低的东西！</t>
        </is>
      </c>
      <c r="B1620" t="inlineStr">
        <is>
          <t>69b8ea03000000001b020297</t>
        </is>
      </c>
      <c r="C1620" s="1619" t="n">
        <f>HYPERLINK("https://www.xiaohongshu.com/explore/69b8ea03000000001b020297?xsec_token=TBfbAEHpo8FSFeopDu7XYUighbZEYDNDpuTDowyyB4z_c=&amp;xsec_source=pc_trdark","https://www.xiaohongshu.com/explore/69b8ea03000000001b020297?xsec_token=TBfbAEHpo8FSFeopDu7XYUighbZEYDNDpuTDowyyB4z_c=&amp;xsec_source=pc_trdark")</f>
        <v>0.0</v>
      </c>
      <c r="D1620" t="inlineStr">
        <is>
          <t>婉婉上班吃什么</t>
        </is>
      </c>
      <c r="E1620" t="inlineStr">
        <is>
          <t>11434449706</t>
        </is>
      </c>
      <c r="F1620" t="inlineStr">
        <is>
          <t>2026-03-17 13:43:31</t>
        </is>
      </c>
      <c r="G1620" t="inlineStr">
        <is>
          <t>图文</t>
        </is>
      </c>
      <c r="H1620" t="inlineStr">
        <is>
          <t>手剥虾仁 无冰衣无添加 低脂餐一人食 上班带饭 顺丰包邮 5盒装</t>
        </is>
      </c>
      <c r="I1620" t="inlineStr">
        <is>
          <t>694baba01d450d00013662f0</t>
        </is>
      </c>
      <c r="J1620" t="inlineStr">
        <is>
          <t/>
        </is>
      </c>
      <c r="K1620" t="n">
        <v>0.0</v>
      </c>
      <c r="L1620" t="n">
        <v>0.0</v>
      </c>
      <c r="M1620" t="n">
        <v>0.0</v>
      </c>
      <c r="N1620" t="inlineStr">
        <is>
          <t/>
        </is>
      </c>
      <c r="O1620" t="n">
        <v>0.0</v>
      </c>
      <c r="P1620" t="n">
        <v>0.0</v>
      </c>
      <c r="Q1620" t="inlineStr">
        <is>
          <t/>
        </is>
      </c>
      <c r="R1620" t="inlineStr">
        <is>
          <t/>
        </is>
      </c>
      <c r="S1620" t="n">
        <v>0.0</v>
      </c>
      <c r="T1620" t="n">
        <v>0.0</v>
      </c>
      <c r="U1620" t="n">
        <v>0.0</v>
      </c>
      <c r="V1620" t="n">
        <v>0.0</v>
      </c>
      <c r="W1620" t="inlineStr">
        <is>
          <t/>
        </is>
      </c>
      <c r="X1620" t="n">
        <v>0.0</v>
      </c>
      <c r="Y1620" t="n">
        <v>0.0</v>
      </c>
      <c r="Z1620" t="n">
        <v>0.0</v>
      </c>
      <c r="AA1620" t="n">
        <v>0.0</v>
      </c>
      <c r="AB1620" t="n">
        <v>0.0</v>
      </c>
      <c r="AC1620" t="n">
        <v>0.0</v>
      </c>
      <c r="AD1620" t="n">
        <v>0.0</v>
      </c>
      <c r="AE1620" t="n">
        <v>0.0</v>
      </c>
      <c r="AF1620" t="n">
        <v>0.0</v>
      </c>
      <c r="AG1620" t="n">
        <v>0.0</v>
      </c>
      <c r="AH1620" t="n">
        <v>0.0</v>
      </c>
      <c r="AI1620" t="n">
        <v>0.0</v>
      </c>
      <c r="AJ1620" t="n">
        <v>0.0</v>
      </c>
      <c r="AK1620" t="inlineStr">
        <is>
          <t/>
        </is>
      </c>
      <c r="AL1620" t="inlineStr">
        <is>
          <t/>
        </is>
      </c>
    </row>
    <row r="1621">
      <c r="A1621" t="inlineStr">
        <is>
          <t>唯一的缺点：✂️脂期吃不停😭😭</t>
        </is>
      </c>
      <c r="B1621" t="inlineStr">
        <is>
          <t>69b7cb750000000022025334</t>
        </is>
      </c>
      <c r="C1621" s="1620" t="n">
        <f>HYPERLINK("https://www.xiaohongshu.com/explore/69b7cb750000000022025334?xsec_token=TBioiHaRPpzHnl86RCtCFk9pry93nfn4ypBftI1fNMMxE=&amp;xsec_source=pc_trdark","https://www.xiaohongshu.com/explore/69b7cb750000000022025334?xsec_token=TBioiHaRPpzHnl86RCtCFk9pry93nfn4ypBftI1fNMMxE=&amp;xsec_source=pc_trdark")</f>
        <v>0.0</v>
      </c>
      <c r="D1621" t="inlineStr">
        <is>
          <t>婉婉上班吃什么</t>
        </is>
      </c>
      <c r="E1621" t="inlineStr">
        <is>
          <t>11434449706</t>
        </is>
      </c>
      <c r="F1621" t="inlineStr">
        <is>
          <t>2026-03-16 17:20:53</t>
        </is>
      </c>
      <c r="G1621" t="inlineStr">
        <is>
          <t>图文</t>
        </is>
      </c>
      <c r="H1621" t="inlineStr">
        <is>
          <t>手剥虾仁 无冰衣无添加 低脂餐一人食 上班带饭 顺丰包邮 5盒装</t>
        </is>
      </c>
      <c r="I1621" t="inlineStr">
        <is>
          <t>694baba01d450d00013662f0</t>
        </is>
      </c>
      <c r="J1621" t="inlineStr">
        <is>
          <t/>
        </is>
      </c>
      <c r="K1621" t="n">
        <v>0.0</v>
      </c>
      <c r="L1621" t="n">
        <v>0.0</v>
      </c>
      <c r="M1621" t="n">
        <v>0.0</v>
      </c>
      <c r="N1621" t="inlineStr">
        <is>
          <t/>
        </is>
      </c>
      <c r="O1621" t="n">
        <v>0.0</v>
      </c>
      <c r="P1621" t="n">
        <v>0.0</v>
      </c>
      <c r="Q1621" t="inlineStr">
        <is>
          <t/>
        </is>
      </c>
      <c r="R1621" t="inlineStr">
        <is>
          <t/>
        </is>
      </c>
      <c r="S1621" t="n">
        <v>0.0</v>
      </c>
      <c r="T1621" t="n">
        <v>0.0</v>
      </c>
      <c r="U1621" t="n">
        <v>0.0</v>
      </c>
      <c r="V1621" t="n">
        <v>0.0</v>
      </c>
      <c r="W1621" t="inlineStr">
        <is>
          <t/>
        </is>
      </c>
      <c r="X1621" t="n">
        <v>0.0</v>
      </c>
      <c r="Y1621" t="n">
        <v>0.0</v>
      </c>
      <c r="Z1621" t="n">
        <v>0.0</v>
      </c>
      <c r="AA1621" t="n">
        <v>0.0</v>
      </c>
      <c r="AB1621" t="n">
        <v>0.0</v>
      </c>
      <c r="AC1621" t="n">
        <v>0.0</v>
      </c>
      <c r="AD1621" t="n">
        <v>0.0</v>
      </c>
      <c r="AE1621" t="n">
        <v>0.0</v>
      </c>
      <c r="AF1621" t="n">
        <v>0.0</v>
      </c>
      <c r="AG1621" t="n">
        <v>0.0</v>
      </c>
      <c r="AH1621" t="n">
        <v>0.0</v>
      </c>
      <c r="AI1621" t="n">
        <v>0.0</v>
      </c>
      <c r="AJ1621" t="n">
        <v>0.0</v>
      </c>
      <c r="AK1621" t="inlineStr">
        <is>
          <t/>
        </is>
      </c>
      <c r="AL1621" t="inlineStr">
        <is>
          <t/>
        </is>
      </c>
    </row>
    <row r="1622">
      <c r="A1622" t="inlineStr">
        <is>
          <t>奶奶的绝了！减脂健身餐天花板 一周才60多</t>
        </is>
      </c>
      <c r="B1622" t="inlineStr">
        <is>
          <t>69b795d4000000001a02eed5</t>
        </is>
      </c>
      <c r="C1622" s="1621" t="n">
        <f>HYPERLINK("https://www.xiaohongshu.com/explore/69b795d4000000001a02eed5?xsec_token=TBioiHaRPpzHnl86RCtCFk9gFILfRpLG80EX7ANZxkiCM=&amp;xsec_source=pc_trdark","https://www.xiaohongshu.com/explore/69b795d4000000001a02eed5?xsec_token=TBioiHaRPpzHnl86RCtCFk9gFILfRpLG80EX7ANZxkiCM=&amp;xsec_source=pc_trdark")</f>
        <v>0.0</v>
      </c>
      <c r="D1622" t="inlineStr">
        <is>
          <t>婉婉上班吃什么</t>
        </is>
      </c>
      <c r="E1622" t="inlineStr">
        <is>
          <t>11434449706</t>
        </is>
      </c>
      <c r="F1622" t="inlineStr">
        <is>
          <t>2026-03-16 13:32:04</t>
        </is>
      </c>
      <c r="G1622" t="inlineStr">
        <is>
          <t>图文</t>
        </is>
      </c>
      <c r="H1622" t="inlineStr">
        <is>
          <t>手剥虾仁 无冰衣无添加 低脂餐一人食 上班带饭 顺丰包邮 5盒装</t>
        </is>
      </c>
      <c r="I1622" t="inlineStr">
        <is>
          <t>694baba01d450d00013662f0</t>
        </is>
      </c>
      <c r="J1622" t="inlineStr">
        <is>
          <t/>
        </is>
      </c>
      <c r="K1622" t="n">
        <v>0.0</v>
      </c>
      <c r="L1622" t="n">
        <v>0.0</v>
      </c>
      <c r="M1622" t="n">
        <v>0.0</v>
      </c>
      <c r="N1622" t="inlineStr">
        <is>
          <t/>
        </is>
      </c>
      <c r="O1622" t="n">
        <v>0.0</v>
      </c>
      <c r="P1622" t="n">
        <v>0.0</v>
      </c>
      <c r="Q1622" t="inlineStr">
        <is>
          <t/>
        </is>
      </c>
      <c r="R1622" t="inlineStr">
        <is>
          <t/>
        </is>
      </c>
      <c r="S1622" t="n">
        <v>0.0</v>
      </c>
      <c r="T1622" t="n">
        <v>0.0</v>
      </c>
      <c r="U1622" t="n">
        <v>0.0</v>
      </c>
      <c r="V1622" t="n">
        <v>0.0</v>
      </c>
      <c r="W1622" t="inlineStr">
        <is>
          <t/>
        </is>
      </c>
      <c r="X1622" t="n">
        <v>0.0</v>
      </c>
      <c r="Y1622" t="n">
        <v>0.0</v>
      </c>
      <c r="Z1622" t="n">
        <v>0.0</v>
      </c>
      <c r="AA1622" t="n">
        <v>0.0</v>
      </c>
      <c r="AB1622" t="n">
        <v>0.0</v>
      </c>
      <c r="AC1622" t="n">
        <v>0.0</v>
      </c>
      <c r="AD1622" t="n">
        <v>0.0</v>
      </c>
      <c r="AE1622" t="n">
        <v>0.0</v>
      </c>
      <c r="AF1622" t="n">
        <v>0.0</v>
      </c>
      <c r="AG1622" t="n">
        <v>0.0</v>
      </c>
      <c r="AH1622" t="n">
        <v>0.0</v>
      </c>
      <c r="AI1622" t="n">
        <v>0.0</v>
      </c>
      <c r="AJ1622" t="n">
        <v>0.0</v>
      </c>
      <c r="AK1622" t="inlineStr">
        <is>
          <t/>
        </is>
      </c>
      <c r="AL1622" t="inlineStr">
        <is>
          <t/>
        </is>
      </c>
    </row>
    <row r="1623">
      <c r="A1623" t="inlineStr">
        <is>
          <t>凭一己之力💪带动全公司人吃虾！</t>
        </is>
      </c>
      <c r="B1623" t="inlineStr">
        <is>
          <t>69b76136000000002003883f</t>
        </is>
      </c>
      <c r="C1623" s="1622" t="n">
        <f>HYPERLINK("https://www.xiaohongshu.com/explore/69b76136000000002003883f?xsec_token=TBioiHaRPpzHnl86RCtCFk9lNX20ql0E9ZLSA5gm9UkZA=&amp;xsec_source=pc_trdark","https://www.xiaohongshu.com/explore/69b76136000000002003883f?xsec_token=TBioiHaRPpzHnl86RCtCFk9lNX20ql0E9ZLSA5gm9UkZA=&amp;xsec_source=pc_trdark")</f>
        <v>0.0</v>
      </c>
      <c r="D1623" t="inlineStr">
        <is>
          <t>婉婉上班吃什么</t>
        </is>
      </c>
      <c r="E1623" t="inlineStr">
        <is>
          <t>11434449706</t>
        </is>
      </c>
      <c r="F1623" t="inlineStr">
        <is>
          <t>2026-03-16 09:47:34</t>
        </is>
      </c>
      <c r="G1623" t="inlineStr">
        <is>
          <t>图文</t>
        </is>
      </c>
      <c r="H1623" t="inlineStr">
        <is>
          <t>手剥虾仁 无冰衣无添加 低脂餐一人食 上班带饭 顺丰包邮 5盒装</t>
        </is>
      </c>
      <c r="I1623" t="inlineStr">
        <is>
          <t>694baba01d450d00013662f0</t>
        </is>
      </c>
      <c r="J1623" t="inlineStr">
        <is>
          <t/>
        </is>
      </c>
      <c r="K1623" t="n">
        <v>0.0</v>
      </c>
      <c r="L1623" t="n">
        <v>0.0</v>
      </c>
      <c r="M1623" t="n">
        <v>0.0</v>
      </c>
      <c r="N1623" t="inlineStr">
        <is>
          <t/>
        </is>
      </c>
      <c r="O1623" t="n">
        <v>0.0</v>
      </c>
      <c r="P1623" t="n">
        <v>0.0</v>
      </c>
      <c r="Q1623" t="inlineStr">
        <is>
          <t/>
        </is>
      </c>
      <c r="R1623" t="inlineStr">
        <is>
          <t/>
        </is>
      </c>
      <c r="S1623" t="n">
        <v>0.0</v>
      </c>
      <c r="T1623" t="n">
        <v>0.0</v>
      </c>
      <c r="U1623" t="n">
        <v>0.0</v>
      </c>
      <c r="V1623" t="n">
        <v>0.0</v>
      </c>
      <c r="W1623" t="inlineStr">
        <is>
          <t/>
        </is>
      </c>
      <c r="X1623" t="n">
        <v>0.0</v>
      </c>
      <c r="Y1623" t="n">
        <v>0.0</v>
      </c>
      <c r="Z1623" t="n">
        <v>0.0</v>
      </c>
      <c r="AA1623" t="n">
        <v>0.0</v>
      </c>
      <c r="AB1623" t="n">
        <v>0.0</v>
      </c>
      <c r="AC1623" t="n">
        <v>0.0</v>
      </c>
      <c r="AD1623" t="n">
        <v>0.0</v>
      </c>
      <c r="AE1623" t="n">
        <v>0.0</v>
      </c>
      <c r="AF1623" t="n">
        <v>0.0</v>
      </c>
      <c r="AG1623" t="n">
        <v>0.0</v>
      </c>
      <c r="AH1623" t="n">
        <v>0.0</v>
      </c>
      <c r="AI1623" t="n">
        <v>0.0</v>
      </c>
      <c r="AJ1623" t="n">
        <v>0.0</v>
      </c>
      <c r="AK1623" t="inlineStr">
        <is>
          <t/>
        </is>
      </c>
      <c r="AL1623" t="inlineStr">
        <is>
          <t/>
        </is>
      </c>
    </row>
    <row r="1624">
      <c r="A1624" t="inlineStr">
        <is>
          <t>独居女生必囤！这个健康餐我已经回购N次🍤</t>
        </is>
      </c>
      <c r="B1624" t="inlineStr">
        <is>
          <t>69b6d05b000000001e00c338</t>
        </is>
      </c>
      <c r="C1624" s="1623" t="n">
        <f>HYPERLINK("https://www.xiaohongshu.com/explore/69b6d05b000000001e00c338?xsec_token=TBwpaEqA4ODk9qkUKPtwfpqdHjUFIVCbjgghwzMyl0gtY=&amp;xsec_source=pc_trdark","https://www.xiaohongshu.com/explore/69b6d05b000000001e00c338?xsec_token=TBwpaEqA4ODk9qkUKPtwfpqdHjUFIVCbjgghwzMyl0gtY=&amp;xsec_source=pc_trdark")</f>
        <v>0.0</v>
      </c>
      <c r="D1624" t="inlineStr">
        <is>
          <t>婉婉上班吃什么</t>
        </is>
      </c>
      <c r="E1624" t="inlineStr">
        <is>
          <t>11434449706</t>
        </is>
      </c>
      <c r="F1624" t="inlineStr">
        <is>
          <t>2026-03-15 23:29:31</t>
        </is>
      </c>
      <c r="G1624" t="inlineStr">
        <is>
          <t>图文</t>
        </is>
      </c>
      <c r="H1624" t="inlineStr">
        <is>
          <t>手剥虾仁 无冰衣无添加 低脂餐一人食 上班带饭 顺丰包邮 5盒装</t>
        </is>
      </c>
      <c r="I1624" t="inlineStr">
        <is>
          <t>694baba01d450d00013662f0</t>
        </is>
      </c>
      <c r="J1624" t="inlineStr">
        <is>
          <t/>
        </is>
      </c>
      <c r="K1624" t="n">
        <v>0.0</v>
      </c>
      <c r="L1624" t="n">
        <v>0.0</v>
      </c>
      <c r="M1624" t="n">
        <v>0.0</v>
      </c>
      <c r="N1624" t="inlineStr">
        <is>
          <t/>
        </is>
      </c>
      <c r="O1624" t="n">
        <v>0.0</v>
      </c>
      <c r="P1624" t="n">
        <v>0.0</v>
      </c>
      <c r="Q1624" t="inlineStr">
        <is>
          <t/>
        </is>
      </c>
      <c r="R1624" t="inlineStr">
        <is>
          <t/>
        </is>
      </c>
      <c r="S1624" t="n">
        <v>0.0</v>
      </c>
      <c r="T1624" t="n">
        <v>0.0</v>
      </c>
      <c r="U1624" t="n">
        <v>0.0</v>
      </c>
      <c r="V1624" t="n">
        <v>0.0</v>
      </c>
      <c r="W1624" t="inlineStr">
        <is>
          <t/>
        </is>
      </c>
      <c r="X1624" t="n">
        <v>0.0</v>
      </c>
      <c r="Y1624" t="n">
        <v>0.0</v>
      </c>
      <c r="Z1624" t="n">
        <v>0.0</v>
      </c>
      <c r="AA1624" t="n">
        <v>0.0</v>
      </c>
      <c r="AB1624" t="n">
        <v>0.0</v>
      </c>
      <c r="AC1624" t="n">
        <v>0.0</v>
      </c>
      <c r="AD1624" t="n">
        <v>0.0</v>
      </c>
      <c r="AE1624" t="n">
        <v>0.0</v>
      </c>
      <c r="AF1624" t="n">
        <v>0.0</v>
      </c>
      <c r="AG1624" t="n">
        <v>0.0</v>
      </c>
      <c r="AH1624" t="n">
        <v>0.0</v>
      </c>
      <c r="AI1624" t="n">
        <v>0.0</v>
      </c>
      <c r="AJ1624" t="n">
        <v>0.0</v>
      </c>
      <c r="AK1624" t="inlineStr">
        <is>
          <t/>
        </is>
      </c>
      <c r="AL1624" t="inlineStr">
        <is>
          <t/>
        </is>
      </c>
    </row>
    <row r="1625">
      <c r="A1625" t="inlineStr">
        <is>
          <t>年轻人真的不要低估60来块的购买力！</t>
        </is>
      </c>
      <c r="B1625" t="inlineStr">
        <is>
          <t>69b57a0e000000001a02ec92</t>
        </is>
      </c>
      <c r="C1625" s="1624" t="n">
        <f>HYPERLINK("https://www.xiaohongshu.com/explore/69b57a0e000000001a02ec92?xsec_token=TBYgTJ9EzKmyKny4Vfc-tHE65rR412b_Te2gQKytFWGBU=&amp;xsec_source=pc_trdark","https://www.xiaohongshu.com/explore/69b57a0e000000001a02ec92?xsec_token=TBYgTJ9EzKmyKny4Vfc-tHE65rR412b_Te2gQKytFWGBU=&amp;xsec_source=pc_trdark")</f>
        <v>0.0</v>
      </c>
      <c r="D1625" t="inlineStr">
        <is>
          <t>婉婉上班吃什么</t>
        </is>
      </c>
      <c r="E1625" t="inlineStr">
        <is>
          <t>11434449706</t>
        </is>
      </c>
      <c r="F1625" t="inlineStr">
        <is>
          <t>2026-03-14 23:09:02</t>
        </is>
      </c>
      <c r="G1625" t="inlineStr">
        <is>
          <t>图文</t>
        </is>
      </c>
      <c r="H1625" t="inlineStr">
        <is>
          <t>手剥虾仁 无冰衣无添加 低脂餐一人食 上班带饭 顺丰包邮 5盒装</t>
        </is>
      </c>
      <c r="I1625" t="inlineStr">
        <is>
          <t>694baba01d450d00013662f0</t>
        </is>
      </c>
      <c r="J1625" t="inlineStr">
        <is>
          <t/>
        </is>
      </c>
      <c r="K1625" t="n">
        <v>0.0</v>
      </c>
      <c r="L1625" t="n">
        <v>0.0</v>
      </c>
      <c r="M1625" t="n">
        <v>0.0</v>
      </c>
      <c r="N1625" t="inlineStr">
        <is>
          <t/>
        </is>
      </c>
      <c r="O1625" t="n">
        <v>0.0</v>
      </c>
      <c r="P1625" t="n">
        <v>0.0</v>
      </c>
      <c r="Q1625" t="inlineStr">
        <is>
          <t/>
        </is>
      </c>
      <c r="R1625" t="inlineStr">
        <is>
          <t/>
        </is>
      </c>
      <c r="S1625" t="n">
        <v>0.0</v>
      </c>
      <c r="T1625" t="n">
        <v>0.0</v>
      </c>
      <c r="U1625" t="n">
        <v>0.0</v>
      </c>
      <c r="V1625" t="n">
        <v>0.0</v>
      </c>
      <c r="W1625" t="inlineStr">
        <is>
          <t/>
        </is>
      </c>
      <c r="X1625" t="n">
        <v>0.0</v>
      </c>
      <c r="Y1625" t="n">
        <v>0.0</v>
      </c>
      <c r="Z1625" t="n">
        <v>0.0</v>
      </c>
      <c r="AA1625" t="n">
        <v>0.0</v>
      </c>
      <c r="AB1625" t="n">
        <v>0.0</v>
      </c>
      <c r="AC1625" t="n">
        <v>0.0</v>
      </c>
      <c r="AD1625" t="n">
        <v>0.0</v>
      </c>
      <c r="AE1625" t="n">
        <v>0.0</v>
      </c>
      <c r="AF1625" t="n">
        <v>0.0</v>
      </c>
      <c r="AG1625" t="n">
        <v>0.0</v>
      </c>
      <c r="AH1625" t="n">
        <v>0.0</v>
      </c>
      <c r="AI1625" t="n">
        <v>0.0</v>
      </c>
      <c r="AJ1625" t="n">
        <v>0.0</v>
      </c>
      <c r="AK1625" t="inlineStr">
        <is>
          <t/>
        </is>
      </c>
      <c r="AL1625" t="inlineStr">
        <is>
          <t/>
        </is>
      </c>
    </row>
    <row r="1626">
      <c r="A1626" t="inlineStr">
        <is>
          <t>年后减脂真花不了多少钱，69够吃一周了</t>
        </is>
      </c>
      <c r="B1626" t="inlineStr">
        <is>
          <t>69b55914000000001a0370f6</t>
        </is>
      </c>
      <c r="C1626" s="1625" t="n">
        <f>HYPERLINK("https://www.xiaohongshu.com/explore/69b55914000000001a0370f6?xsec_token=TBYgTJ9EzKmyKny4Vfc-tHE1D-4FPN_Ls21dAeDDr4uNA=&amp;xsec_source=pc_trdark","https://www.xiaohongshu.com/explore/69b55914000000001a0370f6?xsec_token=TBYgTJ9EzKmyKny4Vfc-tHE1D-4FPN_Ls21dAeDDr4uNA=&amp;xsec_source=pc_trdark")</f>
        <v>0.0</v>
      </c>
      <c r="D1626" t="inlineStr">
        <is>
          <t>婉婉上班吃什么</t>
        </is>
      </c>
      <c r="E1626" t="inlineStr">
        <is>
          <t>11434449706</t>
        </is>
      </c>
      <c r="F1626" t="inlineStr">
        <is>
          <t>2026-03-14 20:48:20</t>
        </is>
      </c>
      <c r="G1626" t="inlineStr">
        <is>
          <t>图文</t>
        </is>
      </c>
      <c r="H1626" t="inlineStr">
        <is>
          <t>手剥虾仁 无冰衣无添加 低脂餐一人食 上班带饭 顺丰包邮 5盒装</t>
        </is>
      </c>
      <c r="I1626" t="inlineStr">
        <is>
          <t>694baba01d450d00013662f0</t>
        </is>
      </c>
      <c r="J1626" t="inlineStr">
        <is>
          <t/>
        </is>
      </c>
      <c r="K1626" t="n">
        <v>0.0</v>
      </c>
      <c r="L1626" t="n">
        <v>0.0</v>
      </c>
      <c r="M1626" t="n">
        <v>0.0</v>
      </c>
      <c r="N1626" t="inlineStr">
        <is>
          <t/>
        </is>
      </c>
      <c r="O1626" t="n">
        <v>0.0</v>
      </c>
      <c r="P1626" t="n">
        <v>0.0</v>
      </c>
      <c r="Q1626" t="inlineStr">
        <is>
          <t/>
        </is>
      </c>
      <c r="R1626" t="inlineStr">
        <is>
          <t/>
        </is>
      </c>
      <c r="S1626" t="n">
        <v>0.0</v>
      </c>
      <c r="T1626" t="n">
        <v>0.0</v>
      </c>
      <c r="U1626" t="n">
        <v>0.0</v>
      </c>
      <c r="V1626" t="n">
        <v>0.0</v>
      </c>
      <c r="W1626" t="inlineStr">
        <is>
          <t/>
        </is>
      </c>
      <c r="X1626" t="n">
        <v>0.0</v>
      </c>
      <c r="Y1626" t="n">
        <v>0.0</v>
      </c>
      <c r="Z1626" t="n">
        <v>0.0</v>
      </c>
      <c r="AA1626" t="n">
        <v>0.0</v>
      </c>
      <c r="AB1626" t="n">
        <v>0.0</v>
      </c>
      <c r="AC1626" t="n">
        <v>0.0</v>
      </c>
      <c r="AD1626" t="n">
        <v>0.0</v>
      </c>
      <c r="AE1626" t="n">
        <v>0.0</v>
      </c>
      <c r="AF1626" t="n">
        <v>0.0</v>
      </c>
      <c r="AG1626" t="n">
        <v>0.0</v>
      </c>
      <c r="AH1626" t="n">
        <v>0.0</v>
      </c>
      <c r="AI1626" t="n">
        <v>0.0</v>
      </c>
      <c r="AJ1626" t="n">
        <v>0.0</v>
      </c>
      <c r="AK1626" t="inlineStr">
        <is>
          <t/>
        </is>
      </c>
      <c r="AL1626" t="inlineStr">
        <is>
          <t/>
        </is>
      </c>
    </row>
    <row r="1627">
      <c r="A1627" t="inlineStr">
        <is>
          <t>说一个撑死人但热量很低的东西</t>
        </is>
      </c>
      <c r="B1627" t="inlineStr">
        <is>
          <t>69b52200000000001f004cb6</t>
        </is>
      </c>
      <c r="C1627" s="1626" t="n">
        <f>HYPERLINK("https://www.xiaohongshu.com/explore/69b52200000000001f004cb6?xsec_token=TBYgTJ9EzKmyKny4Vfc-tHE_34MvcIgicVzQ80fbRormE=&amp;xsec_source=pc_trdark","https://www.xiaohongshu.com/explore/69b52200000000001f004cb6?xsec_token=TBYgTJ9EzKmyKny4Vfc-tHE_34MvcIgicVzQ80fbRormE=&amp;xsec_source=pc_trdark")</f>
        <v>0.0</v>
      </c>
      <c r="D1627" t="inlineStr">
        <is>
          <t>婉婉上班吃什么</t>
        </is>
      </c>
      <c r="E1627" t="inlineStr">
        <is>
          <t>11434449706</t>
        </is>
      </c>
      <c r="F1627" t="inlineStr">
        <is>
          <t>2026-03-14 16:53:20</t>
        </is>
      </c>
      <c r="G1627" t="inlineStr">
        <is>
          <t>图文</t>
        </is>
      </c>
      <c r="H1627" t="inlineStr">
        <is>
          <t>手剥虾仁 无冰衣无添加 低脂餐一人食 上班带饭 顺丰包邮 5盒装</t>
        </is>
      </c>
      <c r="I1627" t="inlineStr">
        <is>
          <t>694baba01d450d00013662f0</t>
        </is>
      </c>
      <c r="J1627" t="inlineStr">
        <is>
          <t/>
        </is>
      </c>
      <c r="K1627" t="n">
        <v>0.0</v>
      </c>
      <c r="L1627" t="n">
        <v>0.0</v>
      </c>
      <c r="M1627" t="n">
        <v>0.0</v>
      </c>
      <c r="N1627" t="inlineStr">
        <is>
          <t/>
        </is>
      </c>
      <c r="O1627" t="n">
        <v>0.0</v>
      </c>
      <c r="P1627" t="n">
        <v>0.0</v>
      </c>
      <c r="Q1627" t="inlineStr">
        <is>
          <t/>
        </is>
      </c>
      <c r="R1627" t="inlineStr">
        <is>
          <t/>
        </is>
      </c>
      <c r="S1627" t="n">
        <v>0.0</v>
      </c>
      <c r="T1627" t="n">
        <v>0.0</v>
      </c>
      <c r="U1627" t="n">
        <v>0.0</v>
      </c>
      <c r="V1627" t="n">
        <v>0.0</v>
      </c>
      <c r="W1627" t="inlineStr">
        <is>
          <t/>
        </is>
      </c>
      <c r="X1627" t="n">
        <v>0.0</v>
      </c>
      <c r="Y1627" t="n">
        <v>0.0</v>
      </c>
      <c r="Z1627" t="n">
        <v>0.0</v>
      </c>
      <c r="AA1627" t="n">
        <v>0.0</v>
      </c>
      <c r="AB1627" t="n">
        <v>0.0</v>
      </c>
      <c r="AC1627" t="n">
        <v>0.0</v>
      </c>
      <c r="AD1627" t="n">
        <v>0.0</v>
      </c>
      <c r="AE1627" t="n">
        <v>0.0</v>
      </c>
      <c r="AF1627" t="n">
        <v>0.0</v>
      </c>
      <c r="AG1627" t="n">
        <v>0.0</v>
      </c>
      <c r="AH1627" t="n">
        <v>0.0</v>
      </c>
      <c r="AI1627" t="n">
        <v>0.0</v>
      </c>
      <c r="AJ1627" t="n">
        <v>0.0</v>
      </c>
      <c r="AK1627" t="inlineStr">
        <is>
          <t/>
        </is>
      </c>
      <c r="AL1627" t="inlineStr">
        <is>
          <t/>
        </is>
      </c>
    </row>
    <row r="1628">
      <c r="A1628" t="inlineStr">
        <is>
          <t>第一次直观感受到69块的威力</t>
        </is>
      </c>
      <c r="B1628" t="inlineStr">
        <is>
          <t>69b502ed00000000220262e6</t>
        </is>
      </c>
      <c r="C1628" s="1627" t="n">
        <f>HYPERLINK("https://www.xiaohongshu.com/explore/69b502ed00000000220262e6?xsec_token=TBYgTJ9EzKmyKny4Vfc-tHE2mSMp89o7u8rbprTJLD-IY=&amp;xsec_source=pc_trdark","https://www.xiaohongshu.com/explore/69b502ed00000000220262e6?xsec_token=TBYgTJ9EzKmyKny4Vfc-tHE2mSMp89o7u8rbprTJLD-IY=&amp;xsec_source=pc_trdark")</f>
        <v>0.0</v>
      </c>
      <c r="D1628" t="inlineStr">
        <is>
          <t>婉婉上班吃什么</t>
        </is>
      </c>
      <c r="E1628" t="inlineStr">
        <is>
          <t>11434449706</t>
        </is>
      </c>
      <c r="F1628" t="inlineStr">
        <is>
          <t>2026-03-14 14:40:45</t>
        </is>
      </c>
      <c r="G1628" t="inlineStr">
        <is>
          <t>图文</t>
        </is>
      </c>
      <c r="H1628" t="inlineStr">
        <is>
          <t>手剥虾仁 无冰衣无添加 低脂餐一人食 上班带饭 顺丰包邮 5盒装</t>
        </is>
      </c>
      <c r="I1628" t="inlineStr">
        <is>
          <t>694baba01d450d00013662f0</t>
        </is>
      </c>
      <c r="J1628" t="inlineStr">
        <is>
          <t/>
        </is>
      </c>
      <c r="K1628" t="n">
        <v>0.0</v>
      </c>
      <c r="L1628" t="n">
        <v>0.0</v>
      </c>
      <c r="M1628" t="n">
        <v>0.0</v>
      </c>
      <c r="N1628" t="inlineStr">
        <is>
          <t/>
        </is>
      </c>
      <c r="O1628" t="n">
        <v>0.0</v>
      </c>
      <c r="P1628" t="n">
        <v>0.0</v>
      </c>
      <c r="Q1628" t="inlineStr">
        <is>
          <t/>
        </is>
      </c>
      <c r="R1628" t="inlineStr">
        <is>
          <t/>
        </is>
      </c>
      <c r="S1628" t="n">
        <v>0.0</v>
      </c>
      <c r="T1628" t="n">
        <v>0.0</v>
      </c>
      <c r="U1628" t="n">
        <v>0.0</v>
      </c>
      <c r="V1628" t="n">
        <v>0.0</v>
      </c>
      <c r="W1628" t="inlineStr">
        <is>
          <t/>
        </is>
      </c>
      <c r="X1628" t="n">
        <v>0.0</v>
      </c>
      <c r="Y1628" t="n">
        <v>0.0</v>
      </c>
      <c r="Z1628" t="n">
        <v>0.0</v>
      </c>
      <c r="AA1628" t="n">
        <v>0.0</v>
      </c>
      <c r="AB1628" t="n">
        <v>0.0</v>
      </c>
      <c r="AC1628" t="n">
        <v>0.0</v>
      </c>
      <c r="AD1628" t="n">
        <v>0.0</v>
      </c>
      <c r="AE1628" t="n">
        <v>0.0</v>
      </c>
      <c r="AF1628" t="n">
        <v>0.0</v>
      </c>
      <c r="AG1628" t="n">
        <v>0.0</v>
      </c>
      <c r="AH1628" t="n">
        <v>0.0</v>
      </c>
      <c r="AI1628" t="n">
        <v>0.0</v>
      </c>
      <c r="AJ1628" t="n">
        <v>0.0</v>
      </c>
      <c r="AK1628" t="inlineStr">
        <is>
          <t/>
        </is>
      </c>
      <c r="AL1628" t="inlineStr">
        <is>
          <t/>
        </is>
      </c>
    </row>
    <row r="1629">
      <c r="A1629" t="inlineStr">
        <is>
          <t>奉劝女孩们对70的购买力有点概念！</t>
        </is>
      </c>
      <c r="B1629" t="inlineStr">
        <is>
          <t>69b5000d00000000220289ed</t>
        </is>
      </c>
      <c r="C1629" s="1628" t="n">
        <f>HYPERLINK("https://www.xiaohongshu.com/explore/69b5000d00000000220289ed?xsec_token=TBYgTJ9EzKmyKny4Vfc-tHEwudjjn0rnHN8ne086zGalc=&amp;xsec_source=pc_trdark","https://www.xiaohongshu.com/explore/69b5000d00000000220289ed?xsec_token=TBYgTJ9EzKmyKny4Vfc-tHEwudjjn0rnHN8ne086zGalc=&amp;xsec_source=pc_trdark")</f>
        <v>0.0</v>
      </c>
      <c r="D1629" t="inlineStr">
        <is>
          <t>婉婉上班吃什么</t>
        </is>
      </c>
      <c r="E1629" t="inlineStr">
        <is>
          <t>11434449706</t>
        </is>
      </c>
      <c r="F1629" t="inlineStr">
        <is>
          <t>2026-03-14 14:28:29</t>
        </is>
      </c>
      <c r="G1629" t="inlineStr">
        <is>
          <t>图文</t>
        </is>
      </c>
      <c r="H1629" t="inlineStr">
        <is>
          <t>手剥虾仁 无冰衣无添加 低脂餐一人食 上班带饭 顺丰包邮 5盒装</t>
        </is>
      </c>
      <c r="I1629" t="inlineStr">
        <is>
          <t>694baba01d450d00013662f0</t>
        </is>
      </c>
      <c r="J1629" t="inlineStr">
        <is>
          <t/>
        </is>
      </c>
      <c r="K1629" t="n">
        <v>0.0</v>
      </c>
      <c r="L1629" t="n">
        <v>0.0</v>
      </c>
      <c r="M1629" t="n">
        <v>0.0</v>
      </c>
      <c r="N1629" t="inlineStr">
        <is>
          <t/>
        </is>
      </c>
      <c r="O1629" t="n">
        <v>0.0</v>
      </c>
      <c r="P1629" t="n">
        <v>0.0</v>
      </c>
      <c r="Q1629" t="inlineStr">
        <is>
          <t/>
        </is>
      </c>
      <c r="R1629" t="inlineStr">
        <is>
          <t/>
        </is>
      </c>
      <c r="S1629" t="n">
        <v>0.0</v>
      </c>
      <c r="T1629" t="n">
        <v>0.0</v>
      </c>
      <c r="U1629" t="n">
        <v>0.0</v>
      </c>
      <c r="V1629" t="n">
        <v>0.0</v>
      </c>
      <c r="W1629" t="inlineStr">
        <is>
          <t/>
        </is>
      </c>
      <c r="X1629" t="n">
        <v>0.0</v>
      </c>
      <c r="Y1629" t="n">
        <v>0.0</v>
      </c>
      <c r="Z1629" t="n">
        <v>0.0</v>
      </c>
      <c r="AA1629" t="n">
        <v>0.0</v>
      </c>
      <c r="AB1629" t="n">
        <v>0.0</v>
      </c>
      <c r="AC1629" t="n">
        <v>0.0</v>
      </c>
      <c r="AD1629" t="n">
        <v>0.0</v>
      </c>
      <c r="AE1629" t="n">
        <v>0.0</v>
      </c>
      <c r="AF1629" t="n">
        <v>0.0</v>
      </c>
      <c r="AG1629" t="n">
        <v>0.0</v>
      </c>
      <c r="AH1629" t="n">
        <v>0.0</v>
      </c>
      <c r="AI1629" t="n">
        <v>0.0</v>
      </c>
      <c r="AJ1629" t="n">
        <v>0.0</v>
      </c>
      <c r="AK1629" t="inlineStr">
        <is>
          <t/>
        </is>
      </c>
      <c r="AL1629" t="inlineStr">
        <is>
          <t/>
        </is>
      </c>
    </row>
    <row r="1630">
      <c r="A1630" t="inlineStr">
        <is>
          <t>以为69没多少，结果够我吃一周的了</t>
        </is>
      </c>
      <c r="B1630" t="inlineStr">
        <is>
          <t>69b4feae000000002301f1f2</t>
        </is>
      </c>
      <c r="C1630" s="1629" t="n">
        <f>HYPERLINK("https://www.xiaohongshu.com/explore/69b4feae000000002301f1f2?xsec_token=TB4dy4zP2Sasn_cYXEm_KMI_42YHBsgJNfovk2Lohr8mE=&amp;xsec_source=pc_trdark","https://www.xiaohongshu.com/explore/69b4feae000000002301f1f2?xsec_token=TB4dy4zP2Sasn_cYXEm_KMI_42YHBsgJNfovk2Lohr8mE=&amp;xsec_source=pc_trdark")</f>
        <v>0.0</v>
      </c>
      <c r="D1630" t="inlineStr">
        <is>
          <t>婉婉上班吃什么</t>
        </is>
      </c>
      <c r="E1630" t="inlineStr">
        <is>
          <t>11434449706</t>
        </is>
      </c>
      <c r="F1630" t="inlineStr">
        <is>
          <t>2026-03-14 14:22:38</t>
        </is>
      </c>
      <c r="G1630" t="inlineStr">
        <is>
          <t>图文</t>
        </is>
      </c>
      <c r="H1630" t="inlineStr">
        <is>
          <t>手剥虾仁 无冰衣无添加 低脂餐一人食 上班带饭 顺丰包邮 5盒装</t>
        </is>
      </c>
      <c r="I1630" t="inlineStr">
        <is>
          <t>694baba01d450d00013662f0</t>
        </is>
      </c>
      <c r="J1630" t="inlineStr">
        <is>
          <t/>
        </is>
      </c>
      <c r="K1630" t="n">
        <v>0.0</v>
      </c>
      <c r="L1630" t="n">
        <v>0.0</v>
      </c>
      <c r="M1630" t="n">
        <v>0.0</v>
      </c>
      <c r="N1630" t="inlineStr">
        <is>
          <t/>
        </is>
      </c>
      <c r="O1630" t="n">
        <v>0.0</v>
      </c>
      <c r="P1630" t="n">
        <v>0.0</v>
      </c>
      <c r="Q1630" t="inlineStr">
        <is>
          <t/>
        </is>
      </c>
      <c r="R1630" t="inlineStr">
        <is>
          <t/>
        </is>
      </c>
      <c r="S1630" t="n">
        <v>0.0</v>
      </c>
      <c r="T1630" t="n">
        <v>0.0</v>
      </c>
      <c r="U1630" t="n">
        <v>0.0</v>
      </c>
      <c r="V1630" t="n">
        <v>0.0</v>
      </c>
      <c r="W1630" t="inlineStr">
        <is>
          <t/>
        </is>
      </c>
      <c r="X1630" t="n">
        <v>0.0</v>
      </c>
      <c r="Y1630" t="n">
        <v>0.0</v>
      </c>
      <c r="Z1630" t="n">
        <v>0.0</v>
      </c>
      <c r="AA1630" t="n">
        <v>0.0</v>
      </c>
      <c r="AB1630" t="n">
        <v>0.0</v>
      </c>
      <c r="AC1630" t="n">
        <v>0.0</v>
      </c>
      <c r="AD1630" t="n">
        <v>0.0</v>
      </c>
      <c r="AE1630" t="n">
        <v>0.0</v>
      </c>
      <c r="AF1630" t="n">
        <v>0.0</v>
      </c>
      <c r="AG1630" t="n">
        <v>0.0</v>
      </c>
      <c r="AH1630" t="n">
        <v>0.0</v>
      </c>
      <c r="AI1630" t="n">
        <v>0.0</v>
      </c>
      <c r="AJ1630" t="n">
        <v>0.0</v>
      </c>
      <c r="AK1630" t="inlineStr">
        <is>
          <t/>
        </is>
      </c>
      <c r="AL1630" t="inlineStr">
        <is>
          <t/>
        </is>
      </c>
    </row>
    <row r="1631">
      <c r="A1631" t="inlineStr">
        <is>
          <t>老妈说：你就给一人食的单独定制！总会出单的</t>
        </is>
      </c>
      <c r="B1631" t="inlineStr">
        <is>
          <t>69b4f850000000001a02c65d</t>
        </is>
      </c>
      <c r="C1631" s="1630" t="n">
        <f>HYPERLINK("https://www.xiaohongshu.com/explore/69b4f850000000001a02c65d?xsec_token=TB4dy4zP2Sasn_cYXEm_KMI27tF5EN7Zuj1qVRb7-Lryk=&amp;xsec_source=pc_trdark","https://www.xiaohongshu.com/explore/69b4f850000000001a02c65d?xsec_token=TB4dy4zP2Sasn_cYXEm_KMI27tF5EN7Zuj1qVRb7-Lryk=&amp;xsec_source=pc_trdark")</f>
        <v>0.0</v>
      </c>
      <c r="D1631" t="inlineStr">
        <is>
          <t>鲜水湾</t>
        </is>
      </c>
      <c r="E1631" t="inlineStr">
        <is>
          <t>49316638994</t>
        </is>
      </c>
      <c r="F1631" t="inlineStr">
        <is>
          <t>2026-03-14 13:55:28</t>
        </is>
      </c>
      <c r="G1631" t="inlineStr">
        <is>
          <t>图文</t>
        </is>
      </c>
      <c r="H1631" t="inlineStr">
        <is>
          <t>手剥虾仁 无冰衣无添加 低脂餐一人食 上班带饭 顺丰包邮 5盒装</t>
        </is>
      </c>
      <c r="I1631" t="inlineStr">
        <is>
          <t>694baba01d450d00013662f0</t>
        </is>
      </c>
      <c r="J1631" t="inlineStr">
        <is>
          <t/>
        </is>
      </c>
      <c r="K1631" t="n">
        <v>0.0</v>
      </c>
      <c r="L1631" t="n">
        <v>0.0</v>
      </c>
      <c r="M1631" t="n">
        <v>0.0</v>
      </c>
      <c r="N1631" t="inlineStr">
        <is>
          <t/>
        </is>
      </c>
      <c r="O1631" t="n">
        <v>0.0</v>
      </c>
      <c r="P1631" t="n">
        <v>0.0</v>
      </c>
      <c r="Q1631" t="inlineStr">
        <is>
          <t/>
        </is>
      </c>
      <c r="R1631" t="inlineStr">
        <is>
          <t/>
        </is>
      </c>
      <c r="S1631" t="n">
        <v>0.0</v>
      </c>
      <c r="T1631" t="n">
        <v>0.0</v>
      </c>
      <c r="U1631" t="n">
        <v>0.0</v>
      </c>
      <c r="V1631" t="n">
        <v>0.0</v>
      </c>
      <c r="W1631" t="inlineStr">
        <is>
          <t/>
        </is>
      </c>
      <c r="X1631" t="n">
        <v>0.0</v>
      </c>
      <c r="Y1631" t="n">
        <v>0.0</v>
      </c>
      <c r="Z1631" t="n">
        <v>0.0</v>
      </c>
      <c r="AA1631" t="n">
        <v>0.0</v>
      </c>
      <c r="AB1631" t="n">
        <v>0.0</v>
      </c>
      <c r="AC1631" t="n">
        <v>0.0</v>
      </c>
      <c r="AD1631" t="n">
        <v>0.0</v>
      </c>
      <c r="AE1631" t="n">
        <v>0.0</v>
      </c>
      <c r="AF1631" t="n">
        <v>0.0</v>
      </c>
      <c r="AG1631" t="n">
        <v>0.0</v>
      </c>
      <c r="AH1631" t="n">
        <v>0.0</v>
      </c>
      <c r="AI1631" t="n">
        <v>0.0</v>
      </c>
      <c r="AJ1631" t="n">
        <v>0.0</v>
      </c>
      <c r="AK1631" t="inlineStr">
        <is>
          <t/>
        </is>
      </c>
      <c r="AL1631" t="inlineStr">
        <is>
          <t/>
        </is>
      </c>
    </row>
    <row r="1632">
      <c r="A1632" t="inlineStr">
        <is>
          <t>和老妈商量了，年后推出一人食小包装</t>
        </is>
      </c>
      <c r="B1632" t="inlineStr">
        <is>
          <t>69b4f7570000000022026975</t>
        </is>
      </c>
      <c r="C1632" s="1631" t="n">
        <f>HYPERLINK("https://www.xiaohongshu.com/explore/69b4f7570000000022026975?xsec_token=TB4dy4zP2Sasn_cYXEm_KMI3LinZHLtZ5F0bp_XNZzqQk=&amp;xsec_source=pc_trdark","https://www.xiaohongshu.com/explore/69b4f7570000000022026975?xsec_token=TB4dy4zP2Sasn_cYXEm_KMI3LinZHLtZ5F0bp_XNZzqQk=&amp;xsec_source=pc_trdark")</f>
        <v>0.0</v>
      </c>
      <c r="D1632" t="inlineStr">
        <is>
          <t>鲜水湾</t>
        </is>
      </c>
      <c r="E1632" t="inlineStr">
        <is>
          <t>49316638994</t>
        </is>
      </c>
      <c r="F1632" t="inlineStr">
        <is>
          <t>2026-03-14 13:51:19</t>
        </is>
      </c>
      <c r="G1632" t="inlineStr">
        <is>
          <t>图文</t>
        </is>
      </c>
      <c r="H1632" t="inlineStr">
        <is>
          <t>手剥虾仁 无冰衣无添加 低脂餐一人食 上班带饭 顺丰包邮 5盒装</t>
        </is>
      </c>
      <c r="I1632" t="inlineStr">
        <is>
          <t>694baba01d450d00013662f0</t>
        </is>
      </c>
      <c r="J1632" t="inlineStr">
        <is>
          <t/>
        </is>
      </c>
      <c r="K1632" t="n">
        <v>0.0</v>
      </c>
      <c r="L1632" t="n">
        <v>0.0</v>
      </c>
      <c r="M1632" t="n">
        <v>0.0</v>
      </c>
      <c r="N1632" t="inlineStr">
        <is>
          <t/>
        </is>
      </c>
      <c r="O1632" t="n">
        <v>0.0</v>
      </c>
      <c r="P1632" t="n">
        <v>0.0</v>
      </c>
      <c r="Q1632" t="inlineStr">
        <is>
          <t/>
        </is>
      </c>
      <c r="R1632" t="inlineStr">
        <is>
          <t/>
        </is>
      </c>
      <c r="S1632" t="n">
        <v>0.0</v>
      </c>
      <c r="T1632" t="n">
        <v>0.0</v>
      </c>
      <c r="U1632" t="n">
        <v>0.0</v>
      </c>
      <c r="V1632" t="n">
        <v>0.0</v>
      </c>
      <c r="W1632" t="inlineStr">
        <is>
          <t/>
        </is>
      </c>
      <c r="X1632" t="n">
        <v>0.0</v>
      </c>
      <c r="Y1632" t="n">
        <v>0.0</v>
      </c>
      <c r="Z1632" t="n">
        <v>0.0</v>
      </c>
      <c r="AA1632" t="n">
        <v>0.0</v>
      </c>
      <c r="AB1632" t="n">
        <v>0.0</v>
      </c>
      <c r="AC1632" t="n">
        <v>0.0</v>
      </c>
      <c r="AD1632" t="n">
        <v>0.0</v>
      </c>
      <c r="AE1632" t="n">
        <v>0.0</v>
      </c>
      <c r="AF1632" t="n">
        <v>0.0</v>
      </c>
      <c r="AG1632" t="n">
        <v>0.0</v>
      </c>
      <c r="AH1632" t="n">
        <v>0.0</v>
      </c>
      <c r="AI1632" t="n">
        <v>0.0</v>
      </c>
      <c r="AJ1632" t="n">
        <v>0.0</v>
      </c>
      <c r="AK1632" t="inlineStr">
        <is>
          <t/>
        </is>
      </c>
      <c r="AL1632" t="inlineStr">
        <is>
          <t/>
        </is>
      </c>
    </row>
    <row r="1633">
      <c r="A1633" t="inlineStr">
        <is>
          <t>能接受没有保水剂虾仁的，年后控体你们就买</t>
        </is>
      </c>
      <c r="B1633" t="inlineStr">
        <is>
          <t>69b4f5df000000001b020b79</t>
        </is>
      </c>
      <c r="C1633" s="1632" t="n">
        <f>HYPERLINK("https://www.xiaohongshu.com/explore/69b4f5df000000001b020b79?xsec_token=TB4dy4zP2Sasn_cYXEm_KMI68wQ5-vxZlTSY6i0mRkmpY=&amp;xsec_source=pc_trdark","https://www.xiaohongshu.com/explore/69b4f5df000000001b020b79?xsec_token=TB4dy4zP2Sasn_cYXEm_KMI68wQ5-vxZlTSY6i0mRkmpY=&amp;xsec_source=pc_trdark")</f>
        <v>0.0</v>
      </c>
      <c r="D1633" t="inlineStr">
        <is>
          <t>鲜水湾</t>
        </is>
      </c>
      <c r="E1633" t="inlineStr">
        <is>
          <t>49316638994</t>
        </is>
      </c>
      <c r="F1633" t="inlineStr">
        <is>
          <t>2026-03-14 13:45:03</t>
        </is>
      </c>
      <c r="G1633" t="inlineStr">
        <is>
          <t>图文</t>
        </is>
      </c>
      <c r="H1633" t="inlineStr">
        <is>
          <t>手剥虾仁 无冰衣无添加 低脂餐一人食 上班带饭 顺丰包邮 5盒装</t>
        </is>
      </c>
      <c r="I1633" t="inlineStr">
        <is>
          <t>694baba01d450d00013662f0</t>
        </is>
      </c>
      <c r="J1633" t="inlineStr">
        <is>
          <t/>
        </is>
      </c>
      <c r="K1633" t="n">
        <v>0.0</v>
      </c>
      <c r="L1633" t="n">
        <v>0.0</v>
      </c>
      <c r="M1633" t="n">
        <v>0.0</v>
      </c>
      <c r="N1633" t="inlineStr">
        <is>
          <t/>
        </is>
      </c>
      <c r="O1633" t="n">
        <v>0.0</v>
      </c>
      <c r="P1633" t="n">
        <v>0.0</v>
      </c>
      <c r="Q1633" t="inlineStr">
        <is>
          <t/>
        </is>
      </c>
      <c r="R1633" t="inlineStr">
        <is>
          <t/>
        </is>
      </c>
      <c r="S1633" t="n">
        <v>0.0</v>
      </c>
      <c r="T1633" t="n">
        <v>0.0</v>
      </c>
      <c r="U1633" t="n">
        <v>0.0</v>
      </c>
      <c r="V1633" t="n">
        <v>0.0</v>
      </c>
      <c r="W1633" t="inlineStr">
        <is>
          <t/>
        </is>
      </c>
      <c r="X1633" t="n">
        <v>0.0</v>
      </c>
      <c r="Y1633" t="n">
        <v>0.0</v>
      </c>
      <c r="Z1633" t="n">
        <v>0.0</v>
      </c>
      <c r="AA1633" t="n">
        <v>0.0</v>
      </c>
      <c r="AB1633" t="n">
        <v>0.0</v>
      </c>
      <c r="AC1633" t="n">
        <v>0.0</v>
      </c>
      <c r="AD1633" t="n">
        <v>0.0</v>
      </c>
      <c r="AE1633" t="n">
        <v>0.0</v>
      </c>
      <c r="AF1633" t="n">
        <v>0.0</v>
      </c>
      <c r="AG1633" t="n">
        <v>0.0</v>
      </c>
      <c r="AH1633" t="n">
        <v>0.0</v>
      </c>
      <c r="AI1633" t="n">
        <v>0.0</v>
      </c>
      <c r="AJ1633" t="n">
        <v>0.0</v>
      </c>
      <c r="AK1633" t="inlineStr">
        <is>
          <t/>
        </is>
      </c>
      <c r="AL1633" t="inlineStr">
        <is>
          <t/>
        </is>
      </c>
    </row>
    <row r="1634">
      <c r="A1634" t="inlineStr">
        <is>
          <t>宝子们听劝！自律期吃虾仁，低热量还巨顶饱…</t>
        </is>
      </c>
      <c r="B1634" t="inlineStr">
        <is>
          <t>69b4d1d7000000002202ad8d</t>
        </is>
      </c>
      <c r="C1634" s="1633" t="n">
        <f>HYPERLINK("https://www.xiaohongshu.com/explore/69b4d1d7000000002202ad8d?xsec_token=TB4dy4zP2Sasn_cYXEm_KMI-KaUM7TuBmIgyWSAEH_0YU=&amp;xsec_source=pc_trdark","https://www.xiaohongshu.com/explore/69b4d1d7000000002202ad8d?xsec_token=TB4dy4zP2Sasn_cYXEm_KMI-KaUM7TuBmIgyWSAEH_0YU=&amp;xsec_source=pc_trdark")</f>
        <v>0.0</v>
      </c>
      <c r="D1634" t="inlineStr">
        <is>
          <t>婉婉上班吃什么</t>
        </is>
      </c>
      <c r="E1634" t="inlineStr">
        <is>
          <t>11434449706</t>
        </is>
      </c>
      <c r="F1634" t="inlineStr">
        <is>
          <t>2026-03-14 11:11:19</t>
        </is>
      </c>
      <c r="G1634" t="inlineStr">
        <is>
          <t>图文</t>
        </is>
      </c>
      <c r="H1634" t="inlineStr">
        <is>
          <t>手剥虾仁 无冰衣无添加 低脂餐一人食 上班带饭 顺丰包邮 5盒装</t>
        </is>
      </c>
      <c r="I1634" t="inlineStr">
        <is>
          <t>694baba01d450d00013662f0</t>
        </is>
      </c>
      <c r="J1634" t="inlineStr">
        <is>
          <t/>
        </is>
      </c>
      <c r="K1634" t="n">
        <v>0.0</v>
      </c>
      <c r="L1634" t="n">
        <v>0.0</v>
      </c>
      <c r="M1634" t="n">
        <v>0.0</v>
      </c>
      <c r="N1634" t="inlineStr">
        <is>
          <t/>
        </is>
      </c>
      <c r="O1634" t="n">
        <v>0.0</v>
      </c>
      <c r="P1634" t="n">
        <v>0.0</v>
      </c>
      <c r="Q1634" t="inlineStr">
        <is>
          <t/>
        </is>
      </c>
      <c r="R1634" t="inlineStr">
        <is>
          <t/>
        </is>
      </c>
      <c r="S1634" t="n">
        <v>0.0</v>
      </c>
      <c r="T1634" t="n">
        <v>0.0</v>
      </c>
      <c r="U1634" t="n">
        <v>0.0</v>
      </c>
      <c r="V1634" t="n">
        <v>0.0</v>
      </c>
      <c r="W1634" t="inlineStr">
        <is>
          <t/>
        </is>
      </c>
      <c r="X1634" t="n">
        <v>0.0</v>
      </c>
      <c r="Y1634" t="n">
        <v>0.0</v>
      </c>
      <c r="Z1634" t="n">
        <v>0.0</v>
      </c>
      <c r="AA1634" t="n">
        <v>0.0</v>
      </c>
      <c r="AB1634" t="n">
        <v>0.0</v>
      </c>
      <c r="AC1634" t="n">
        <v>0.0</v>
      </c>
      <c r="AD1634" t="n">
        <v>0.0</v>
      </c>
      <c r="AE1634" t="n">
        <v>0.0</v>
      </c>
      <c r="AF1634" t="n">
        <v>0.0</v>
      </c>
      <c r="AG1634" t="n">
        <v>0.0</v>
      </c>
      <c r="AH1634" t="n">
        <v>0.0</v>
      </c>
      <c r="AI1634" t="n">
        <v>0.0</v>
      </c>
      <c r="AJ1634" t="n">
        <v>0.0</v>
      </c>
      <c r="AK1634" t="inlineStr">
        <is>
          <t/>
        </is>
      </c>
      <c r="AL1634" t="inlineStr">
        <is>
          <t/>
        </is>
      </c>
    </row>
    <row r="1635">
      <c r="A1635" t="inlineStr">
        <is>
          <t>试过了，确实比鸡胸肉香！</t>
        </is>
      </c>
      <c r="B1635" t="inlineStr">
        <is>
          <t>69b28d3b000000000600df7a</t>
        </is>
      </c>
      <c r="C1635" s="1634" t="n">
        <f>HYPERLINK("https://www.xiaohongshu.com/explore/69b28d3b000000000600df7a?xsec_token=TB020mu_sDtHEgaPvBWpjWucPgP9nDR2wfYGLQoYl7DuE=&amp;xsec_source=pc_trdark","https://www.xiaohongshu.com/explore/69b28d3b000000000600df7a?xsec_token=TB020mu_sDtHEgaPvBWpjWucPgP9nDR2wfYGLQoYl7DuE=&amp;xsec_source=pc_trdark")</f>
        <v>0.0</v>
      </c>
      <c r="D1635" t="inlineStr">
        <is>
          <t>婉婉上班吃什么</t>
        </is>
      </c>
      <c r="E1635" t="inlineStr">
        <is>
          <t>11434449706</t>
        </is>
      </c>
      <c r="F1635" t="inlineStr">
        <is>
          <t>2026-03-12 17:54:03</t>
        </is>
      </c>
      <c r="G1635" t="inlineStr">
        <is>
          <t>图文</t>
        </is>
      </c>
      <c r="H1635" t="inlineStr">
        <is>
          <t>智利三文鱼切块·整条三文鱼·深海鱼一人食健康饮食</t>
        </is>
      </c>
      <c r="I1635" t="inlineStr">
        <is>
          <t>691ac562a524ee0001b51d7b</t>
        </is>
      </c>
      <c r="J1635" t="inlineStr">
        <is>
          <t/>
        </is>
      </c>
      <c r="K1635" t="n">
        <v>0.0</v>
      </c>
      <c r="L1635" t="n">
        <v>0.0</v>
      </c>
      <c r="M1635" t="n">
        <v>0.0</v>
      </c>
      <c r="N1635" t="inlineStr">
        <is>
          <t/>
        </is>
      </c>
      <c r="O1635" t="n">
        <v>0.0</v>
      </c>
      <c r="P1635" t="n">
        <v>0.0</v>
      </c>
      <c r="Q1635" t="inlineStr">
        <is>
          <t/>
        </is>
      </c>
      <c r="R1635" t="inlineStr">
        <is>
          <t/>
        </is>
      </c>
      <c r="S1635" t="n">
        <v>0.0</v>
      </c>
      <c r="T1635" t="n">
        <v>0.0</v>
      </c>
      <c r="U1635" t="n">
        <v>0.0</v>
      </c>
      <c r="V1635" t="n">
        <v>0.0</v>
      </c>
      <c r="W1635" t="inlineStr">
        <is>
          <t/>
        </is>
      </c>
      <c r="X1635" t="n">
        <v>0.0</v>
      </c>
      <c r="Y1635" t="n">
        <v>0.0</v>
      </c>
      <c r="Z1635" t="n">
        <v>0.0</v>
      </c>
      <c r="AA1635" t="n">
        <v>0.0</v>
      </c>
      <c r="AB1635" t="n">
        <v>0.0</v>
      </c>
      <c r="AC1635" t="n">
        <v>0.0</v>
      </c>
      <c r="AD1635" t="n">
        <v>0.0</v>
      </c>
      <c r="AE1635" t="n">
        <v>0.0</v>
      </c>
      <c r="AF1635" t="n">
        <v>0.0</v>
      </c>
      <c r="AG1635" t="n">
        <v>0.0</v>
      </c>
      <c r="AH1635" t="n">
        <v>0.0</v>
      </c>
      <c r="AI1635" t="n">
        <v>0.0</v>
      </c>
      <c r="AJ1635" t="n">
        <v>0.0</v>
      </c>
      <c r="AK1635" t="inlineStr">
        <is>
          <t/>
        </is>
      </c>
      <c r="AL1635" t="inlineStr">
        <is>
          <t/>
        </is>
      </c>
    </row>
    <row r="1636">
      <c r="A1636" t="inlineStr">
        <is>
          <t>带饭的尽头…真的是免加热！🍤</t>
        </is>
      </c>
      <c r="B1636" t="inlineStr">
        <is>
          <t>69b283f20000000006033c23</t>
        </is>
      </c>
      <c r="C1636" s="1635" t="n">
        <f>HYPERLINK("https://www.xiaohongshu.com/explore/69b283f20000000006033c23?xsec_token=TB020mu_sDtHEgaPvBWpjWuUaqMCB5-B7E4SMZhTM0Wt4=&amp;xsec_source=pc_trdark","https://www.xiaohongshu.com/explore/69b283f20000000006033c23?xsec_token=TB020mu_sDtHEgaPvBWpjWuUaqMCB5-B7E4SMZhTM0Wt4=&amp;xsec_source=pc_trdark")</f>
        <v>0.0</v>
      </c>
      <c r="D1636" t="inlineStr">
        <is>
          <t>鲜水湾</t>
        </is>
      </c>
      <c r="E1636" t="inlineStr">
        <is>
          <t>49316638994</t>
        </is>
      </c>
      <c r="F1636" t="inlineStr">
        <is>
          <t>2026-03-12 17:14:26</t>
        </is>
      </c>
      <c r="G1636" t="inlineStr">
        <is>
          <t>图文</t>
        </is>
      </c>
      <c r="H1636" t="inlineStr">
        <is>
          <t>手剥虾仁 无冰衣无添加 低脂餐一人食 上班带饭 顺丰包邮 5盒装</t>
        </is>
      </c>
      <c r="I1636" t="inlineStr">
        <is>
          <t>694baba01d450d00013662f0</t>
        </is>
      </c>
      <c r="J1636" t="inlineStr">
        <is>
          <t/>
        </is>
      </c>
      <c r="K1636" t="n">
        <v>0.0</v>
      </c>
      <c r="L1636" t="n">
        <v>0.0</v>
      </c>
      <c r="M1636" t="n">
        <v>0.0</v>
      </c>
      <c r="N1636" t="inlineStr">
        <is>
          <t/>
        </is>
      </c>
      <c r="O1636" t="n">
        <v>0.0</v>
      </c>
      <c r="P1636" t="n">
        <v>0.0</v>
      </c>
      <c r="Q1636" t="inlineStr">
        <is>
          <t/>
        </is>
      </c>
      <c r="R1636" t="inlineStr">
        <is>
          <t/>
        </is>
      </c>
      <c r="S1636" t="n">
        <v>0.0</v>
      </c>
      <c r="T1636" t="n">
        <v>0.0</v>
      </c>
      <c r="U1636" t="n">
        <v>0.0</v>
      </c>
      <c r="V1636" t="n">
        <v>0.0</v>
      </c>
      <c r="W1636" t="inlineStr">
        <is>
          <t/>
        </is>
      </c>
      <c r="X1636" t="n">
        <v>0.0</v>
      </c>
      <c r="Y1636" t="n">
        <v>0.0</v>
      </c>
      <c r="Z1636" t="n">
        <v>0.0</v>
      </c>
      <c r="AA1636" t="n">
        <v>0.0</v>
      </c>
      <c r="AB1636" t="n">
        <v>0.0</v>
      </c>
      <c r="AC1636" t="n">
        <v>0.0</v>
      </c>
      <c r="AD1636" t="n">
        <v>0.0</v>
      </c>
      <c r="AE1636" t="n">
        <v>0.0</v>
      </c>
      <c r="AF1636" t="n">
        <v>0.0</v>
      </c>
      <c r="AG1636" t="n">
        <v>0.0</v>
      </c>
      <c r="AH1636" t="n">
        <v>0.0</v>
      </c>
      <c r="AI1636" t="n">
        <v>0.0</v>
      </c>
      <c r="AJ1636" t="n">
        <v>0.0</v>
      </c>
      <c r="AK1636" t="inlineStr">
        <is>
          <t/>
        </is>
      </c>
      <c r="AL1636" t="inlineStr">
        <is>
          <t/>
        </is>
      </c>
    </row>
    <row r="1637">
      <c r="A1637" t="inlineStr">
        <is>
          <t>每天变着花样做饭 哄自己开心😋</t>
        </is>
      </c>
      <c r="B1637" t="inlineStr">
        <is>
          <t>69b25c1f000000000601dab8</t>
        </is>
      </c>
      <c r="C1637" s="1636" t="n">
        <f>HYPERLINK("https://www.xiaohongshu.com/explore/69b25c1f000000000601dab8?xsec_token=TB020mu_sDtHEgaPvBWpjWucJXc5QxJUBxwxyv-22Zj7M=&amp;xsec_source=pc_trdark","https://www.xiaohongshu.com/explore/69b25c1f000000000601dab8?xsec_token=TB020mu_sDtHEgaPvBWpjWucJXc5QxJUBxwxyv-22Zj7M=&amp;xsec_source=pc_trdark")</f>
        <v>0.0</v>
      </c>
      <c r="D1637" t="inlineStr">
        <is>
          <t>鲜水湾</t>
        </is>
      </c>
      <c r="E1637" t="inlineStr">
        <is>
          <t>49316638994</t>
        </is>
      </c>
      <c r="F1637" t="inlineStr">
        <is>
          <t>2026-03-12 14:24:31</t>
        </is>
      </c>
      <c r="G1637" t="inlineStr">
        <is>
          <t>图文</t>
        </is>
      </c>
      <c r="H1637" t="inlineStr">
        <is>
          <t>智利三文鱼切块·整条三文鱼·深海鱼一人食健康饮食</t>
        </is>
      </c>
      <c r="I1637" t="inlineStr">
        <is>
          <t>691ac562a524ee0001b51d7b</t>
        </is>
      </c>
      <c r="J1637" t="inlineStr">
        <is>
          <t/>
        </is>
      </c>
      <c r="K1637" t="n">
        <v>0.0</v>
      </c>
      <c r="L1637" t="n">
        <v>0.0</v>
      </c>
      <c r="M1637" t="n">
        <v>0.0</v>
      </c>
      <c r="N1637" t="inlineStr">
        <is>
          <t/>
        </is>
      </c>
      <c r="O1637" t="n">
        <v>0.0</v>
      </c>
      <c r="P1637" t="n">
        <v>0.0</v>
      </c>
      <c r="Q1637" t="inlineStr">
        <is>
          <t/>
        </is>
      </c>
      <c r="R1637" t="inlineStr">
        <is>
          <t/>
        </is>
      </c>
      <c r="S1637" t="n">
        <v>0.0</v>
      </c>
      <c r="T1637" t="n">
        <v>0.0</v>
      </c>
      <c r="U1637" t="n">
        <v>0.0</v>
      </c>
      <c r="V1637" t="n">
        <v>0.0</v>
      </c>
      <c r="W1637" t="inlineStr">
        <is>
          <t/>
        </is>
      </c>
      <c r="X1637" t="n">
        <v>0.0</v>
      </c>
      <c r="Y1637" t="n">
        <v>0.0</v>
      </c>
      <c r="Z1637" t="n">
        <v>0.0</v>
      </c>
      <c r="AA1637" t="n">
        <v>0.0</v>
      </c>
      <c r="AB1637" t="n">
        <v>0.0</v>
      </c>
      <c r="AC1637" t="n">
        <v>0.0</v>
      </c>
      <c r="AD1637" t="n">
        <v>0.0</v>
      </c>
      <c r="AE1637" t="n">
        <v>0.0</v>
      </c>
      <c r="AF1637" t="n">
        <v>0.0</v>
      </c>
      <c r="AG1637" t="n">
        <v>0.0</v>
      </c>
      <c r="AH1637" t="n">
        <v>0.0</v>
      </c>
      <c r="AI1637" t="n">
        <v>0.0</v>
      </c>
      <c r="AJ1637" t="n">
        <v>0.0</v>
      </c>
      <c r="AK1637" t="inlineStr">
        <is>
          <t/>
        </is>
      </c>
      <c r="AL1637" t="inlineStr">
        <is>
          <t/>
        </is>
      </c>
    </row>
    <row r="1638">
      <c r="A1638" t="inlineStr">
        <is>
          <t>补营养吃三文鱼才是最夯的😌</t>
        </is>
      </c>
      <c r="B1638" t="inlineStr">
        <is>
          <t>69b24cb60000000004001084</t>
        </is>
      </c>
      <c r="C1638" s="1637" t="n">
        <f>HYPERLINK("https://www.xiaohongshu.com/explore/69b24cb60000000004001084?xsec_token=TB020mu_sDtHEgaPvBWpjWud1D2ZaM5RopL_C-nSOpMAg=&amp;xsec_source=pc_trdark","https://www.xiaohongshu.com/explore/69b24cb60000000004001084?xsec_token=TB020mu_sDtHEgaPvBWpjWud1D2ZaM5RopL_C-nSOpMAg=&amp;xsec_source=pc_trdark")</f>
        <v>0.0</v>
      </c>
      <c r="D1638" t="inlineStr">
        <is>
          <t>鲜水湾</t>
        </is>
      </c>
      <c r="E1638" t="inlineStr">
        <is>
          <t>49316638994</t>
        </is>
      </c>
      <c r="F1638" t="inlineStr">
        <is>
          <t>2026-03-12 13:18:46</t>
        </is>
      </c>
      <c r="G1638" t="inlineStr">
        <is>
          <t>图文</t>
        </is>
      </c>
      <c r="H1638" t="inlineStr">
        <is>
          <t>智利三文鱼切块·整条三文鱼·深海鱼一人食健康饮食</t>
        </is>
      </c>
      <c r="I1638" t="inlineStr">
        <is>
          <t>691ac562a524ee0001b51d7b</t>
        </is>
      </c>
      <c r="J1638" t="inlineStr">
        <is>
          <t/>
        </is>
      </c>
      <c r="K1638" t="n">
        <v>0.0</v>
      </c>
      <c r="L1638" t="n">
        <v>0.0</v>
      </c>
      <c r="M1638" t="n">
        <v>0.0</v>
      </c>
      <c r="N1638" t="inlineStr">
        <is>
          <t/>
        </is>
      </c>
      <c r="O1638" t="n">
        <v>0.0</v>
      </c>
      <c r="P1638" t="n">
        <v>0.0</v>
      </c>
      <c r="Q1638" t="inlineStr">
        <is>
          <t/>
        </is>
      </c>
      <c r="R1638" t="inlineStr">
        <is>
          <t/>
        </is>
      </c>
      <c r="S1638" t="n">
        <v>0.0</v>
      </c>
      <c r="T1638" t="n">
        <v>0.0</v>
      </c>
      <c r="U1638" t="n">
        <v>0.0</v>
      </c>
      <c r="V1638" t="n">
        <v>0.0</v>
      </c>
      <c r="W1638" t="inlineStr">
        <is>
          <t/>
        </is>
      </c>
      <c r="X1638" t="n">
        <v>0.0</v>
      </c>
      <c r="Y1638" t="n">
        <v>0.0</v>
      </c>
      <c r="Z1638" t="n">
        <v>0.0</v>
      </c>
      <c r="AA1638" t="n">
        <v>0.0</v>
      </c>
      <c r="AB1638" t="n">
        <v>0.0</v>
      </c>
      <c r="AC1638" t="n">
        <v>0.0</v>
      </c>
      <c r="AD1638" t="n">
        <v>0.0</v>
      </c>
      <c r="AE1638" t="n">
        <v>0.0</v>
      </c>
      <c r="AF1638" t="n">
        <v>0.0</v>
      </c>
      <c r="AG1638" t="n">
        <v>0.0</v>
      </c>
      <c r="AH1638" t="n">
        <v>0.0</v>
      </c>
      <c r="AI1638" t="n">
        <v>0.0</v>
      </c>
      <c r="AJ1638" t="n">
        <v>0.0</v>
      </c>
      <c r="AK1638" t="inlineStr">
        <is>
          <t/>
        </is>
      </c>
      <c r="AL1638" t="inlineStr">
        <is>
          <t/>
        </is>
      </c>
    </row>
    <row r="1639">
      <c r="A1639" t="inlineStr">
        <is>
          <t>身材管理期的姐妹建议把鸡胸肉换成三文鱼</t>
        </is>
      </c>
      <c r="B1639" t="inlineStr">
        <is>
          <t>69b15afb000000000b035170</t>
        </is>
      </c>
      <c r="C1639" s="1638" t="n">
        <f>HYPERLINK("https://www.xiaohongshu.com/explore/69b15afb000000000b035170?xsec_token=TBPThwaY7kqe53qUk5J0OyzrCXs0-q7XVg1OwEYpBC-q8=&amp;xsec_source=pc_trdark","https://www.xiaohongshu.com/explore/69b15afb000000000b035170?xsec_token=TBPThwaY7kqe53qUk5J0OyzrCXs0-q7XVg1OwEYpBC-q8=&amp;xsec_source=pc_trdark")</f>
        <v>0.0</v>
      </c>
      <c r="D1639" t="inlineStr">
        <is>
          <t>婉婉上班吃什么</t>
        </is>
      </c>
      <c r="E1639" t="inlineStr">
        <is>
          <t>11434449706</t>
        </is>
      </c>
      <c r="F1639" t="inlineStr">
        <is>
          <t>2026-03-11 20:07:23</t>
        </is>
      </c>
      <c r="G1639" t="inlineStr">
        <is>
          <t>图文</t>
        </is>
      </c>
      <c r="H1639" t="inlineStr">
        <is>
          <t>智利三文鱼切块·整条三文鱼·深海鱼一人食健康饮食</t>
        </is>
      </c>
      <c r="I1639" t="inlineStr">
        <is>
          <t>691ac562a524ee0001b51d7b</t>
        </is>
      </c>
      <c r="J1639" t="inlineStr">
        <is>
          <t/>
        </is>
      </c>
      <c r="K1639" t="n">
        <v>0.0</v>
      </c>
      <c r="L1639" t="n">
        <v>0.0</v>
      </c>
      <c r="M1639" t="n">
        <v>0.0</v>
      </c>
      <c r="N1639" t="inlineStr">
        <is>
          <t/>
        </is>
      </c>
      <c r="O1639" t="n">
        <v>0.0</v>
      </c>
      <c r="P1639" t="n">
        <v>0.0</v>
      </c>
      <c r="Q1639" t="inlineStr">
        <is>
          <t/>
        </is>
      </c>
      <c r="R1639" t="inlineStr">
        <is>
          <t/>
        </is>
      </c>
      <c r="S1639" t="n">
        <v>0.0</v>
      </c>
      <c r="T1639" t="n">
        <v>0.0</v>
      </c>
      <c r="U1639" t="n">
        <v>0.0</v>
      </c>
      <c r="V1639" t="n">
        <v>0.0</v>
      </c>
      <c r="W1639" t="inlineStr">
        <is>
          <t/>
        </is>
      </c>
      <c r="X1639" t="n">
        <v>0.0</v>
      </c>
      <c r="Y1639" t="n">
        <v>0.0</v>
      </c>
      <c r="Z1639" t="n">
        <v>0.0</v>
      </c>
      <c r="AA1639" t="n">
        <v>0.0</v>
      </c>
      <c r="AB1639" t="n">
        <v>0.0</v>
      </c>
      <c r="AC1639" t="n">
        <v>0.0</v>
      </c>
      <c r="AD1639" t="n">
        <v>0.0</v>
      </c>
      <c r="AE1639" t="n">
        <v>0.0</v>
      </c>
      <c r="AF1639" t="n">
        <v>0.0</v>
      </c>
      <c r="AG1639" t="n">
        <v>0.0</v>
      </c>
      <c r="AH1639" t="n">
        <v>0.0</v>
      </c>
      <c r="AI1639" t="n">
        <v>0.0</v>
      </c>
      <c r="AJ1639" t="n">
        <v>0.0</v>
      </c>
      <c r="AK1639" t="inlineStr">
        <is>
          <t/>
        </is>
      </c>
      <c r="AL1639" t="inlineStr">
        <is>
          <t/>
        </is>
      </c>
    </row>
    <row r="1640">
      <c r="A1640" t="inlineStr">
        <is>
          <t>节后控体，都把鸡胸肉换成抗炎减脂的三文鱼</t>
        </is>
      </c>
      <c r="B1640" t="inlineStr">
        <is>
          <t>69b14b4f000000000601f212</t>
        </is>
      </c>
      <c r="C1640" s="1639" t="n">
        <f>HYPERLINK("https://www.xiaohongshu.com/explore/69b14b4f000000000601f212?xsec_token=TBPThwaY7kqe53qUk5J0Oyzr1tds-y3hBLv9mZD2SjD-8=&amp;xsec_source=pc_trdark","https://www.xiaohongshu.com/explore/69b14b4f000000000601f212?xsec_token=TBPThwaY7kqe53qUk5J0Oyzr1tds-y3hBLv9mZD2SjD-8=&amp;xsec_source=pc_trdark")</f>
        <v>0.0</v>
      </c>
      <c r="D1640" t="inlineStr">
        <is>
          <t>鲜水湾</t>
        </is>
      </c>
      <c r="E1640" t="inlineStr">
        <is>
          <t>49316638994</t>
        </is>
      </c>
      <c r="F1640" t="inlineStr">
        <is>
          <t>2026-03-11 19:00:31</t>
        </is>
      </c>
      <c r="G1640" t="inlineStr">
        <is>
          <t>图文</t>
        </is>
      </c>
      <c r="H1640" t="inlineStr">
        <is>
          <t>智利三文鱼切块·整条三文鱼·深海鱼一人食健康饮食</t>
        </is>
      </c>
      <c r="I1640" t="inlineStr">
        <is>
          <t>691ac562a524ee0001b51d7b</t>
        </is>
      </c>
      <c r="J1640" t="inlineStr">
        <is>
          <t/>
        </is>
      </c>
      <c r="K1640" t="n">
        <v>0.0</v>
      </c>
      <c r="L1640" t="n">
        <v>0.0</v>
      </c>
      <c r="M1640" t="n">
        <v>0.0</v>
      </c>
      <c r="N1640" t="inlineStr">
        <is>
          <t/>
        </is>
      </c>
      <c r="O1640" t="n">
        <v>0.0</v>
      </c>
      <c r="P1640" t="n">
        <v>0.0</v>
      </c>
      <c r="Q1640" t="inlineStr">
        <is>
          <t/>
        </is>
      </c>
      <c r="R1640" t="inlineStr">
        <is>
          <t/>
        </is>
      </c>
      <c r="S1640" t="n">
        <v>0.0</v>
      </c>
      <c r="T1640" t="n">
        <v>0.0</v>
      </c>
      <c r="U1640" t="n">
        <v>0.0</v>
      </c>
      <c r="V1640" t="n">
        <v>0.0</v>
      </c>
      <c r="W1640" t="inlineStr">
        <is>
          <t/>
        </is>
      </c>
      <c r="X1640" t="n">
        <v>0.0</v>
      </c>
      <c r="Y1640" t="n">
        <v>0.0</v>
      </c>
      <c r="Z1640" t="n">
        <v>0.0</v>
      </c>
      <c r="AA1640" t="n">
        <v>0.0</v>
      </c>
      <c r="AB1640" t="n">
        <v>0.0</v>
      </c>
      <c r="AC1640" t="n">
        <v>0.0</v>
      </c>
      <c r="AD1640" t="n">
        <v>0.0</v>
      </c>
      <c r="AE1640" t="n">
        <v>0.0</v>
      </c>
      <c r="AF1640" t="n">
        <v>0.0</v>
      </c>
      <c r="AG1640" t="n">
        <v>0.0</v>
      </c>
      <c r="AH1640" t="n">
        <v>0.0</v>
      </c>
      <c r="AI1640" t="n">
        <v>0.0</v>
      </c>
      <c r="AJ1640" t="n">
        <v>0.0</v>
      </c>
      <c r="AK1640" t="inlineStr">
        <is>
          <t/>
        </is>
      </c>
      <c r="AL1640" t="inlineStr">
        <is>
          <t/>
        </is>
      </c>
    </row>
    <row r="1641">
      <c r="A1641" t="inlineStr">
        <is>
          <t>以为300块没多少，结果吃了半个月</t>
        </is>
      </c>
      <c r="B1641" t="inlineStr">
        <is>
          <t>69b132b60000000006008aed</t>
        </is>
      </c>
      <c r="C1641" s="1640" t="n">
        <f>HYPERLINK("https://www.xiaohongshu.com/explore/69b132b60000000006008aed?xsec_token=TBPThwaY7kqe53qUk5J0OyzgfG1Iy5wqzAvKp5GDYhs4Y=&amp;xsec_source=pc_trdark","https://www.xiaohongshu.com/explore/69b132b60000000006008aed?xsec_token=TBPThwaY7kqe53qUk5J0OyzgfG1Iy5wqzAvKp5GDYhs4Y=&amp;xsec_source=pc_trdark")</f>
        <v>0.0</v>
      </c>
      <c r="D1641" t="inlineStr">
        <is>
          <t>婉婉上班吃什么</t>
        </is>
      </c>
      <c r="E1641" t="inlineStr">
        <is>
          <t>11434449706</t>
        </is>
      </c>
      <c r="F1641" t="inlineStr">
        <is>
          <t>2026-03-11 17:15:34</t>
        </is>
      </c>
      <c r="G1641" t="inlineStr">
        <is>
          <t>图文</t>
        </is>
      </c>
      <c r="H1641" t="inlineStr">
        <is>
          <t>智利三文鱼切块·整条三文鱼·深海鱼一人食健康饮食</t>
        </is>
      </c>
      <c r="I1641" t="inlineStr">
        <is>
          <t>691ac562a524ee0001b51d7b</t>
        </is>
      </c>
      <c r="J1641" t="inlineStr">
        <is>
          <t/>
        </is>
      </c>
      <c r="K1641" t="n">
        <v>0.0</v>
      </c>
      <c r="L1641" t="n">
        <v>0.0</v>
      </c>
      <c r="M1641" t="n">
        <v>0.0</v>
      </c>
      <c r="N1641" t="inlineStr">
        <is>
          <t/>
        </is>
      </c>
      <c r="O1641" t="n">
        <v>0.0</v>
      </c>
      <c r="P1641" t="n">
        <v>0.0</v>
      </c>
      <c r="Q1641" t="inlineStr">
        <is>
          <t/>
        </is>
      </c>
      <c r="R1641" t="inlineStr">
        <is>
          <t/>
        </is>
      </c>
      <c r="S1641" t="n">
        <v>0.0</v>
      </c>
      <c r="T1641" t="n">
        <v>0.0</v>
      </c>
      <c r="U1641" t="n">
        <v>0.0</v>
      </c>
      <c r="V1641" t="n">
        <v>0.0</v>
      </c>
      <c r="W1641" t="inlineStr">
        <is>
          <t/>
        </is>
      </c>
      <c r="X1641" t="n">
        <v>0.0</v>
      </c>
      <c r="Y1641" t="n">
        <v>0.0</v>
      </c>
      <c r="Z1641" t="n">
        <v>0.0</v>
      </c>
      <c r="AA1641" t="n">
        <v>0.0</v>
      </c>
      <c r="AB1641" t="n">
        <v>0.0</v>
      </c>
      <c r="AC1641" t="n">
        <v>0.0</v>
      </c>
      <c r="AD1641" t="n">
        <v>0.0</v>
      </c>
      <c r="AE1641" t="n">
        <v>0.0</v>
      </c>
      <c r="AF1641" t="n">
        <v>0.0</v>
      </c>
      <c r="AG1641" t="n">
        <v>0.0</v>
      </c>
      <c r="AH1641" t="n">
        <v>0.0</v>
      </c>
      <c r="AI1641" t="n">
        <v>0.0</v>
      </c>
      <c r="AJ1641" t="n">
        <v>0.0</v>
      </c>
      <c r="AK1641" t="inlineStr">
        <is>
          <t/>
        </is>
      </c>
      <c r="AL1641" t="inlineStr">
        <is>
          <t/>
        </is>
      </c>
    </row>
    <row r="1642">
      <c r="A1642" t="inlineStr">
        <is>
          <t>小红书上买的盐冻虾！已经加入无限回购清</t>
        </is>
      </c>
      <c r="B1642" t="inlineStr">
        <is>
          <t>69b03597000000000902206f</t>
        </is>
      </c>
      <c r="C1642" s="1641" t="n">
        <f>HYPERLINK("https://www.xiaohongshu.com/explore/69b03597000000000902206f?xsec_token=TB1fCSoBGZhUEvn2zrb_Bw2gCeEfC6pflG58DIMFtflZQ=&amp;xsec_source=pc_trdark","https://www.xiaohongshu.com/explore/69b03597000000000902206f?xsec_token=TB1fCSoBGZhUEvn2zrb_Bw2gCeEfC6pflG58DIMFtflZQ=&amp;xsec_source=pc_trdark")</f>
        <v>0.0</v>
      </c>
      <c r="D1642" t="inlineStr">
        <is>
          <t>鲜水湾</t>
        </is>
      </c>
      <c r="E1642" t="inlineStr">
        <is>
          <t>49316638994</t>
        </is>
      </c>
      <c r="F1642" t="inlineStr">
        <is>
          <t>2026-03-10 23:15:35</t>
        </is>
      </c>
      <c r="G1642" t="inlineStr">
        <is>
          <t>图文</t>
        </is>
      </c>
      <c r="H1642" t="inlineStr">
        <is>
          <t>大虾基围虾王牌大虾厄瓜多尔白虾盐冻虾仁海洋大虾送礼顺丰包邮</t>
        </is>
      </c>
      <c r="I1642" t="inlineStr">
        <is>
          <t>690aeb7be379430001e686ac</t>
        </is>
      </c>
      <c r="J1642" t="inlineStr">
        <is>
          <t/>
        </is>
      </c>
      <c r="K1642" t="n">
        <v>0.0</v>
      </c>
      <c r="L1642" t="n">
        <v>0.0</v>
      </c>
      <c r="M1642" t="n">
        <v>0.0</v>
      </c>
      <c r="N1642" t="inlineStr">
        <is>
          <t/>
        </is>
      </c>
      <c r="O1642" t="n">
        <v>0.0</v>
      </c>
      <c r="P1642" t="n">
        <v>0.0</v>
      </c>
      <c r="Q1642" t="inlineStr">
        <is>
          <t/>
        </is>
      </c>
      <c r="R1642" t="inlineStr">
        <is>
          <t/>
        </is>
      </c>
      <c r="S1642" t="n">
        <v>0.0</v>
      </c>
      <c r="T1642" t="n">
        <v>0.0</v>
      </c>
      <c r="U1642" t="n">
        <v>0.0</v>
      </c>
      <c r="V1642" t="n">
        <v>0.0</v>
      </c>
      <c r="W1642" t="inlineStr">
        <is>
          <t/>
        </is>
      </c>
      <c r="X1642" t="n">
        <v>0.0</v>
      </c>
      <c r="Y1642" t="n">
        <v>0.0</v>
      </c>
      <c r="Z1642" t="n">
        <v>0.0</v>
      </c>
      <c r="AA1642" t="n">
        <v>0.0</v>
      </c>
      <c r="AB1642" t="n">
        <v>0.0</v>
      </c>
      <c r="AC1642" t="n">
        <v>0.0</v>
      </c>
      <c r="AD1642" t="n">
        <v>0.0</v>
      </c>
      <c r="AE1642" t="n">
        <v>0.0</v>
      </c>
      <c r="AF1642" t="n">
        <v>0.0</v>
      </c>
      <c r="AG1642" t="n">
        <v>0.0</v>
      </c>
      <c r="AH1642" t="n">
        <v>0.0</v>
      </c>
      <c r="AI1642" t="n">
        <v>0.0</v>
      </c>
      <c r="AJ1642" t="n">
        <v>0.0</v>
      </c>
      <c r="AK1642" t="inlineStr">
        <is>
          <t/>
        </is>
      </c>
      <c r="AL1642" t="inlineStr">
        <is>
          <t/>
        </is>
      </c>
    </row>
    <row r="1643">
      <c r="A1643" t="inlineStr">
        <is>
          <t>控体期和老公就这么吃，低卡美味全占了</t>
        </is>
      </c>
      <c r="B1643" t="inlineStr">
        <is>
          <t>69af83f4000000000d009cb2</t>
        </is>
      </c>
      <c r="C1643" s="1642" t="n">
        <f>HYPERLINK("https://www.xiaohongshu.com/explore/69af83f4000000000d009cb2?xsec_token=TBvA7Hz6ko-xGwfQy35gan6RaAoOnrWpneYfWSgNLBEMw=&amp;xsec_source=pc_trdark","https://www.xiaohongshu.com/explore/69af83f4000000000d009cb2?xsec_token=TBvA7Hz6ko-xGwfQy35gan6RaAoOnrWpneYfWSgNLBEMw=&amp;xsec_source=pc_trdark")</f>
        <v>0.0</v>
      </c>
      <c r="D1643" t="inlineStr">
        <is>
          <t>婉婉上班吃什么</t>
        </is>
      </c>
      <c r="E1643" t="inlineStr">
        <is>
          <t>11434449706</t>
        </is>
      </c>
      <c r="F1643" t="inlineStr">
        <is>
          <t>2026-03-10 10:37:40</t>
        </is>
      </c>
      <c r="G1643" t="inlineStr">
        <is>
          <t>图文</t>
        </is>
      </c>
      <c r="H1643" t="inlineStr">
        <is>
          <t>大虾基围虾王牌大虾厄瓜多尔白虾盐冻虾仁海洋大虾送礼顺丰包邮</t>
        </is>
      </c>
      <c r="I1643" t="inlineStr">
        <is>
          <t>690aeb7be379430001e686ac</t>
        </is>
      </c>
      <c r="J1643" t="inlineStr">
        <is>
          <t/>
        </is>
      </c>
      <c r="K1643" t="n">
        <v>0.0</v>
      </c>
      <c r="L1643" t="n">
        <v>0.0</v>
      </c>
      <c r="M1643" t="n">
        <v>0.0</v>
      </c>
      <c r="N1643" t="inlineStr">
        <is>
          <t/>
        </is>
      </c>
      <c r="O1643" t="n">
        <v>0.0</v>
      </c>
      <c r="P1643" t="n">
        <v>0.0</v>
      </c>
      <c r="Q1643" t="inlineStr">
        <is>
          <t/>
        </is>
      </c>
      <c r="R1643" t="inlineStr">
        <is>
          <t/>
        </is>
      </c>
      <c r="S1643" t="n">
        <v>0.0</v>
      </c>
      <c r="T1643" t="n">
        <v>0.0</v>
      </c>
      <c r="U1643" t="n">
        <v>0.0</v>
      </c>
      <c r="V1643" t="n">
        <v>0.0</v>
      </c>
      <c r="W1643" t="inlineStr">
        <is>
          <t/>
        </is>
      </c>
      <c r="X1643" t="n">
        <v>0.0</v>
      </c>
      <c r="Y1643" t="n">
        <v>0.0</v>
      </c>
      <c r="Z1643" t="n">
        <v>0.0</v>
      </c>
      <c r="AA1643" t="n">
        <v>0.0</v>
      </c>
      <c r="AB1643" t="n">
        <v>0.0</v>
      </c>
      <c r="AC1643" t="n">
        <v>0.0</v>
      </c>
      <c r="AD1643" t="n">
        <v>0.0</v>
      </c>
      <c r="AE1643" t="n">
        <v>0.0</v>
      </c>
      <c r="AF1643" t="n">
        <v>0.0</v>
      </c>
      <c r="AG1643" t="n">
        <v>0.0</v>
      </c>
      <c r="AH1643" t="n">
        <v>0.0</v>
      </c>
      <c r="AI1643" t="n">
        <v>0.0</v>
      </c>
      <c r="AJ1643" t="n">
        <v>0.0</v>
      </c>
      <c r="AK1643" t="inlineStr">
        <is>
          <t/>
        </is>
      </c>
      <c r="AL1643" t="inlineStr">
        <is>
          <t/>
        </is>
      </c>
    </row>
    <row r="1644">
      <c r="A1644" t="inlineStr">
        <is>
          <t>盛明兰，你是陪我吃饭最多的人</t>
        </is>
      </c>
      <c r="B1644" t="inlineStr">
        <is>
          <t>69ae94e4000000002801d845</t>
        </is>
      </c>
      <c r="C1644" s="1643" t="n">
        <f>HYPERLINK("https://www.xiaohongshu.com/explore/69ae94e4000000002801d845?xsec_token=TBy3i3TfmyKE7XGojG_cT9hdOu6K7BqHEZ6-e4cRhfuAA=&amp;xsec_source=pc_trdark","https://www.xiaohongshu.com/explore/69ae94e4000000002801d845?xsec_token=TBy3i3TfmyKE7XGojG_cT9hdOu6K7BqHEZ6-e4cRhfuAA=&amp;xsec_source=pc_trdark")</f>
        <v>0.0</v>
      </c>
      <c r="D1644" t="inlineStr">
        <is>
          <t>鲜水湾</t>
        </is>
      </c>
      <c r="E1644" t="inlineStr">
        <is>
          <t>49316638994</t>
        </is>
      </c>
      <c r="F1644" t="inlineStr">
        <is>
          <t>2026-03-09 17:37:40</t>
        </is>
      </c>
      <c r="G1644" t="inlineStr">
        <is>
          <t>图文</t>
        </is>
      </c>
      <c r="H1644" t="inlineStr">
        <is>
          <t>大虾基围虾王牌大虾厄瓜多尔白虾盐冻虾仁海洋大虾送礼顺丰包邮</t>
        </is>
      </c>
      <c r="I1644" t="inlineStr">
        <is>
          <t>690aeb7be379430001e686ac</t>
        </is>
      </c>
      <c r="J1644" t="inlineStr">
        <is>
          <t/>
        </is>
      </c>
      <c r="K1644" t="n">
        <v>0.0</v>
      </c>
      <c r="L1644" t="n">
        <v>0.0</v>
      </c>
      <c r="M1644" t="n">
        <v>0.0</v>
      </c>
      <c r="N1644" t="inlineStr">
        <is>
          <t/>
        </is>
      </c>
      <c r="O1644" t="n">
        <v>0.0</v>
      </c>
      <c r="P1644" t="n">
        <v>0.0</v>
      </c>
      <c r="Q1644" t="inlineStr">
        <is>
          <t/>
        </is>
      </c>
      <c r="R1644" t="inlineStr">
        <is>
          <t/>
        </is>
      </c>
      <c r="S1644" t="n">
        <v>0.0</v>
      </c>
      <c r="T1644" t="n">
        <v>0.0</v>
      </c>
      <c r="U1644" t="n">
        <v>0.0</v>
      </c>
      <c r="V1644" t="n">
        <v>0.0</v>
      </c>
      <c r="W1644" t="inlineStr">
        <is>
          <t/>
        </is>
      </c>
      <c r="X1644" t="n">
        <v>0.0</v>
      </c>
      <c r="Y1644" t="n">
        <v>0.0</v>
      </c>
      <c r="Z1644" t="n">
        <v>0.0</v>
      </c>
      <c r="AA1644" t="n">
        <v>0.0</v>
      </c>
      <c r="AB1644" t="n">
        <v>0.0</v>
      </c>
      <c r="AC1644" t="n">
        <v>0.0</v>
      </c>
      <c r="AD1644" t="n">
        <v>0.0</v>
      </c>
      <c r="AE1644" t="n">
        <v>0.0</v>
      </c>
      <c r="AF1644" t="n">
        <v>0.0</v>
      </c>
      <c r="AG1644" t="n">
        <v>0.0</v>
      </c>
      <c r="AH1644" t="n">
        <v>0.0</v>
      </c>
      <c r="AI1644" t="n">
        <v>0.0</v>
      </c>
      <c r="AJ1644" t="n">
        <v>0.0</v>
      </c>
      <c r="AK1644" t="inlineStr">
        <is>
          <t/>
        </is>
      </c>
      <c r="AL1644" t="inlineStr">
        <is>
          <t/>
        </is>
      </c>
    </row>
    <row r="1645">
      <c r="A1645" t="inlineStr">
        <is>
          <t>明兰，你是陪我吃饭最多的人</t>
        </is>
      </c>
      <c r="B1645" t="inlineStr">
        <is>
          <t>69ae92ee000000001a02fa72</t>
        </is>
      </c>
      <c r="C1645" s="1644" t="n">
        <f>HYPERLINK("https://www.xiaohongshu.com/explore/69ae92ee000000001a02fa72?xsec_token=TBy3i3TfmyKE7XGojG_cT9hfOFSalmIzIX_YSfV9qW7s0=&amp;xsec_source=pc_trdark","https://www.xiaohongshu.com/explore/69ae92ee000000001a02fa72?xsec_token=TBy3i3TfmyKE7XGojG_cT9hfOFSalmIzIX_YSfV9qW7s0=&amp;xsec_source=pc_trdark")</f>
        <v>0.0</v>
      </c>
      <c r="D1645" t="inlineStr">
        <is>
          <t>婉婉上班吃什么</t>
        </is>
      </c>
      <c r="E1645" t="inlineStr">
        <is>
          <t>11434449706</t>
        </is>
      </c>
      <c r="F1645" t="inlineStr">
        <is>
          <t>2026-03-09 17:29:19</t>
        </is>
      </c>
      <c r="G1645" t="inlineStr">
        <is>
          <t>图文</t>
        </is>
      </c>
      <c r="H1645" t="inlineStr">
        <is>
          <t>大虾基围虾王牌大虾厄瓜多尔白虾盐冻虾仁海洋大虾送礼顺丰包邮</t>
        </is>
      </c>
      <c r="I1645" t="inlineStr">
        <is>
          <t>690aeb7be379430001e686ac</t>
        </is>
      </c>
      <c r="J1645" t="inlineStr">
        <is>
          <t/>
        </is>
      </c>
      <c r="K1645" t="n">
        <v>0.0</v>
      </c>
      <c r="L1645" t="n">
        <v>0.0</v>
      </c>
      <c r="M1645" t="n">
        <v>0.0</v>
      </c>
      <c r="N1645" t="inlineStr">
        <is>
          <t/>
        </is>
      </c>
      <c r="O1645" t="n">
        <v>0.0</v>
      </c>
      <c r="P1645" t="n">
        <v>0.0</v>
      </c>
      <c r="Q1645" t="inlineStr">
        <is>
          <t/>
        </is>
      </c>
      <c r="R1645" t="inlineStr">
        <is>
          <t/>
        </is>
      </c>
      <c r="S1645" t="n">
        <v>0.0</v>
      </c>
      <c r="T1645" t="n">
        <v>0.0</v>
      </c>
      <c r="U1645" t="n">
        <v>0.0</v>
      </c>
      <c r="V1645" t="n">
        <v>0.0</v>
      </c>
      <c r="W1645" t="inlineStr">
        <is>
          <t/>
        </is>
      </c>
      <c r="X1645" t="n">
        <v>0.0</v>
      </c>
      <c r="Y1645" t="n">
        <v>0.0</v>
      </c>
      <c r="Z1645" t="n">
        <v>0.0</v>
      </c>
      <c r="AA1645" t="n">
        <v>0.0</v>
      </c>
      <c r="AB1645" t="n">
        <v>0.0</v>
      </c>
      <c r="AC1645" t="n">
        <v>0.0</v>
      </c>
      <c r="AD1645" t="n">
        <v>0.0</v>
      </c>
      <c r="AE1645" t="n">
        <v>0.0</v>
      </c>
      <c r="AF1645" t="n">
        <v>0.0</v>
      </c>
      <c r="AG1645" t="n">
        <v>0.0</v>
      </c>
      <c r="AH1645" t="n">
        <v>0.0</v>
      </c>
      <c r="AI1645" t="n">
        <v>0.0</v>
      </c>
      <c r="AJ1645" t="n">
        <v>0.0</v>
      </c>
      <c r="AK1645" t="inlineStr">
        <is>
          <t/>
        </is>
      </c>
      <c r="AL1645" t="inlineStr">
        <is>
          <t/>
        </is>
      </c>
    </row>
    <row r="1646">
      <c r="A1646" t="inlineStr">
        <is>
          <t>这盘三文鱼餐，承包了我一天的快乐和营养✨</t>
        </is>
      </c>
      <c r="B1646" t="inlineStr">
        <is>
          <t>69ae7fd10000000022038d18</t>
        </is>
      </c>
      <c r="C1646" s="1645" t="n">
        <f>HYPERLINK("https://www.xiaohongshu.com/explore/69ae7fd10000000022038d18?xsec_token=TBy3i3TfmyKE7XGojG_cT9hXwECPCaD8ci00LH0Aym15A=&amp;xsec_source=pc_trdark","https://www.xiaohongshu.com/explore/69ae7fd10000000022038d18?xsec_token=TBy3i3TfmyKE7XGojG_cT9hXwECPCaD8ci00LH0Aym15A=&amp;xsec_source=pc_trdark")</f>
        <v>0.0</v>
      </c>
      <c r="D1646" t="inlineStr">
        <is>
          <t>鲜水湾甄选</t>
        </is>
      </c>
      <c r="E1646" t="inlineStr">
        <is>
          <t>27401929161</t>
        </is>
      </c>
      <c r="F1646" t="inlineStr">
        <is>
          <t>2026-03-09 16:07:45</t>
        </is>
      </c>
      <c r="G1646" t="inlineStr">
        <is>
          <t>图文</t>
        </is>
      </c>
      <c r="H1646" t="inlineStr">
        <is>
          <t>智利三文鱼切块·整条三文鱼·深海鱼一人食健康饮食</t>
        </is>
      </c>
      <c r="I1646" t="inlineStr">
        <is>
          <t>691ac562a524ee0001b51d7b</t>
        </is>
      </c>
      <c r="J1646" t="inlineStr">
        <is>
          <t/>
        </is>
      </c>
      <c r="K1646" t="n">
        <v>0.0</v>
      </c>
      <c r="L1646" t="n">
        <v>0.0</v>
      </c>
      <c r="M1646" t="n">
        <v>0.0</v>
      </c>
      <c r="N1646" t="inlineStr">
        <is>
          <t/>
        </is>
      </c>
      <c r="O1646" t="n">
        <v>0.0</v>
      </c>
      <c r="P1646" t="n">
        <v>0.0</v>
      </c>
      <c r="Q1646" t="inlineStr">
        <is>
          <t/>
        </is>
      </c>
      <c r="R1646" t="inlineStr">
        <is>
          <t/>
        </is>
      </c>
      <c r="S1646" t="n">
        <v>0.0</v>
      </c>
      <c r="T1646" t="n">
        <v>0.0</v>
      </c>
      <c r="U1646" t="n">
        <v>0.0</v>
      </c>
      <c r="V1646" t="n">
        <v>0.0</v>
      </c>
      <c r="W1646" t="inlineStr">
        <is>
          <t/>
        </is>
      </c>
      <c r="X1646" t="n">
        <v>0.0</v>
      </c>
      <c r="Y1646" t="n">
        <v>0.0</v>
      </c>
      <c r="Z1646" t="n">
        <v>0.0</v>
      </c>
      <c r="AA1646" t="n">
        <v>0.0</v>
      </c>
      <c r="AB1646" t="n">
        <v>0.0</v>
      </c>
      <c r="AC1646" t="n">
        <v>0.0</v>
      </c>
      <c r="AD1646" t="n">
        <v>0.0</v>
      </c>
      <c r="AE1646" t="n">
        <v>0.0</v>
      </c>
      <c r="AF1646" t="n">
        <v>0.0</v>
      </c>
      <c r="AG1646" t="n">
        <v>0.0</v>
      </c>
      <c r="AH1646" t="n">
        <v>0.0</v>
      </c>
      <c r="AI1646" t="n">
        <v>0.0</v>
      </c>
      <c r="AJ1646" t="n">
        <v>0.0</v>
      </c>
      <c r="AK1646" t="inlineStr">
        <is>
          <t/>
        </is>
      </c>
      <c r="AL1646" t="inlineStr">
        <is>
          <t/>
        </is>
      </c>
    </row>
    <row r="1647">
      <c r="A1647" t="inlineStr">
        <is>
          <t>节后减脂无限回购，鲜水湾家的大虾</t>
        </is>
      </c>
      <c r="B1647" t="inlineStr">
        <is>
          <t>69ae55a2000000000d00820d</t>
        </is>
      </c>
      <c r="C1647" s="1646" t="n">
        <f>HYPERLINK("https://www.xiaohongshu.com/explore/69ae55a2000000000d00820d?xsec_token=TBy3i3TfmyKE7XGojG_cT9hdf9pfpU21itFxSZePV62fE=&amp;xsec_source=pc_trdark","https://www.xiaohongshu.com/explore/69ae55a2000000000d00820d?xsec_token=TBy3i3TfmyKE7XGojG_cT9hdf9pfpU21itFxSZePV62fE=&amp;xsec_source=pc_trdark")</f>
        <v>0.0</v>
      </c>
      <c r="D1647" t="inlineStr">
        <is>
          <t>婉婉上班吃什么</t>
        </is>
      </c>
      <c r="E1647" t="inlineStr">
        <is>
          <t>11434449706</t>
        </is>
      </c>
      <c r="F1647" t="inlineStr">
        <is>
          <t>2026-03-09 13:07:46</t>
        </is>
      </c>
      <c r="G1647" t="inlineStr">
        <is>
          <t>图文</t>
        </is>
      </c>
      <c r="H1647" t="inlineStr">
        <is>
          <t>大虾基围虾王牌大虾厄瓜多尔白虾盐冻虾仁海洋大虾送礼顺丰包邮</t>
        </is>
      </c>
      <c r="I1647" t="inlineStr">
        <is>
          <t>690aeb7be379430001e686ac</t>
        </is>
      </c>
      <c r="J1647" t="inlineStr">
        <is>
          <t/>
        </is>
      </c>
      <c r="K1647" t="n">
        <v>0.0</v>
      </c>
      <c r="L1647" t="n">
        <v>0.0</v>
      </c>
      <c r="M1647" t="n">
        <v>0.0</v>
      </c>
      <c r="N1647" t="inlineStr">
        <is>
          <t/>
        </is>
      </c>
      <c r="O1647" t="n">
        <v>0.0</v>
      </c>
      <c r="P1647" t="n">
        <v>0.0</v>
      </c>
      <c r="Q1647" t="inlineStr">
        <is>
          <t/>
        </is>
      </c>
      <c r="R1647" t="inlineStr">
        <is>
          <t/>
        </is>
      </c>
      <c r="S1647" t="n">
        <v>0.0</v>
      </c>
      <c r="T1647" t="n">
        <v>0.0</v>
      </c>
      <c r="U1647" t="n">
        <v>0.0</v>
      </c>
      <c r="V1647" t="n">
        <v>0.0</v>
      </c>
      <c r="W1647" t="inlineStr">
        <is>
          <t/>
        </is>
      </c>
      <c r="X1647" t="n">
        <v>0.0</v>
      </c>
      <c r="Y1647" t="n">
        <v>0.0</v>
      </c>
      <c r="Z1647" t="n">
        <v>0.0</v>
      </c>
      <c r="AA1647" t="n">
        <v>0.0</v>
      </c>
      <c r="AB1647" t="n">
        <v>0.0</v>
      </c>
      <c r="AC1647" t="n">
        <v>0.0</v>
      </c>
      <c r="AD1647" t="n">
        <v>0.0</v>
      </c>
      <c r="AE1647" t="n">
        <v>0.0</v>
      </c>
      <c r="AF1647" t="n">
        <v>0.0</v>
      </c>
      <c r="AG1647" t="n">
        <v>0.0</v>
      </c>
      <c r="AH1647" t="n">
        <v>0.0</v>
      </c>
      <c r="AI1647" t="n">
        <v>0.0</v>
      </c>
      <c r="AJ1647" t="n">
        <v>0.0</v>
      </c>
      <c r="AK1647" t="inlineStr">
        <is>
          <t/>
        </is>
      </c>
      <c r="AL1647" t="inlineStr">
        <is>
          <t/>
        </is>
      </c>
    </row>
    <row r="1648">
      <c r="A1648" t="inlineStr">
        <is>
          <t>每天带一包大虾上班，同事说我很有钱</t>
        </is>
      </c>
      <c r="B1648" t="inlineStr">
        <is>
          <t>69ad8b83000000002800b0fe</t>
        </is>
      </c>
      <c r="C1648" s="1647" t="n">
        <f>HYPERLINK("https://www.xiaohongshu.com/explore/69ad8b83000000002800b0fe?xsec_token=TBsauhpT2AwjD8NBV7WI8gZEER3ruVJK7qEhQ5wTYffjA=&amp;xsec_source=pc_trdark","https://www.xiaohongshu.com/explore/69ad8b83000000002800b0fe?xsec_token=TBsauhpT2AwjD8NBV7WI8gZEER3ruVJK7qEhQ5wTYffjA=&amp;xsec_source=pc_trdark")</f>
        <v>0.0</v>
      </c>
      <c r="D1648" t="inlineStr">
        <is>
          <t>鲜水湾</t>
        </is>
      </c>
      <c r="E1648" t="inlineStr">
        <is>
          <t>49316638994</t>
        </is>
      </c>
      <c r="F1648" t="inlineStr">
        <is>
          <t>2026-03-08 22:45:23</t>
        </is>
      </c>
      <c r="G1648" t="inlineStr">
        <is>
          <t>图文</t>
        </is>
      </c>
      <c r="H1648" t="inlineStr">
        <is>
          <t>大虾基围虾王牌大虾厄瓜多尔白虾盐冻虾仁海洋大虾送礼顺丰包邮</t>
        </is>
      </c>
      <c r="I1648" t="inlineStr">
        <is>
          <t>690aeb7be379430001e686ac</t>
        </is>
      </c>
      <c r="J1648" t="inlineStr">
        <is>
          <t/>
        </is>
      </c>
      <c r="K1648" t="n">
        <v>0.0</v>
      </c>
      <c r="L1648" t="n">
        <v>0.0</v>
      </c>
      <c r="M1648" t="n">
        <v>0.0</v>
      </c>
      <c r="N1648" t="inlineStr">
        <is>
          <t/>
        </is>
      </c>
      <c r="O1648" t="n">
        <v>0.0</v>
      </c>
      <c r="P1648" t="n">
        <v>0.0</v>
      </c>
      <c r="Q1648" t="inlineStr">
        <is>
          <t/>
        </is>
      </c>
      <c r="R1648" t="inlineStr">
        <is>
          <t/>
        </is>
      </c>
      <c r="S1648" t="n">
        <v>0.0</v>
      </c>
      <c r="T1648" t="n">
        <v>0.0</v>
      </c>
      <c r="U1648" t="n">
        <v>0.0</v>
      </c>
      <c r="V1648" t="n">
        <v>0.0</v>
      </c>
      <c r="W1648" t="inlineStr">
        <is>
          <t/>
        </is>
      </c>
      <c r="X1648" t="n">
        <v>0.0</v>
      </c>
      <c r="Y1648" t="n">
        <v>0.0</v>
      </c>
      <c r="Z1648" t="n">
        <v>0.0</v>
      </c>
      <c r="AA1648" t="n">
        <v>0.0</v>
      </c>
      <c r="AB1648" t="n">
        <v>0.0</v>
      </c>
      <c r="AC1648" t="n">
        <v>0.0</v>
      </c>
      <c r="AD1648" t="n">
        <v>0.0</v>
      </c>
      <c r="AE1648" t="n">
        <v>0.0</v>
      </c>
      <c r="AF1648" t="n">
        <v>0.0</v>
      </c>
      <c r="AG1648" t="n">
        <v>0.0</v>
      </c>
      <c r="AH1648" t="n">
        <v>0.0</v>
      </c>
      <c r="AI1648" t="n">
        <v>0.0</v>
      </c>
      <c r="AJ1648" t="n">
        <v>0.0</v>
      </c>
      <c r="AK1648" t="inlineStr">
        <is>
          <t/>
        </is>
      </c>
      <c r="AL1648" t="inlineStr">
        <is>
          <t/>
        </is>
      </c>
    </row>
    <row r="1649">
      <c r="A1649" t="inlineStr">
        <is>
          <t>每天带一包大虾上班，同事说我很有钱</t>
        </is>
      </c>
      <c r="B1649" t="inlineStr">
        <is>
          <t>69ad8a46000000001a028410</t>
        </is>
      </c>
      <c r="C1649" s="1648" t="n">
        <f>HYPERLINK("https://www.xiaohongshu.com/explore/69ad8a46000000001a028410?xsec_token=TBsauhpT2AwjD8NBV7WI8gZG4_d3pBV9ewITXn0FR4zAs=&amp;xsec_source=pc_trdark","https://www.xiaohongshu.com/explore/69ad8a46000000001a028410?xsec_token=TBsauhpT2AwjD8NBV7WI8gZG4_d3pBV9ewITXn0FR4zAs=&amp;xsec_source=pc_trdark")</f>
        <v>0.0</v>
      </c>
      <c r="D1649" t="inlineStr">
        <is>
          <t>婉婉上班吃什么</t>
        </is>
      </c>
      <c r="E1649" t="inlineStr">
        <is>
          <t>11434449706</t>
        </is>
      </c>
      <c r="F1649" t="inlineStr">
        <is>
          <t>2026-03-08 22:40:06</t>
        </is>
      </c>
      <c r="G1649" t="inlineStr">
        <is>
          <t>图文</t>
        </is>
      </c>
      <c r="H1649" t="inlineStr">
        <is>
          <t>大虾基围虾王牌大虾厄瓜多尔白虾盐冻虾仁海洋大虾送礼顺丰包邮</t>
        </is>
      </c>
      <c r="I1649" t="inlineStr">
        <is>
          <t>690aeb7be379430001e686ac</t>
        </is>
      </c>
      <c r="J1649" t="inlineStr">
        <is>
          <t/>
        </is>
      </c>
      <c r="K1649" t="n">
        <v>0.0</v>
      </c>
      <c r="L1649" t="n">
        <v>0.0</v>
      </c>
      <c r="M1649" t="n">
        <v>0.0</v>
      </c>
      <c r="N1649" t="inlineStr">
        <is>
          <t/>
        </is>
      </c>
      <c r="O1649" t="n">
        <v>0.0</v>
      </c>
      <c r="P1649" t="n">
        <v>0.0</v>
      </c>
      <c r="Q1649" t="inlineStr">
        <is>
          <t/>
        </is>
      </c>
      <c r="R1649" t="inlineStr">
        <is>
          <t/>
        </is>
      </c>
      <c r="S1649" t="n">
        <v>0.0</v>
      </c>
      <c r="T1649" t="n">
        <v>0.0</v>
      </c>
      <c r="U1649" t="n">
        <v>0.0</v>
      </c>
      <c r="V1649" t="n">
        <v>0.0</v>
      </c>
      <c r="W1649" t="inlineStr">
        <is>
          <t/>
        </is>
      </c>
      <c r="X1649" t="n">
        <v>0.0</v>
      </c>
      <c r="Y1649" t="n">
        <v>0.0</v>
      </c>
      <c r="Z1649" t="n">
        <v>0.0</v>
      </c>
      <c r="AA1649" t="n">
        <v>0.0</v>
      </c>
      <c r="AB1649" t="n">
        <v>0.0</v>
      </c>
      <c r="AC1649" t="n">
        <v>0.0</v>
      </c>
      <c r="AD1649" t="n">
        <v>0.0</v>
      </c>
      <c r="AE1649" t="n">
        <v>0.0</v>
      </c>
      <c r="AF1649" t="n">
        <v>0.0</v>
      </c>
      <c r="AG1649" t="n">
        <v>0.0</v>
      </c>
      <c r="AH1649" t="n">
        <v>0.0</v>
      </c>
      <c r="AI1649" t="n">
        <v>0.0</v>
      </c>
      <c r="AJ1649" t="n">
        <v>0.0</v>
      </c>
      <c r="AK1649" t="inlineStr">
        <is>
          <t/>
        </is>
      </c>
      <c r="AL1649" t="inlineStr">
        <is>
          <t/>
        </is>
      </c>
    </row>
    <row r="1650">
      <c r="A1650" t="inlineStr">
        <is>
          <t>奉劝控体人不要低估了60来块钱的购买力……</t>
        </is>
      </c>
      <c r="B1650" t="inlineStr">
        <is>
          <t>69ad7d71000000001a03025f</t>
        </is>
      </c>
      <c r="C1650" s="1649" t="n">
        <f>HYPERLINK("https://www.xiaohongshu.com/explore/69ad7d71000000001a03025f?xsec_token=TBsauhpT2AwjD8NBV7WI8gZKBMHIqgu_3WmtwpIdUTbSI=&amp;xsec_source=pc_trdark","https://www.xiaohongshu.com/explore/69ad7d71000000001a03025f?xsec_token=TBsauhpT2AwjD8NBV7WI8gZKBMHIqgu_3WmtwpIdUTbSI=&amp;xsec_source=pc_trdark")</f>
        <v>0.0</v>
      </c>
      <c r="D1650" t="inlineStr">
        <is>
          <t>鲜水湾</t>
        </is>
      </c>
      <c r="E1650" t="inlineStr">
        <is>
          <t>49316638994</t>
        </is>
      </c>
      <c r="F1650" t="inlineStr">
        <is>
          <t>2026-03-08 21:45:21</t>
        </is>
      </c>
      <c r="G1650" t="inlineStr">
        <is>
          <t>图文</t>
        </is>
      </c>
      <c r="H1650" t="inlineStr">
        <is>
          <t>大虾基围虾王牌大虾厄瓜多尔白虾盐冻虾仁海洋大虾送礼顺丰包邮</t>
        </is>
      </c>
      <c r="I1650" t="inlineStr">
        <is>
          <t>690aeb7be379430001e686ac</t>
        </is>
      </c>
      <c r="J1650" t="inlineStr">
        <is>
          <t/>
        </is>
      </c>
      <c r="K1650" t="n">
        <v>0.0</v>
      </c>
      <c r="L1650" t="n">
        <v>0.0</v>
      </c>
      <c r="M1650" t="n">
        <v>0.0</v>
      </c>
      <c r="N1650" t="inlineStr">
        <is>
          <t/>
        </is>
      </c>
      <c r="O1650" t="n">
        <v>0.0</v>
      </c>
      <c r="P1650" t="n">
        <v>0.0</v>
      </c>
      <c r="Q1650" t="inlineStr">
        <is>
          <t/>
        </is>
      </c>
      <c r="R1650" t="inlineStr">
        <is>
          <t/>
        </is>
      </c>
      <c r="S1650" t="n">
        <v>0.0</v>
      </c>
      <c r="T1650" t="n">
        <v>0.0</v>
      </c>
      <c r="U1650" t="n">
        <v>0.0</v>
      </c>
      <c r="V1650" t="n">
        <v>0.0</v>
      </c>
      <c r="W1650" t="inlineStr">
        <is>
          <t/>
        </is>
      </c>
      <c r="X1650" t="n">
        <v>0.0</v>
      </c>
      <c r="Y1650" t="n">
        <v>0.0</v>
      </c>
      <c r="Z1650" t="n">
        <v>0.0</v>
      </c>
      <c r="AA1650" t="n">
        <v>0.0</v>
      </c>
      <c r="AB1650" t="n">
        <v>0.0</v>
      </c>
      <c r="AC1650" t="n">
        <v>0.0</v>
      </c>
      <c r="AD1650" t="n">
        <v>0.0</v>
      </c>
      <c r="AE1650" t="n">
        <v>0.0</v>
      </c>
      <c r="AF1650" t="n">
        <v>0.0</v>
      </c>
      <c r="AG1650" t="n">
        <v>0.0</v>
      </c>
      <c r="AH1650" t="n">
        <v>0.0</v>
      </c>
      <c r="AI1650" t="n">
        <v>0.0</v>
      </c>
      <c r="AJ1650" t="n">
        <v>0.0</v>
      </c>
      <c r="AK1650" t="inlineStr">
        <is>
          <t/>
        </is>
      </c>
      <c r="AL1650" t="inlineStr">
        <is>
          <t/>
        </is>
      </c>
    </row>
    <row r="1651">
      <c r="A1651" t="inlineStr">
        <is>
          <t>2030大虾到底什么意思？不懂就先不要买</t>
        </is>
      </c>
      <c r="B1651" t="inlineStr">
        <is>
          <t>69ac2c3c000000001a01e13f</t>
        </is>
      </c>
      <c r="C1651" s="1650" t="n">
        <f>HYPERLINK("https://www.xiaohongshu.com/explore/69ac2c3c000000001a01e13f?xsec_token=TBJgc9C9Zxv_xTZMGIz7T6c_9DdzPAH_ZyB93aHuSH6hA=&amp;xsec_source=pc_trdark","https://www.xiaohongshu.com/explore/69ac2c3c000000001a01e13f?xsec_token=TBJgc9C9Zxv_xTZMGIz7T6c_9DdzPAH_ZyB93aHuSH6hA=&amp;xsec_source=pc_trdark")</f>
        <v>0.0</v>
      </c>
      <c r="D1651" t="inlineStr">
        <is>
          <t>鲜水湾</t>
        </is>
      </c>
      <c r="E1651" t="inlineStr">
        <is>
          <t>49316638994</t>
        </is>
      </c>
      <c r="F1651" t="inlineStr">
        <is>
          <t>2026-03-07 21:46:36</t>
        </is>
      </c>
      <c r="G1651" t="inlineStr">
        <is>
          <t>图文</t>
        </is>
      </c>
      <c r="H1651" t="inlineStr">
        <is>
          <t>大虾基围虾王牌大虾厄瓜多尔白虾盐冻虾仁海洋大虾送礼顺丰包邮</t>
        </is>
      </c>
      <c r="I1651" t="inlineStr">
        <is>
          <t>690aeb7be379430001e686ac</t>
        </is>
      </c>
      <c r="J1651" t="inlineStr">
        <is>
          <t/>
        </is>
      </c>
      <c r="K1651" t="n">
        <v>0.0</v>
      </c>
      <c r="L1651" t="n">
        <v>0.0</v>
      </c>
      <c r="M1651" t="n">
        <v>0.0</v>
      </c>
      <c r="N1651" t="inlineStr">
        <is>
          <t/>
        </is>
      </c>
      <c r="O1651" t="n">
        <v>0.0</v>
      </c>
      <c r="P1651" t="n">
        <v>0.0</v>
      </c>
      <c r="Q1651" t="inlineStr">
        <is>
          <t/>
        </is>
      </c>
      <c r="R1651" t="inlineStr">
        <is>
          <t/>
        </is>
      </c>
      <c r="S1651" t="n">
        <v>0.0</v>
      </c>
      <c r="T1651" t="n">
        <v>0.0</v>
      </c>
      <c r="U1651" t="n">
        <v>0.0</v>
      </c>
      <c r="V1651" t="n">
        <v>0.0</v>
      </c>
      <c r="W1651" t="inlineStr">
        <is>
          <t/>
        </is>
      </c>
      <c r="X1651" t="n">
        <v>0.0</v>
      </c>
      <c r="Y1651" t="n">
        <v>0.0</v>
      </c>
      <c r="Z1651" t="n">
        <v>0.0</v>
      </c>
      <c r="AA1651" t="n">
        <v>0.0</v>
      </c>
      <c r="AB1651" t="n">
        <v>0.0</v>
      </c>
      <c r="AC1651" t="n">
        <v>0.0</v>
      </c>
      <c r="AD1651" t="n">
        <v>0.0</v>
      </c>
      <c r="AE1651" t="n">
        <v>0.0</v>
      </c>
      <c r="AF1651" t="n">
        <v>0.0</v>
      </c>
      <c r="AG1651" t="n">
        <v>0.0</v>
      </c>
      <c r="AH1651" t="n">
        <v>0.0</v>
      </c>
      <c r="AI1651" t="n">
        <v>0.0</v>
      </c>
      <c r="AJ1651" t="n">
        <v>0.0</v>
      </c>
      <c r="AK1651" t="inlineStr">
        <is>
          <t/>
        </is>
      </c>
      <c r="AL1651" t="inlineStr">
        <is>
          <t/>
        </is>
      </c>
    </row>
    <row r="1652">
      <c r="A1652" t="inlineStr">
        <is>
          <t>感谢网友推荐！年后控体真的太简单了</t>
        </is>
      </c>
      <c r="B1652" t="inlineStr">
        <is>
          <t>69abdddf000000002801e216</t>
        </is>
      </c>
      <c r="C1652" s="1651" t="n">
        <f>HYPERLINK("https://www.xiaohongshu.com/explore/69abdddf000000002801e216?xsec_token=TBjk1R4L6FFMBESMYKkkhLfMbEK-S3v4SB0RGJYvdu88M=&amp;xsec_source=pc_trdark","https://www.xiaohongshu.com/explore/69abdddf000000002801e216?xsec_token=TBjk1R4L6FFMBESMYKkkhLfMbEK-S3v4SB0RGJYvdu88M=&amp;xsec_source=pc_trdark")</f>
        <v>0.0</v>
      </c>
      <c r="D1652" t="inlineStr">
        <is>
          <t>鲜水湾</t>
        </is>
      </c>
      <c r="E1652" t="inlineStr">
        <is>
          <t>49316638994</t>
        </is>
      </c>
      <c r="F1652" t="inlineStr">
        <is>
          <t>2026-03-07 16:12:15</t>
        </is>
      </c>
      <c r="G1652" t="inlineStr">
        <is>
          <t>图文</t>
        </is>
      </c>
      <c r="H1652" t="inlineStr">
        <is>
          <t>大虾基围虾王牌大虾厄瓜多尔白虾盐冻虾仁海洋大虾送礼顺丰包邮</t>
        </is>
      </c>
      <c r="I1652" t="inlineStr">
        <is>
          <t>690aeb7be379430001e686ac</t>
        </is>
      </c>
      <c r="J1652" t="inlineStr">
        <is>
          <t/>
        </is>
      </c>
      <c r="K1652" t="n">
        <v>0.0</v>
      </c>
      <c r="L1652" t="n">
        <v>0.0</v>
      </c>
      <c r="M1652" t="n">
        <v>0.0</v>
      </c>
      <c r="N1652" t="inlineStr">
        <is>
          <t/>
        </is>
      </c>
      <c r="O1652" t="n">
        <v>0.0</v>
      </c>
      <c r="P1652" t="n">
        <v>0.0</v>
      </c>
      <c r="Q1652" t="inlineStr">
        <is>
          <t/>
        </is>
      </c>
      <c r="R1652" t="inlineStr">
        <is>
          <t/>
        </is>
      </c>
      <c r="S1652" t="n">
        <v>0.0</v>
      </c>
      <c r="T1652" t="n">
        <v>0.0</v>
      </c>
      <c r="U1652" t="n">
        <v>0.0</v>
      </c>
      <c r="V1652" t="n">
        <v>0.0</v>
      </c>
      <c r="W1652" t="inlineStr">
        <is>
          <t/>
        </is>
      </c>
      <c r="X1652" t="n">
        <v>0.0</v>
      </c>
      <c r="Y1652" t="n">
        <v>0.0</v>
      </c>
      <c r="Z1652" t="n">
        <v>0.0</v>
      </c>
      <c r="AA1652" t="n">
        <v>0.0</v>
      </c>
      <c r="AB1652" t="n">
        <v>0.0</v>
      </c>
      <c r="AC1652" t="n">
        <v>0.0</v>
      </c>
      <c r="AD1652" t="n">
        <v>0.0</v>
      </c>
      <c r="AE1652" t="n">
        <v>0.0</v>
      </c>
      <c r="AF1652" t="n">
        <v>0.0</v>
      </c>
      <c r="AG1652" t="n">
        <v>0.0</v>
      </c>
      <c r="AH1652" t="n">
        <v>0.0</v>
      </c>
      <c r="AI1652" t="n">
        <v>0.0</v>
      </c>
      <c r="AJ1652" t="n">
        <v>0.0</v>
      </c>
      <c r="AK1652" t="inlineStr">
        <is>
          <t/>
        </is>
      </c>
      <c r="AL1652" t="inlineStr">
        <is>
          <t/>
        </is>
      </c>
    </row>
    <row r="1653">
      <c r="A1653" t="inlineStr">
        <is>
          <t>控体坠🐮搭配，一个月掉78斤</t>
        </is>
      </c>
      <c r="B1653" t="inlineStr">
        <is>
          <t>69abb78e000000001a02c24b</t>
        </is>
      </c>
      <c r="C1653" s="1652" t="n">
        <f>HYPERLINK("https://www.xiaohongshu.com/explore/69abb78e000000001a02c24b?xsec_token=TBjk1R4L6FFMBESMYKkkhLfEs5m3KVOuDoaWmbjqtEyQs=&amp;xsec_source=pc_trdark","https://www.xiaohongshu.com/explore/69abb78e000000001a02c24b?xsec_token=TBjk1R4L6FFMBESMYKkkhLfEs5m3KVOuDoaWmbjqtEyQs=&amp;xsec_source=pc_trdark")</f>
        <v>0.0</v>
      </c>
      <c r="D1653" t="inlineStr">
        <is>
          <t>婉婉上班吃什么</t>
        </is>
      </c>
      <c r="E1653" t="inlineStr">
        <is>
          <t>11434449706</t>
        </is>
      </c>
      <c r="F1653" t="inlineStr">
        <is>
          <t>2026-03-07 13:28:46</t>
        </is>
      </c>
      <c r="G1653" t="inlineStr">
        <is>
          <t>图文</t>
        </is>
      </c>
      <c r="H1653" t="inlineStr">
        <is>
          <t>手剥虾仁 无冰衣无添加 低脂餐一人食 上班带饭 顺丰包邮 5盒装</t>
        </is>
      </c>
      <c r="I1653" t="inlineStr">
        <is>
          <t>694baba01d450d00013662f0</t>
        </is>
      </c>
      <c r="J1653" t="inlineStr">
        <is>
          <t/>
        </is>
      </c>
      <c r="K1653" t="n">
        <v>0.0</v>
      </c>
      <c r="L1653" t="n">
        <v>0.0</v>
      </c>
      <c r="M1653" t="n">
        <v>0.0</v>
      </c>
      <c r="N1653" t="inlineStr">
        <is>
          <t/>
        </is>
      </c>
      <c r="O1653" t="n">
        <v>0.0</v>
      </c>
      <c r="P1653" t="n">
        <v>0.0</v>
      </c>
      <c r="Q1653" t="inlineStr">
        <is>
          <t/>
        </is>
      </c>
      <c r="R1653" t="inlineStr">
        <is>
          <t/>
        </is>
      </c>
      <c r="S1653" t="n">
        <v>0.0</v>
      </c>
      <c r="T1653" t="n">
        <v>0.0</v>
      </c>
      <c r="U1653" t="n">
        <v>0.0</v>
      </c>
      <c r="V1653" t="n">
        <v>0.0</v>
      </c>
      <c r="W1653" t="inlineStr">
        <is>
          <t/>
        </is>
      </c>
      <c r="X1653" t="n">
        <v>0.0</v>
      </c>
      <c r="Y1653" t="n">
        <v>0.0</v>
      </c>
      <c r="Z1653" t="n">
        <v>0.0</v>
      </c>
      <c r="AA1653" t="n">
        <v>0.0</v>
      </c>
      <c r="AB1653" t="n">
        <v>0.0</v>
      </c>
      <c r="AC1653" t="n">
        <v>0.0</v>
      </c>
      <c r="AD1653" t="n">
        <v>0.0</v>
      </c>
      <c r="AE1653" t="n">
        <v>0.0</v>
      </c>
      <c r="AF1653" t="n">
        <v>0.0</v>
      </c>
      <c r="AG1653" t="n">
        <v>0.0</v>
      </c>
      <c r="AH1653" t="n">
        <v>0.0</v>
      </c>
      <c r="AI1653" t="n">
        <v>0.0</v>
      </c>
      <c r="AJ1653" t="n">
        <v>0.0</v>
      </c>
      <c r="AK1653" t="inlineStr">
        <is>
          <t/>
        </is>
      </c>
      <c r="AL1653" t="inlineStr">
        <is>
          <t/>
        </is>
      </c>
    </row>
    <row r="1654">
      <c r="A1654" t="inlineStr">
        <is>
          <t>坚持这样吃早餐，体态真的越来越稳了</t>
        </is>
      </c>
      <c r="B1654" t="inlineStr">
        <is>
          <t>69abb441000000000e00fe5c</t>
        </is>
      </c>
      <c r="C1654" s="1653" t="n">
        <f>HYPERLINK("https://www.xiaohongshu.com/explore/69abb441000000000e00fe5c?xsec_token=TBjk1R4L6FFMBESMYKkkhLfGW_WKUdzp60NDXQthordL4=&amp;xsec_source=pc_trdark","https://www.xiaohongshu.com/explore/69abb441000000000e00fe5c?xsec_token=TBjk1R4L6FFMBESMYKkkhLfGW_WKUdzp60NDXQthordL4=&amp;xsec_source=pc_trdark")</f>
        <v>0.0</v>
      </c>
      <c r="D1654" t="inlineStr">
        <is>
          <t>鲜水湾</t>
        </is>
      </c>
      <c r="E1654" t="inlineStr">
        <is>
          <t>49316638994</t>
        </is>
      </c>
      <c r="F1654" t="inlineStr">
        <is>
          <t>2026-03-07 13:14:41</t>
        </is>
      </c>
      <c r="G1654" t="inlineStr">
        <is>
          <t>图文</t>
        </is>
      </c>
      <c r="H1654" t="inlineStr">
        <is>
          <t>大虾基围虾王牌大虾厄瓜多尔白虾盐冻虾仁海洋大虾送礼顺丰包邮</t>
        </is>
      </c>
      <c r="I1654" t="inlineStr">
        <is>
          <t>690aeb7be379430001e686ac</t>
        </is>
      </c>
      <c r="J1654" t="inlineStr">
        <is>
          <t/>
        </is>
      </c>
      <c r="K1654" t="n">
        <v>0.0</v>
      </c>
      <c r="L1654" t="n">
        <v>0.0</v>
      </c>
      <c r="M1654" t="n">
        <v>0.0</v>
      </c>
      <c r="N1654" t="inlineStr">
        <is>
          <t/>
        </is>
      </c>
      <c r="O1654" t="n">
        <v>0.0</v>
      </c>
      <c r="P1654" t="n">
        <v>0.0</v>
      </c>
      <c r="Q1654" t="inlineStr">
        <is>
          <t/>
        </is>
      </c>
      <c r="R1654" t="inlineStr">
        <is>
          <t/>
        </is>
      </c>
      <c r="S1654" t="n">
        <v>0.0</v>
      </c>
      <c r="T1654" t="n">
        <v>0.0</v>
      </c>
      <c r="U1654" t="n">
        <v>0.0</v>
      </c>
      <c r="V1654" t="n">
        <v>0.0</v>
      </c>
      <c r="W1654" t="inlineStr">
        <is>
          <t/>
        </is>
      </c>
      <c r="X1654" t="n">
        <v>0.0</v>
      </c>
      <c r="Y1654" t="n">
        <v>0.0</v>
      </c>
      <c r="Z1654" t="n">
        <v>0.0</v>
      </c>
      <c r="AA1654" t="n">
        <v>0.0</v>
      </c>
      <c r="AB1654" t="n">
        <v>0.0</v>
      </c>
      <c r="AC1654" t="n">
        <v>0.0</v>
      </c>
      <c r="AD1654" t="n">
        <v>0.0</v>
      </c>
      <c r="AE1654" t="n">
        <v>0.0</v>
      </c>
      <c r="AF1654" t="n">
        <v>0.0</v>
      </c>
      <c r="AG1654" t="n">
        <v>0.0</v>
      </c>
      <c r="AH1654" t="n">
        <v>0.0</v>
      </c>
      <c r="AI1654" t="n">
        <v>0.0</v>
      </c>
      <c r="AJ1654" t="n">
        <v>0.0</v>
      </c>
      <c r="AK1654" t="inlineStr">
        <is>
          <t/>
        </is>
      </c>
      <c r="AL1654" t="inlineStr">
        <is>
          <t/>
        </is>
      </c>
    </row>
    <row r="1655">
      <c r="A1655" t="inlineStr">
        <is>
          <t>瘦子同事带的饭一天比一天离谱</t>
        </is>
      </c>
      <c r="B1655" t="inlineStr">
        <is>
          <t>69ab9111000000001a033291</t>
        </is>
      </c>
      <c r="C1655" s="1654" t="n">
        <f>HYPERLINK("https://www.xiaohongshu.com/explore/69ab9111000000001a033291?xsec_token=TBjk1R4L6FFMBESMYKkkhLfGlEQrOsvgjaGPFJO3HRj7U=&amp;xsec_source=pc_trdark","https://www.xiaohongshu.com/explore/69ab9111000000001a033291?xsec_token=TBjk1R4L6FFMBESMYKkkhLfGlEQrOsvgjaGPFJO3HRj7U=&amp;xsec_source=pc_trdark")</f>
        <v>0.0</v>
      </c>
      <c r="D1655" t="inlineStr">
        <is>
          <t>鲜水湾</t>
        </is>
      </c>
      <c r="E1655" t="inlineStr">
        <is>
          <t>49316638994</t>
        </is>
      </c>
      <c r="F1655" t="inlineStr">
        <is>
          <t>2026-03-07 10:44:33</t>
        </is>
      </c>
      <c r="G1655" t="inlineStr">
        <is>
          <t>图文</t>
        </is>
      </c>
      <c r="H1655" t="inlineStr">
        <is>
          <t>大虾基围虾王牌大虾厄瓜多尔白虾盐冻虾仁海洋大虾送礼顺丰包邮</t>
        </is>
      </c>
      <c r="I1655" t="inlineStr">
        <is>
          <t>690aeb7be379430001e686ac</t>
        </is>
      </c>
      <c r="J1655" t="inlineStr">
        <is>
          <t/>
        </is>
      </c>
      <c r="K1655" t="n">
        <v>0.0</v>
      </c>
      <c r="L1655" t="n">
        <v>0.0</v>
      </c>
      <c r="M1655" t="n">
        <v>0.0</v>
      </c>
      <c r="N1655" t="inlineStr">
        <is>
          <t/>
        </is>
      </c>
      <c r="O1655" t="n">
        <v>0.0</v>
      </c>
      <c r="P1655" t="n">
        <v>0.0</v>
      </c>
      <c r="Q1655" t="inlineStr">
        <is>
          <t/>
        </is>
      </c>
      <c r="R1655" t="inlineStr">
        <is>
          <t/>
        </is>
      </c>
      <c r="S1655" t="n">
        <v>0.0</v>
      </c>
      <c r="T1655" t="n">
        <v>0.0</v>
      </c>
      <c r="U1655" t="n">
        <v>0.0</v>
      </c>
      <c r="V1655" t="n">
        <v>0.0</v>
      </c>
      <c r="W1655" t="inlineStr">
        <is>
          <t/>
        </is>
      </c>
      <c r="X1655" t="n">
        <v>0.0</v>
      </c>
      <c r="Y1655" t="n">
        <v>0.0</v>
      </c>
      <c r="Z1655" t="n">
        <v>0.0</v>
      </c>
      <c r="AA1655" t="n">
        <v>0.0</v>
      </c>
      <c r="AB1655" t="n">
        <v>0.0</v>
      </c>
      <c r="AC1655" t="n">
        <v>0.0</v>
      </c>
      <c r="AD1655" t="n">
        <v>0.0</v>
      </c>
      <c r="AE1655" t="n">
        <v>0.0</v>
      </c>
      <c r="AF1655" t="n">
        <v>0.0</v>
      </c>
      <c r="AG1655" t="n">
        <v>0.0</v>
      </c>
      <c r="AH1655" t="n">
        <v>0.0</v>
      </c>
      <c r="AI1655" t="n">
        <v>0.0</v>
      </c>
      <c r="AJ1655" t="n">
        <v>0.0</v>
      </c>
      <c r="AK1655" t="inlineStr">
        <is>
          <t/>
        </is>
      </c>
      <c r="AL1655" t="inlineStr">
        <is>
          <t/>
        </is>
      </c>
    </row>
    <row r="1656">
      <c r="A1656" t="inlineStr">
        <is>
          <t>讲真…我家大虾在小红书上真找不到平替</t>
        </is>
      </c>
      <c r="B1656" t="inlineStr">
        <is>
          <t>69ab845b000000002801fb2a</t>
        </is>
      </c>
      <c r="C1656" s="1655" t="n">
        <f>HYPERLINK("https://www.xiaohongshu.com/explore/69ab845b000000002801fb2a?xsec_token=TBjk1R4L6FFMBESMYKkkhLfIl0MTwJbvMtmMnRl-KhgEM=&amp;xsec_source=pc_trdark","https://www.xiaohongshu.com/explore/69ab845b000000002801fb2a?xsec_token=TBjk1R4L6FFMBESMYKkkhLfIl0MTwJbvMtmMnRl-KhgEM=&amp;xsec_source=pc_trdark")</f>
        <v>0.0</v>
      </c>
      <c r="D1656" t="inlineStr">
        <is>
          <t>鲜水湾</t>
        </is>
      </c>
      <c r="E1656" t="inlineStr">
        <is>
          <t>49316638994</t>
        </is>
      </c>
      <c r="F1656" t="inlineStr">
        <is>
          <t>2026-03-07 09:50:19</t>
        </is>
      </c>
      <c r="G1656" t="inlineStr">
        <is>
          <t>图文</t>
        </is>
      </c>
      <c r="H1656" t="inlineStr">
        <is>
          <t>大虾基围虾王牌大虾厄瓜多尔白虾盐冻虾仁海洋大虾送礼顺丰包邮</t>
        </is>
      </c>
      <c r="I1656" t="inlineStr">
        <is>
          <t>690aeb7be379430001e686ac</t>
        </is>
      </c>
      <c r="J1656" t="inlineStr">
        <is>
          <t/>
        </is>
      </c>
      <c r="K1656" t="n">
        <v>0.0</v>
      </c>
      <c r="L1656" t="n">
        <v>0.0</v>
      </c>
      <c r="M1656" t="n">
        <v>0.0</v>
      </c>
      <c r="N1656" t="inlineStr">
        <is>
          <t/>
        </is>
      </c>
      <c r="O1656" t="n">
        <v>0.0</v>
      </c>
      <c r="P1656" t="n">
        <v>0.0</v>
      </c>
      <c r="Q1656" t="inlineStr">
        <is>
          <t/>
        </is>
      </c>
      <c r="R1656" t="inlineStr">
        <is>
          <t/>
        </is>
      </c>
      <c r="S1656" t="n">
        <v>0.0</v>
      </c>
      <c r="T1656" t="n">
        <v>0.0</v>
      </c>
      <c r="U1656" t="n">
        <v>0.0</v>
      </c>
      <c r="V1656" t="n">
        <v>0.0</v>
      </c>
      <c r="W1656" t="inlineStr">
        <is>
          <t/>
        </is>
      </c>
      <c r="X1656" t="n">
        <v>0.0</v>
      </c>
      <c r="Y1656" t="n">
        <v>0.0</v>
      </c>
      <c r="Z1656" t="n">
        <v>0.0</v>
      </c>
      <c r="AA1656" t="n">
        <v>0.0</v>
      </c>
      <c r="AB1656" t="n">
        <v>0.0</v>
      </c>
      <c r="AC1656" t="n">
        <v>0.0</v>
      </c>
      <c r="AD1656" t="n">
        <v>0.0</v>
      </c>
      <c r="AE1656" t="n">
        <v>0.0</v>
      </c>
      <c r="AF1656" t="n">
        <v>0.0</v>
      </c>
      <c r="AG1656" t="n">
        <v>0.0</v>
      </c>
      <c r="AH1656" t="n">
        <v>0.0</v>
      </c>
      <c r="AI1656" t="n">
        <v>0.0</v>
      </c>
      <c r="AJ1656" t="n">
        <v>0.0</v>
      </c>
      <c r="AK1656" t="inlineStr">
        <is>
          <t/>
        </is>
      </c>
      <c r="AL1656" t="inlineStr">
        <is>
          <t/>
        </is>
      </c>
    </row>
    <row r="1657">
      <c r="A1657" t="inlineStr">
        <is>
          <t>抱歉商超，找到大虾源头了</t>
        </is>
      </c>
      <c r="B1657" t="inlineStr">
        <is>
          <t>69a951ca000000002801f02d</t>
        </is>
      </c>
      <c r="C1657" s="1656" t="n">
        <f>HYPERLINK("https://www.xiaohongshu.com/explore/69a951ca000000002801f02d?xsec_token=TBX1UPru9xmrqAy_hfS76Tmi5ljZYZRdVKLwikZIk2-r8=&amp;xsec_source=pc_trdark","https://www.xiaohongshu.com/explore/69a951ca000000002801f02d?xsec_token=TBX1UPru9xmrqAy_hfS76Tmi5ljZYZRdVKLwikZIk2-r8=&amp;xsec_source=pc_trdark")</f>
        <v>0.0</v>
      </c>
      <c r="D1657" t="inlineStr">
        <is>
          <t>鲜水湾</t>
        </is>
      </c>
      <c r="E1657" t="inlineStr">
        <is>
          <t>49316638994</t>
        </is>
      </c>
      <c r="F1657" t="inlineStr">
        <is>
          <t>2026-03-05 17:50:02</t>
        </is>
      </c>
      <c r="G1657" t="inlineStr">
        <is>
          <t>图文</t>
        </is>
      </c>
      <c r="H1657" t="inlineStr">
        <is>
          <t>大虾基围虾王牌大虾厄瓜多尔白虾盐冻虾仁海洋大虾送礼顺丰包邮</t>
        </is>
      </c>
      <c r="I1657" t="inlineStr">
        <is>
          <t>690aeb7be379430001e686ac</t>
        </is>
      </c>
      <c r="J1657" t="inlineStr">
        <is>
          <t/>
        </is>
      </c>
      <c r="K1657" t="n">
        <v>0.0</v>
      </c>
      <c r="L1657" t="n">
        <v>0.0</v>
      </c>
      <c r="M1657" t="n">
        <v>0.0</v>
      </c>
      <c r="N1657" t="inlineStr">
        <is>
          <t/>
        </is>
      </c>
      <c r="O1657" t="n">
        <v>0.0</v>
      </c>
      <c r="P1657" t="n">
        <v>0.0</v>
      </c>
      <c r="Q1657" t="inlineStr">
        <is>
          <t/>
        </is>
      </c>
      <c r="R1657" t="inlineStr">
        <is>
          <t/>
        </is>
      </c>
      <c r="S1657" t="n">
        <v>0.0</v>
      </c>
      <c r="T1657" t="n">
        <v>0.0</v>
      </c>
      <c r="U1657" t="n">
        <v>0.0</v>
      </c>
      <c r="V1657" t="n">
        <v>0.0</v>
      </c>
      <c r="W1657" t="inlineStr">
        <is>
          <t/>
        </is>
      </c>
      <c r="X1657" t="n">
        <v>0.0</v>
      </c>
      <c r="Y1657" t="n">
        <v>0.0</v>
      </c>
      <c r="Z1657" t="n">
        <v>0.0</v>
      </c>
      <c r="AA1657" t="n">
        <v>0.0</v>
      </c>
      <c r="AB1657" t="n">
        <v>0.0</v>
      </c>
      <c r="AC1657" t="n">
        <v>0.0</v>
      </c>
      <c r="AD1657" t="n">
        <v>0.0</v>
      </c>
      <c r="AE1657" t="n">
        <v>0.0</v>
      </c>
      <c r="AF1657" t="n">
        <v>0.0</v>
      </c>
      <c r="AG1657" t="n">
        <v>0.0</v>
      </c>
      <c r="AH1657" t="n">
        <v>0.0</v>
      </c>
      <c r="AI1657" t="n">
        <v>0.0</v>
      </c>
      <c r="AJ1657" t="n">
        <v>0.0</v>
      </c>
      <c r="AK1657" t="inlineStr">
        <is>
          <t/>
        </is>
      </c>
      <c r="AL1657" t="inlineStr">
        <is>
          <t/>
        </is>
      </c>
    </row>
    <row r="1658">
      <c r="A1658" t="inlineStr">
        <is>
          <t>不啰嗦了，300来块一整条</t>
        </is>
      </c>
      <c r="B1658" t="inlineStr">
        <is>
          <t>69a9313d000000002202051a</t>
        </is>
      </c>
      <c r="C1658" s="1657" t="n">
        <f>HYPERLINK("https://www.xiaohongshu.com/explore/69a9313d000000002202051a?xsec_token=TBX1UPru9xmrqAy_hfS76TmugbaunlLKC6JrddAjTNWCM=&amp;xsec_source=pc_trdark","https://www.xiaohongshu.com/explore/69a9313d000000002202051a?xsec_token=TBX1UPru9xmrqAy_hfS76TmugbaunlLKC6JrddAjTNWCM=&amp;xsec_source=pc_trdark")</f>
        <v>0.0</v>
      </c>
      <c r="D1658" t="inlineStr">
        <is>
          <t>鲜水湾甄选</t>
        </is>
      </c>
      <c r="E1658" t="inlineStr">
        <is>
          <t>27401929161</t>
        </is>
      </c>
      <c r="F1658" t="inlineStr">
        <is>
          <t>2026-03-05 15:31:09</t>
        </is>
      </c>
      <c r="G1658" t="inlineStr">
        <is>
          <t>图文</t>
        </is>
      </c>
      <c r="H1658" t="inlineStr">
        <is>
          <t>智利三文鱼切块·整条三文鱼·深海鱼一人食健康饮食</t>
        </is>
      </c>
      <c r="I1658" t="inlineStr">
        <is>
          <t>691ac562a524ee0001b51d7b</t>
        </is>
      </c>
      <c r="J1658" t="inlineStr">
        <is>
          <t/>
        </is>
      </c>
      <c r="K1658" t="n">
        <v>0.0</v>
      </c>
      <c r="L1658" t="n">
        <v>0.0</v>
      </c>
      <c r="M1658" t="n">
        <v>0.0</v>
      </c>
      <c r="N1658" t="inlineStr">
        <is>
          <t/>
        </is>
      </c>
      <c r="O1658" t="n">
        <v>0.0</v>
      </c>
      <c r="P1658" t="n">
        <v>0.0</v>
      </c>
      <c r="Q1658" t="inlineStr">
        <is>
          <t/>
        </is>
      </c>
      <c r="R1658" t="inlineStr">
        <is>
          <t/>
        </is>
      </c>
      <c r="S1658" t="n">
        <v>0.0</v>
      </c>
      <c r="T1658" t="n">
        <v>0.0</v>
      </c>
      <c r="U1658" t="n">
        <v>0.0</v>
      </c>
      <c r="V1658" t="n">
        <v>0.0</v>
      </c>
      <c r="W1658" t="inlineStr">
        <is>
          <t/>
        </is>
      </c>
      <c r="X1658" t="n">
        <v>0.0</v>
      </c>
      <c r="Y1658" t="n">
        <v>0.0</v>
      </c>
      <c r="Z1658" t="n">
        <v>0.0</v>
      </c>
      <c r="AA1658" t="n">
        <v>0.0</v>
      </c>
      <c r="AB1658" t="n">
        <v>0.0</v>
      </c>
      <c r="AC1658" t="n">
        <v>0.0</v>
      </c>
      <c r="AD1658" t="n">
        <v>0.0</v>
      </c>
      <c r="AE1658" t="n">
        <v>0.0</v>
      </c>
      <c r="AF1658" t="n">
        <v>0.0</v>
      </c>
      <c r="AG1658" t="n">
        <v>0.0</v>
      </c>
      <c r="AH1658" t="n">
        <v>0.0</v>
      </c>
      <c r="AI1658" t="n">
        <v>0.0</v>
      </c>
      <c r="AJ1658" t="n">
        <v>0.0</v>
      </c>
      <c r="AK1658" t="inlineStr">
        <is>
          <t/>
        </is>
      </c>
      <c r="AL1658" t="inlineStr">
        <is>
          <t/>
        </is>
      </c>
    </row>
    <row r="1659">
      <c r="A1659" t="inlineStr">
        <is>
          <t>别再节食了！打工人这样吃，反而瘦得快</t>
        </is>
      </c>
      <c r="B1659" t="inlineStr">
        <is>
          <t>69a91ce00000000028023ab3</t>
        </is>
      </c>
      <c r="C1659" s="1658" t="n">
        <f>HYPERLINK("https://www.xiaohongshu.com/explore/69a91ce00000000028023ab3?xsec_token=TBX1UPru9xmrqAy_hfS76TmnQV2vtn3hOozsdXNiQBY2U=&amp;xsec_source=pc_trdark","https://www.xiaohongshu.com/explore/69a91ce00000000028023ab3?xsec_token=TBX1UPru9xmrqAy_hfS76TmnQV2vtn3hOozsdXNiQBY2U=&amp;xsec_source=pc_trdark")</f>
        <v>0.0</v>
      </c>
      <c r="D1659" t="inlineStr">
        <is>
          <t>鲜水湾</t>
        </is>
      </c>
      <c r="E1659" t="inlineStr">
        <is>
          <t>49316638994</t>
        </is>
      </c>
      <c r="F1659" t="inlineStr">
        <is>
          <t>2026-03-05 14:04:16</t>
        </is>
      </c>
      <c r="G1659" t="inlineStr">
        <is>
          <t>图文</t>
        </is>
      </c>
      <c r="H1659" t="inlineStr">
        <is>
          <t>大虾基围虾王牌大虾厄瓜多尔白虾盐冻虾仁海洋大虾送礼顺丰包邮</t>
        </is>
      </c>
      <c r="I1659" t="inlineStr">
        <is>
          <t>690aeb7be379430001e686ac</t>
        </is>
      </c>
      <c r="J1659" t="inlineStr">
        <is>
          <t/>
        </is>
      </c>
      <c r="K1659" t="n">
        <v>0.0</v>
      </c>
      <c r="L1659" t="n">
        <v>0.0</v>
      </c>
      <c r="M1659" t="n">
        <v>0.0</v>
      </c>
      <c r="N1659" t="inlineStr">
        <is>
          <t/>
        </is>
      </c>
      <c r="O1659" t="n">
        <v>0.0</v>
      </c>
      <c r="P1659" t="n">
        <v>0.0</v>
      </c>
      <c r="Q1659" t="inlineStr">
        <is>
          <t/>
        </is>
      </c>
      <c r="R1659" t="inlineStr">
        <is>
          <t/>
        </is>
      </c>
      <c r="S1659" t="n">
        <v>0.0</v>
      </c>
      <c r="T1659" t="n">
        <v>0.0</v>
      </c>
      <c r="U1659" t="n">
        <v>0.0</v>
      </c>
      <c r="V1659" t="n">
        <v>0.0</v>
      </c>
      <c r="W1659" t="inlineStr">
        <is>
          <t/>
        </is>
      </c>
      <c r="X1659" t="n">
        <v>0.0</v>
      </c>
      <c r="Y1659" t="n">
        <v>0.0</v>
      </c>
      <c r="Z1659" t="n">
        <v>0.0</v>
      </c>
      <c r="AA1659" t="n">
        <v>0.0</v>
      </c>
      <c r="AB1659" t="n">
        <v>0.0</v>
      </c>
      <c r="AC1659" t="n">
        <v>0.0</v>
      </c>
      <c r="AD1659" t="n">
        <v>0.0</v>
      </c>
      <c r="AE1659" t="n">
        <v>0.0</v>
      </c>
      <c r="AF1659" t="n">
        <v>0.0</v>
      </c>
      <c r="AG1659" t="n">
        <v>0.0</v>
      </c>
      <c r="AH1659" t="n">
        <v>0.0</v>
      </c>
      <c r="AI1659" t="n">
        <v>0.0</v>
      </c>
      <c r="AJ1659" t="n">
        <v>0.0</v>
      </c>
      <c r="AK1659" t="inlineStr">
        <is>
          <t/>
        </is>
      </c>
      <c r="AL1659" t="inlineStr">
        <is>
          <t/>
        </is>
      </c>
    </row>
    <row r="1660">
      <c r="A1660" t="inlineStr">
        <is>
          <t>300来块真的可以爽吃一个月三文鱼</t>
        </is>
      </c>
      <c r="B1660" t="inlineStr">
        <is>
          <t>69a9172c000000002603da23</t>
        </is>
      </c>
      <c r="C1660" s="1659" t="n">
        <f>HYPERLINK("https://www.xiaohongshu.com/explore/69a9172c000000002603da23?xsec_token=TBX1UPru9xmrqAy_hfS76TmlsKLy6u0KPdMpW9zABhv_8=&amp;xsec_source=pc_trdark","https://www.xiaohongshu.com/explore/69a9172c000000002603da23?xsec_token=TBX1UPru9xmrqAy_hfS76TmlsKLy6u0KPdMpW9zABhv_8=&amp;xsec_source=pc_trdark")</f>
        <v>0.0</v>
      </c>
      <c r="D1660" t="inlineStr">
        <is>
          <t>鲜水湾甄选</t>
        </is>
      </c>
      <c r="E1660" t="inlineStr">
        <is>
          <t>27401929161</t>
        </is>
      </c>
      <c r="F1660" t="inlineStr">
        <is>
          <t>2026-03-05 13:39:56</t>
        </is>
      </c>
      <c r="G1660" t="inlineStr">
        <is>
          <t>图文</t>
        </is>
      </c>
      <c r="H1660" t="inlineStr">
        <is>
          <t>智利三文鱼切块·整条三文鱼·深海鱼一人食健康饮食</t>
        </is>
      </c>
      <c r="I1660" t="inlineStr">
        <is>
          <t>691ac562a524ee0001b51d7b</t>
        </is>
      </c>
      <c r="J1660" t="inlineStr">
        <is>
          <t/>
        </is>
      </c>
      <c r="K1660" t="n">
        <v>0.0</v>
      </c>
      <c r="L1660" t="n">
        <v>0.0</v>
      </c>
      <c r="M1660" t="n">
        <v>0.0</v>
      </c>
      <c r="N1660" t="inlineStr">
        <is>
          <t/>
        </is>
      </c>
      <c r="O1660" t="n">
        <v>0.0</v>
      </c>
      <c r="P1660" t="n">
        <v>0.0</v>
      </c>
      <c r="Q1660" t="inlineStr">
        <is>
          <t/>
        </is>
      </c>
      <c r="R1660" t="inlineStr">
        <is>
          <t/>
        </is>
      </c>
      <c r="S1660" t="n">
        <v>0.0</v>
      </c>
      <c r="T1660" t="n">
        <v>0.0</v>
      </c>
      <c r="U1660" t="n">
        <v>0.0</v>
      </c>
      <c r="V1660" t="n">
        <v>0.0</v>
      </c>
      <c r="W1660" t="inlineStr">
        <is>
          <t/>
        </is>
      </c>
      <c r="X1660" t="n">
        <v>0.0</v>
      </c>
      <c r="Y1660" t="n">
        <v>0.0</v>
      </c>
      <c r="Z1660" t="n">
        <v>0.0</v>
      </c>
      <c r="AA1660" t="n">
        <v>0.0</v>
      </c>
      <c r="AB1660" t="n">
        <v>0.0</v>
      </c>
      <c r="AC1660" t="n">
        <v>0.0</v>
      </c>
      <c r="AD1660" t="n">
        <v>0.0</v>
      </c>
      <c r="AE1660" t="n">
        <v>0.0</v>
      </c>
      <c r="AF1660" t="n">
        <v>0.0</v>
      </c>
      <c r="AG1660" t="n">
        <v>0.0</v>
      </c>
      <c r="AH1660" t="n">
        <v>0.0</v>
      </c>
      <c r="AI1660" t="n">
        <v>0.0</v>
      </c>
      <c r="AJ1660" t="n">
        <v>0.0</v>
      </c>
      <c r="AK1660" t="inlineStr">
        <is>
          <t/>
        </is>
      </c>
      <c r="AL1660" t="inlineStr">
        <is>
          <t/>
        </is>
      </c>
    </row>
    <row r="1661">
      <c r="A1661" t="inlineStr">
        <is>
          <t>月薪3k也能实现三文鱼自由！减脂党闭眼冲</t>
        </is>
      </c>
      <c r="B1661" t="inlineStr">
        <is>
          <t>69a8ec06000000002203217f</t>
        </is>
      </c>
      <c r="C1661" s="1660" t="n">
        <f>HYPERLINK("https://www.xiaohongshu.com/explore/69a8ec06000000002203217f?xsec_token=TBoPbpeIhQUL4QR6_LMsKnIUHSQSgX9HbTdBWveVp3JHw=&amp;xsec_source=pc_trdark","https://www.xiaohongshu.com/explore/69a8ec06000000002203217f?xsec_token=TBoPbpeIhQUL4QR6_LMsKnIUHSQSgX9HbTdBWveVp3JHw=&amp;xsec_source=pc_trdark")</f>
        <v>0.0</v>
      </c>
      <c r="D1661" t="inlineStr">
        <is>
          <t>鲜水湾甄选</t>
        </is>
      </c>
      <c r="E1661" t="inlineStr">
        <is>
          <t>27401929161</t>
        </is>
      </c>
      <c r="F1661" t="inlineStr">
        <is>
          <t>2026-03-05 10:35:50</t>
        </is>
      </c>
      <c r="G1661" t="inlineStr">
        <is>
          <t>图文</t>
        </is>
      </c>
      <c r="H1661" t="inlineStr">
        <is>
          <t>智利三文鱼切块·整条三文鱼·深海鱼一人食健康饮食</t>
        </is>
      </c>
      <c r="I1661" t="inlineStr">
        <is>
          <t>691ac562a524ee0001b51d7b</t>
        </is>
      </c>
      <c r="J1661" t="inlineStr">
        <is>
          <t/>
        </is>
      </c>
      <c r="K1661" t="n">
        <v>0.0</v>
      </c>
      <c r="L1661" t="n">
        <v>0.0</v>
      </c>
      <c r="M1661" t="n">
        <v>0.0</v>
      </c>
      <c r="N1661" t="inlineStr">
        <is>
          <t/>
        </is>
      </c>
      <c r="O1661" t="n">
        <v>0.0</v>
      </c>
      <c r="P1661" t="n">
        <v>0.0</v>
      </c>
      <c r="Q1661" t="inlineStr">
        <is>
          <t/>
        </is>
      </c>
      <c r="R1661" t="inlineStr">
        <is>
          <t/>
        </is>
      </c>
      <c r="S1661" t="n">
        <v>0.0</v>
      </c>
      <c r="T1661" t="n">
        <v>0.0</v>
      </c>
      <c r="U1661" t="n">
        <v>0.0</v>
      </c>
      <c r="V1661" t="n">
        <v>0.0</v>
      </c>
      <c r="W1661" t="inlineStr">
        <is>
          <t/>
        </is>
      </c>
      <c r="X1661" t="n">
        <v>0.0</v>
      </c>
      <c r="Y1661" t="n">
        <v>0.0</v>
      </c>
      <c r="Z1661" t="n">
        <v>0.0</v>
      </c>
      <c r="AA1661" t="n">
        <v>0.0</v>
      </c>
      <c r="AB1661" t="n">
        <v>0.0</v>
      </c>
      <c r="AC1661" t="n">
        <v>0.0</v>
      </c>
      <c r="AD1661" t="n">
        <v>0.0</v>
      </c>
      <c r="AE1661" t="n">
        <v>0.0</v>
      </c>
      <c r="AF1661" t="n">
        <v>0.0</v>
      </c>
      <c r="AG1661" t="n">
        <v>0.0</v>
      </c>
      <c r="AH1661" t="n">
        <v>0.0</v>
      </c>
      <c r="AI1661" t="n">
        <v>0.0</v>
      </c>
      <c r="AJ1661" t="n">
        <v>0.0</v>
      </c>
      <c r="AK1661" t="inlineStr">
        <is>
          <t/>
        </is>
      </c>
      <c r="AL1661" t="inlineStr">
        <is>
          <t/>
        </is>
      </c>
    </row>
    <row r="1662">
      <c r="A1662" t="inlineStr">
        <is>
          <t>某姆没有！因为我为早八姐妹定制的小包装</t>
        </is>
      </c>
      <c r="B1662" t="inlineStr">
        <is>
          <t>69a83e5d000000001a034aec</t>
        </is>
      </c>
      <c r="C1662" s="1661" t="n">
        <f>HYPERLINK("https://www.xiaohongshu.com/explore/69a83e5d000000001a034aec?xsec_token=TBoPbpeIhQUL4QR6_LMsKnIcmF2dFWD17Il9jWEgbYuGU=&amp;xsec_source=pc_trdark","https://www.xiaohongshu.com/explore/69a83e5d000000001a034aec?xsec_token=TBoPbpeIhQUL4QR6_LMsKnIcmF2dFWD17Il9jWEgbYuGU=&amp;xsec_source=pc_trdark")</f>
        <v>0.0</v>
      </c>
      <c r="D1662" t="inlineStr">
        <is>
          <t>鲜水湾</t>
        </is>
      </c>
      <c r="E1662" t="inlineStr">
        <is>
          <t>49316638994</t>
        </is>
      </c>
      <c r="F1662" t="inlineStr">
        <is>
          <t>2026-03-04 22:14:53</t>
        </is>
      </c>
      <c r="G1662" t="inlineStr">
        <is>
          <t>图文</t>
        </is>
      </c>
      <c r="H1662" t="inlineStr">
        <is>
          <t>手剥虾仁 无冰衣无添加 低脂餐一人食 上班带饭 顺丰包邮 5盒装</t>
        </is>
      </c>
      <c r="I1662" t="inlineStr">
        <is>
          <t>694baba01d450d00013662f0</t>
        </is>
      </c>
      <c r="J1662" t="inlineStr">
        <is>
          <t/>
        </is>
      </c>
      <c r="K1662" t="n">
        <v>0.0</v>
      </c>
      <c r="L1662" t="n">
        <v>0.0</v>
      </c>
      <c r="M1662" t="n">
        <v>0.0</v>
      </c>
      <c r="N1662" t="inlineStr">
        <is>
          <t/>
        </is>
      </c>
      <c r="O1662" t="n">
        <v>0.0</v>
      </c>
      <c r="P1662" t="n">
        <v>0.0</v>
      </c>
      <c r="Q1662" t="inlineStr">
        <is>
          <t/>
        </is>
      </c>
      <c r="R1662" t="inlineStr">
        <is>
          <t/>
        </is>
      </c>
      <c r="S1662" t="n">
        <v>0.0</v>
      </c>
      <c r="T1662" t="n">
        <v>0.0</v>
      </c>
      <c r="U1662" t="n">
        <v>0.0</v>
      </c>
      <c r="V1662" t="n">
        <v>0.0</v>
      </c>
      <c r="W1662" t="inlineStr">
        <is>
          <t/>
        </is>
      </c>
      <c r="X1662" t="n">
        <v>0.0</v>
      </c>
      <c r="Y1662" t="n">
        <v>0.0</v>
      </c>
      <c r="Z1662" t="n">
        <v>0.0</v>
      </c>
      <c r="AA1662" t="n">
        <v>0.0</v>
      </c>
      <c r="AB1662" t="n">
        <v>0.0</v>
      </c>
      <c r="AC1662" t="n">
        <v>0.0</v>
      </c>
      <c r="AD1662" t="n">
        <v>0.0</v>
      </c>
      <c r="AE1662" t="n">
        <v>0.0</v>
      </c>
      <c r="AF1662" t="n">
        <v>0.0</v>
      </c>
      <c r="AG1662" t="n">
        <v>0.0</v>
      </c>
      <c r="AH1662" t="n">
        <v>0.0</v>
      </c>
      <c r="AI1662" t="n">
        <v>0.0</v>
      </c>
      <c r="AJ1662" t="n">
        <v>0.0</v>
      </c>
      <c r="AK1662" t="inlineStr">
        <is>
          <t/>
        </is>
      </c>
      <c r="AL1662" t="inlineStr">
        <is>
          <t/>
        </is>
      </c>
    </row>
    <row r="1663">
      <c r="A1663" t="inlineStr">
        <is>
          <t>当代减脂人的冰箱！无痛备菜！</t>
        </is>
      </c>
      <c r="B1663" t="inlineStr">
        <is>
          <t>69a7f805000000000d009847</t>
        </is>
      </c>
      <c r="C1663" s="1662" t="n">
        <f>HYPERLINK("https://www.xiaohongshu.com/explore/69a7f805000000000d009847?xsec_token=TBfaHJOfbObHzNAqAc3bkGM3aKtHbBj0Voeot7tjR38rs=&amp;xsec_source=pc_trdark","https://www.xiaohongshu.com/explore/69a7f805000000000d009847?xsec_token=TBfaHJOfbObHzNAqAc3bkGM3aKtHbBj0Voeot7tjR38rs=&amp;xsec_source=pc_trdark")</f>
        <v>0.0</v>
      </c>
      <c r="D1663" t="inlineStr">
        <is>
          <t>鲜水湾</t>
        </is>
      </c>
      <c r="E1663" t="inlineStr">
        <is>
          <t>49316638994</t>
        </is>
      </c>
      <c r="F1663" t="inlineStr">
        <is>
          <t>2026-03-04 17:14:46</t>
        </is>
      </c>
      <c r="G1663" t="inlineStr">
        <is>
          <t>图文</t>
        </is>
      </c>
      <c r="H1663" t="inlineStr">
        <is>
          <t>手剥虾仁 无冰衣无添加 低脂餐一人食 上班带饭 顺丰包邮 5盒装</t>
        </is>
      </c>
      <c r="I1663" t="inlineStr">
        <is>
          <t>694baba01d450d00013662f0</t>
        </is>
      </c>
      <c r="J1663" t="inlineStr">
        <is>
          <t/>
        </is>
      </c>
      <c r="K1663" t="n">
        <v>0.0</v>
      </c>
      <c r="L1663" t="n">
        <v>0.0</v>
      </c>
      <c r="M1663" t="n">
        <v>0.0</v>
      </c>
      <c r="N1663" t="inlineStr">
        <is>
          <t/>
        </is>
      </c>
      <c r="O1663" t="n">
        <v>0.0</v>
      </c>
      <c r="P1663" t="n">
        <v>0.0</v>
      </c>
      <c r="Q1663" t="inlineStr">
        <is>
          <t/>
        </is>
      </c>
      <c r="R1663" t="inlineStr">
        <is>
          <t/>
        </is>
      </c>
      <c r="S1663" t="n">
        <v>0.0</v>
      </c>
      <c r="T1663" t="n">
        <v>0.0</v>
      </c>
      <c r="U1663" t="n">
        <v>0.0</v>
      </c>
      <c r="V1663" t="n">
        <v>0.0</v>
      </c>
      <c r="W1663" t="inlineStr">
        <is>
          <t/>
        </is>
      </c>
      <c r="X1663" t="n">
        <v>0.0</v>
      </c>
      <c r="Y1663" t="n">
        <v>0.0</v>
      </c>
      <c r="Z1663" t="n">
        <v>0.0</v>
      </c>
      <c r="AA1663" t="n">
        <v>0.0</v>
      </c>
      <c r="AB1663" t="n">
        <v>0.0</v>
      </c>
      <c r="AC1663" t="n">
        <v>0.0</v>
      </c>
      <c r="AD1663" t="n">
        <v>0.0</v>
      </c>
      <c r="AE1663" t="n">
        <v>0.0</v>
      </c>
      <c r="AF1663" t="n">
        <v>0.0</v>
      </c>
      <c r="AG1663" t="n">
        <v>0.0</v>
      </c>
      <c r="AH1663" t="n">
        <v>0.0</v>
      </c>
      <c r="AI1663" t="n">
        <v>0.0</v>
      </c>
      <c r="AJ1663" t="n">
        <v>0.0</v>
      </c>
      <c r="AK1663" t="inlineStr">
        <is>
          <t/>
        </is>
      </c>
      <c r="AL1663" t="inlineStr">
        <is>
          <t/>
        </is>
      </c>
    </row>
    <row r="1664">
      <c r="A1664" t="inlineStr">
        <is>
          <t>上班带饭！我推荐这款8斤整条三文鱼</t>
        </is>
      </c>
      <c r="B1664" t="inlineStr">
        <is>
          <t>69a7e033000000002202f15e</t>
        </is>
      </c>
      <c r="C1664" s="1663" t="n">
        <f>HYPERLINK("https://www.xiaohongshu.com/explore/69a7e033000000002202f15e?xsec_token=TBfaHJOfbObHzNAqAc3bkGM63pso5-p8oM0ORzbfiCt-8=&amp;xsec_source=pc_trdark","https://www.xiaohongshu.com/explore/69a7e033000000002202f15e?xsec_token=TBfaHJOfbObHzNAqAc3bkGM63pso5-p8oM0ORzbfiCt-8=&amp;xsec_source=pc_trdark")</f>
        <v>0.0</v>
      </c>
      <c r="D1664" t="inlineStr">
        <is>
          <t>鲜水湾甄选</t>
        </is>
      </c>
      <c r="E1664" t="inlineStr">
        <is>
          <t>27401929161</t>
        </is>
      </c>
      <c r="F1664" t="inlineStr">
        <is>
          <t>2026-03-04 15:33:07</t>
        </is>
      </c>
      <c r="G1664" t="inlineStr">
        <is>
          <t>图文</t>
        </is>
      </c>
      <c r="H1664" t="inlineStr">
        <is>
          <t>智利三文鱼切块·整条三文鱼·深海鱼一人食健康饮食</t>
        </is>
      </c>
      <c r="I1664" t="inlineStr">
        <is>
          <t>691ac562a524ee0001b51d7b</t>
        </is>
      </c>
      <c r="J1664" t="inlineStr">
        <is>
          <t/>
        </is>
      </c>
      <c r="K1664" t="n">
        <v>0.0</v>
      </c>
      <c r="L1664" t="n">
        <v>0.0</v>
      </c>
      <c r="M1664" t="n">
        <v>0.0</v>
      </c>
      <c r="N1664" t="inlineStr">
        <is>
          <t/>
        </is>
      </c>
      <c r="O1664" t="n">
        <v>0.0</v>
      </c>
      <c r="P1664" t="n">
        <v>0.0</v>
      </c>
      <c r="Q1664" t="inlineStr">
        <is>
          <t/>
        </is>
      </c>
      <c r="R1664" t="inlineStr">
        <is>
          <t/>
        </is>
      </c>
      <c r="S1664" t="n">
        <v>0.0</v>
      </c>
      <c r="T1664" t="n">
        <v>0.0</v>
      </c>
      <c r="U1664" t="n">
        <v>0.0</v>
      </c>
      <c r="V1664" t="n">
        <v>0.0</v>
      </c>
      <c r="W1664" t="inlineStr">
        <is>
          <t/>
        </is>
      </c>
      <c r="X1664" t="n">
        <v>0.0</v>
      </c>
      <c r="Y1664" t="n">
        <v>0.0</v>
      </c>
      <c r="Z1664" t="n">
        <v>0.0</v>
      </c>
      <c r="AA1664" t="n">
        <v>0.0</v>
      </c>
      <c r="AB1664" t="n">
        <v>0.0</v>
      </c>
      <c r="AC1664" t="n">
        <v>0.0</v>
      </c>
      <c r="AD1664" t="n">
        <v>0.0</v>
      </c>
      <c r="AE1664" t="n">
        <v>0.0</v>
      </c>
      <c r="AF1664" t="n">
        <v>0.0</v>
      </c>
      <c r="AG1664" t="n">
        <v>0.0</v>
      </c>
      <c r="AH1664" t="n">
        <v>0.0</v>
      </c>
      <c r="AI1664" t="n">
        <v>0.0</v>
      </c>
      <c r="AJ1664" t="n">
        <v>0.0</v>
      </c>
      <c r="AK1664" t="inlineStr">
        <is>
          <t/>
        </is>
      </c>
      <c r="AL1664" t="inlineStr">
        <is>
          <t/>
        </is>
      </c>
    </row>
    <row r="1665">
      <c r="A1665" t="inlineStr">
        <is>
          <t>自己赚钱后报复性吃虾吃到撑</t>
        </is>
      </c>
      <c r="B1665" t="inlineStr">
        <is>
          <t>69a7da05000000001a02810a</t>
        </is>
      </c>
      <c r="C1665" s="1664" t="n">
        <f>HYPERLINK("https://www.xiaohongshu.com/explore/69a7da05000000001a02810a?xsec_token=TBfaHJOfbObHzNAqAc3bkGM4fKzf5VrkQIuOL4ZVI0_oE=&amp;xsec_source=pc_trdark","https://www.xiaohongshu.com/explore/69a7da05000000001a02810a?xsec_token=TBfaHJOfbObHzNAqAc3bkGM4fKzf5VrkQIuOL4ZVI0_oE=&amp;xsec_source=pc_trdark")</f>
        <v>0.0</v>
      </c>
      <c r="D1665" t="inlineStr">
        <is>
          <t>鲜水湾</t>
        </is>
      </c>
      <c r="E1665" t="inlineStr">
        <is>
          <t>49316638994</t>
        </is>
      </c>
      <c r="F1665" t="inlineStr">
        <is>
          <t>2026-03-04 15:06:45</t>
        </is>
      </c>
      <c r="G1665" t="inlineStr">
        <is>
          <t>图文</t>
        </is>
      </c>
      <c r="H1665" t="inlineStr">
        <is>
          <t>大虾基围虾王牌大虾厄瓜多尔白虾盐冻虾仁海洋大虾送礼顺丰包邮</t>
        </is>
      </c>
      <c r="I1665" t="inlineStr">
        <is>
          <t>690aeb7be379430001e686ac</t>
        </is>
      </c>
      <c r="J1665" t="inlineStr">
        <is>
          <t/>
        </is>
      </c>
      <c r="K1665" t="n">
        <v>0.0</v>
      </c>
      <c r="L1665" t="n">
        <v>0.0</v>
      </c>
      <c r="M1665" t="n">
        <v>0.0</v>
      </c>
      <c r="N1665" t="inlineStr">
        <is>
          <t/>
        </is>
      </c>
      <c r="O1665" t="n">
        <v>0.0</v>
      </c>
      <c r="P1665" t="n">
        <v>0.0</v>
      </c>
      <c r="Q1665" t="inlineStr">
        <is>
          <t/>
        </is>
      </c>
      <c r="R1665" t="inlineStr">
        <is>
          <t/>
        </is>
      </c>
      <c r="S1665" t="n">
        <v>0.0</v>
      </c>
      <c r="T1665" t="n">
        <v>0.0</v>
      </c>
      <c r="U1665" t="n">
        <v>0.0</v>
      </c>
      <c r="V1665" t="n">
        <v>0.0</v>
      </c>
      <c r="W1665" t="inlineStr">
        <is>
          <t/>
        </is>
      </c>
      <c r="X1665" t="n">
        <v>0.0</v>
      </c>
      <c r="Y1665" t="n">
        <v>0.0</v>
      </c>
      <c r="Z1665" t="n">
        <v>0.0</v>
      </c>
      <c r="AA1665" t="n">
        <v>0.0</v>
      </c>
      <c r="AB1665" t="n">
        <v>0.0</v>
      </c>
      <c r="AC1665" t="n">
        <v>0.0</v>
      </c>
      <c r="AD1665" t="n">
        <v>0.0</v>
      </c>
      <c r="AE1665" t="n">
        <v>0.0</v>
      </c>
      <c r="AF1665" t="n">
        <v>0.0</v>
      </c>
      <c r="AG1665" t="n">
        <v>0.0</v>
      </c>
      <c r="AH1665" t="n">
        <v>0.0</v>
      </c>
      <c r="AI1665" t="n">
        <v>0.0</v>
      </c>
      <c r="AJ1665" t="n">
        <v>0.0</v>
      </c>
      <c r="AK1665" t="inlineStr">
        <is>
          <t/>
        </is>
      </c>
      <c r="AL1665" t="inlineStr">
        <is>
          <t/>
        </is>
      </c>
    </row>
    <row r="1666">
      <c r="A1666" t="inlineStr">
        <is>
          <t>办公室同事说我每天吃虾减脂很奢侈</t>
        </is>
      </c>
      <c r="B1666" t="inlineStr">
        <is>
          <t>69a7bcb7000000001a02cded</t>
        </is>
      </c>
      <c r="C1666" s="1665" t="n">
        <f>HYPERLINK("https://www.xiaohongshu.com/explore/69a7bcb7000000001a02cded?xsec_token=TBfaHJOfbObHzNAqAc3bkGM_9TgAkMXeM7t1RJx4giKXg=&amp;xsec_source=pc_trdark","https://www.xiaohongshu.com/explore/69a7bcb7000000001a02cded?xsec_token=TBfaHJOfbObHzNAqAc3bkGM_9TgAkMXeM7t1RJx4giKXg=&amp;xsec_source=pc_trdark")</f>
        <v>0.0</v>
      </c>
      <c r="D1666" t="inlineStr">
        <is>
          <t>鲜水湾</t>
        </is>
      </c>
      <c r="E1666" t="inlineStr">
        <is>
          <t>49316638994</t>
        </is>
      </c>
      <c r="F1666" t="inlineStr">
        <is>
          <t>2026-03-04 13:01:43</t>
        </is>
      </c>
      <c r="G1666" t="inlineStr">
        <is>
          <t>图文</t>
        </is>
      </c>
      <c r="H1666" t="inlineStr">
        <is>
          <t>大虾基围虾王牌大虾厄瓜多尔白虾盐冻虾仁海洋大虾送礼顺丰包邮</t>
        </is>
      </c>
      <c r="I1666" t="inlineStr">
        <is>
          <t>690aeb7be379430001e686ac</t>
        </is>
      </c>
      <c r="J1666" t="inlineStr">
        <is>
          <t/>
        </is>
      </c>
      <c r="K1666" t="n">
        <v>0.0</v>
      </c>
      <c r="L1666" t="n">
        <v>0.0</v>
      </c>
      <c r="M1666" t="n">
        <v>0.0</v>
      </c>
      <c r="N1666" t="inlineStr">
        <is>
          <t/>
        </is>
      </c>
      <c r="O1666" t="n">
        <v>0.0</v>
      </c>
      <c r="P1666" t="n">
        <v>0.0</v>
      </c>
      <c r="Q1666" t="inlineStr">
        <is>
          <t/>
        </is>
      </c>
      <c r="R1666" t="inlineStr">
        <is>
          <t/>
        </is>
      </c>
      <c r="S1666" t="n">
        <v>0.0</v>
      </c>
      <c r="T1666" t="n">
        <v>0.0</v>
      </c>
      <c r="U1666" t="n">
        <v>0.0</v>
      </c>
      <c r="V1666" t="n">
        <v>0.0</v>
      </c>
      <c r="W1666" t="inlineStr">
        <is>
          <t/>
        </is>
      </c>
      <c r="X1666" t="n">
        <v>0.0</v>
      </c>
      <c r="Y1666" t="n">
        <v>0.0</v>
      </c>
      <c r="Z1666" t="n">
        <v>0.0</v>
      </c>
      <c r="AA1666" t="n">
        <v>0.0</v>
      </c>
      <c r="AB1666" t="n">
        <v>0.0</v>
      </c>
      <c r="AC1666" t="n">
        <v>0.0</v>
      </c>
      <c r="AD1666" t="n">
        <v>0.0</v>
      </c>
      <c r="AE1666" t="n">
        <v>0.0</v>
      </c>
      <c r="AF1666" t="n">
        <v>0.0</v>
      </c>
      <c r="AG1666" t="n">
        <v>0.0</v>
      </c>
      <c r="AH1666" t="n">
        <v>0.0</v>
      </c>
      <c r="AI1666" t="n">
        <v>0.0</v>
      </c>
      <c r="AJ1666" t="n">
        <v>0.0</v>
      </c>
      <c r="AK1666" t="inlineStr">
        <is>
          <t/>
        </is>
      </c>
      <c r="AL1666" t="inlineStr">
        <is>
          <t/>
        </is>
      </c>
    </row>
    <row r="1667">
      <c r="A1667" t="inlineStr">
        <is>
          <t>69一盒大虾怎么才能让减脂的姐妹看到</t>
        </is>
      </c>
      <c r="B1667" t="inlineStr">
        <is>
          <t>69a6e5f8000000001a024b5f</t>
        </is>
      </c>
      <c r="C1667" s="1666" t="n">
        <f>HYPERLINK("https://www.xiaohongshu.com/explore/69a6e5f8000000001a024b5f?xsec_token=TBDC5ayGxbZoC8jUhTnn-Nf1Ew7hDD00WGHuLG5tW_4MI=&amp;xsec_source=pc_trdark","https://www.xiaohongshu.com/explore/69a6e5f8000000001a024b5f?xsec_token=TBDC5ayGxbZoC8jUhTnn-Nf1Ew7hDD00WGHuLG5tW_4MI=&amp;xsec_source=pc_trdark")</f>
        <v>0.0</v>
      </c>
      <c r="D1667" t="inlineStr">
        <is>
          <t>鲜水湾</t>
        </is>
      </c>
      <c r="E1667" t="inlineStr">
        <is>
          <t>49316638994</t>
        </is>
      </c>
      <c r="F1667" t="inlineStr">
        <is>
          <t>2026-03-03 21:45:28</t>
        </is>
      </c>
      <c r="G1667" t="inlineStr">
        <is>
          <t>图文</t>
        </is>
      </c>
      <c r="H1667" t="inlineStr">
        <is>
          <t>大虾基围虾王牌大虾厄瓜多尔白虾盐冻虾仁海洋大虾送礼顺丰包邮</t>
        </is>
      </c>
      <c r="I1667" t="inlineStr">
        <is>
          <t>690aeb7be379430001e686ac</t>
        </is>
      </c>
      <c r="J1667" t="inlineStr">
        <is>
          <t/>
        </is>
      </c>
      <c r="K1667" t="n">
        <v>0.0</v>
      </c>
      <c r="L1667" t="n">
        <v>0.0</v>
      </c>
      <c r="M1667" t="n">
        <v>0.0</v>
      </c>
      <c r="N1667" t="inlineStr">
        <is>
          <t/>
        </is>
      </c>
      <c r="O1667" t="n">
        <v>0.0</v>
      </c>
      <c r="P1667" t="n">
        <v>0.0</v>
      </c>
      <c r="Q1667" t="inlineStr">
        <is>
          <t/>
        </is>
      </c>
      <c r="R1667" t="inlineStr">
        <is>
          <t/>
        </is>
      </c>
      <c r="S1667" t="n">
        <v>0.0</v>
      </c>
      <c r="T1667" t="n">
        <v>0.0</v>
      </c>
      <c r="U1667" t="n">
        <v>0.0</v>
      </c>
      <c r="V1667" t="n">
        <v>0.0</v>
      </c>
      <c r="W1667" t="inlineStr">
        <is>
          <t/>
        </is>
      </c>
      <c r="X1667" t="n">
        <v>0.0</v>
      </c>
      <c r="Y1667" t="n">
        <v>0.0</v>
      </c>
      <c r="Z1667" t="n">
        <v>0.0</v>
      </c>
      <c r="AA1667" t="n">
        <v>0.0</v>
      </c>
      <c r="AB1667" t="n">
        <v>0.0</v>
      </c>
      <c r="AC1667" t="n">
        <v>0.0</v>
      </c>
      <c r="AD1667" t="n">
        <v>0.0</v>
      </c>
      <c r="AE1667" t="n">
        <v>0.0</v>
      </c>
      <c r="AF1667" t="n">
        <v>0.0</v>
      </c>
      <c r="AG1667" t="n">
        <v>0.0</v>
      </c>
      <c r="AH1667" t="n">
        <v>0.0</v>
      </c>
      <c r="AI1667" t="n">
        <v>0.0</v>
      </c>
      <c r="AJ1667" t="n">
        <v>0.0</v>
      </c>
      <c r="AK1667" t="inlineStr">
        <is>
          <t/>
        </is>
      </c>
      <c r="AL1667" t="inlineStr">
        <is>
          <t/>
        </is>
      </c>
    </row>
    <row r="1668">
      <c r="A1668" t="inlineStr">
        <is>
          <t>我也不想抢超市生意，可线下真买不到这价</t>
        </is>
      </c>
      <c r="B1668" t="inlineStr">
        <is>
          <t>69a6afc4000000001a0237ed</t>
        </is>
      </c>
      <c r="C1668" s="1667" t="n">
        <f>HYPERLINK("https://www.xiaohongshu.com/explore/69a6afc4000000001a0237ed?xsec_token=TBDC5ayGxbZoC8jUhTnn-Nf1gfmvPKKXPBz898O7VmQys=&amp;xsec_source=pc_trdark","https://www.xiaohongshu.com/explore/69a6afc4000000001a0237ed?xsec_token=TBDC5ayGxbZoC8jUhTnn-Nf1gfmvPKKXPBz898O7VmQys=&amp;xsec_source=pc_trdark")</f>
        <v>0.0</v>
      </c>
      <c r="D1668" t="inlineStr">
        <is>
          <t>鲜水湾</t>
        </is>
      </c>
      <c r="E1668" t="inlineStr">
        <is>
          <t>49316638994</t>
        </is>
      </c>
      <c r="F1668" t="inlineStr">
        <is>
          <t>2026-03-03 17:54:12</t>
        </is>
      </c>
      <c r="G1668" t="inlineStr">
        <is>
          <t>图文</t>
        </is>
      </c>
      <c r="H1668" t="inlineStr">
        <is>
          <t>大虾基围虾王牌大虾厄瓜多尔白虾盐冻虾仁海洋大虾送礼顺丰包邮</t>
        </is>
      </c>
      <c r="I1668" t="inlineStr">
        <is>
          <t>690aeb7be379430001e686ac</t>
        </is>
      </c>
      <c r="J1668" t="inlineStr">
        <is>
          <t/>
        </is>
      </c>
      <c r="K1668" t="n">
        <v>0.0</v>
      </c>
      <c r="L1668" t="n">
        <v>0.0</v>
      </c>
      <c r="M1668" t="n">
        <v>0.0</v>
      </c>
      <c r="N1668" t="inlineStr">
        <is>
          <t/>
        </is>
      </c>
      <c r="O1668" t="n">
        <v>0.0</v>
      </c>
      <c r="P1668" t="n">
        <v>0.0</v>
      </c>
      <c r="Q1668" t="inlineStr">
        <is>
          <t/>
        </is>
      </c>
      <c r="R1668" t="inlineStr">
        <is>
          <t/>
        </is>
      </c>
      <c r="S1668" t="n">
        <v>0.0</v>
      </c>
      <c r="T1668" t="n">
        <v>0.0</v>
      </c>
      <c r="U1668" t="n">
        <v>0.0</v>
      </c>
      <c r="V1668" t="n">
        <v>0.0</v>
      </c>
      <c r="W1668" t="inlineStr">
        <is>
          <t/>
        </is>
      </c>
      <c r="X1668" t="n">
        <v>0.0</v>
      </c>
      <c r="Y1668" t="n">
        <v>0.0</v>
      </c>
      <c r="Z1668" t="n">
        <v>0.0</v>
      </c>
      <c r="AA1668" t="n">
        <v>0.0</v>
      </c>
      <c r="AB1668" t="n">
        <v>0.0</v>
      </c>
      <c r="AC1668" t="n">
        <v>0.0</v>
      </c>
      <c r="AD1668" t="n">
        <v>0.0</v>
      </c>
      <c r="AE1668" t="n">
        <v>0.0</v>
      </c>
      <c r="AF1668" t="n">
        <v>0.0</v>
      </c>
      <c r="AG1668" t="n">
        <v>0.0</v>
      </c>
      <c r="AH1668" t="n">
        <v>0.0</v>
      </c>
      <c r="AI1668" t="n">
        <v>0.0</v>
      </c>
      <c r="AJ1668" t="n">
        <v>0.0</v>
      </c>
      <c r="AK1668" t="inlineStr">
        <is>
          <t/>
        </is>
      </c>
      <c r="AL1668" t="inlineStr">
        <is>
          <t/>
        </is>
      </c>
    </row>
    <row r="1669">
      <c r="A1669" t="inlineStr">
        <is>
          <t>60来块够我吃一周的减脂餐的了</t>
        </is>
      </c>
      <c r="B1669" t="inlineStr">
        <is>
          <t>69a69f6c000000001a027b60</t>
        </is>
      </c>
      <c r="C1669" s="1668" t="n">
        <f>HYPERLINK("https://www.xiaohongshu.com/explore/69a69f6c000000001a027b60?xsec_token=TBDC5ayGxbZoC8jUhTnn-Nf_T0qnggcL4GJo9lfGl9hv4=&amp;xsec_source=pc_trdark","https://www.xiaohongshu.com/explore/69a69f6c000000001a027b60?xsec_token=TBDC5ayGxbZoC8jUhTnn-Nf_T0qnggcL4GJo9lfGl9hv4=&amp;xsec_source=pc_trdark")</f>
        <v>0.0</v>
      </c>
      <c r="D1669" t="inlineStr">
        <is>
          <t>鲜水湾</t>
        </is>
      </c>
      <c r="E1669" t="inlineStr">
        <is>
          <t>49316638994</t>
        </is>
      </c>
      <c r="F1669" t="inlineStr">
        <is>
          <t>2026-03-03 16:44:28</t>
        </is>
      </c>
      <c r="G1669" t="inlineStr">
        <is>
          <t>图文</t>
        </is>
      </c>
      <c r="H1669" t="inlineStr">
        <is>
          <t>大虾基围虾王牌大虾厄瓜多尔白虾盐冻虾仁海洋大虾送礼顺丰包邮</t>
        </is>
      </c>
      <c r="I1669" t="inlineStr">
        <is>
          <t>690aeb7be379430001e686ac</t>
        </is>
      </c>
      <c r="J1669" t="inlineStr">
        <is>
          <t/>
        </is>
      </c>
      <c r="K1669" t="n">
        <v>0.0</v>
      </c>
      <c r="L1669" t="n">
        <v>0.0</v>
      </c>
      <c r="M1669" t="n">
        <v>0.0</v>
      </c>
      <c r="N1669" t="inlineStr">
        <is>
          <t/>
        </is>
      </c>
      <c r="O1669" t="n">
        <v>0.0</v>
      </c>
      <c r="P1669" t="n">
        <v>0.0</v>
      </c>
      <c r="Q1669" t="inlineStr">
        <is>
          <t/>
        </is>
      </c>
      <c r="R1669" t="inlineStr">
        <is>
          <t/>
        </is>
      </c>
      <c r="S1669" t="n">
        <v>0.0</v>
      </c>
      <c r="T1669" t="n">
        <v>0.0</v>
      </c>
      <c r="U1669" t="n">
        <v>0.0</v>
      </c>
      <c r="V1669" t="n">
        <v>0.0</v>
      </c>
      <c r="W1669" t="inlineStr">
        <is>
          <t/>
        </is>
      </c>
      <c r="X1669" t="n">
        <v>0.0</v>
      </c>
      <c r="Y1669" t="n">
        <v>0.0</v>
      </c>
      <c r="Z1669" t="n">
        <v>0.0</v>
      </c>
      <c r="AA1669" t="n">
        <v>0.0</v>
      </c>
      <c r="AB1669" t="n">
        <v>0.0</v>
      </c>
      <c r="AC1669" t="n">
        <v>0.0</v>
      </c>
      <c r="AD1669" t="n">
        <v>0.0</v>
      </c>
      <c r="AE1669" t="n">
        <v>0.0</v>
      </c>
      <c r="AF1669" t="n">
        <v>0.0</v>
      </c>
      <c r="AG1669" t="n">
        <v>0.0</v>
      </c>
      <c r="AH1669" t="n">
        <v>0.0</v>
      </c>
      <c r="AI1669" t="n">
        <v>0.0</v>
      </c>
      <c r="AJ1669" t="n">
        <v>0.0</v>
      </c>
      <c r="AK1669" t="inlineStr">
        <is>
          <t/>
        </is>
      </c>
      <c r="AL1669" t="inlineStr">
        <is>
          <t/>
        </is>
      </c>
    </row>
    <row r="1670">
      <c r="A1670" t="inlineStr">
        <is>
          <t>老妈商量后，推出0添加减脂专属小包</t>
        </is>
      </c>
      <c r="B1670" t="inlineStr">
        <is>
          <t>69a53fd7000000001a02c36d</t>
        </is>
      </c>
      <c r="C1670" s="1669" t="n">
        <f>HYPERLINK("https://www.xiaohongshu.com/explore/69a53fd7000000001a02c36d?xsec_token=TBYlw7GbYDMDbP_5WWJv6Kpwmc-Ir5JvcOap5FZXn5rbM=&amp;xsec_source=pc_trdark","https://www.xiaohongshu.com/explore/69a53fd7000000001a02c36d?xsec_token=TBYlw7GbYDMDbP_5WWJv6Kpwmc-Ir5JvcOap5FZXn5rbM=&amp;xsec_source=pc_trdark")</f>
        <v>0.0</v>
      </c>
      <c r="D1670" t="inlineStr">
        <is>
          <t>婉婉上班吃什么</t>
        </is>
      </c>
      <c r="E1670" t="inlineStr">
        <is>
          <t>11434449706</t>
        </is>
      </c>
      <c r="F1670" t="inlineStr">
        <is>
          <t>2026-03-02 15:44:23</t>
        </is>
      </c>
      <c r="G1670" t="inlineStr">
        <is>
          <t>图文</t>
        </is>
      </c>
      <c r="H1670" t="inlineStr">
        <is>
          <t>手剥虾仁 无冰衣无添加 低脂餐一人食 上班带饭 顺丰包邮 5盒装</t>
        </is>
      </c>
      <c r="I1670" t="inlineStr">
        <is>
          <t>694baba01d450d00013662f0</t>
        </is>
      </c>
      <c r="J1670" t="inlineStr">
        <is>
          <t/>
        </is>
      </c>
      <c r="K1670" t="n">
        <v>0.0</v>
      </c>
      <c r="L1670" t="n">
        <v>0.0</v>
      </c>
      <c r="M1670" t="n">
        <v>0.0</v>
      </c>
      <c r="N1670" t="inlineStr">
        <is>
          <t/>
        </is>
      </c>
      <c r="O1670" t="n">
        <v>0.0</v>
      </c>
      <c r="P1670" t="n">
        <v>0.0</v>
      </c>
      <c r="Q1670" t="inlineStr">
        <is>
          <t/>
        </is>
      </c>
      <c r="R1670" t="inlineStr">
        <is>
          <t/>
        </is>
      </c>
      <c r="S1670" t="n">
        <v>0.0</v>
      </c>
      <c r="T1670" t="n">
        <v>0.0</v>
      </c>
      <c r="U1670" t="n">
        <v>0.0</v>
      </c>
      <c r="V1670" t="n">
        <v>0.0</v>
      </c>
      <c r="W1670" t="inlineStr">
        <is>
          <t/>
        </is>
      </c>
      <c r="X1670" t="n">
        <v>0.0</v>
      </c>
      <c r="Y1670" t="n">
        <v>0.0</v>
      </c>
      <c r="Z1670" t="n">
        <v>0.0</v>
      </c>
      <c r="AA1670" t="n">
        <v>0.0</v>
      </c>
      <c r="AB1670" t="n">
        <v>0.0</v>
      </c>
      <c r="AC1670" t="n">
        <v>0.0</v>
      </c>
      <c r="AD1670" t="n">
        <v>0.0</v>
      </c>
      <c r="AE1670" t="n">
        <v>0.0</v>
      </c>
      <c r="AF1670" t="n">
        <v>0.0</v>
      </c>
      <c r="AG1670" t="n">
        <v>0.0</v>
      </c>
      <c r="AH1670" t="n">
        <v>0.0</v>
      </c>
      <c r="AI1670" t="n">
        <v>0.0</v>
      </c>
      <c r="AJ1670" t="n">
        <v>0.0</v>
      </c>
      <c r="AK1670" t="inlineStr">
        <is>
          <t/>
        </is>
      </c>
      <c r="AL1670" t="inlineStr">
        <is>
          <t/>
        </is>
      </c>
    </row>
    <row r="1671">
      <c r="A1671" t="inlineStr">
        <is>
          <t>年后减脂真花不了几个钱，98够吃一周了</t>
        </is>
      </c>
      <c r="B1671" t="inlineStr">
        <is>
          <t>69a50939000000000d009d8a</t>
        </is>
      </c>
      <c r="C1671" s="1670" t="n">
        <f>HYPERLINK("https://www.xiaohongshu.com/explore/69a50939000000000d009d8a?xsec_token=TBYlw7GbYDMDbP_5WWJv6Kp7mEVeZNQ4uyp_1MnQ0_B58=&amp;xsec_source=pc_trdark","https://www.xiaohongshu.com/explore/69a50939000000000d009d8a?xsec_token=TBYlw7GbYDMDbP_5WWJv6Kp7mEVeZNQ4uyp_1MnQ0_B58=&amp;xsec_source=pc_trdark")</f>
        <v>0.0</v>
      </c>
      <c r="D1671" t="inlineStr">
        <is>
          <t>鲜水湾</t>
        </is>
      </c>
      <c r="E1671" t="inlineStr">
        <is>
          <t>49316638994</t>
        </is>
      </c>
      <c r="F1671" t="inlineStr">
        <is>
          <t>2026-03-02 11:51:21</t>
        </is>
      </c>
      <c r="G1671" t="inlineStr">
        <is>
          <t>图文</t>
        </is>
      </c>
      <c r="H1671" t="inlineStr">
        <is>
          <t>手剥虾仁 无冰衣无添加 低脂餐一人食 上班带饭 顺丰包邮 5盒装</t>
        </is>
      </c>
      <c r="I1671" t="inlineStr">
        <is>
          <t>694baba01d450d00013662f0</t>
        </is>
      </c>
      <c r="J1671" t="inlineStr">
        <is>
          <t/>
        </is>
      </c>
      <c r="K1671" t="n">
        <v>0.0</v>
      </c>
      <c r="L1671" t="n">
        <v>0.0</v>
      </c>
      <c r="M1671" t="n">
        <v>0.0</v>
      </c>
      <c r="N1671" t="inlineStr">
        <is>
          <t/>
        </is>
      </c>
      <c r="O1671" t="n">
        <v>0.0</v>
      </c>
      <c r="P1671" t="n">
        <v>0.0</v>
      </c>
      <c r="Q1671" t="inlineStr">
        <is>
          <t/>
        </is>
      </c>
      <c r="R1671" t="inlineStr">
        <is>
          <t/>
        </is>
      </c>
      <c r="S1671" t="n">
        <v>0.0</v>
      </c>
      <c r="T1671" t="n">
        <v>0.0</v>
      </c>
      <c r="U1671" t="n">
        <v>0.0</v>
      </c>
      <c r="V1671" t="n">
        <v>0.0</v>
      </c>
      <c r="W1671" t="inlineStr">
        <is>
          <t/>
        </is>
      </c>
      <c r="X1671" t="n">
        <v>0.0</v>
      </c>
      <c r="Y1671" t="n">
        <v>0.0</v>
      </c>
      <c r="Z1671" t="n">
        <v>0.0</v>
      </c>
      <c r="AA1671" t="n">
        <v>0.0</v>
      </c>
      <c r="AB1671" t="n">
        <v>0.0</v>
      </c>
      <c r="AC1671" t="n">
        <v>0.0</v>
      </c>
      <c r="AD1671" t="n">
        <v>0.0</v>
      </c>
      <c r="AE1671" t="n">
        <v>0.0</v>
      </c>
      <c r="AF1671" t="n">
        <v>0.0</v>
      </c>
      <c r="AG1671" t="n">
        <v>0.0</v>
      </c>
      <c r="AH1671" t="n">
        <v>0.0</v>
      </c>
      <c r="AI1671" t="n">
        <v>0.0</v>
      </c>
      <c r="AJ1671" t="n">
        <v>0.0</v>
      </c>
      <c r="AK1671" t="inlineStr">
        <is>
          <t/>
        </is>
      </c>
      <c r="AL1671" t="inlineStr">
        <is>
          <t/>
        </is>
      </c>
    </row>
    <row r="1672">
      <c r="A1672" t="inlineStr">
        <is>
          <t>甜虾脑袋表示这一碗很满足！</t>
        </is>
      </c>
      <c r="B1672" t="inlineStr">
        <is>
          <t>69a145ef000000002602fa15</t>
        </is>
      </c>
      <c r="C1672" s="1671" t="n">
        <f>HYPERLINK("https://www.xiaohongshu.com/explore/69a145ef000000002602fa15?xsec_token=TBk7Tu9foWGIsieMmGc2tlwht6OnSE4kkOsOYjo1eAMaE=&amp;xsec_source=pc_trdark","https://www.xiaohongshu.com/explore/69a145ef000000002602fa15?xsec_token=TBk7Tu9foWGIsieMmGc2tlwht6OnSE4kkOsOYjo1eAMaE=&amp;xsec_source=pc_trdark")</f>
        <v>0.0</v>
      </c>
      <c r="D1672" t="inlineStr">
        <is>
          <t>鲜水湾甄选</t>
        </is>
      </c>
      <c r="E1672" t="inlineStr">
        <is>
          <t>27401929161</t>
        </is>
      </c>
      <c r="F1672" t="inlineStr">
        <is>
          <t>2026-02-27 15:21:19</t>
        </is>
      </c>
      <c r="G1672" t="inlineStr">
        <is>
          <t>图文</t>
        </is>
      </c>
      <c r="H1672" t="inlineStr">
        <is>
          <t>北极甜虾头籽甜虾元宝虾北极熊冰虾孕妈妈宝宝辅食顺丰</t>
        </is>
      </c>
      <c r="I1672" t="inlineStr">
        <is>
          <t>6953717eb8f0bb000115158d</t>
        </is>
      </c>
      <c r="J1672" t="inlineStr">
        <is>
          <t/>
        </is>
      </c>
      <c r="K1672" t="n">
        <v>0.0</v>
      </c>
      <c r="L1672" t="n">
        <v>0.0</v>
      </c>
      <c r="M1672" t="n">
        <v>0.0</v>
      </c>
      <c r="N1672" t="inlineStr">
        <is>
          <t/>
        </is>
      </c>
      <c r="O1672" t="n">
        <v>0.0</v>
      </c>
      <c r="P1672" t="n">
        <v>0.0</v>
      </c>
      <c r="Q1672" t="inlineStr">
        <is>
          <t/>
        </is>
      </c>
      <c r="R1672" t="inlineStr">
        <is>
          <t/>
        </is>
      </c>
      <c r="S1672" t="n">
        <v>0.0</v>
      </c>
      <c r="T1672" t="n">
        <v>0.0</v>
      </c>
      <c r="U1672" t="n">
        <v>0.0</v>
      </c>
      <c r="V1672" t="n">
        <v>0.0</v>
      </c>
      <c r="W1672" t="inlineStr">
        <is>
          <t/>
        </is>
      </c>
      <c r="X1672" t="n">
        <v>0.0</v>
      </c>
      <c r="Y1672" t="n">
        <v>0.0</v>
      </c>
      <c r="Z1672" t="n">
        <v>0.0</v>
      </c>
      <c r="AA1672" t="n">
        <v>0.0</v>
      </c>
      <c r="AB1672" t="n">
        <v>0.0</v>
      </c>
      <c r="AC1672" t="n">
        <v>0.0</v>
      </c>
      <c r="AD1672" t="n">
        <v>0.0</v>
      </c>
      <c r="AE1672" t="n">
        <v>0.0</v>
      </c>
      <c r="AF1672" t="n">
        <v>0.0</v>
      </c>
      <c r="AG1672" t="n">
        <v>0.0</v>
      </c>
      <c r="AH1672" t="n">
        <v>0.0</v>
      </c>
      <c r="AI1672" t="n">
        <v>0.0</v>
      </c>
      <c r="AJ1672" t="n">
        <v>0.0</v>
      </c>
      <c r="AK1672" t="inlineStr">
        <is>
          <t/>
        </is>
      </c>
      <c r="AL1672" t="inlineStr">
        <is>
          <t/>
        </is>
      </c>
    </row>
    <row r="1673">
      <c r="A1673" t="inlineStr">
        <is>
          <t>不啰嗦了！甜虾1r💰1⃣️只</t>
        </is>
      </c>
      <c r="B1673" t="inlineStr">
        <is>
          <t>69a10854000000002303bbc7</t>
        </is>
      </c>
      <c r="C1673" s="1672" t="n">
        <f>HYPERLINK("https://www.xiaohongshu.com/explore/69a10854000000002303bbc7?xsec_token=TBk7Tu9foWGIsieMmGc2tlwleui2vJF9EQ7jZ211k4Aug=&amp;xsec_source=pc_trdark","https://www.xiaohongshu.com/explore/69a10854000000002303bbc7?xsec_token=TBk7Tu9foWGIsieMmGc2tlwleui2vJF9EQ7jZ211k4Aug=&amp;xsec_source=pc_trdark")</f>
        <v>0.0</v>
      </c>
      <c r="D1673" t="inlineStr">
        <is>
          <t>鲜水湾甄选</t>
        </is>
      </c>
      <c r="E1673" t="inlineStr">
        <is>
          <t>27401929161</t>
        </is>
      </c>
      <c r="F1673" t="inlineStr">
        <is>
          <t>2026-02-27 10:58:28</t>
        </is>
      </c>
      <c r="G1673" t="inlineStr">
        <is>
          <t>图文</t>
        </is>
      </c>
      <c r="H1673" t="inlineStr">
        <is>
          <t>北极甜虾头籽甜虾元宝虾北极熊冰虾孕妈妈宝宝辅食顺丰</t>
        </is>
      </c>
      <c r="I1673" t="inlineStr">
        <is>
          <t>6953717eb8f0bb000115158d</t>
        </is>
      </c>
      <c r="J1673" t="inlineStr">
        <is>
          <t/>
        </is>
      </c>
      <c r="K1673" t="n">
        <v>0.0</v>
      </c>
      <c r="L1673" t="n">
        <v>0.0</v>
      </c>
      <c r="M1673" t="n">
        <v>0.0</v>
      </c>
      <c r="N1673" t="inlineStr">
        <is>
          <t/>
        </is>
      </c>
      <c r="O1673" t="n">
        <v>0.0</v>
      </c>
      <c r="P1673" t="n">
        <v>0.0</v>
      </c>
      <c r="Q1673" t="inlineStr">
        <is>
          <t/>
        </is>
      </c>
      <c r="R1673" t="inlineStr">
        <is>
          <t/>
        </is>
      </c>
      <c r="S1673" t="n">
        <v>0.0</v>
      </c>
      <c r="T1673" t="n">
        <v>0.0</v>
      </c>
      <c r="U1673" t="n">
        <v>0.0</v>
      </c>
      <c r="V1673" t="n">
        <v>0.0</v>
      </c>
      <c r="W1673" t="inlineStr">
        <is>
          <t/>
        </is>
      </c>
      <c r="X1673" t="n">
        <v>0.0</v>
      </c>
      <c r="Y1673" t="n">
        <v>0.0</v>
      </c>
      <c r="Z1673" t="n">
        <v>0.0</v>
      </c>
      <c r="AA1673" t="n">
        <v>0.0</v>
      </c>
      <c r="AB1673" t="n">
        <v>0.0</v>
      </c>
      <c r="AC1673" t="n">
        <v>0.0</v>
      </c>
      <c r="AD1673" t="n">
        <v>0.0</v>
      </c>
      <c r="AE1673" t="n">
        <v>0.0</v>
      </c>
      <c r="AF1673" t="n">
        <v>0.0</v>
      </c>
      <c r="AG1673" t="n">
        <v>0.0</v>
      </c>
      <c r="AH1673" t="n">
        <v>0.0</v>
      </c>
      <c r="AI1673" t="n">
        <v>0.0</v>
      </c>
      <c r="AJ1673" t="n">
        <v>0.0</v>
      </c>
      <c r="AK1673" t="inlineStr">
        <is>
          <t/>
        </is>
      </c>
      <c r="AL1673" t="inlineStr">
        <is>
          <t/>
        </is>
      </c>
    </row>
    <row r="1674">
      <c r="A1674" t="inlineStr">
        <is>
          <t>年后，打工人带饭！</t>
        </is>
      </c>
      <c r="B1674" t="inlineStr">
        <is>
          <t>69a0ffd8000000001a032e1b</t>
        </is>
      </c>
      <c r="C1674" s="1673" t="n">
        <f>HYPERLINK("https://www.xiaohongshu.com/explore/69a0ffd8000000001a032e1b?xsec_token=TBGIgfrKGy2wDtxaQW-J26Ge221lUHCIC8B3V6DnDx7fE=&amp;xsec_source=pc_trdark","https://www.xiaohongshu.com/explore/69a0ffd8000000001a032e1b?xsec_token=TBGIgfrKGy2wDtxaQW-J26Ge221lUHCIC8B3V6DnDx7fE=&amp;xsec_source=pc_trdark")</f>
        <v>0.0</v>
      </c>
      <c r="D1674" t="inlineStr">
        <is>
          <t>鲜水湾</t>
        </is>
      </c>
      <c r="E1674" t="inlineStr">
        <is>
          <t>49316638994</t>
        </is>
      </c>
      <c r="F1674" t="inlineStr">
        <is>
          <t>2026-02-27 10:22:16</t>
        </is>
      </c>
      <c r="G1674" t="inlineStr">
        <is>
          <t>图文</t>
        </is>
      </c>
      <c r="H1674" t="inlineStr">
        <is>
          <t>智利三文鱼切块·整条三文鱼·深海鱼一人食健康饮食</t>
        </is>
      </c>
      <c r="I1674" t="inlineStr">
        <is>
          <t>691ac562a524ee0001b51d7b</t>
        </is>
      </c>
      <c r="J1674" t="inlineStr">
        <is>
          <t/>
        </is>
      </c>
      <c r="K1674" t="n">
        <v>0.0</v>
      </c>
      <c r="L1674" t="n">
        <v>0.0</v>
      </c>
      <c r="M1674" t="n">
        <v>0.0</v>
      </c>
      <c r="N1674" t="inlineStr">
        <is>
          <t/>
        </is>
      </c>
      <c r="O1674" t="n">
        <v>0.0</v>
      </c>
      <c r="P1674" t="n">
        <v>0.0</v>
      </c>
      <c r="Q1674" t="inlineStr">
        <is>
          <t/>
        </is>
      </c>
      <c r="R1674" t="inlineStr">
        <is>
          <t/>
        </is>
      </c>
      <c r="S1674" t="n">
        <v>0.0</v>
      </c>
      <c r="T1674" t="n">
        <v>0.0</v>
      </c>
      <c r="U1674" t="n">
        <v>0.0</v>
      </c>
      <c r="V1674" t="n">
        <v>0.0</v>
      </c>
      <c r="W1674" t="inlineStr">
        <is>
          <t/>
        </is>
      </c>
      <c r="X1674" t="n">
        <v>0.0</v>
      </c>
      <c r="Y1674" t="n">
        <v>0.0</v>
      </c>
      <c r="Z1674" t="n">
        <v>0.0</v>
      </c>
      <c r="AA1674" t="n">
        <v>0.0</v>
      </c>
      <c r="AB1674" t="n">
        <v>0.0</v>
      </c>
      <c r="AC1674" t="n">
        <v>0.0</v>
      </c>
      <c r="AD1674" t="n">
        <v>0.0</v>
      </c>
      <c r="AE1674" t="n">
        <v>0.0</v>
      </c>
      <c r="AF1674" t="n">
        <v>0.0</v>
      </c>
      <c r="AG1674" t="n">
        <v>0.0</v>
      </c>
      <c r="AH1674" t="n">
        <v>0.0</v>
      </c>
      <c r="AI1674" t="n">
        <v>0.0</v>
      </c>
      <c r="AJ1674" t="n">
        <v>0.0</v>
      </c>
      <c r="AK1674" t="inlineStr">
        <is>
          <t/>
        </is>
      </c>
      <c r="AL1674" t="inlineStr">
        <is>
          <t/>
        </is>
      </c>
    </row>
    <row r="1675">
      <c r="A1675" t="inlineStr">
        <is>
          <t>发现年轻人真低估了100块的购买力...</t>
        </is>
      </c>
      <c r="B1675" t="inlineStr">
        <is>
          <t>69a0149b000000001a02cdb4</t>
        </is>
      </c>
      <c r="C1675" s="1674" t="n">
        <f>HYPERLINK("https://www.xiaohongshu.com/explore/69a0149b000000001a02cdb4?xsec_token=TBGIgfrKGy2wDtxaQW-J26GSVYYnaplB3-D8-HLx2DgVE=&amp;xsec_source=pc_trdark","https://www.xiaohongshu.com/explore/69a0149b000000001a02cdb4?xsec_token=TBGIgfrKGy2wDtxaQW-J26GSVYYnaplB3-D8-HLx2DgVE=&amp;xsec_source=pc_trdark")</f>
        <v>0.0</v>
      </c>
      <c r="D1675" t="inlineStr">
        <is>
          <t>鲜水湾</t>
        </is>
      </c>
      <c r="E1675" t="inlineStr">
        <is>
          <t>49316638994</t>
        </is>
      </c>
      <c r="F1675" t="inlineStr">
        <is>
          <t>2026-02-26 17:38:35</t>
        </is>
      </c>
      <c r="G1675" t="inlineStr">
        <is>
          <t>图文</t>
        </is>
      </c>
      <c r="H1675" t="inlineStr">
        <is>
          <t>智利三文鱼切块·整条三文鱼·深海鱼一人食健康饮食</t>
        </is>
      </c>
      <c r="I1675" t="inlineStr">
        <is>
          <t>691ac562a524ee0001b51d7b</t>
        </is>
      </c>
      <c r="J1675" t="inlineStr">
        <is>
          <t/>
        </is>
      </c>
      <c r="K1675" t="n">
        <v>0.0</v>
      </c>
      <c r="L1675" t="n">
        <v>0.0</v>
      </c>
      <c r="M1675" t="n">
        <v>0.0</v>
      </c>
      <c r="N1675" t="inlineStr">
        <is>
          <t/>
        </is>
      </c>
      <c r="O1675" t="n">
        <v>0.0</v>
      </c>
      <c r="P1675" t="n">
        <v>0.0</v>
      </c>
      <c r="Q1675" t="inlineStr">
        <is>
          <t/>
        </is>
      </c>
      <c r="R1675" t="inlineStr">
        <is>
          <t/>
        </is>
      </c>
      <c r="S1675" t="n">
        <v>0.0</v>
      </c>
      <c r="T1675" t="n">
        <v>0.0</v>
      </c>
      <c r="U1675" t="n">
        <v>0.0</v>
      </c>
      <c r="V1675" t="n">
        <v>0.0</v>
      </c>
      <c r="W1675" t="inlineStr">
        <is>
          <t/>
        </is>
      </c>
      <c r="X1675" t="n">
        <v>0.0</v>
      </c>
      <c r="Y1675" t="n">
        <v>0.0</v>
      </c>
      <c r="Z1675" t="n">
        <v>0.0</v>
      </c>
      <c r="AA1675" t="n">
        <v>0.0</v>
      </c>
      <c r="AB1675" t="n">
        <v>0.0</v>
      </c>
      <c r="AC1675" t="n">
        <v>0.0</v>
      </c>
      <c r="AD1675" t="n">
        <v>0.0</v>
      </c>
      <c r="AE1675" t="n">
        <v>0.0</v>
      </c>
      <c r="AF1675" t="n">
        <v>0.0</v>
      </c>
      <c r="AG1675" t="n">
        <v>0.0</v>
      </c>
      <c r="AH1675" t="n">
        <v>0.0</v>
      </c>
      <c r="AI1675" t="n">
        <v>0.0</v>
      </c>
      <c r="AJ1675" t="n">
        <v>0.0</v>
      </c>
      <c r="AK1675" t="inlineStr">
        <is>
          <t/>
        </is>
      </c>
      <c r="AL1675" t="inlineStr">
        <is>
          <t/>
        </is>
      </c>
    </row>
    <row r="1676">
      <c r="A1676" t="inlineStr">
        <is>
          <t>咱家乳山生蚝靠的就是实打实的品质～</t>
        </is>
      </c>
      <c r="B1676" t="inlineStr">
        <is>
          <t>69a002e0000000000e00eeba</t>
        </is>
      </c>
      <c r="C1676" s="1675" t="n">
        <f>HYPERLINK("https://www.xiaohongshu.com/explore/69a002e0000000000e00eeba?xsec_token=TBGIgfrKGy2wDtxaQW-J26GQNrSqY4Qy6JIGQyBKpHvmE=&amp;xsec_source=pc_trdark","https://www.xiaohongshu.com/explore/69a002e0000000000e00eeba?xsec_token=TBGIgfrKGy2wDtxaQW-J26GQNrSqY4Qy6JIGQyBKpHvmE=&amp;xsec_source=pc_trdark")</f>
        <v>0.0</v>
      </c>
      <c r="D1676" t="inlineStr">
        <is>
          <t>婉婉上班吃什么</t>
        </is>
      </c>
      <c r="E1676" t="inlineStr">
        <is>
          <t>11434449706</t>
        </is>
      </c>
      <c r="F1676" t="inlineStr">
        <is>
          <t>2026-02-26 16:22:56</t>
        </is>
      </c>
      <c r="G1676" t="inlineStr">
        <is>
          <t>图文</t>
        </is>
      </c>
      <c r="H1676" t="inlineStr">
        <is>
          <t>生蚝乳山生蚝海蛎子顺丰包邮</t>
        </is>
      </c>
      <c r="I1676" t="inlineStr">
        <is>
          <t>690c70971b787900010866cc</t>
        </is>
      </c>
      <c r="J1676" t="inlineStr">
        <is>
          <t/>
        </is>
      </c>
      <c r="K1676" t="n">
        <v>0.0</v>
      </c>
      <c r="L1676" t="n">
        <v>0.0</v>
      </c>
      <c r="M1676" t="n">
        <v>0.0</v>
      </c>
      <c r="N1676" t="inlineStr">
        <is>
          <t/>
        </is>
      </c>
      <c r="O1676" t="n">
        <v>0.0</v>
      </c>
      <c r="P1676" t="n">
        <v>0.0</v>
      </c>
      <c r="Q1676" t="inlineStr">
        <is>
          <t/>
        </is>
      </c>
      <c r="R1676" t="inlineStr">
        <is>
          <t/>
        </is>
      </c>
      <c r="S1676" t="n">
        <v>0.0</v>
      </c>
      <c r="T1676" t="n">
        <v>0.0</v>
      </c>
      <c r="U1676" t="n">
        <v>0.0</v>
      </c>
      <c r="V1676" t="n">
        <v>0.0</v>
      </c>
      <c r="W1676" t="inlineStr">
        <is>
          <t/>
        </is>
      </c>
      <c r="X1676" t="n">
        <v>0.0</v>
      </c>
      <c r="Y1676" t="n">
        <v>0.0</v>
      </c>
      <c r="Z1676" t="n">
        <v>0.0</v>
      </c>
      <c r="AA1676" t="n">
        <v>0.0</v>
      </c>
      <c r="AB1676" t="n">
        <v>0.0</v>
      </c>
      <c r="AC1676" t="n">
        <v>0.0</v>
      </c>
      <c r="AD1676" t="n">
        <v>0.0</v>
      </c>
      <c r="AE1676" t="n">
        <v>0.0</v>
      </c>
      <c r="AF1676" t="n">
        <v>0.0</v>
      </c>
      <c r="AG1676" t="n">
        <v>0.0</v>
      </c>
      <c r="AH1676" t="n">
        <v>0.0</v>
      </c>
      <c r="AI1676" t="n">
        <v>0.0</v>
      </c>
      <c r="AJ1676" t="n">
        <v>0.0</v>
      </c>
      <c r="AK1676" t="inlineStr">
        <is>
          <t/>
        </is>
      </c>
      <c r="AL1676" t="inlineStr">
        <is>
          <t/>
        </is>
      </c>
    </row>
    <row r="1677">
      <c r="A1677" t="inlineStr">
        <is>
          <t>甜虾脑袋表示这一口很满足！</t>
        </is>
      </c>
      <c r="B1677" t="inlineStr">
        <is>
          <t>699ff98e000000002202f0d8</t>
        </is>
      </c>
      <c r="C1677" s="1676" t="n">
        <f>HYPERLINK("https://www.xiaohongshu.com/explore/699ff98e000000002202f0d8?xsec_token=TBmPrNsEp7sytnt8BzCMtNTaMkhYIiAdPNLY8aLbg_sXE=&amp;xsec_source=pc_trdark","https://www.xiaohongshu.com/explore/699ff98e000000002202f0d8?xsec_token=TBmPrNsEp7sytnt8BzCMtNTaMkhYIiAdPNLY8aLbg_sXE=&amp;xsec_source=pc_trdark")</f>
        <v>0.0</v>
      </c>
      <c r="D1677" t="inlineStr">
        <is>
          <t>鲜水湾甄选</t>
        </is>
      </c>
      <c r="E1677" t="inlineStr">
        <is>
          <t>27401929161</t>
        </is>
      </c>
      <c r="F1677" t="inlineStr">
        <is>
          <t>2026-02-26 15:43:10</t>
        </is>
      </c>
      <c r="G1677" t="inlineStr">
        <is>
          <t>图文</t>
        </is>
      </c>
      <c r="H1677" t="inlineStr">
        <is>
          <t>北极甜虾头籽甜虾元宝虾北极熊冰虾孕妈妈宝宝辅食顺丰</t>
        </is>
      </c>
      <c r="I1677" t="inlineStr">
        <is>
          <t>6953717eb8f0bb000115158d</t>
        </is>
      </c>
      <c r="J1677" t="inlineStr">
        <is>
          <t/>
        </is>
      </c>
      <c r="K1677" t="n">
        <v>0.0</v>
      </c>
      <c r="L1677" t="n">
        <v>0.0</v>
      </c>
      <c r="M1677" t="n">
        <v>0.0</v>
      </c>
      <c r="N1677" t="inlineStr">
        <is>
          <t/>
        </is>
      </c>
      <c r="O1677" t="n">
        <v>0.0</v>
      </c>
      <c r="P1677" t="n">
        <v>0.0</v>
      </c>
      <c r="Q1677" t="inlineStr">
        <is>
          <t/>
        </is>
      </c>
      <c r="R1677" t="inlineStr">
        <is>
          <t/>
        </is>
      </c>
      <c r="S1677" t="n">
        <v>0.0</v>
      </c>
      <c r="T1677" t="n">
        <v>0.0</v>
      </c>
      <c r="U1677" t="n">
        <v>0.0</v>
      </c>
      <c r="V1677" t="n">
        <v>0.0</v>
      </c>
      <c r="W1677" t="inlineStr">
        <is>
          <t/>
        </is>
      </c>
      <c r="X1677" t="n">
        <v>0.0</v>
      </c>
      <c r="Y1677" t="n">
        <v>0.0</v>
      </c>
      <c r="Z1677" t="n">
        <v>0.0</v>
      </c>
      <c r="AA1677" t="n">
        <v>0.0</v>
      </c>
      <c r="AB1677" t="n">
        <v>0.0</v>
      </c>
      <c r="AC1677" t="n">
        <v>0.0</v>
      </c>
      <c r="AD1677" t="n">
        <v>0.0</v>
      </c>
      <c r="AE1677" t="n">
        <v>0.0</v>
      </c>
      <c r="AF1677" t="n">
        <v>0.0</v>
      </c>
      <c r="AG1677" t="n">
        <v>0.0</v>
      </c>
      <c r="AH1677" t="n">
        <v>0.0</v>
      </c>
      <c r="AI1677" t="n">
        <v>0.0</v>
      </c>
      <c r="AJ1677" t="n">
        <v>0.0</v>
      </c>
      <c r="AK1677" t="inlineStr">
        <is>
          <t/>
        </is>
      </c>
      <c r="AL1677" t="inlineStr">
        <is>
          <t/>
        </is>
      </c>
    </row>
    <row r="1678">
      <c r="A1678" t="inlineStr">
        <is>
          <t>不啰嗦了！！300来块一整条</t>
        </is>
      </c>
      <c r="B1678" t="inlineStr">
        <is>
          <t>699ff03d000000001a02073e</t>
        </is>
      </c>
      <c r="C1678" s="1677" t="n">
        <f>HYPERLINK("https://www.xiaohongshu.com/explore/699ff03d000000001a02073e?xsec_token=TBmPrNsEp7sytnt8BzCMtNTVtndlWLUwRuqnamxfgVA6Y=&amp;xsec_source=pc_trdark","https://www.xiaohongshu.com/explore/699ff03d000000001a02073e?xsec_token=TBmPrNsEp7sytnt8BzCMtNTVtndlWLUwRuqnamxfgVA6Y=&amp;xsec_source=pc_trdark")</f>
        <v>0.0</v>
      </c>
      <c r="D1678" t="inlineStr">
        <is>
          <t>鲜水湾</t>
        </is>
      </c>
      <c r="E1678" t="inlineStr">
        <is>
          <t>49316638994</t>
        </is>
      </c>
      <c r="F1678" t="inlineStr">
        <is>
          <t>2026-02-26 15:03:25</t>
        </is>
      </c>
      <c r="G1678" t="inlineStr">
        <is>
          <t>图文</t>
        </is>
      </c>
      <c r="H1678" t="inlineStr">
        <is>
          <t>智利三文鱼切块·整条三文鱼·深海鱼一人食健康饮食</t>
        </is>
      </c>
      <c r="I1678" t="inlineStr">
        <is>
          <t>691ac562a524ee0001b51d7b</t>
        </is>
      </c>
      <c r="J1678" t="inlineStr">
        <is>
          <t/>
        </is>
      </c>
      <c r="K1678" t="n">
        <v>0.0</v>
      </c>
      <c r="L1678" t="n">
        <v>0.0</v>
      </c>
      <c r="M1678" t="n">
        <v>0.0</v>
      </c>
      <c r="N1678" t="inlineStr">
        <is>
          <t/>
        </is>
      </c>
      <c r="O1678" t="n">
        <v>0.0</v>
      </c>
      <c r="P1678" t="n">
        <v>0.0</v>
      </c>
      <c r="Q1678" t="inlineStr">
        <is>
          <t/>
        </is>
      </c>
      <c r="R1678" t="inlineStr">
        <is>
          <t/>
        </is>
      </c>
      <c r="S1678" t="n">
        <v>0.0</v>
      </c>
      <c r="T1678" t="n">
        <v>0.0</v>
      </c>
      <c r="U1678" t="n">
        <v>0.0</v>
      </c>
      <c r="V1678" t="n">
        <v>0.0</v>
      </c>
      <c r="W1678" t="inlineStr">
        <is>
          <t/>
        </is>
      </c>
      <c r="X1678" t="n">
        <v>0.0</v>
      </c>
      <c r="Y1678" t="n">
        <v>0.0</v>
      </c>
      <c r="Z1678" t="n">
        <v>0.0</v>
      </c>
      <c r="AA1678" t="n">
        <v>0.0</v>
      </c>
      <c r="AB1678" t="n">
        <v>0.0</v>
      </c>
      <c r="AC1678" t="n">
        <v>0.0</v>
      </c>
      <c r="AD1678" t="n">
        <v>0.0</v>
      </c>
      <c r="AE1678" t="n">
        <v>0.0</v>
      </c>
      <c r="AF1678" t="n">
        <v>0.0</v>
      </c>
      <c r="AG1678" t="n">
        <v>0.0</v>
      </c>
      <c r="AH1678" t="n">
        <v>0.0</v>
      </c>
      <c r="AI1678" t="n">
        <v>0.0</v>
      </c>
      <c r="AJ1678" t="n">
        <v>0.0</v>
      </c>
      <c r="AK1678" t="inlineStr">
        <is>
          <t/>
        </is>
      </c>
      <c r="AL1678" t="inlineStr">
        <is>
          <t/>
        </is>
      </c>
    </row>
    <row r="1679">
      <c r="A1679" t="inlineStr">
        <is>
          <t>不夸张！我家孕妇一直回购的乳山生蚝！巨解馋</t>
        </is>
      </c>
      <c r="B1679" t="inlineStr">
        <is>
          <t>699fe81c0000000028023446</t>
        </is>
      </c>
      <c r="C1679" s="1678" t="n">
        <f>HYPERLINK("https://www.xiaohongshu.com/explore/699fe81c0000000028023446?xsec_token=TBmPrNsEp7sytnt8BzCMtNTeKXCkU6zNrBHiBe3I-p5Nw=&amp;xsec_source=pc_trdark","https://www.xiaohongshu.com/explore/699fe81c0000000028023446?xsec_token=TBmPrNsEp7sytnt8BzCMtNTeKXCkU6zNrBHiBe3I-p5Nw=&amp;xsec_source=pc_trdark")</f>
        <v>0.0</v>
      </c>
      <c r="D1679" t="inlineStr">
        <is>
          <t>婉婉上班吃什么</t>
        </is>
      </c>
      <c r="E1679" t="inlineStr">
        <is>
          <t>11434449706</t>
        </is>
      </c>
      <c r="F1679" t="inlineStr">
        <is>
          <t>2026-02-26 14:28:44</t>
        </is>
      </c>
      <c r="G1679" t="inlineStr">
        <is>
          <t>图文</t>
        </is>
      </c>
      <c r="H1679" t="inlineStr">
        <is>
          <t>生蚝乳山生蚝海蛎子顺丰包邮</t>
        </is>
      </c>
      <c r="I1679" t="inlineStr">
        <is>
          <t>690c70971b787900010866cc</t>
        </is>
      </c>
      <c r="J1679" t="inlineStr">
        <is>
          <t/>
        </is>
      </c>
      <c r="K1679" t="n">
        <v>0.0</v>
      </c>
      <c r="L1679" t="n">
        <v>0.0</v>
      </c>
      <c r="M1679" t="n">
        <v>0.0</v>
      </c>
      <c r="N1679" t="inlineStr">
        <is>
          <t/>
        </is>
      </c>
      <c r="O1679" t="n">
        <v>0.0</v>
      </c>
      <c r="P1679" t="n">
        <v>0.0</v>
      </c>
      <c r="Q1679" t="inlineStr">
        <is>
          <t/>
        </is>
      </c>
      <c r="R1679" t="inlineStr">
        <is>
          <t/>
        </is>
      </c>
      <c r="S1679" t="n">
        <v>0.0</v>
      </c>
      <c r="T1679" t="n">
        <v>0.0</v>
      </c>
      <c r="U1679" t="n">
        <v>0.0</v>
      </c>
      <c r="V1679" t="n">
        <v>0.0</v>
      </c>
      <c r="W1679" t="inlineStr">
        <is>
          <t/>
        </is>
      </c>
      <c r="X1679" t="n">
        <v>0.0</v>
      </c>
      <c r="Y1679" t="n">
        <v>0.0</v>
      </c>
      <c r="Z1679" t="n">
        <v>0.0</v>
      </c>
      <c r="AA1679" t="n">
        <v>0.0</v>
      </c>
      <c r="AB1679" t="n">
        <v>0.0</v>
      </c>
      <c r="AC1679" t="n">
        <v>0.0</v>
      </c>
      <c r="AD1679" t="n">
        <v>0.0</v>
      </c>
      <c r="AE1679" t="n">
        <v>0.0</v>
      </c>
      <c r="AF1679" t="n">
        <v>0.0</v>
      </c>
      <c r="AG1679" t="n">
        <v>0.0</v>
      </c>
      <c r="AH1679" t="n">
        <v>0.0</v>
      </c>
      <c r="AI1679" t="n">
        <v>0.0</v>
      </c>
      <c r="AJ1679" t="n">
        <v>0.0</v>
      </c>
      <c r="AK1679" t="inlineStr">
        <is>
          <t/>
        </is>
      </c>
      <c r="AL1679" t="inlineStr">
        <is>
          <t/>
        </is>
      </c>
    </row>
    <row r="1680">
      <c r="A1680" t="inlineStr">
        <is>
          <t>高质量减脂餐，承包了我一年！</t>
        </is>
      </c>
      <c r="B1680" t="inlineStr">
        <is>
          <t>699fe58b000000002801d856</t>
        </is>
      </c>
      <c r="C1680" s="1679" t="n">
        <f>HYPERLINK("https://www.xiaohongshu.com/explore/699fe58b000000002801d856?xsec_token=TBmPrNsEp7sytnt8BzCMtNTdu4DBCApZldWnsq-RwyRo8=&amp;xsec_source=pc_trdark","https://www.xiaohongshu.com/explore/699fe58b000000002801d856?xsec_token=TBmPrNsEp7sytnt8BzCMtNTdu4DBCApZldWnsq-RwyRo8=&amp;xsec_source=pc_trdark")</f>
        <v>0.0</v>
      </c>
      <c r="D1680" t="inlineStr">
        <is>
          <t>鲜水湾</t>
        </is>
      </c>
      <c r="E1680" t="inlineStr">
        <is>
          <t>49316638994</t>
        </is>
      </c>
      <c r="F1680" t="inlineStr">
        <is>
          <t>2026-02-26 14:17:47</t>
        </is>
      </c>
      <c r="G1680" t="inlineStr">
        <is>
          <t>图文</t>
        </is>
      </c>
      <c r="H1680" t="inlineStr">
        <is>
          <t>智利三文鱼切块·整条三文鱼·深海鱼一人食健康饮食</t>
        </is>
      </c>
      <c r="I1680" t="inlineStr">
        <is>
          <t>691ac562a524ee0001b51d7b</t>
        </is>
      </c>
      <c r="J1680" t="inlineStr">
        <is>
          <t/>
        </is>
      </c>
      <c r="K1680" t="n">
        <v>0.0</v>
      </c>
      <c r="L1680" t="n">
        <v>0.0</v>
      </c>
      <c r="M1680" t="n">
        <v>0.0</v>
      </c>
      <c r="N1680" t="inlineStr">
        <is>
          <t/>
        </is>
      </c>
      <c r="O1680" t="n">
        <v>0.0</v>
      </c>
      <c r="P1680" t="n">
        <v>0.0</v>
      </c>
      <c r="Q1680" t="inlineStr">
        <is>
          <t/>
        </is>
      </c>
      <c r="R1680" t="inlineStr">
        <is>
          <t/>
        </is>
      </c>
      <c r="S1680" t="n">
        <v>0.0</v>
      </c>
      <c r="T1680" t="n">
        <v>0.0</v>
      </c>
      <c r="U1680" t="n">
        <v>0.0</v>
      </c>
      <c r="V1680" t="n">
        <v>0.0</v>
      </c>
      <c r="W1680" t="inlineStr">
        <is>
          <t/>
        </is>
      </c>
      <c r="X1680" t="n">
        <v>0.0</v>
      </c>
      <c r="Y1680" t="n">
        <v>0.0</v>
      </c>
      <c r="Z1680" t="n">
        <v>0.0</v>
      </c>
      <c r="AA1680" t="n">
        <v>0.0</v>
      </c>
      <c r="AB1680" t="n">
        <v>0.0</v>
      </c>
      <c r="AC1680" t="n">
        <v>0.0</v>
      </c>
      <c r="AD1680" t="n">
        <v>0.0</v>
      </c>
      <c r="AE1680" t="n">
        <v>0.0</v>
      </c>
      <c r="AF1680" t="n">
        <v>0.0</v>
      </c>
      <c r="AG1680" t="n">
        <v>0.0</v>
      </c>
      <c r="AH1680" t="n">
        <v>0.0</v>
      </c>
      <c r="AI1680" t="n">
        <v>0.0</v>
      </c>
      <c r="AJ1680" t="n">
        <v>0.0</v>
      </c>
      <c r="AK1680" t="inlineStr">
        <is>
          <t/>
        </is>
      </c>
      <c r="AL1680" t="inlineStr">
        <is>
          <t/>
        </is>
      </c>
    </row>
    <row r="1681">
      <c r="A1681" t="inlineStr">
        <is>
          <t>老吃家才懂得快乐！寿司甜虾太好吃啦</t>
        </is>
      </c>
      <c r="B1681" t="inlineStr">
        <is>
          <t>699fd8ca000000002303929a</t>
        </is>
      </c>
      <c r="C1681" s="1680" t="n">
        <f>HYPERLINK("https://www.xiaohongshu.com/explore/699fd8ca000000002303929a?xsec_token=TBmPrNsEp7sytnt8BzCMtNTZj2EATODNkWEDVdNJV_P3A=&amp;xsec_source=pc_trdark","https://www.xiaohongshu.com/explore/699fd8ca000000002303929a?xsec_token=TBmPrNsEp7sytnt8BzCMtNTZj2EATODNkWEDVdNJV_P3A=&amp;xsec_source=pc_trdark")</f>
        <v>0.0</v>
      </c>
      <c r="D1681" t="inlineStr">
        <is>
          <t>鲜水湾甄选</t>
        </is>
      </c>
      <c r="E1681" t="inlineStr">
        <is>
          <t>27401929161</t>
        </is>
      </c>
      <c r="F1681" t="inlineStr">
        <is>
          <t>2026-02-26 13:23:22</t>
        </is>
      </c>
      <c r="G1681" t="inlineStr">
        <is>
          <t>图文</t>
        </is>
      </c>
      <c r="H1681" t="inlineStr">
        <is>
          <t>北极甜虾头籽甜虾元宝虾北极熊冰虾孕妈妈宝宝辅食顺丰</t>
        </is>
      </c>
      <c r="I1681" t="inlineStr">
        <is>
          <t>6953717eb8f0bb000115158d</t>
        </is>
      </c>
      <c r="J1681" t="inlineStr">
        <is>
          <t/>
        </is>
      </c>
      <c r="K1681" t="n">
        <v>0.0</v>
      </c>
      <c r="L1681" t="n">
        <v>0.0</v>
      </c>
      <c r="M1681" t="n">
        <v>0.0</v>
      </c>
      <c r="N1681" t="inlineStr">
        <is>
          <t/>
        </is>
      </c>
      <c r="O1681" t="n">
        <v>0.0</v>
      </c>
      <c r="P1681" t="n">
        <v>0.0</v>
      </c>
      <c r="Q1681" t="inlineStr">
        <is>
          <t/>
        </is>
      </c>
      <c r="R1681" t="inlineStr">
        <is>
          <t/>
        </is>
      </c>
      <c r="S1681" t="n">
        <v>0.0</v>
      </c>
      <c r="T1681" t="n">
        <v>0.0</v>
      </c>
      <c r="U1681" t="n">
        <v>0.0</v>
      </c>
      <c r="V1681" t="n">
        <v>0.0</v>
      </c>
      <c r="W1681" t="inlineStr">
        <is>
          <t/>
        </is>
      </c>
      <c r="X1681" t="n">
        <v>0.0</v>
      </c>
      <c r="Y1681" t="n">
        <v>0.0</v>
      </c>
      <c r="Z1681" t="n">
        <v>0.0</v>
      </c>
      <c r="AA1681" t="n">
        <v>0.0</v>
      </c>
      <c r="AB1681" t="n">
        <v>0.0</v>
      </c>
      <c r="AC1681" t="n">
        <v>0.0</v>
      </c>
      <c r="AD1681" t="n">
        <v>0.0</v>
      </c>
      <c r="AE1681" t="n">
        <v>0.0</v>
      </c>
      <c r="AF1681" t="n">
        <v>0.0</v>
      </c>
      <c r="AG1681" t="n">
        <v>0.0</v>
      </c>
      <c r="AH1681" t="n">
        <v>0.0</v>
      </c>
      <c r="AI1681" t="n">
        <v>0.0</v>
      </c>
      <c r="AJ1681" t="n">
        <v>0.0</v>
      </c>
      <c r="AK1681" t="inlineStr">
        <is>
          <t/>
        </is>
      </c>
      <c r="AL1681" t="inlineStr">
        <is>
          <t/>
        </is>
      </c>
    </row>
    <row r="1682">
      <c r="A1682" t="inlineStr">
        <is>
          <t>蛋白质健身教练推荐我吃三文鱼排</t>
        </is>
      </c>
      <c r="B1682" t="inlineStr">
        <is>
          <t>699ec98d000000001a01ed96</t>
        </is>
      </c>
      <c r="C1682" s="1681" t="n">
        <f>HYPERLINK("https://www.xiaohongshu.com/explore/699ec98d000000001a01ed96?xsec_token=TBggKgSP0tIUAtqBAPfP3mLdlGNOXhAv0abcSVh7WkQrk=&amp;xsec_source=pc_trdark","https://www.xiaohongshu.com/explore/699ec98d000000001a01ed96?xsec_token=TBggKgSP0tIUAtqBAPfP3mLdlGNOXhAv0abcSVh7WkQrk=&amp;xsec_source=pc_trdark")</f>
        <v>0.0</v>
      </c>
      <c r="D1682" t="inlineStr">
        <is>
          <t>鲜水湾</t>
        </is>
      </c>
      <c r="E1682" t="inlineStr">
        <is>
          <t>49316638994</t>
        </is>
      </c>
      <c r="F1682" t="inlineStr">
        <is>
          <t>2026-02-25 18:06:05</t>
        </is>
      </c>
      <c r="G1682" t="inlineStr">
        <is>
          <t>图文</t>
        </is>
      </c>
      <c r="H1682" t="inlineStr">
        <is>
          <t>智利三文鱼切块·整条三文鱼·深海鱼一人食健康饮食</t>
        </is>
      </c>
      <c r="I1682" t="inlineStr">
        <is>
          <t>691ac562a524ee0001b51d7b</t>
        </is>
      </c>
      <c r="J1682" t="inlineStr">
        <is>
          <t/>
        </is>
      </c>
      <c r="K1682" t="n">
        <v>0.0</v>
      </c>
      <c r="L1682" t="n">
        <v>0.0</v>
      </c>
      <c r="M1682" t="n">
        <v>0.0</v>
      </c>
      <c r="N1682" t="inlineStr">
        <is>
          <t/>
        </is>
      </c>
      <c r="O1682" t="n">
        <v>0.0</v>
      </c>
      <c r="P1682" t="n">
        <v>0.0</v>
      </c>
      <c r="Q1682" t="inlineStr">
        <is>
          <t/>
        </is>
      </c>
      <c r="R1682" t="inlineStr">
        <is>
          <t/>
        </is>
      </c>
      <c r="S1682" t="n">
        <v>0.0</v>
      </c>
      <c r="T1682" t="n">
        <v>0.0</v>
      </c>
      <c r="U1682" t="n">
        <v>0.0</v>
      </c>
      <c r="V1682" t="n">
        <v>0.0</v>
      </c>
      <c r="W1682" t="inlineStr">
        <is>
          <t/>
        </is>
      </c>
      <c r="X1682" t="n">
        <v>0.0</v>
      </c>
      <c r="Y1682" t="n">
        <v>0.0</v>
      </c>
      <c r="Z1682" t="n">
        <v>0.0</v>
      </c>
      <c r="AA1682" t="n">
        <v>0.0</v>
      </c>
      <c r="AB1682" t="n">
        <v>0.0</v>
      </c>
      <c r="AC1682" t="n">
        <v>0.0</v>
      </c>
      <c r="AD1682" t="n">
        <v>0.0</v>
      </c>
      <c r="AE1682" t="n">
        <v>0.0</v>
      </c>
      <c r="AF1682" t="n">
        <v>0.0</v>
      </c>
      <c r="AG1682" t="n">
        <v>0.0</v>
      </c>
      <c r="AH1682" t="n">
        <v>0.0</v>
      </c>
      <c r="AI1682" t="n">
        <v>0.0</v>
      </c>
      <c r="AJ1682" t="n">
        <v>0.0</v>
      </c>
      <c r="AK1682" t="inlineStr">
        <is>
          <t/>
        </is>
      </c>
      <c r="AL1682" t="inlineStr">
        <is>
          <t/>
        </is>
      </c>
    </row>
    <row r="1683">
      <c r="A1683" t="inlineStr">
        <is>
          <t>第一次直观感受到 70 块钱的威力</t>
        </is>
      </c>
      <c r="B1683" t="inlineStr">
        <is>
          <t>699ec416000000001a03214d</t>
        </is>
      </c>
      <c r="C1683" s="1682" t="n">
        <f>HYPERLINK("https://www.xiaohongshu.com/explore/699ec416000000001a03214d?xsec_token=TBggKgSP0tIUAtqBAPfP3mLfAUR-Rz_K3CwxcaHMVC0-E=&amp;xsec_source=pc_trdark","https://www.xiaohongshu.com/explore/699ec416000000001a03214d?xsec_token=TBggKgSP0tIUAtqBAPfP3mLfAUR-Rz_K3CwxcaHMVC0-E=&amp;xsec_source=pc_trdark")</f>
        <v>0.0</v>
      </c>
      <c r="D1683" t="inlineStr">
        <is>
          <t>鲜水湾</t>
        </is>
      </c>
      <c r="E1683" t="inlineStr">
        <is>
          <t>49316638994</t>
        </is>
      </c>
      <c r="F1683" t="inlineStr">
        <is>
          <t>2026-02-25 17:42:46</t>
        </is>
      </c>
      <c r="G1683" t="inlineStr">
        <is>
          <t>图文</t>
        </is>
      </c>
      <c r="H1683" t="inlineStr">
        <is>
          <t>大虾基围虾王牌大虾厄瓜多尔白虾盐冻虾仁海洋大虾送礼顺丰包邮</t>
        </is>
      </c>
      <c r="I1683" t="inlineStr">
        <is>
          <t>690aeb7be379430001e686ac</t>
        </is>
      </c>
      <c r="J1683" t="inlineStr">
        <is>
          <t/>
        </is>
      </c>
      <c r="K1683" t="n">
        <v>0.0</v>
      </c>
      <c r="L1683" t="n">
        <v>0.0</v>
      </c>
      <c r="M1683" t="n">
        <v>0.0</v>
      </c>
      <c r="N1683" t="inlineStr">
        <is>
          <t/>
        </is>
      </c>
      <c r="O1683" t="n">
        <v>0.0</v>
      </c>
      <c r="P1683" t="n">
        <v>0.0</v>
      </c>
      <c r="Q1683" t="inlineStr">
        <is>
          <t/>
        </is>
      </c>
      <c r="R1683" t="inlineStr">
        <is>
          <t/>
        </is>
      </c>
      <c r="S1683" t="n">
        <v>0.0</v>
      </c>
      <c r="T1683" t="n">
        <v>0.0</v>
      </c>
      <c r="U1683" t="n">
        <v>0.0</v>
      </c>
      <c r="V1683" t="n">
        <v>0.0</v>
      </c>
      <c r="W1683" t="inlineStr">
        <is>
          <t/>
        </is>
      </c>
      <c r="X1683" t="n">
        <v>0.0</v>
      </c>
      <c r="Y1683" t="n">
        <v>0.0</v>
      </c>
      <c r="Z1683" t="n">
        <v>0.0</v>
      </c>
      <c r="AA1683" t="n">
        <v>0.0</v>
      </c>
      <c r="AB1683" t="n">
        <v>0.0</v>
      </c>
      <c r="AC1683" t="n">
        <v>0.0</v>
      </c>
      <c r="AD1683" t="n">
        <v>0.0</v>
      </c>
      <c r="AE1683" t="n">
        <v>0.0</v>
      </c>
      <c r="AF1683" t="n">
        <v>0.0</v>
      </c>
      <c r="AG1683" t="n">
        <v>0.0</v>
      </c>
      <c r="AH1683" t="n">
        <v>0.0</v>
      </c>
      <c r="AI1683" t="n">
        <v>0.0</v>
      </c>
      <c r="AJ1683" t="n">
        <v>0.0</v>
      </c>
      <c r="AK1683" t="inlineStr">
        <is>
          <t/>
        </is>
      </c>
      <c r="AL1683" t="inlineStr">
        <is>
          <t/>
        </is>
      </c>
    </row>
    <row r="1684">
      <c r="A1684" t="inlineStr">
        <is>
          <t>春节快速回复状态：多吃高钾食物</t>
        </is>
      </c>
      <c r="B1684" t="inlineStr">
        <is>
          <t>699e7341000000001a02240c</t>
        </is>
      </c>
      <c r="C1684" s="1683" t="n">
        <f>HYPERLINK("https://www.xiaohongshu.com/explore/699e7341000000001a02240c?xsec_token=TBggKgSP0tIUAtqBAPfP3mLYtMkfFhWb042bWYIwFhasA=&amp;xsec_source=pc_trdark","https://www.xiaohongshu.com/explore/699e7341000000001a02240c?xsec_token=TBggKgSP0tIUAtqBAPfP3mLYtMkfFhWb042bWYIwFhasA=&amp;xsec_source=pc_trdark")</f>
        <v>0.0</v>
      </c>
      <c r="D1684" t="inlineStr">
        <is>
          <t>鲜水湾</t>
        </is>
      </c>
      <c r="E1684" t="inlineStr">
        <is>
          <t>49316638994</t>
        </is>
      </c>
      <c r="F1684" t="inlineStr">
        <is>
          <t>2026-02-25 11:57:53</t>
        </is>
      </c>
      <c r="G1684" t="inlineStr">
        <is>
          <t>图文</t>
        </is>
      </c>
      <c r="H1684" t="inlineStr">
        <is>
          <t>智利三文鱼切块·整条三文鱼·深海鱼一人食健康饮食</t>
        </is>
      </c>
      <c r="I1684" t="inlineStr">
        <is>
          <t>691ac562a524ee0001b51d7b</t>
        </is>
      </c>
      <c r="J1684" t="inlineStr">
        <is>
          <t/>
        </is>
      </c>
      <c r="K1684" t="n">
        <v>0.0</v>
      </c>
      <c r="L1684" t="n">
        <v>0.0</v>
      </c>
      <c r="M1684" t="n">
        <v>0.0</v>
      </c>
      <c r="N1684" t="inlineStr">
        <is>
          <t/>
        </is>
      </c>
      <c r="O1684" t="n">
        <v>0.0</v>
      </c>
      <c r="P1684" t="n">
        <v>0.0</v>
      </c>
      <c r="Q1684" t="inlineStr">
        <is>
          <t/>
        </is>
      </c>
      <c r="R1684" t="inlineStr">
        <is>
          <t/>
        </is>
      </c>
      <c r="S1684" t="n">
        <v>0.0</v>
      </c>
      <c r="T1684" t="n">
        <v>0.0</v>
      </c>
      <c r="U1684" t="n">
        <v>0.0</v>
      </c>
      <c r="V1684" t="n">
        <v>0.0</v>
      </c>
      <c r="W1684" t="inlineStr">
        <is>
          <t/>
        </is>
      </c>
      <c r="X1684" t="n">
        <v>0.0</v>
      </c>
      <c r="Y1684" t="n">
        <v>0.0</v>
      </c>
      <c r="Z1684" t="n">
        <v>0.0</v>
      </c>
      <c r="AA1684" t="n">
        <v>0.0</v>
      </c>
      <c r="AB1684" t="n">
        <v>0.0</v>
      </c>
      <c r="AC1684" t="n">
        <v>0.0</v>
      </c>
      <c r="AD1684" t="n">
        <v>0.0</v>
      </c>
      <c r="AE1684" t="n">
        <v>0.0</v>
      </c>
      <c r="AF1684" t="n">
        <v>0.0</v>
      </c>
      <c r="AG1684" t="n">
        <v>0.0</v>
      </c>
      <c r="AH1684" t="n">
        <v>0.0</v>
      </c>
      <c r="AI1684" t="n">
        <v>0.0</v>
      </c>
      <c r="AJ1684" t="n">
        <v>0.0</v>
      </c>
      <c r="AK1684" t="inlineStr">
        <is>
          <t/>
        </is>
      </c>
      <c r="AL1684" t="inlineStr">
        <is>
          <t/>
        </is>
      </c>
    </row>
    <row r="1685">
      <c r="A1685" t="inlineStr">
        <is>
          <t>果然是超市买不到的口感！！</t>
        </is>
      </c>
      <c r="B1685" t="inlineStr">
        <is>
          <t>699d6e4f000000000e03c29c</t>
        </is>
      </c>
      <c r="C1685" s="1684" t="n">
        <f>HYPERLINK("https://www.xiaohongshu.com/explore/699d6e4f000000000e03c29c?xsec_token=TBeFZqWudA4ECFcaumXjqu0NhsQ3I0hlnhfhZOGAfEneQ=&amp;xsec_source=pc_trdark","https://www.xiaohongshu.com/explore/699d6e4f000000000e03c29c?xsec_token=TBeFZqWudA4ECFcaumXjqu0NhsQ3I0hlnhfhZOGAfEneQ=&amp;xsec_source=pc_trdark")</f>
        <v>0.0</v>
      </c>
      <c r="D1685" t="inlineStr">
        <is>
          <t>鲜水湾</t>
        </is>
      </c>
      <c r="E1685" t="inlineStr">
        <is>
          <t>49316638994</t>
        </is>
      </c>
      <c r="F1685" t="inlineStr">
        <is>
          <t>2026-02-24 17:24:31</t>
        </is>
      </c>
      <c r="G1685" t="inlineStr">
        <is>
          <t>图文</t>
        </is>
      </c>
      <c r="H1685" t="inlineStr">
        <is>
          <t>大虾基围虾王牌大虾厄瓜多尔白虾盐冻虾仁海洋大虾送礼顺丰包邮</t>
        </is>
      </c>
      <c r="I1685" t="inlineStr">
        <is>
          <t>690aeb7be379430001e686ac</t>
        </is>
      </c>
      <c r="J1685" t="inlineStr">
        <is>
          <t/>
        </is>
      </c>
      <c r="K1685" t="n">
        <v>0.0</v>
      </c>
      <c r="L1685" t="n">
        <v>0.0</v>
      </c>
      <c r="M1685" t="n">
        <v>0.0</v>
      </c>
      <c r="N1685" t="inlineStr">
        <is>
          <t/>
        </is>
      </c>
      <c r="O1685" t="n">
        <v>0.0</v>
      </c>
      <c r="P1685" t="n">
        <v>0.0</v>
      </c>
      <c r="Q1685" t="inlineStr">
        <is>
          <t/>
        </is>
      </c>
      <c r="R1685" t="inlineStr">
        <is>
          <t/>
        </is>
      </c>
      <c r="S1685" t="n">
        <v>0.0</v>
      </c>
      <c r="T1685" t="n">
        <v>0.0</v>
      </c>
      <c r="U1685" t="n">
        <v>0.0</v>
      </c>
      <c r="V1685" t="n">
        <v>0.0</v>
      </c>
      <c r="W1685" t="inlineStr">
        <is>
          <t/>
        </is>
      </c>
      <c r="X1685" t="n">
        <v>0.0</v>
      </c>
      <c r="Y1685" t="n">
        <v>0.0</v>
      </c>
      <c r="Z1685" t="n">
        <v>0.0</v>
      </c>
      <c r="AA1685" t="n">
        <v>0.0</v>
      </c>
      <c r="AB1685" t="n">
        <v>0.0</v>
      </c>
      <c r="AC1685" t="n">
        <v>0.0</v>
      </c>
      <c r="AD1685" t="n">
        <v>0.0</v>
      </c>
      <c r="AE1685" t="n">
        <v>0.0</v>
      </c>
      <c r="AF1685" t="n">
        <v>0.0</v>
      </c>
      <c r="AG1685" t="n">
        <v>0.0</v>
      </c>
      <c r="AH1685" t="n">
        <v>0.0</v>
      </c>
      <c r="AI1685" t="n">
        <v>0.0</v>
      </c>
      <c r="AJ1685" t="n">
        <v>0.0</v>
      </c>
      <c r="AK1685" t="inlineStr">
        <is>
          <t/>
        </is>
      </c>
      <c r="AL1685" t="inlineStr">
        <is>
          <t/>
        </is>
      </c>
    </row>
    <row r="1686">
      <c r="A1686" t="inlineStr">
        <is>
          <t>年后减脂真不多，区区69块够吃一周了!</t>
        </is>
      </c>
      <c r="B1686" t="inlineStr">
        <is>
          <t>699d3854000000001a02580e</t>
        </is>
      </c>
      <c r="C1686" s="1685" t="n">
        <f>HYPERLINK("https://www.xiaohongshu.com/explore/699d3854000000001a02580e?xsec_token=TBeFZqWudA4ECFcaumXjqu0PtoMl0gr7cybqsjyWxf1Ww=&amp;xsec_source=pc_trdark","https://www.xiaohongshu.com/explore/699d3854000000001a02580e?xsec_token=TBeFZqWudA4ECFcaumXjqu0PtoMl0gr7cybqsjyWxf1Ww=&amp;xsec_source=pc_trdark")</f>
        <v>0.0</v>
      </c>
      <c r="D1686" t="inlineStr">
        <is>
          <t>鲜水湾</t>
        </is>
      </c>
      <c r="E1686" t="inlineStr">
        <is>
          <t>49316638994</t>
        </is>
      </c>
      <c r="F1686" t="inlineStr">
        <is>
          <t>2026-02-24 13:34:12</t>
        </is>
      </c>
      <c r="G1686" t="inlineStr">
        <is>
          <t>图文</t>
        </is>
      </c>
      <c r="H1686" t="inlineStr">
        <is>
          <t>大虾基围虾王牌大虾厄瓜多尔白虾盐冻虾仁海洋大虾送礼顺丰包邮</t>
        </is>
      </c>
      <c r="I1686" t="inlineStr">
        <is>
          <t>690aeb7be379430001e686ac</t>
        </is>
      </c>
      <c r="J1686" t="inlineStr">
        <is>
          <t/>
        </is>
      </c>
      <c r="K1686" t="n">
        <v>0.0</v>
      </c>
      <c r="L1686" t="n">
        <v>0.0</v>
      </c>
      <c r="M1686" t="n">
        <v>0.0</v>
      </c>
      <c r="N1686" t="inlineStr">
        <is>
          <t/>
        </is>
      </c>
      <c r="O1686" t="n">
        <v>0.0</v>
      </c>
      <c r="P1686" t="n">
        <v>0.0</v>
      </c>
      <c r="Q1686" t="inlineStr">
        <is>
          <t/>
        </is>
      </c>
      <c r="R1686" t="inlineStr">
        <is>
          <t/>
        </is>
      </c>
      <c r="S1686" t="n">
        <v>0.0</v>
      </c>
      <c r="T1686" t="n">
        <v>0.0</v>
      </c>
      <c r="U1686" t="n">
        <v>0.0</v>
      </c>
      <c r="V1686" t="n">
        <v>0.0</v>
      </c>
      <c r="W1686" t="inlineStr">
        <is>
          <t/>
        </is>
      </c>
      <c r="X1686" t="n">
        <v>0.0</v>
      </c>
      <c r="Y1686" t="n">
        <v>0.0</v>
      </c>
      <c r="Z1686" t="n">
        <v>0.0</v>
      </c>
      <c r="AA1686" t="n">
        <v>0.0</v>
      </c>
      <c r="AB1686" t="n">
        <v>0.0</v>
      </c>
      <c r="AC1686" t="n">
        <v>0.0</v>
      </c>
      <c r="AD1686" t="n">
        <v>0.0</v>
      </c>
      <c r="AE1686" t="n">
        <v>0.0</v>
      </c>
      <c r="AF1686" t="n">
        <v>0.0</v>
      </c>
      <c r="AG1686" t="n">
        <v>0.0</v>
      </c>
      <c r="AH1686" t="n">
        <v>0.0</v>
      </c>
      <c r="AI1686" t="n">
        <v>0.0</v>
      </c>
      <c r="AJ1686" t="n">
        <v>0.0</v>
      </c>
      <c r="AK1686" t="inlineStr">
        <is>
          <t/>
        </is>
      </c>
      <c r="AL1686" t="inlineStr">
        <is>
          <t/>
        </is>
      </c>
    </row>
    <row r="1687">
      <c r="A1687" t="inlineStr">
        <is>
          <t>你以为我想吃吗？可它69承包我一周减脂餐🤩</t>
        </is>
      </c>
      <c r="B1687" t="inlineStr">
        <is>
          <t>699bc609000000002801c462</t>
        </is>
      </c>
      <c r="C1687" s="1686" t="n">
        <f>HYPERLINK("https://www.xiaohongshu.com/explore/699bc609000000002801c462?xsec_token=TBp2xVuVUvhysslovKD4WEO3UPyoWcvfUaDp74o7V7L0A=&amp;xsec_source=pc_trdark","https://www.xiaohongshu.com/explore/699bc609000000002801c462?xsec_token=TBp2xVuVUvhysslovKD4WEO3UPyoWcvfUaDp74o7V7L0A=&amp;xsec_source=pc_trdark")</f>
        <v>0.0</v>
      </c>
      <c r="D1687" t="inlineStr">
        <is>
          <t>鲜水湾</t>
        </is>
      </c>
      <c r="E1687" t="inlineStr">
        <is>
          <t>49316638994</t>
        </is>
      </c>
      <c r="F1687" t="inlineStr">
        <is>
          <t>2026-02-23 11:14:17</t>
        </is>
      </c>
      <c r="G1687" t="inlineStr">
        <is>
          <t>图文</t>
        </is>
      </c>
      <c r="H1687" t="inlineStr">
        <is>
          <t>大虾基围虾王牌大虾厄瓜多尔白虾盐冻虾仁海洋大虾送礼顺丰包邮</t>
        </is>
      </c>
      <c r="I1687" t="inlineStr">
        <is>
          <t>690aeb7be379430001e686ac</t>
        </is>
      </c>
      <c r="J1687" t="inlineStr">
        <is>
          <t/>
        </is>
      </c>
      <c r="K1687" t="n">
        <v>0.0</v>
      </c>
      <c r="L1687" t="n">
        <v>0.0</v>
      </c>
      <c r="M1687" t="n">
        <v>0.0</v>
      </c>
      <c r="N1687" t="inlineStr">
        <is>
          <t/>
        </is>
      </c>
      <c r="O1687" t="n">
        <v>0.0</v>
      </c>
      <c r="P1687" t="n">
        <v>0.0</v>
      </c>
      <c r="Q1687" t="inlineStr">
        <is>
          <t/>
        </is>
      </c>
      <c r="R1687" t="inlineStr">
        <is>
          <t/>
        </is>
      </c>
      <c r="S1687" t="n">
        <v>0.0</v>
      </c>
      <c r="T1687" t="n">
        <v>0.0</v>
      </c>
      <c r="U1687" t="n">
        <v>0.0</v>
      </c>
      <c r="V1687" t="n">
        <v>0.0</v>
      </c>
      <c r="W1687" t="inlineStr">
        <is>
          <t/>
        </is>
      </c>
      <c r="X1687" t="n">
        <v>0.0</v>
      </c>
      <c r="Y1687" t="n">
        <v>0.0</v>
      </c>
      <c r="Z1687" t="n">
        <v>0.0</v>
      </c>
      <c r="AA1687" t="n">
        <v>0.0</v>
      </c>
      <c r="AB1687" t="n">
        <v>0.0</v>
      </c>
      <c r="AC1687" t="n">
        <v>0.0</v>
      </c>
      <c r="AD1687" t="n">
        <v>0.0</v>
      </c>
      <c r="AE1687" t="n">
        <v>0.0</v>
      </c>
      <c r="AF1687" t="n">
        <v>0.0</v>
      </c>
      <c r="AG1687" t="n">
        <v>0.0</v>
      </c>
      <c r="AH1687" t="n">
        <v>0.0</v>
      </c>
      <c r="AI1687" t="n">
        <v>0.0</v>
      </c>
      <c r="AJ1687" t="n">
        <v>0.0</v>
      </c>
      <c r="AK1687" t="inlineStr">
        <is>
          <t/>
        </is>
      </c>
      <c r="AL1687" t="inlineStr">
        <is>
          <t/>
        </is>
      </c>
    </row>
    <row r="1688">
      <c r="A1688" t="inlineStr">
        <is>
          <t>冬天上班就这么吃，裤子都穿不住了</t>
        </is>
      </c>
      <c r="B1688" t="inlineStr">
        <is>
          <t>69998adb000000001a0298c7</t>
        </is>
      </c>
      <c r="C1688" s="1687" t="n">
        <f>HYPERLINK("https://www.xiaohongshu.com/explore/69998adb000000001a0298c7?xsec_token=TBAfDGKDuzeCZ7_t6xBolPunj4US8MG6VrW6Te24ux3vc=&amp;xsec_source=pc_trdark","https://www.xiaohongshu.com/explore/69998adb000000001a0298c7?xsec_token=TBAfDGKDuzeCZ7_t6xBolPunj4US8MG6VrW6Te24ux3vc=&amp;xsec_source=pc_trdark")</f>
        <v>0.0</v>
      </c>
      <c r="D1688" t="inlineStr">
        <is>
          <t>鲜水湾</t>
        </is>
      </c>
      <c r="E1688" t="inlineStr">
        <is>
          <t>49316638994</t>
        </is>
      </c>
      <c r="F1688" t="inlineStr">
        <is>
          <t>2026-02-21 18:37:15</t>
        </is>
      </c>
      <c r="G1688" t="inlineStr">
        <is>
          <t>图文</t>
        </is>
      </c>
      <c r="H1688" t="inlineStr">
        <is>
          <t>大虾基围虾王牌大虾厄瓜多尔白虾盐冻虾仁海洋大虾送礼顺丰包邮</t>
        </is>
      </c>
      <c r="I1688" t="inlineStr">
        <is>
          <t>690aeb7be379430001e686ac</t>
        </is>
      </c>
      <c r="J1688" t="inlineStr">
        <is>
          <t/>
        </is>
      </c>
      <c r="K1688" t="n">
        <v>0.0</v>
      </c>
      <c r="L1688" t="n">
        <v>0.0</v>
      </c>
      <c r="M1688" t="n">
        <v>0.0</v>
      </c>
      <c r="N1688" t="inlineStr">
        <is>
          <t/>
        </is>
      </c>
      <c r="O1688" t="n">
        <v>0.0</v>
      </c>
      <c r="P1688" t="n">
        <v>0.0</v>
      </c>
      <c r="Q1688" t="inlineStr">
        <is>
          <t/>
        </is>
      </c>
      <c r="R1688" t="inlineStr">
        <is>
          <t/>
        </is>
      </c>
      <c r="S1688" t="n">
        <v>0.0</v>
      </c>
      <c r="T1688" t="n">
        <v>0.0</v>
      </c>
      <c r="U1688" t="n">
        <v>0.0</v>
      </c>
      <c r="V1688" t="n">
        <v>0.0</v>
      </c>
      <c r="W1688" t="inlineStr">
        <is>
          <t/>
        </is>
      </c>
      <c r="X1688" t="n">
        <v>0.0</v>
      </c>
      <c r="Y1688" t="n">
        <v>0.0</v>
      </c>
      <c r="Z1688" t="n">
        <v>0.0</v>
      </c>
      <c r="AA1688" t="n">
        <v>0.0</v>
      </c>
      <c r="AB1688" t="n">
        <v>0.0</v>
      </c>
      <c r="AC1688" t="n">
        <v>0.0</v>
      </c>
      <c r="AD1688" t="n">
        <v>0.0</v>
      </c>
      <c r="AE1688" t="n">
        <v>0.0</v>
      </c>
      <c r="AF1688" t="n">
        <v>0.0</v>
      </c>
      <c r="AG1688" t="n">
        <v>0.0</v>
      </c>
      <c r="AH1688" t="n">
        <v>0.0</v>
      </c>
      <c r="AI1688" t="n">
        <v>0.0</v>
      </c>
      <c r="AJ1688" t="n">
        <v>0.0</v>
      </c>
      <c r="AK1688" t="inlineStr">
        <is>
          <t/>
        </is>
      </c>
      <c r="AL1688" t="inlineStr">
        <is>
          <t/>
        </is>
      </c>
    </row>
    <row r="1689">
      <c r="A1689" t="inlineStr">
        <is>
          <t>区区69块，承包了我一周减脂的快乐</t>
        </is>
      </c>
      <c r="B1689" t="inlineStr">
        <is>
          <t>69983f10000000001a02347b</t>
        </is>
      </c>
      <c r="C1689" s="1688" t="n">
        <f>HYPERLINK("https://www.xiaohongshu.com/explore/69983f10000000001a02347b?xsec_token=TBw3dBNyYxHSihInNv0vJoVnDJ8H_ygMIcvJyez0UsWb0=&amp;xsec_source=pc_trdark","https://www.xiaohongshu.com/explore/69983f10000000001a02347b?xsec_token=TBw3dBNyYxHSihInNv0vJoVnDJ8H_ygMIcvJyez0UsWb0=&amp;xsec_source=pc_trdark")</f>
        <v>0.0</v>
      </c>
      <c r="D1689" t="inlineStr">
        <is>
          <t>鲜水湾</t>
        </is>
      </c>
      <c r="E1689" t="inlineStr">
        <is>
          <t>49316638994</t>
        </is>
      </c>
      <c r="F1689" t="inlineStr">
        <is>
          <t>2026-02-20 19:01:36</t>
        </is>
      </c>
      <c r="G1689" t="inlineStr">
        <is>
          <t>图文</t>
        </is>
      </c>
      <c r="H1689" t="inlineStr">
        <is>
          <t>大虾基围虾王牌大虾厄瓜多尔白虾盐冻虾仁海洋大虾送礼顺丰包邮</t>
        </is>
      </c>
      <c r="I1689" t="inlineStr">
        <is>
          <t>690aeb7be379430001e686ac</t>
        </is>
      </c>
      <c r="J1689" t="inlineStr">
        <is>
          <t/>
        </is>
      </c>
      <c r="K1689" t="n">
        <v>0.0</v>
      </c>
      <c r="L1689" t="n">
        <v>0.0</v>
      </c>
      <c r="M1689" t="n">
        <v>0.0</v>
      </c>
      <c r="N1689" t="inlineStr">
        <is>
          <t/>
        </is>
      </c>
      <c r="O1689" t="n">
        <v>0.0</v>
      </c>
      <c r="P1689" t="n">
        <v>0.0</v>
      </c>
      <c r="Q1689" t="inlineStr">
        <is>
          <t/>
        </is>
      </c>
      <c r="R1689" t="inlineStr">
        <is>
          <t/>
        </is>
      </c>
      <c r="S1689" t="n">
        <v>0.0</v>
      </c>
      <c r="T1689" t="n">
        <v>0.0</v>
      </c>
      <c r="U1689" t="n">
        <v>0.0</v>
      </c>
      <c r="V1689" t="n">
        <v>0.0</v>
      </c>
      <c r="W1689" t="inlineStr">
        <is>
          <t/>
        </is>
      </c>
      <c r="X1689" t="n">
        <v>0.0</v>
      </c>
      <c r="Y1689" t="n">
        <v>0.0</v>
      </c>
      <c r="Z1689" t="n">
        <v>0.0</v>
      </c>
      <c r="AA1689" t="n">
        <v>0.0</v>
      </c>
      <c r="AB1689" t="n">
        <v>0.0</v>
      </c>
      <c r="AC1689" t="n">
        <v>0.0</v>
      </c>
      <c r="AD1689" t="n">
        <v>0.0</v>
      </c>
      <c r="AE1689" t="n">
        <v>0.0</v>
      </c>
      <c r="AF1689" t="n">
        <v>0.0</v>
      </c>
      <c r="AG1689" t="n">
        <v>0.0</v>
      </c>
      <c r="AH1689" t="n">
        <v>0.0</v>
      </c>
      <c r="AI1689" t="n">
        <v>0.0</v>
      </c>
      <c r="AJ1689" t="n">
        <v>0.0</v>
      </c>
      <c r="AK1689" t="inlineStr">
        <is>
          <t/>
        </is>
      </c>
      <c r="AL1689" t="inlineStr">
        <is>
          <t/>
        </is>
      </c>
    </row>
    <row r="1690">
      <c r="A1690" t="inlineStr">
        <is>
          <t>以为60来块没多少，结果够我吃一周的了</t>
        </is>
      </c>
      <c r="B1690" t="inlineStr">
        <is>
          <t>69903b7a000000000e00eba9</t>
        </is>
      </c>
      <c r="C1690" s="1689" t="n">
        <f>HYPERLINK("https://www.xiaohongshu.com/explore/69903b7a000000000e00eba9?xsec_token=TBvdoWEZvj97Maw3nORHajeuQ9YR957T33JrIp2XRoEbs=&amp;xsec_source=pc_trdark","https://www.xiaohongshu.com/explore/69903b7a000000000e00eba9?xsec_token=TBvdoWEZvj97Maw3nORHajeuQ9YR957T33JrIp2XRoEbs=&amp;xsec_source=pc_trdark")</f>
        <v>0.0</v>
      </c>
      <c r="D1690" t="inlineStr">
        <is>
          <t>鲜水湾</t>
        </is>
      </c>
      <c r="E1690" t="inlineStr">
        <is>
          <t>49316638994</t>
        </is>
      </c>
      <c r="F1690" t="inlineStr">
        <is>
          <t>2026-02-14 17:08:10</t>
        </is>
      </c>
      <c r="G1690" t="inlineStr">
        <is>
          <t>图文</t>
        </is>
      </c>
      <c r="H1690" t="inlineStr">
        <is>
          <t>大虾基围虾王牌大虾厄瓜多尔白虾盐冻虾仁海洋大虾送礼顺丰包邮</t>
        </is>
      </c>
      <c r="I1690" t="inlineStr">
        <is>
          <t>690aeb7be379430001e686ac</t>
        </is>
      </c>
      <c r="J1690" t="inlineStr">
        <is>
          <t/>
        </is>
      </c>
      <c r="K1690" t="n">
        <v>0.0</v>
      </c>
      <c r="L1690" t="n">
        <v>0.0</v>
      </c>
      <c r="M1690" t="n">
        <v>0.0</v>
      </c>
      <c r="N1690" t="inlineStr">
        <is>
          <t/>
        </is>
      </c>
      <c r="O1690" t="n">
        <v>0.0</v>
      </c>
      <c r="P1690" t="n">
        <v>0.0</v>
      </c>
      <c r="Q1690" t="inlineStr">
        <is>
          <t/>
        </is>
      </c>
      <c r="R1690" t="inlineStr">
        <is>
          <t/>
        </is>
      </c>
      <c r="S1690" t="n">
        <v>0.0</v>
      </c>
      <c r="T1690" t="n">
        <v>0.0</v>
      </c>
      <c r="U1690" t="n">
        <v>0.0</v>
      </c>
      <c r="V1690" t="n">
        <v>0.0</v>
      </c>
      <c r="W1690" t="inlineStr">
        <is>
          <t/>
        </is>
      </c>
      <c r="X1690" t="n">
        <v>0.0</v>
      </c>
      <c r="Y1690" t="n">
        <v>0.0</v>
      </c>
      <c r="Z1690" t="n">
        <v>0.0</v>
      </c>
      <c r="AA1690" t="n">
        <v>0.0</v>
      </c>
      <c r="AB1690" t="n">
        <v>0.0</v>
      </c>
      <c r="AC1690" t="n">
        <v>0.0</v>
      </c>
      <c r="AD1690" t="n">
        <v>0.0</v>
      </c>
      <c r="AE1690" t="n">
        <v>0.0</v>
      </c>
      <c r="AF1690" t="n">
        <v>0.0</v>
      </c>
      <c r="AG1690" t="n">
        <v>0.0</v>
      </c>
      <c r="AH1690" t="n">
        <v>0.0</v>
      </c>
      <c r="AI1690" t="n">
        <v>0.0</v>
      </c>
      <c r="AJ1690" t="n">
        <v>0.0</v>
      </c>
      <c r="AK1690" t="inlineStr">
        <is>
          <t/>
        </is>
      </c>
      <c r="AL1690" t="inlineStr">
        <is>
          <t/>
        </is>
      </c>
    </row>
    <row r="1691">
      <c r="A1691" t="inlineStr">
        <is>
          <t>我私教都在吃的高蛋白三文鱼，绝了！</t>
        </is>
      </c>
      <c r="B1691" t="inlineStr">
        <is>
          <t>698ec44b000000001a0270c5</t>
        </is>
      </c>
      <c r="C1691" s="1690" t="n">
        <f>HYPERLINK("https://www.xiaohongshu.com/explore/698ec44b000000001a0270c5?xsec_token=TBNIhd8Wg4_l-WeAs5DLBNd1P-GAp89CM_CuklhTyX0rU=&amp;xsec_source=pc_trdark","https://www.xiaohongshu.com/explore/698ec44b000000001a0270c5?xsec_token=TBNIhd8Wg4_l-WeAs5DLBNd1P-GAp89CM_CuklhTyX0rU=&amp;xsec_source=pc_trdark")</f>
        <v>0.0</v>
      </c>
      <c r="D1691" t="inlineStr">
        <is>
          <t>鲜水湾</t>
        </is>
      </c>
      <c r="E1691" t="inlineStr">
        <is>
          <t>49316638994</t>
        </is>
      </c>
      <c r="F1691" t="inlineStr">
        <is>
          <t>2026-02-13 14:27:23</t>
        </is>
      </c>
      <c r="G1691" t="inlineStr">
        <is>
          <t>图文</t>
        </is>
      </c>
      <c r="H1691" t="inlineStr">
        <is>
          <t>智利三文鱼切块·整条三文鱼·深海鱼一人食健康饮食</t>
        </is>
      </c>
      <c r="I1691" t="inlineStr">
        <is>
          <t>691ac562a524ee0001b51d7b</t>
        </is>
      </c>
      <c r="J1691" t="inlineStr">
        <is>
          <t/>
        </is>
      </c>
      <c r="K1691" t="n">
        <v>0.0</v>
      </c>
      <c r="L1691" t="n">
        <v>0.0</v>
      </c>
      <c r="M1691" t="n">
        <v>0.0</v>
      </c>
      <c r="N1691" t="inlineStr">
        <is>
          <t/>
        </is>
      </c>
      <c r="O1691" t="n">
        <v>0.0</v>
      </c>
      <c r="P1691" t="n">
        <v>0.0</v>
      </c>
      <c r="Q1691" t="inlineStr">
        <is>
          <t/>
        </is>
      </c>
      <c r="R1691" t="inlineStr">
        <is>
          <t/>
        </is>
      </c>
      <c r="S1691" t="n">
        <v>0.0</v>
      </c>
      <c r="T1691" t="n">
        <v>0.0</v>
      </c>
      <c r="U1691" t="n">
        <v>0.0</v>
      </c>
      <c r="V1691" t="n">
        <v>0.0</v>
      </c>
      <c r="W1691" t="inlineStr">
        <is>
          <t/>
        </is>
      </c>
      <c r="X1691" t="n">
        <v>0.0</v>
      </c>
      <c r="Y1691" t="n">
        <v>0.0</v>
      </c>
      <c r="Z1691" t="n">
        <v>0.0</v>
      </c>
      <c r="AA1691" t="n">
        <v>0.0</v>
      </c>
      <c r="AB1691" t="n">
        <v>0.0</v>
      </c>
      <c r="AC1691" t="n">
        <v>0.0</v>
      </c>
      <c r="AD1691" t="n">
        <v>0.0</v>
      </c>
      <c r="AE1691" t="n">
        <v>0.0</v>
      </c>
      <c r="AF1691" t="n">
        <v>0.0</v>
      </c>
      <c r="AG1691" t="n">
        <v>0.0</v>
      </c>
      <c r="AH1691" t="n">
        <v>0.0</v>
      </c>
      <c r="AI1691" t="n">
        <v>0.0</v>
      </c>
      <c r="AJ1691" t="n">
        <v>0.0</v>
      </c>
      <c r="AK1691" t="inlineStr">
        <is>
          <t/>
        </is>
      </c>
      <c r="AL1691" t="inlineStr">
        <is>
          <t/>
        </is>
      </c>
    </row>
    <row r="1692">
      <c r="A1692" t="inlineStr">
        <is>
          <t>过度补甲=3倍⬇️秤</t>
        </is>
      </c>
      <c r="B1692" t="inlineStr">
        <is>
          <t>698c1bf10000000028009f39</t>
        </is>
      </c>
      <c r="C1692" s="1691" t="n">
        <f>HYPERLINK("https://www.xiaohongshu.com/explore/698c1bf10000000028009f39?xsec_token=TBpbSmv2Dvzozu0JyB91ReC11sA-jvB6BUUUnSVgVLkdU=&amp;xsec_source=pc_trdark","https://www.xiaohongshu.com/explore/698c1bf10000000028009f39?xsec_token=TBpbSmv2Dvzozu0JyB91ReC11sA-jvB6BUUUnSVgVLkdU=&amp;xsec_source=pc_trdark")</f>
        <v>0.0</v>
      </c>
      <c r="D1692" t="inlineStr">
        <is>
          <t>鲜水湾</t>
        </is>
      </c>
      <c r="E1692" t="inlineStr">
        <is>
          <t>49316638994</t>
        </is>
      </c>
      <c r="F1692" t="inlineStr">
        <is>
          <t>2026-02-11 14:04:33</t>
        </is>
      </c>
      <c r="G1692" t="inlineStr">
        <is>
          <t>图文</t>
        </is>
      </c>
      <c r="H1692" t="inlineStr">
        <is>
          <t>大虾基围虾王牌大虾厄瓜多尔白虾盐冻虾仁海洋大虾送礼顺丰包邮</t>
        </is>
      </c>
      <c r="I1692" t="inlineStr">
        <is>
          <t>690aeb7be379430001e686ac</t>
        </is>
      </c>
      <c r="J1692" t="inlineStr">
        <is>
          <t/>
        </is>
      </c>
      <c r="K1692" t="n">
        <v>0.0</v>
      </c>
      <c r="L1692" t="n">
        <v>0.0</v>
      </c>
      <c r="M1692" t="n">
        <v>0.0</v>
      </c>
      <c r="N1692" t="inlineStr">
        <is>
          <t/>
        </is>
      </c>
      <c r="O1692" t="n">
        <v>0.0</v>
      </c>
      <c r="P1692" t="n">
        <v>0.0</v>
      </c>
      <c r="Q1692" t="inlineStr">
        <is>
          <t/>
        </is>
      </c>
      <c r="R1692" t="inlineStr">
        <is>
          <t/>
        </is>
      </c>
      <c r="S1692" t="n">
        <v>0.0</v>
      </c>
      <c r="T1692" t="n">
        <v>0.0</v>
      </c>
      <c r="U1692" t="n">
        <v>0.0</v>
      </c>
      <c r="V1692" t="n">
        <v>0.0</v>
      </c>
      <c r="W1692" t="inlineStr">
        <is>
          <t/>
        </is>
      </c>
      <c r="X1692" t="n">
        <v>0.0</v>
      </c>
      <c r="Y1692" t="n">
        <v>0.0</v>
      </c>
      <c r="Z1692" t="n">
        <v>0.0</v>
      </c>
      <c r="AA1692" t="n">
        <v>0.0</v>
      </c>
      <c r="AB1692" t="n">
        <v>0.0</v>
      </c>
      <c r="AC1692" t="n">
        <v>0.0</v>
      </c>
      <c r="AD1692" t="n">
        <v>0.0</v>
      </c>
      <c r="AE1692" t="n">
        <v>0.0</v>
      </c>
      <c r="AF1692" t="n">
        <v>0.0</v>
      </c>
      <c r="AG1692" t="n">
        <v>0.0</v>
      </c>
      <c r="AH1692" t="n">
        <v>0.0</v>
      </c>
      <c r="AI1692" t="n">
        <v>0.0</v>
      </c>
      <c r="AJ1692" t="n">
        <v>0.0</v>
      </c>
      <c r="AK1692" t="inlineStr">
        <is>
          <t/>
        </is>
      </c>
      <c r="AL1692" t="inlineStr">
        <is>
          <t/>
        </is>
      </c>
    </row>
    <row r="1693">
      <c r="A1693" t="inlineStr">
        <is>
          <t>今年不送烟酒了！整条三文鱼，长辈都说太高级</t>
        </is>
      </c>
      <c r="B1693" t="inlineStr">
        <is>
          <t>698c1349000000002801ff47</t>
        </is>
      </c>
      <c r="C1693" s="1692" t="n">
        <f>HYPERLINK("https://www.xiaohongshu.com/explore/698c1349000000002801ff47?xsec_token=TBpbSmv2Dvzozu0JyB91ReCzbSBE-1-TQJzqMrWZBehkY=&amp;xsec_source=pc_trdark","https://www.xiaohongshu.com/explore/698c1349000000002801ff47?xsec_token=TBpbSmv2Dvzozu0JyB91ReCzbSBE-1-TQJzqMrWZBehkY=&amp;xsec_source=pc_trdark")</f>
        <v>0.0</v>
      </c>
      <c r="D1693" t="inlineStr">
        <is>
          <t>鲜水湾</t>
        </is>
      </c>
      <c r="E1693" t="inlineStr">
        <is>
          <t>49316638994</t>
        </is>
      </c>
      <c r="F1693" t="inlineStr">
        <is>
          <t>2026-02-11 13:27:37</t>
        </is>
      </c>
      <c r="G1693" t="inlineStr">
        <is>
          <t>图文</t>
        </is>
      </c>
      <c r="H1693" t="inlineStr">
        <is>
          <t>智利三文鱼切块·整条三文鱼·深海鱼一人食健康饮食</t>
        </is>
      </c>
      <c r="I1693" t="inlineStr">
        <is>
          <t>691ac562a524ee0001b51d7b</t>
        </is>
      </c>
      <c r="J1693" t="inlineStr">
        <is>
          <t/>
        </is>
      </c>
      <c r="K1693" t="n">
        <v>0.0</v>
      </c>
      <c r="L1693" t="n">
        <v>0.0</v>
      </c>
      <c r="M1693" t="n">
        <v>0.0</v>
      </c>
      <c r="N1693" t="inlineStr">
        <is>
          <t/>
        </is>
      </c>
      <c r="O1693" t="n">
        <v>0.0</v>
      </c>
      <c r="P1693" t="n">
        <v>0.0</v>
      </c>
      <c r="Q1693" t="inlineStr">
        <is>
          <t/>
        </is>
      </c>
      <c r="R1693" t="inlineStr">
        <is>
          <t/>
        </is>
      </c>
      <c r="S1693" t="n">
        <v>0.0</v>
      </c>
      <c r="T1693" t="n">
        <v>0.0</v>
      </c>
      <c r="U1693" t="n">
        <v>0.0</v>
      </c>
      <c r="V1693" t="n">
        <v>0.0</v>
      </c>
      <c r="W1693" t="inlineStr">
        <is>
          <t/>
        </is>
      </c>
      <c r="X1693" t="n">
        <v>0.0</v>
      </c>
      <c r="Y1693" t="n">
        <v>0.0</v>
      </c>
      <c r="Z1693" t="n">
        <v>0.0</v>
      </c>
      <c r="AA1693" t="n">
        <v>0.0</v>
      </c>
      <c r="AB1693" t="n">
        <v>0.0</v>
      </c>
      <c r="AC1693" t="n">
        <v>0.0</v>
      </c>
      <c r="AD1693" t="n">
        <v>0.0</v>
      </c>
      <c r="AE1693" t="n">
        <v>0.0</v>
      </c>
      <c r="AF1693" t="n">
        <v>0.0</v>
      </c>
      <c r="AG1693" t="n">
        <v>0.0</v>
      </c>
      <c r="AH1693" t="n">
        <v>0.0</v>
      </c>
      <c r="AI1693" t="n">
        <v>0.0</v>
      </c>
      <c r="AJ1693" t="n">
        <v>0.0</v>
      </c>
      <c r="AK1693" t="inlineStr">
        <is>
          <t/>
        </is>
      </c>
      <c r="AL1693" t="inlineStr">
        <is>
          <t/>
        </is>
      </c>
    </row>
    <row r="1694">
      <c r="A1694" t="inlineStr">
        <is>
          <t>威海文旅你到是抓紧宣传啊！已经口感巅峰期</t>
        </is>
      </c>
      <c r="B1694" t="inlineStr">
        <is>
          <t>698bee7a000000002801ec1a</t>
        </is>
      </c>
      <c r="C1694" s="1693" t="n">
        <f>HYPERLINK("https://www.xiaohongshu.com/explore/698bee7a000000002801ec1a?xsec_token=TBaxNaL0i9x3ULjrtJNOAFMStkSnnx91LwVE8ICrMdnKs=&amp;xsec_source=pc_trdark","https://www.xiaohongshu.com/explore/698bee7a000000002801ec1a?xsec_token=TBaxNaL0i9x3ULjrtJNOAFMStkSnnx91LwVE8ICrMdnKs=&amp;xsec_source=pc_trdark")</f>
        <v>0.0</v>
      </c>
      <c r="D1694" t="inlineStr">
        <is>
          <t>婉婉上班吃什么</t>
        </is>
      </c>
      <c r="E1694" t="inlineStr">
        <is>
          <t>11434449706</t>
        </is>
      </c>
      <c r="F1694" t="inlineStr">
        <is>
          <t>2026-02-11 10:50:34</t>
        </is>
      </c>
      <c r="G1694" t="inlineStr">
        <is>
          <t>图文</t>
        </is>
      </c>
      <c r="H1694" t="inlineStr">
        <is>
          <t>生蚝乳山生蚝海蛎子顺丰包邮</t>
        </is>
      </c>
      <c r="I1694" t="inlineStr">
        <is>
          <t>690c70971b787900010866cc</t>
        </is>
      </c>
      <c r="J1694" t="inlineStr">
        <is>
          <t/>
        </is>
      </c>
      <c r="K1694" t="n">
        <v>0.0</v>
      </c>
      <c r="L1694" t="n">
        <v>0.0</v>
      </c>
      <c r="M1694" t="n">
        <v>0.0</v>
      </c>
      <c r="N1694" t="inlineStr">
        <is>
          <t/>
        </is>
      </c>
      <c r="O1694" t="n">
        <v>0.0</v>
      </c>
      <c r="P1694" t="n">
        <v>0.0</v>
      </c>
      <c r="Q1694" t="inlineStr">
        <is>
          <t/>
        </is>
      </c>
      <c r="R1694" t="inlineStr">
        <is>
          <t/>
        </is>
      </c>
      <c r="S1694" t="n">
        <v>0.0</v>
      </c>
      <c r="T1694" t="n">
        <v>0.0</v>
      </c>
      <c r="U1694" t="n">
        <v>0.0</v>
      </c>
      <c r="V1694" t="n">
        <v>0.0</v>
      </c>
      <c r="W1694" t="inlineStr">
        <is>
          <t/>
        </is>
      </c>
      <c r="X1694" t="n">
        <v>0.0</v>
      </c>
      <c r="Y1694" t="n">
        <v>0.0</v>
      </c>
      <c r="Z1694" t="n">
        <v>0.0</v>
      </c>
      <c r="AA1694" t="n">
        <v>0.0</v>
      </c>
      <c r="AB1694" t="n">
        <v>0.0</v>
      </c>
      <c r="AC1694" t="n">
        <v>0.0</v>
      </c>
      <c r="AD1694" t="n">
        <v>0.0</v>
      </c>
      <c r="AE1694" t="n">
        <v>0.0</v>
      </c>
      <c r="AF1694" t="n">
        <v>0.0</v>
      </c>
      <c r="AG1694" t="n">
        <v>0.0</v>
      </c>
      <c r="AH1694" t="n">
        <v>0.0</v>
      </c>
      <c r="AI1694" t="n">
        <v>0.0</v>
      </c>
      <c r="AJ1694" t="n">
        <v>0.0</v>
      </c>
      <c r="AK1694" t="inlineStr">
        <is>
          <t/>
        </is>
      </c>
      <c r="AL1694" t="inlineStr">
        <is>
          <t/>
        </is>
      </c>
    </row>
    <row r="1695">
      <c r="A1695" t="inlineStr">
        <is>
          <t>区区69/盒，承包我半个月减脂餐了</t>
        </is>
      </c>
      <c r="B1695" t="inlineStr">
        <is>
          <t>698afed0000000001a02598b</t>
        </is>
      </c>
      <c r="C1695" s="1694" t="n">
        <f>HYPERLINK("https://www.xiaohongshu.com/explore/698afed0000000001a02598b?xsec_token=TBG0mKfxVH0N0QJz26OSUyhRtILSkWqJa2D6sJqW_8bY0=&amp;xsec_source=pc_trdark","https://www.xiaohongshu.com/explore/698afed0000000001a02598b?xsec_token=TBG0mKfxVH0N0QJz26OSUyhRtILSkWqJa2D6sJqW_8bY0=&amp;xsec_source=pc_trdark")</f>
        <v>0.0</v>
      </c>
      <c r="D1695" t="inlineStr">
        <is>
          <t>鲜水湾</t>
        </is>
      </c>
      <c r="E1695" t="inlineStr">
        <is>
          <t>49316638994</t>
        </is>
      </c>
      <c r="F1695" t="inlineStr">
        <is>
          <t>2026-02-10 17:48:00</t>
        </is>
      </c>
      <c r="G1695" t="inlineStr">
        <is>
          <t>图文</t>
        </is>
      </c>
      <c r="H1695" t="inlineStr">
        <is>
          <t>大虾基围虾王牌大虾厄瓜多尔白虾盐冻虾仁海洋大虾送礼顺丰包邮</t>
        </is>
      </c>
      <c r="I1695" t="inlineStr">
        <is>
          <t>690aeb7be379430001e686ac</t>
        </is>
      </c>
      <c r="J1695" t="inlineStr">
        <is>
          <t/>
        </is>
      </c>
      <c r="K1695" t="n">
        <v>0.0</v>
      </c>
      <c r="L1695" t="n">
        <v>0.0</v>
      </c>
      <c r="M1695" t="n">
        <v>0.0</v>
      </c>
      <c r="N1695" t="inlineStr">
        <is>
          <t/>
        </is>
      </c>
      <c r="O1695" t="n">
        <v>0.0</v>
      </c>
      <c r="P1695" t="n">
        <v>0.0</v>
      </c>
      <c r="Q1695" t="inlineStr">
        <is>
          <t/>
        </is>
      </c>
      <c r="R1695" t="inlineStr">
        <is>
          <t/>
        </is>
      </c>
      <c r="S1695" t="n">
        <v>0.0</v>
      </c>
      <c r="T1695" t="n">
        <v>0.0</v>
      </c>
      <c r="U1695" t="n">
        <v>0.0</v>
      </c>
      <c r="V1695" t="n">
        <v>0.0</v>
      </c>
      <c r="W1695" t="inlineStr">
        <is>
          <t/>
        </is>
      </c>
      <c r="X1695" t="n">
        <v>0.0</v>
      </c>
      <c r="Y1695" t="n">
        <v>0.0</v>
      </c>
      <c r="Z1695" t="n">
        <v>0.0</v>
      </c>
      <c r="AA1695" t="n">
        <v>0.0</v>
      </c>
      <c r="AB1695" t="n">
        <v>0.0</v>
      </c>
      <c r="AC1695" t="n">
        <v>0.0</v>
      </c>
      <c r="AD1695" t="n">
        <v>0.0</v>
      </c>
      <c r="AE1695" t="n">
        <v>0.0</v>
      </c>
      <c r="AF1695" t="n">
        <v>0.0</v>
      </c>
      <c r="AG1695" t="n">
        <v>0.0</v>
      </c>
      <c r="AH1695" t="n">
        <v>0.0</v>
      </c>
      <c r="AI1695" t="n">
        <v>0.0</v>
      </c>
      <c r="AJ1695" t="n">
        <v>0.0</v>
      </c>
      <c r="AK1695" t="inlineStr">
        <is>
          <t/>
        </is>
      </c>
      <c r="AL1695" t="inlineStr">
        <is>
          <t/>
        </is>
      </c>
    </row>
    <row r="1696">
      <c r="A1696" t="inlineStr">
        <is>
          <t>讲真！自己像米其林大厨🧑‍🍳</t>
        </is>
      </c>
      <c r="B1696" t="inlineStr">
        <is>
          <t>69897fe4000000002801ed74</t>
        </is>
      </c>
      <c r="C1696" s="1695" t="n">
        <f>HYPERLINK("https://www.xiaohongshu.com/explore/69897fe4000000002801ed74?xsec_token=TBeAeWMkLJ9etYlFDlK3pguZaINAfHwvOzpr8AxU8Cp0k=&amp;xsec_source=pc_trdark","https://www.xiaohongshu.com/explore/69897fe4000000002801ed74?xsec_token=TBeAeWMkLJ9etYlFDlK3pguZaINAfHwvOzpr8AxU8Cp0k=&amp;xsec_source=pc_trdark")</f>
        <v>0.0</v>
      </c>
      <c r="D1696" t="inlineStr">
        <is>
          <t>鲜水湾</t>
        </is>
      </c>
      <c r="E1696" t="inlineStr">
        <is>
          <t>49316638994</t>
        </is>
      </c>
      <c r="F1696" t="inlineStr">
        <is>
          <t>2026-02-09 14:34:12</t>
        </is>
      </c>
      <c r="G1696" t="inlineStr">
        <is>
          <t>图文</t>
        </is>
      </c>
      <c r="H1696" t="inlineStr">
        <is>
          <t>智利三文鱼切块·整条三文鱼·深海鱼一人食健康饮食</t>
        </is>
      </c>
      <c r="I1696" t="inlineStr">
        <is>
          <t>691ac562a524ee0001b51d7b</t>
        </is>
      </c>
      <c r="J1696" t="inlineStr">
        <is>
          <t/>
        </is>
      </c>
      <c r="K1696" t="n">
        <v>0.0</v>
      </c>
      <c r="L1696" t="n">
        <v>0.0</v>
      </c>
      <c r="M1696" t="n">
        <v>0.0</v>
      </c>
      <c r="N1696" t="inlineStr">
        <is>
          <t/>
        </is>
      </c>
      <c r="O1696" t="n">
        <v>0.0</v>
      </c>
      <c r="P1696" t="n">
        <v>0.0</v>
      </c>
      <c r="Q1696" t="inlineStr">
        <is>
          <t/>
        </is>
      </c>
      <c r="R1696" t="inlineStr">
        <is>
          <t/>
        </is>
      </c>
      <c r="S1696" t="n">
        <v>0.0</v>
      </c>
      <c r="T1696" t="n">
        <v>0.0</v>
      </c>
      <c r="U1696" t="n">
        <v>0.0</v>
      </c>
      <c r="V1696" t="n">
        <v>0.0</v>
      </c>
      <c r="W1696" t="inlineStr">
        <is>
          <t/>
        </is>
      </c>
      <c r="X1696" t="n">
        <v>0.0</v>
      </c>
      <c r="Y1696" t="n">
        <v>0.0</v>
      </c>
      <c r="Z1696" t="n">
        <v>0.0</v>
      </c>
      <c r="AA1696" t="n">
        <v>0.0</v>
      </c>
      <c r="AB1696" t="n">
        <v>0.0</v>
      </c>
      <c r="AC1696" t="n">
        <v>0.0</v>
      </c>
      <c r="AD1696" t="n">
        <v>0.0</v>
      </c>
      <c r="AE1696" t="n">
        <v>0.0</v>
      </c>
      <c r="AF1696" t="n">
        <v>0.0</v>
      </c>
      <c r="AG1696" t="n">
        <v>0.0</v>
      </c>
      <c r="AH1696" t="n">
        <v>0.0</v>
      </c>
      <c r="AI1696" t="n">
        <v>0.0</v>
      </c>
      <c r="AJ1696" t="n">
        <v>0.0</v>
      </c>
      <c r="AK1696" t="inlineStr">
        <is>
          <t/>
        </is>
      </c>
      <c r="AL1696" t="inlineStr">
        <is>
          <t/>
        </is>
      </c>
    </row>
    <row r="1697">
      <c r="A1697" t="inlineStr">
        <is>
          <t>不要低估了 300 来块的购买力，能买八九斤……</t>
        </is>
      </c>
      <c r="B1697" t="inlineStr">
        <is>
          <t>69895362000000000b009467</t>
        </is>
      </c>
      <c r="C1697" s="1696" t="n">
        <f>HYPERLINK("https://www.xiaohongshu.com/explore/69895362000000000b009467?xsec_token=TBeAeWMkLJ9etYlFDlK3pguRoX2U6nXkTvhuLaEj73L3o=&amp;xsec_source=pc_trdark","https://www.xiaohongshu.com/explore/69895362000000000b009467?xsec_token=TBeAeWMkLJ9etYlFDlK3pguRoX2U6nXkTvhuLaEj73L3o=&amp;xsec_source=pc_trdark")</f>
        <v>0.0</v>
      </c>
      <c r="D1697" t="inlineStr">
        <is>
          <t>鲜水湾甄选</t>
        </is>
      </c>
      <c r="E1697" t="inlineStr">
        <is>
          <t>27401929161</t>
        </is>
      </c>
      <c r="F1697" t="inlineStr">
        <is>
          <t>2026-02-09 11:24:18</t>
        </is>
      </c>
      <c r="G1697" t="inlineStr">
        <is>
          <t>图文</t>
        </is>
      </c>
      <c r="H1697" t="inlineStr">
        <is>
          <t>智利三文鱼切块·整条三文鱼·深海鱼一人食健康饮食</t>
        </is>
      </c>
      <c r="I1697" t="inlineStr">
        <is>
          <t>691ac562a524ee0001b51d7b</t>
        </is>
      </c>
      <c r="J1697" t="inlineStr">
        <is>
          <t/>
        </is>
      </c>
      <c r="K1697" t="n">
        <v>0.0</v>
      </c>
      <c r="L1697" t="n">
        <v>0.0</v>
      </c>
      <c r="M1697" t="n">
        <v>0.0</v>
      </c>
      <c r="N1697" t="inlineStr">
        <is>
          <t/>
        </is>
      </c>
      <c r="O1697" t="n">
        <v>0.0</v>
      </c>
      <c r="P1697" t="n">
        <v>0.0</v>
      </c>
      <c r="Q1697" t="inlineStr">
        <is>
          <t/>
        </is>
      </c>
      <c r="R1697" t="inlineStr">
        <is>
          <t/>
        </is>
      </c>
      <c r="S1697" t="n">
        <v>0.0</v>
      </c>
      <c r="T1697" t="n">
        <v>0.0</v>
      </c>
      <c r="U1697" t="n">
        <v>0.0</v>
      </c>
      <c r="V1697" t="n">
        <v>0.0</v>
      </c>
      <c r="W1697" t="inlineStr">
        <is>
          <t/>
        </is>
      </c>
      <c r="X1697" t="n">
        <v>0.0</v>
      </c>
      <c r="Y1697" t="n">
        <v>0.0</v>
      </c>
      <c r="Z1697" t="n">
        <v>0.0</v>
      </c>
      <c r="AA1697" t="n">
        <v>0.0</v>
      </c>
      <c r="AB1697" t="n">
        <v>0.0</v>
      </c>
      <c r="AC1697" t="n">
        <v>0.0</v>
      </c>
      <c r="AD1697" t="n">
        <v>0.0</v>
      </c>
      <c r="AE1697" t="n">
        <v>0.0</v>
      </c>
      <c r="AF1697" t="n">
        <v>0.0</v>
      </c>
      <c r="AG1697" t="n">
        <v>0.0</v>
      </c>
      <c r="AH1697" t="n">
        <v>0.0</v>
      </c>
      <c r="AI1697" t="n">
        <v>0.0</v>
      </c>
      <c r="AJ1697" t="n">
        <v>0.0</v>
      </c>
      <c r="AK1697" t="inlineStr">
        <is>
          <t/>
        </is>
      </c>
      <c r="AL1697" t="inlineStr">
        <is>
          <t/>
        </is>
      </c>
    </row>
    <row r="1698">
      <c r="A1698" t="inlineStr">
        <is>
          <t>青岛发过来的，被爸妈夸了一整天</t>
        </is>
      </c>
      <c r="B1698" t="inlineStr">
        <is>
          <t>698937ad000000000b009bb0</t>
        </is>
      </c>
      <c r="C1698" s="1697" t="n">
        <f>HYPERLINK("https://www.xiaohongshu.com/explore/698937ad000000000b009bb0?xsec_token=TBeAeWMkLJ9etYlFDlK3pguRQ81OSHz-Arl4bPUNqa1vE=&amp;xsec_source=pc_trdark","https://www.xiaohongshu.com/explore/698937ad000000000b009bb0?xsec_token=TBeAeWMkLJ9etYlFDlK3pguRQ81OSHz-Arl4bPUNqa1vE=&amp;xsec_source=pc_trdark")</f>
        <v>0.0</v>
      </c>
      <c r="D1698" t="inlineStr">
        <is>
          <t>鲜水湾甄选</t>
        </is>
      </c>
      <c r="E1698" t="inlineStr">
        <is>
          <t>27401929161</t>
        </is>
      </c>
      <c r="F1698" t="inlineStr">
        <is>
          <t>2026-02-09 09:26:06</t>
        </is>
      </c>
      <c r="G1698" t="inlineStr">
        <is>
          <t>图文</t>
        </is>
      </c>
      <c r="H1698" t="inlineStr">
        <is>
          <t>智利三文鱼切块·整条三文鱼·深海鱼一人食健康饮食</t>
        </is>
      </c>
      <c r="I1698" t="inlineStr">
        <is>
          <t>691ac562a524ee0001b51d7b</t>
        </is>
      </c>
      <c r="J1698" t="inlineStr">
        <is>
          <t/>
        </is>
      </c>
      <c r="K1698" t="n">
        <v>0.0</v>
      </c>
      <c r="L1698" t="n">
        <v>0.0</v>
      </c>
      <c r="M1698" t="n">
        <v>0.0</v>
      </c>
      <c r="N1698" t="inlineStr">
        <is>
          <t/>
        </is>
      </c>
      <c r="O1698" t="n">
        <v>0.0</v>
      </c>
      <c r="P1698" t="n">
        <v>0.0</v>
      </c>
      <c r="Q1698" t="inlineStr">
        <is>
          <t/>
        </is>
      </c>
      <c r="R1698" t="inlineStr">
        <is>
          <t/>
        </is>
      </c>
      <c r="S1698" t="n">
        <v>0.0</v>
      </c>
      <c r="T1698" t="n">
        <v>0.0</v>
      </c>
      <c r="U1698" t="n">
        <v>0.0</v>
      </c>
      <c r="V1698" t="n">
        <v>0.0</v>
      </c>
      <c r="W1698" t="inlineStr">
        <is>
          <t/>
        </is>
      </c>
      <c r="X1698" t="n">
        <v>0.0</v>
      </c>
      <c r="Y1698" t="n">
        <v>0.0</v>
      </c>
      <c r="Z1698" t="n">
        <v>0.0</v>
      </c>
      <c r="AA1698" t="n">
        <v>0.0</v>
      </c>
      <c r="AB1698" t="n">
        <v>0.0</v>
      </c>
      <c r="AC1698" t="n">
        <v>0.0</v>
      </c>
      <c r="AD1698" t="n">
        <v>0.0</v>
      </c>
      <c r="AE1698" t="n">
        <v>0.0</v>
      </c>
      <c r="AF1698" t="n">
        <v>0.0</v>
      </c>
      <c r="AG1698" t="n">
        <v>0.0</v>
      </c>
      <c r="AH1698" t="n">
        <v>0.0</v>
      </c>
      <c r="AI1698" t="n">
        <v>0.0</v>
      </c>
      <c r="AJ1698" t="n">
        <v>0.0</v>
      </c>
      <c r="AK1698" t="inlineStr">
        <is>
          <t/>
        </is>
      </c>
      <c r="AL1698" t="inlineStr">
        <is>
          <t/>
        </is>
      </c>
    </row>
    <row r="1699">
      <c r="A1699" t="inlineStr">
        <is>
          <t>青岛🚗整条三文鱼礼盒已经 next level</t>
        </is>
      </c>
      <c r="B1699" t="inlineStr">
        <is>
          <t>6986f477000000002800b5b6</t>
        </is>
      </c>
      <c r="C1699" s="1698" t="n">
        <f>HYPERLINK("https://www.xiaohongshu.com/explore/6986f477000000002800b5b6?xsec_token=TB-LsRJw2UEyjZbU1RZqmjvp12LbpoqBwvz9mnH2XZzV8=&amp;xsec_source=pc_trdark","https://www.xiaohongshu.com/explore/6986f477000000002800b5b6?xsec_token=TB-LsRJw2UEyjZbU1RZqmjvp12LbpoqBwvz9mnH2XZzV8=&amp;xsec_source=pc_trdark")</f>
        <v>0.0</v>
      </c>
      <c r="D1699" t="inlineStr">
        <is>
          <t>鲜水湾</t>
        </is>
      </c>
      <c r="E1699" t="inlineStr">
        <is>
          <t>49316638994</t>
        </is>
      </c>
      <c r="F1699" t="inlineStr">
        <is>
          <t>2026-02-07 16:14:47</t>
        </is>
      </c>
      <c r="G1699" t="inlineStr">
        <is>
          <t>图文</t>
        </is>
      </c>
      <c r="H1699" t="inlineStr">
        <is>
          <t>智利三文鱼切块·整条三文鱼·深海鱼一人食健康饮食</t>
        </is>
      </c>
      <c r="I1699" t="inlineStr">
        <is>
          <t>691ac562a524ee0001b51d7b</t>
        </is>
      </c>
      <c r="J1699" t="inlineStr">
        <is>
          <t/>
        </is>
      </c>
      <c r="K1699" t="n">
        <v>0.0</v>
      </c>
      <c r="L1699" t="n">
        <v>0.0</v>
      </c>
      <c r="M1699" t="n">
        <v>0.0</v>
      </c>
      <c r="N1699" t="inlineStr">
        <is>
          <t/>
        </is>
      </c>
      <c r="O1699" t="n">
        <v>0.0</v>
      </c>
      <c r="P1699" t="n">
        <v>0.0</v>
      </c>
      <c r="Q1699" t="inlineStr">
        <is>
          <t/>
        </is>
      </c>
      <c r="R1699" t="inlineStr">
        <is>
          <t/>
        </is>
      </c>
      <c r="S1699" t="n">
        <v>0.0</v>
      </c>
      <c r="T1699" t="n">
        <v>0.0</v>
      </c>
      <c r="U1699" t="n">
        <v>0.0</v>
      </c>
      <c r="V1699" t="n">
        <v>0.0</v>
      </c>
      <c r="W1699" t="inlineStr">
        <is>
          <t/>
        </is>
      </c>
      <c r="X1699" t="n">
        <v>0.0</v>
      </c>
      <c r="Y1699" t="n">
        <v>0.0</v>
      </c>
      <c r="Z1699" t="n">
        <v>0.0</v>
      </c>
      <c r="AA1699" t="n">
        <v>0.0</v>
      </c>
      <c r="AB1699" t="n">
        <v>0.0</v>
      </c>
      <c r="AC1699" t="n">
        <v>0.0</v>
      </c>
      <c r="AD1699" t="n">
        <v>0.0</v>
      </c>
      <c r="AE1699" t="n">
        <v>0.0</v>
      </c>
      <c r="AF1699" t="n">
        <v>0.0</v>
      </c>
      <c r="AG1699" t="n">
        <v>0.0</v>
      </c>
      <c r="AH1699" t="n">
        <v>0.0</v>
      </c>
      <c r="AI1699" t="n">
        <v>0.0</v>
      </c>
      <c r="AJ1699" t="n">
        <v>0.0</v>
      </c>
      <c r="AK1699" t="inlineStr">
        <is>
          <t/>
        </is>
      </c>
      <c r="AL1699" t="inlineStr">
        <is>
          <t/>
        </is>
      </c>
    </row>
    <row r="1700">
      <c r="A1700" t="inlineStr">
        <is>
          <t>刚刚300块，承包了我一个月的减脂餐</t>
        </is>
      </c>
      <c r="B1700" t="inlineStr">
        <is>
          <t>6986e48e000000001a0353d7</t>
        </is>
      </c>
      <c r="C1700" s="1699" t="n">
        <f>HYPERLINK("https://www.xiaohongshu.com/explore/6986e48e000000001a0353d7?xsec_token=TB-LsRJw2UEyjZbU1RZqmjvhWTsaNSbTkIwPYsJhZg3xc=&amp;xsec_source=pc_trdark","https://www.xiaohongshu.com/explore/6986e48e000000001a0353d7?xsec_token=TB-LsRJw2UEyjZbU1RZqmjvhWTsaNSbTkIwPYsJhZg3xc=&amp;xsec_source=pc_trdark")</f>
        <v>0.0</v>
      </c>
      <c r="D1700" t="inlineStr">
        <is>
          <t>鲜水湾</t>
        </is>
      </c>
      <c r="E1700" t="inlineStr">
        <is>
          <t>49316638994</t>
        </is>
      </c>
      <c r="F1700" t="inlineStr">
        <is>
          <t>2026-02-07 15:06:54</t>
        </is>
      </c>
      <c r="G1700" t="inlineStr">
        <is>
          <t>图文</t>
        </is>
      </c>
      <c r="H1700" t="inlineStr">
        <is>
          <t>智利三文鱼切块·整条三文鱼·深海鱼一人食健康饮食</t>
        </is>
      </c>
      <c r="I1700" t="inlineStr">
        <is>
          <t>691ac562a524ee0001b51d7b</t>
        </is>
      </c>
      <c r="J1700" t="inlineStr">
        <is>
          <t/>
        </is>
      </c>
      <c r="K1700" t="n">
        <v>0.0</v>
      </c>
      <c r="L1700" t="n">
        <v>0.0</v>
      </c>
      <c r="M1700" t="n">
        <v>0.0</v>
      </c>
      <c r="N1700" t="inlineStr">
        <is>
          <t/>
        </is>
      </c>
      <c r="O1700" t="n">
        <v>0.0</v>
      </c>
      <c r="P1700" t="n">
        <v>0.0</v>
      </c>
      <c r="Q1700" t="inlineStr">
        <is>
          <t/>
        </is>
      </c>
      <c r="R1700" t="inlineStr">
        <is>
          <t/>
        </is>
      </c>
      <c r="S1700" t="n">
        <v>0.0</v>
      </c>
      <c r="T1700" t="n">
        <v>0.0</v>
      </c>
      <c r="U1700" t="n">
        <v>0.0</v>
      </c>
      <c r="V1700" t="n">
        <v>0.0</v>
      </c>
      <c r="W1700" t="inlineStr">
        <is>
          <t/>
        </is>
      </c>
      <c r="X1700" t="n">
        <v>0.0</v>
      </c>
      <c r="Y1700" t="n">
        <v>0.0</v>
      </c>
      <c r="Z1700" t="n">
        <v>0.0</v>
      </c>
      <c r="AA1700" t="n">
        <v>0.0</v>
      </c>
      <c r="AB1700" t="n">
        <v>0.0</v>
      </c>
      <c r="AC1700" t="n">
        <v>0.0</v>
      </c>
      <c r="AD1700" t="n">
        <v>0.0</v>
      </c>
      <c r="AE1700" t="n">
        <v>0.0</v>
      </c>
      <c r="AF1700" t="n">
        <v>0.0</v>
      </c>
      <c r="AG1700" t="n">
        <v>0.0</v>
      </c>
      <c r="AH1700" t="n">
        <v>0.0</v>
      </c>
      <c r="AI1700" t="n">
        <v>0.0</v>
      </c>
      <c r="AJ1700" t="n">
        <v>0.0</v>
      </c>
      <c r="AK1700" t="inlineStr">
        <is>
          <t/>
        </is>
      </c>
      <c r="AL1700" t="inlineStr">
        <is>
          <t/>
        </is>
      </c>
    </row>
    <row r="1701">
      <c r="A1701" t="inlineStr">
        <is>
          <t>100块的购买力越来越刷新我的认知了！</t>
        </is>
      </c>
      <c r="B1701" t="inlineStr">
        <is>
          <t>6986a039000000000d00af7f</t>
        </is>
      </c>
      <c r="C1701" s="1700" t="n">
        <f>HYPERLINK("https://www.xiaohongshu.com/explore/6986a039000000000d00af7f?xsec_token=TB-LsRJw2UEyjZbU1RZqmjviQ0sgg50uAg92dV8tGzTuw=&amp;xsec_source=pc_trdark","https://www.xiaohongshu.com/explore/6986a039000000000d00af7f?xsec_token=TB-LsRJw2UEyjZbU1RZqmjviQ0sgg50uAg92dV8tGzTuw=&amp;xsec_source=pc_trdark")</f>
        <v>0.0</v>
      </c>
      <c r="D1701" t="inlineStr">
        <is>
          <t>鲜水湾</t>
        </is>
      </c>
      <c r="E1701" t="inlineStr">
        <is>
          <t>49316638994</t>
        </is>
      </c>
      <c r="F1701" t="inlineStr">
        <is>
          <t>2026-02-07 10:15:21</t>
        </is>
      </c>
      <c r="G1701" t="inlineStr">
        <is>
          <t>图文</t>
        </is>
      </c>
      <c r="H1701" t="inlineStr">
        <is>
          <t>智利三文鱼切块·整条三文鱼·深海鱼一人食健康饮食</t>
        </is>
      </c>
      <c r="I1701" t="inlineStr">
        <is>
          <t>691ac562a524ee0001b51d7b</t>
        </is>
      </c>
      <c r="J1701" t="inlineStr">
        <is>
          <t/>
        </is>
      </c>
      <c r="K1701" t="n">
        <v>0.0</v>
      </c>
      <c r="L1701" t="n">
        <v>0.0</v>
      </c>
      <c r="M1701" t="n">
        <v>0.0</v>
      </c>
      <c r="N1701" t="inlineStr">
        <is>
          <t/>
        </is>
      </c>
      <c r="O1701" t="n">
        <v>0.0</v>
      </c>
      <c r="P1701" t="n">
        <v>0.0</v>
      </c>
      <c r="Q1701" t="inlineStr">
        <is>
          <t/>
        </is>
      </c>
      <c r="R1701" t="inlineStr">
        <is>
          <t/>
        </is>
      </c>
      <c r="S1701" t="n">
        <v>0.0</v>
      </c>
      <c r="T1701" t="n">
        <v>0.0</v>
      </c>
      <c r="U1701" t="n">
        <v>0.0</v>
      </c>
      <c r="V1701" t="n">
        <v>0.0</v>
      </c>
      <c r="W1701" t="inlineStr">
        <is>
          <t/>
        </is>
      </c>
      <c r="X1701" t="n">
        <v>0.0</v>
      </c>
      <c r="Y1701" t="n">
        <v>0.0</v>
      </c>
      <c r="Z1701" t="n">
        <v>0.0</v>
      </c>
      <c r="AA1701" t="n">
        <v>0.0</v>
      </c>
      <c r="AB1701" t="n">
        <v>0.0</v>
      </c>
      <c r="AC1701" t="n">
        <v>0.0</v>
      </c>
      <c r="AD1701" t="n">
        <v>0.0</v>
      </c>
      <c r="AE1701" t="n">
        <v>0.0</v>
      </c>
      <c r="AF1701" t="n">
        <v>0.0</v>
      </c>
      <c r="AG1701" t="n">
        <v>0.0</v>
      </c>
      <c r="AH1701" t="n">
        <v>0.0</v>
      </c>
      <c r="AI1701" t="n">
        <v>0.0</v>
      </c>
      <c r="AJ1701" t="n">
        <v>0.0</v>
      </c>
      <c r="AK1701" t="inlineStr">
        <is>
          <t/>
        </is>
      </c>
      <c r="AL1701" t="inlineStr">
        <is>
          <t/>
        </is>
      </c>
    </row>
    <row r="1702">
      <c r="A1702" t="inlineStr">
        <is>
          <t>发现现在的年轻人真的低估了100块的购买力…</t>
        </is>
      </c>
      <c r="B1702" t="inlineStr">
        <is>
          <t>6985f011000000000d00ae2b</t>
        </is>
      </c>
      <c r="C1702" s="1701" t="n">
        <f>HYPERLINK("https://www.xiaohongshu.com/explore/6985f011000000000d00ae2b?xsec_token=TB_5RNbIh6A19RWGV21Hy8y86A-uQs1x1bmtf7UdJLUKo=&amp;xsec_source=pc_trdark","https://www.xiaohongshu.com/explore/6985f011000000000d00ae2b?xsec_token=TB_5RNbIh6A19RWGV21Hy8y86A-uQs1x1bmtf7UdJLUKo=&amp;xsec_source=pc_trdark")</f>
        <v>0.0</v>
      </c>
      <c r="D1702" t="inlineStr">
        <is>
          <t>鲜水湾</t>
        </is>
      </c>
      <c r="E1702" t="inlineStr">
        <is>
          <t>49316638994</t>
        </is>
      </c>
      <c r="F1702" t="inlineStr">
        <is>
          <t>2026-02-06 21:43:45</t>
        </is>
      </c>
      <c r="G1702" t="inlineStr">
        <is>
          <t>图文</t>
        </is>
      </c>
      <c r="H1702" t="inlineStr">
        <is>
          <t>智利三文鱼切块·整条三文鱼·深海鱼一人食健康饮食</t>
        </is>
      </c>
      <c r="I1702" t="inlineStr">
        <is>
          <t>691ac562a524ee0001b51d7b</t>
        </is>
      </c>
      <c r="J1702" t="inlineStr">
        <is>
          <t/>
        </is>
      </c>
      <c r="K1702" t="n">
        <v>0.0</v>
      </c>
      <c r="L1702" t="n">
        <v>0.0</v>
      </c>
      <c r="M1702" t="n">
        <v>0.0</v>
      </c>
      <c r="N1702" t="inlineStr">
        <is>
          <t/>
        </is>
      </c>
      <c r="O1702" t="n">
        <v>0.0</v>
      </c>
      <c r="P1702" t="n">
        <v>0.0</v>
      </c>
      <c r="Q1702" t="inlineStr">
        <is>
          <t/>
        </is>
      </c>
      <c r="R1702" t="inlineStr">
        <is>
          <t/>
        </is>
      </c>
      <c r="S1702" t="n">
        <v>0.0</v>
      </c>
      <c r="T1702" t="n">
        <v>0.0</v>
      </c>
      <c r="U1702" t="n">
        <v>0.0</v>
      </c>
      <c r="V1702" t="n">
        <v>0.0</v>
      </c>
      <c r="W1702" t="inlineStr">
        <is>
          <t/>
        </is>
      </c>
      <c r="X1702" t="n">
        <v>0.0</v>
      </c>
      <c r="Y1702" t="n">
        <v>0.0</v>
      </c>
      <c r="Z1702" t="n">
        <v>0.0</v>
      </c>
      <c r="AA1702" t="n">
        <v>0.0</v>
      </c>
      <c r="AB1702" t="n">
        <v>0.0</v>
      </c>
      <c r="AC1702" t="n">
        <v>0.0</v>
      </c>
      <c r="AD1702" t="n">
        <v>0.0</v>
      </c>
      <c r="AE1702" t="n">
        <v>0.0</v>
      </c>
      <c r="AF1702" t="n">
        <v>0.0</v>
      </c>
      <c r="AG1702" t="n">
        <v>0.0</v>
      </c>
      <c r="AH1702" t="n">
        <v>0.0</v>
      </c>
      <c r="AI1702" t="n">
        <v>0.0</v>
      </c>
      <c r="AJ1702" t="n">
        <v>0.0</v>
      </c>
      <c r="AK1702" t="inlineStr">
        <is>
          <t/>
        </is>
      </c>
      <c r="AL1702" t="inlineStr">
        <is>
          <t/>
        </is>
      </c>
    </row>
    <row r="1703">
      <c r="A1703" t="inlineStr">
        <is>
          <t>因为这碗三文鱼，我在办公室出名了</t>
        </is>
      </c>
      <c r="B1703" t="inlineStr">
        <is>
          <t>69858763000000001a02617a</t>
        </is>
      </c>
      <c r="C1703" s="1702" t="n">
        <f>HYPERLINK("https://www.xiaohongshu.com/explore/69858763000000001a02617a?xsec_token=TB_5RNbIh6A19RWGV21Hy8yySdw2Hth2wGpE1uc-DI1jE=&amp;xsec_source=pc_trdark","https://www.xiaohongshu.com/explore/69858763000000001a02617a?xsec_token=TB_5RNbIh6A19RWGV21Hy8yySdw2Hth2wGpE1uc-DI1jE=&amp;xsec_source=pc_trdark")</f>
        <v>0.0</v>
      </c>
      <c r="D1703" t="inlineStr">
        <is>
          <t>鲜水湾</t>
        </is>
      </c>
      <c r="E1703" t="inlineStr">
        <is>
          <t>49316638994</t>
        </is>
      </c>
      <c r="F1703" t="inlineStr">
        <is>
          <t>2026-02-06 14:17:07</t>
        </is>
      </c>
      <c r="G1703" t="inlineStr">
        <is>
          <t>图文</t>
        </is>
      </c>
      <c r="H1703" t="inlineStr">
        <is>
          <t>智利三文鱼切块·整条三文鱼·深海鱼一人食健康饮食</t>
        </is>
      </c>
      <c r="I1703" t="inlineStr">
        <is>
          <t>691ac562a524ee0001b51d7b</t>
        </is>
      </c>
      <c r="J1703" t="inlineStr">
        <is>
          <t/>
        </is>
      </c>
      <c r="K1703" t="n">
        <v>0.0</v>
      </c>
      <c r="L1703" t="n">
        <v>0.0</v>
      </c>
      <c r="M1703" t="n">
        <v>0.0</v>
      </c>
      <c r="N1703" t="inlineStr">
        <is>
          <t/>
        </is>
      </c>
      <c r="O1703" t="n">
        <v>0.0</v>
      </c>
      <c r="P1703" t="n">
        <v>0.0</v>
      </c>
      <c r="Q1703" t="inlineStr">
        <is>
          <t/>
        </is>
      </c>
      <c r="R1703" t="inlineStr">
        <is>
          <t/>
        </is>
      </c>
      <c r="S1703" t="n">
        <v>0.0</v>
      </c>
      <c r="T1703" t="n">
        <v>0.0</v>
      </c>
      <c r="U1703" t="n">
        <v>0.0</v>
      </c>
      <c r="V1703" t="n">
        <v>0.0</v>
      </c>
      <c r="W1703" t="inlineStr">
        <is>
          <t/>
        </is>
      </c>
      <c r="X1703" t="n">
        <v>0.0</v>
      </c>
      <c r="Y1703" t="n">
        <v>0.0</v>
      </c>
      <c r="Z1703" t="n">
        <v>0.0</v>
      </c>
      <c r="AA1703" t="n">
        <v>0.0</v>
      </c>
      <c r="AB1703" t="n">
        <v>0.0</v>
      </c>
      <c r="AC1703" t="n">
        <v>0.0</v>
      </c>
      <c r="AD1703" t="n">
        <v>0.0</v>
      </c>
      <c r="AE1703" t="n">
        <v>0.0</v>
      </c>
      <c r="AF1703" t="n">
        <v>0.0</v>
      </c>
      <c r="AG1703" t="n">
        <v>0.0</v>
      </c>
      <c r="AH1703" t="n">
        <v>0.0</v>
      </c>
      <c r="AI1703" t="n">
        <v>0.0</v>
      </c>
      <c r="AJ1703" t="n">
        <v>0.0</v>
      </c>
      <c r="AK1703" t="inlineStr">
        <is>
          <t/>
        </is>
      </c>
      <c r="AL1703" t="inlineStr">
        <is>
          <t/>
        </is>
      </c>
    </row>
    <row r="1704">
      <c r="A1704" t="inlineStr">
        <is>
          <t>一个人带动全办公室姐妹囤了78910斤</t>
        </is>
      </c>
      <c r="B1704" t="inlineStr">
        <is>
          <t>69854a29000000001a025a5f</t>
        </is>
      </c>
      <c r="C1704" s="1703" t="n">
        <f>HYPERLINK("https://www.xiaohongshu.com/explore/69854a29000000001a025a5f?xsec_token=TB_5RNbIh6A19RWGV21Hy8y733BZHhqkryg2yT07qOBMQ=&amp;xsec_source=pc_trdark","https://www.xiaohongshu.com/explore/69854a29000000001a025a5f?xsec_token=TB_5RNbIh6A19RWGV21Hy8y733BZHhqkryg2yT07qOBMQ=&amp;xsec_source=pc_trdark")</f>
        <v>0.0</v>
      </c>
      <c r="D1704" t="inlineStr">
        <is>
          <t>鲜水湾</t>
        </is>
      </c>
      <c r="E1704" t="inlineStr">
        <is>
          <t>49316638994</t>
        </is>
      </c>
      <c r="F1704" t="inlineStr">
        <is>
          <t>2026-02-06 09:55:53</t>
        </is>
      </c>
      <c r="G1704" t="inlineStr">
        <is>
          <t>图文</t>
        </is>
      </c>
      <c r="H1704" t="inlineStr">
        <is>
          <t>智利三文鱼切块·整条三文鱼·深海鱼一人食健康饮食</t>
        </is>
      </c>
      <c r="I1704" t="inlineStr">
        <is>
          <t>691ac562a524ee0001b51d7b</t>
        </is>
      </c>
      <c r="J1704" t="inlineStr">
        <is>
          <t/>
        </is>
      </c>
      <c r="K1704" t="n">
        <v>0.0</v>
      </c>
      <c r="L1704" t="n">
        <v>0.0</v>
      </c>
      <c r="M1704" t="n">
        <v>0.0</v>
      </c>
      <c r="N1704" t="inlineStr">
        <is>
          <t/>
        </is>
      </c>
      <c r="O1704" t="n">
        <v>0.0</v>
      </c>
      <c r="P1704" t="n">
        <v>0.0</v>
      </c>
      <c r="Q1704" t="inlineStr">
        <is>
          <t/>
        </is>
      </c>
      <c r="R1704" t="inlineStr">
        <is>
          <t/>
        </is>
      </c>
      <c r="S1704" t="n">
        <v>0.0</v>
      </c>
      <c r="T1704" t="n">
        <v>0.0</v>
      </c>
      <c r="U1704" t="n">
        <v>0.0</v>
      </c>
      <c r="V1704" t="n">
        <v>0.0</v>
      </c>
      <c r="W1704" t="inlineStr">
        <is>
          <t/>
        </is>
      </c>
      <c r="X1704" t="n">
        <v>0.0</v>
      </c>
      <c r="Y1704" t="n">
        <v>0.0</v>
      </c>
      <c r="Z1704" t="n">
        <v>0.0</v>
      </c>
      <c r="AA1704" t="n">
        <v>0.0</v>
      </c>
      <c r="AB1704" t="n">
        <v>0.0</v>
      </c>
      <c r="AC1704" t="n">
        <v>0.0</v>
      </c>
      <c r="AD1704" t="n">
        <v>0.0</v>
      </c>
      <c r="AE1704" t="n">
        <v>0.0</v>
      </c>
      <c r="AF1704" t="n">
        <v>0.0</v>
      </c>
      <c r="AG1704" t="n">
        <v>0.0</v>
      </c>
      <c r="AH1704" t="n">
        <v>0.0</v>
      </c>
      <c r="AI1704" t="n">
        <v>0.0</v>
      </c>
      <c r="AJ1704" t="n">
        <v>0.0</v>
      </c>
      <c r="AK1704" t="inlineStr">
        <is>
          <t/>
        </is>
      </c>
      <c r="AL1704" t="inlineStr">
        <is>
          <t/>
        </is>
      </c>
    </row>
    <row r="1705">
      <c r="A1705" t="inlineStr">
        <is>
          <t>感谢小红书🙏承包了我一个月的晚餐</t>
        </is>
      </c>
      <c r="B1705" t="inlineStr">
        <is>
          <t>69845ee6000000001a027068</t>
        </is>
      </c>
      <c r="C1705" s="1704" t="n">
        <f>HYPERLINK("https://www.xiaohongshu.com/explore/69845ee6000000001a027068?xsec_token=TBn0ftdrPlwv37Gn1tDFpAI-J3MboTIyrLiUdYe3CfnoM=&amp;xsec_source=pc_trdark","https://www.xiaohongshu.com/explore/69845ee6000000001a027068?xsec_token=TBn0ftdrPlwv37Gn1tDFpAI-J3MboTIyrLiUdYe3CfnoM=&amp;xsec_source=pc_trdark")</f>
        <v>0.0</v>
      </c>
      <c r="D1705" t="inlineStr">
        <is>
          <t>鲜水湾</t>
        </is>
      </c>
      <c r="E1705" t="inlineStr">
        <is>
          <t>49316638994</t>
        </is>
      </c>
      <c r="F1705" t="inlineStr">
        <is>
          <t>2026-02-05 17:12:06</t>
        </is>
      </c>
      <c r="G1705" t="inlineStr">
        <is>
          <t>图文</t>
        </is>
      </c>
      <c r="H1705" t="inlineStr">
        <is>
          <t>智利三文鱼切块·整条三文鱼·深海鱼一人食健康饮食</t>
        </is>
      </c>
      <c r="I1705" t="inlineStr">
        <is>
          <t>691ac562a524ee0001b51d7b</t>
        </is>
      </c>
      <c r="J1705" t="inlineStr">
        <is>
          <t/>
        </is>
      </c>
      <c r="K1705" t="n">
        <v>0.0</v>
      </c>
      <c r="L1705" t="n">
        <v>0.0</v>
      </c>
      <c r="M1705" t="n">
        <v>0.0</v>
      </c>
      <c r="N1705" t="inlineStr">
        <is>
          <t/>
        </is>
      </c>
      <c r="O1705" t="n">
        <v>0.0</v>
      </c>
      <c r="P1705" t="n">
        <v>0.0</v>
      </c>
      <c r="Q1705" t="inlineStr">
        <is>
          <t/>
        </is>
      </c>
      <c r="R1705" t="inlineStr">
        <is>
          <t/>
        </is>
      </c>
      <c r="S1705" t="n">
        <v>0.0</v>
      </c>
      <c r="T1705" t="n">
        <v>0.0</v>
      </c>
      <c r="U1705" t="n">
        <v>0.0</v>
      </c>
      <c r="V1705" t="n">
        <v>0.0</v>
      </c>
      <c r="W1705" t="inlineStr">
        <is>
          <t/>
        </is>
      </c>
      <c r="X1705" t="n">
        <v>0.0</v>
      </c>
      <c r="Y1705" t="n">
        <v>0.0</v>
      </c>
      <c r="Z1705" t="n">
        <v>0.0</v>
      </c>
      <c r="AA1705" t="n">
        <v>0.0</v>
      </c>
      <c r="AB1705" t="n">
        <v>0.0</v>
      </c>
      <c r="AC1705" t="n">
        <v>0.0</v>
      </c>
      <c r="AD1705" t="n">
        <v>0.0</v>
      </c>
      <c r="AE1705" t="n">
        <v>0.0</v>
      </c>
      <c r="AF1705" t="n">
        <v>0.0</v>
      </c>
      <c r="AG1705" t="n">
        <v>0.0</v>
      </c>
      <c r="AH1705" t="n">
        <v>0.0</v>
      </c>
      <c r="AI1705" t="n">
        <v>0.0</v>
      </c>
      <c r="AJ1705" t="n">
        <v>0.0</v>
      </c>
      <c r="AK1705" t="inlineStr">
        <is>
          <t/>
        </is>
      </c>
      <c r="AL1705" t="inlineStr">
        <is>
          <t/>
        </is>
      </c>
    </row>
    <row r="1706">
      <c r="A1706" t="inlineStr">
        <is>
          <t>长期吃三文鱼的代价就是。。。</t>
        </is>
      </c>
      <c r="B1706" t="inlineStr">
        <is>
          <t>6984530c000000001a0347a5</t>
        </is>
      </c>
      <c r="C1706" s="1705" t="n">
        <f>HYPERLINK("https://www.xiaohongshu.com/explore/6984530c000000001a0347a5?xsec_token=TBn0ftdrPlwv37Gn1tDFpAI2puJNXEBAJ5Efs_F6Mp2zs=&amp;xsec_source=pc_trdark","https://www.xiaohongshu.com/explore/6984530c000000001a0347a5?xsec_token=TBn0ftdrPlwv37Gn1tDFpAI2puJNXEBAJ5Efs_F6Mp2zs=&amp;xsec_source=pc_trdark")</f>
        <v>0.0</v>
      </c>
      <c r="D1706" t="inlineStr">
        <is>
          <t>鲜水湾</t>
        </is>
      </c>
      <c r="E1706" t="inlineStr">
        <is>
          <t>49316638994</t>
        </is>
      </c>
      <c r="F1706" t="inlineStr">
        <is>
          <t>2026-02-05 16:21:32</t>
        </is>
      </c>
      <c r="G1706" t="inlineStr">
        <is>
          <t>图文</t>
        </is>
      </c>
      <c r="H1706" t="inlineStr">
        <is>
          <t>智利三文鱼切块·整条三文鱼·深海鱼一人食健康饮食</t>
        </is>
      </c>
      <c r="I1706" t="inlineStr">
        <is>
          <t>691ac562a524ee0001b51d7b</t>
        </is>
      </c>
      <c r="J1706" t="inlineStr">
        <is>
          <t/>
        </is>
      </c>
      <c r="K1706" t="n">
        <v>0.0</v>
      </c>
      <c r="L1706" t="n">
        <v>0.0</v>
      </c>
      <c r="M1706" t="n">
        <v>0.0</v>
      </c>
      <c r="N1706" t="inlineStr">
        <is>
          <t/>
        </is>
      </c>
      <c r="O1706" t="n">
        <v>0.0</v>
      </c>
      <c r="P1706" t="n">
        <v>0.0</v>
      </c>
      <c r="Q1706" t="inlineStr">
        <is>
          <t/>
        </is>
      </c>
      <c r="R1706" t="inlineStr">
        <is>
          <t/>
        </is>
      </c>
      <c r="S1706" t="n">
        <v>0.0</v>
      </c>
      <c r="T1706" t="n">
        <v>0.0</v>
      </c>
      <c r="U1706" t="n">
        <v>0.0</v>
      </c>
      <c r="V1706" t="n">
        <v>0.0</v>
      </c>
      <c r="W1706" t="inlineStr">
        <is>
          <t/>
        </is>
      </c>
      <c r="X1706" t="n">
        <v>0.0</v>
      </c>
      <c r="Y1706" t="n">
        <v>0.0</v>
      </c>
      <c r="Z1706" t="n">
        <v>0.0</v>
      </c>
      <c r="AA1706" t="n">
        <v>0.0</v>
      </c>
      <c r="AB1706" t="n">
        <v>0.0</v>
      </c>
      <c r="AC1706" t="n">
        <v>0.0</v>
      </c>
      <c r="AD1706" t="n">
        <v>0.0</v>
      </c>
      <c r="AE1706" t="n">
        <v>0.0</v>
      </c>
      <c r="AF1706" t="n">
        <v>0.0</v>
      </c>
      <c r="AG1706" t="n">
        <v>0.0</v>
      </c>
      <c r="AH1706" t="n">
        <v>0.0</v>
      </c>
      <c r="AI1706" t="n">
        <v>0.0</v>
      </c>
      <c r="AJ1706" t="n">
        <v>0.0</v>
      </c>
      <c r="AK1706" t="inlineStr">
        <is>
          <t/>
        </is>
      </c>
      <c r="AL1706" t="inlineStr">
        <is>
          <t/>
        </is>
      </c>
    </row>
    <row r="1707">
      <c r="A1707" t="inlineStr">
        <is>
          <t>区区300块！承包管理期一个月晚餐🍣</t>
        </is>
      </c>
      <c r="B1707" t="inlineStr">
        <is>
          <t>698404a5000000001a02515f</t>
        </is>
      </c>
      <c r="C1707" s="1706" t="n">
        <f>HYPERLINK("https://www.xiaohongshu.com/explore/698404a5000000001a02515f?xsec_token=TBn0ftdrPlwv37Gn1tDFpAI-44n--kANrJmbPcJicRDLM=&amp;xsec_source=pc_trdark","https://www.xiaohongshu.com/explore/698404a5000000001a02515f?xsec_token=TBn0ftdrPlwv37Gn1tDFpAI-44n--kANrJmbPcJicRDLM=&amp;xsec_source=pc_trdark")</f>
        <v>0.0</v>
      </c>
      <c r="D1707" t="inlineStr">
        <is>
          <t>鲜水湾</t>
        </is>
      </c>
      <c r="E1707" t="inlineStr">
        <is>
          <t>49316638994</t>
        </is>
      </c>
      <c r="F1707" t="inlineStr">
        <is>
          <t>2026-02-05 10:47:01</t>
        </is>
      </c>
      <c r="G1707" t="inlineStr">
        <is>
          <t>图文</t>
        </is>
      </c>
      <c r="H1707" t="inlineStr">
        <is>
          <t>智利三文鱼切块·整条三文鱼·深海鱼一人食健康饮食</t>
        </is>
      </c>
      <c r="I1707" t="inlineStr">
        <is>
          <t>691ac562a524ee0001b51d7b</t>
        </is>
      </c>
      <c r="J1707" t="inlineStr">
        <is>
          <t/>
        </is>
      </c>
      <c r="K1707" t="n">
        <v>0.0</v>
      </c>
      <c r="L1707" t="n">
        <v>0.0</v>
      </c>
      <c r="M1707" t="n">
        <v>0.0</v>
      </c>
      <c r="N1707" t="inlineStr">
        <is>
          <t/>
        </is>
      </c>
      <c r="O1707" t="n">
        <v>0.0</v>
      </c>
      <c r="P1707" t="n">
        <v>0.0</v>
      </c>
      <c r="Q1707" t="inlineStr">
        <is>
          <t/>
        </is>
      </c>
      <c r="R1707" t="inlineStr">
        <is>
          <t/>
        </is>
      </c>
      <c r="S1707" t="n">
        <v>0.0</v>
      </c>
      <c r="T1707" t="n">
        <v>0.0</v>
      </c>
      <c r="U1707" t="n">
        <v>0.0</v>
      </c>
      <c r="V1707" t="n">
        <v>0.0</v>
      </c>
      <c r="W1707" t="inlineStr">
        <is>
          <t/>
        </is>
      </c>
      <c r="X1707" t="n">
        <v>0.0</v>
      </c>
      <c r="Y1707" t="n">
        <v>0.0</v>
      </c>
      <c r="Z1707" t="n">
        <v>0.0</v>
      </c>
      <c r="AA1707" t="n">
        <v>0.0</v>
      </c>
      <c r="AB1707" t="n">
        <v>0.0</v>
      </c>
      <c r="AC1707" t="n">
        <v>0.0</v>
      </c>
      <c r="AD1707" t="n">
        <v>0.0</v>
      </c>
      <c r="AE1707" t="n">
        <v>0.0</v>
      </c>
      <c r="AF1707" t="n">
        <v>0.0</v>
      </c>
      <c r="AG1707" t="n">
        <v>0.0</v>
      </c>
      <c r="AH1707" t="n">
        <v>0.0</v>
      </c>
      <c r="AI1707" t="n">
        <v>0.0</v>
      </c>
      <c r="AJ1707" t="n">
        <v>0.0</v>
      </c>
      <c r="AK1707" t="inlineStr">
        <is>
          <t/>
        </is>
      </c>
      <c r="AL1707" t="inlineStr">
        <is>
          <t/>
        </is>
      </c>
    </row>
    <row r="1708">
      <c r="A1708" t="inlineStr">
        <is>
          <t>以为69没多少，但一盒够我吃一周的了🫢</t>
        </is>
      </c>
      <c r="B1708" t="inlineStr">
        <is>
          <t>6982e399000000001a02dbc6</t>
        </is>
      </c>
      <c r="C1708" s="1707" t="n">
        <f>HYPERLINK("https://www.xiaohongshu.com/explore/6982e399000000001a02dbc6?xsec_token=TBRUGO98Ap-B8eSGcZxxfvdJcg1VB0XqQ0k1EbjwPAVgo=&amp;xsec_source=pc_trdark","https://www.xiaohongshu.com/explore/6982e399000000001a02dbc6?xsec_token=TBRUGO98Ap-B8eSGcZxxfvdJcg1VB0XqQ0k1EbjwPAVgo=&amp;xsec_source=pc_trdark")</f>
        <v>0.0</v>
      </c>
      <c r="D1708" t="inlineStr">
        <is>
          <t>鲜水湾</t>
        </is>
      </c>
      <c r="E1708" t="inlineStr">
        <is>
          <t>49316638994</t>
        </is>
      </c>
      <c r="F1708" t="inlineStr">
        <is>
          <t>2026-02-04 14:13:45</t>
        </is>
      </c>
      <c r="G1708" t="inlineStr">
        <is>
          <t>图文</t>
        </is>
      </c>
      <c r="H1708" t="inlineStr">
        <is>
          <t>大虾基围虾王牌大虾厄瓜多尔白虾盐冻虾仁海洋大虾送礼顺丰包邮</t>
        </is>
      </c>
      <c r="I1708" t="inlineStr">
        <is>
          <t>690aeb7be379430001e686ac</t>
        </is>
      </c>
      <c r="J1708" t="inlineStr">
        <is>
          <t/>
        </is>
      </c>
      <c r="K1708" t="n">
        <v>0.0</v>
      </c>
      <c r="L1708" t="n">
        <v>0.0</v>
      </c>
      <c r="M1708" t="n">
        <v>0.0</v>
      </c>
      <c r="N1708" t="inlineStr">
        <is>
          <t/>
        </is>
      </c>
      <c r="O1708" t="n">
        <v>0.0</v>
      </c>
      <c r="P1708" t="n">
        <v>0.0</v>
      </c>
      <c r="Q1708" t="inlineStr">
        <is>
          <t/>
        </is>
      </c>
      <c r="R1708" t="inlineStr">
        <is>
          <t/>
        </is>
      </c>
      <c r="S1708" t="n">
        <v>0.0</v>
      </c>
      <c r="T1708" t="n">
        <v>0.0</v>
      </c>
      <c r="U1708" t="n">
        <v>0.0</v>
      </c>
      <c r="V1708" t="n">
        <v>0.0</v>
      </c>
      <c r="W1708" t="inlineStr">
        <is>
          <t/>
        </is>
      </c>
      <c r="X1708" t="n">
        <v>0.0</v>
      </c>
      <c r="Y1708" t="n">
        <v>0.0</v>
      </c>
      <c r="Z1708" t="n">
        <v>0.0</v>
      </c>
      <c r="AA1708" t="n">
        <v>0.0</v>
      </c>
      <c r="AB1708" t="n">
        <v>0.0</v>
      </c>
      <c r="AC1708" t="n">
        <v>0.0</v>
      </c>
      <c r="AD1708" t="n">
        <v>0.0</v>
      </c>
      <c r="AE1708" t="n">
        <v>0.0</v>
      </c>
      <c r="AF1708" t="n">
        <v>0.0</v>
      </c>
      <c r="AG1708" t="n">
        <v>0.0</v>
      </c>
      <c r="AH1708" t="n">
        <v>0.0</v>
      </c>
      <c r="AI1708" t="n">
        <v>0.0</v>
      </c>
      <c r="AJ1708" t="n">
        <v>0.0</v>
      </c>
      <c r="AK1708" t="inlineStr">
        <is>
          <t/>
        </is>
      </c>
      <c r="AL1708" t="inlineStr">
        <is>
          <t/>
        </is>
      </c>
    </row>
    <row r="1709">
      <c r="A1709" t="inlineStr">
        <is>
          <t>还有多少南方宝宝没吃过这个北极甜虾</t>
        </is>
      </c>
      <c r="B1709" t="inlineStr">
        <is>
          <t>6982a4ac000000000a033c8c</t>
        </is>
      </c>
      <c r="C1709" s="1708" t="n">
        <f>HYPERLINK("https://www.xiaohongshu.com/explore/6982a4ac000000000a033c8c?xsec_token=TBRUGO98Ap-B8eSGcZxxfvdI_zbT9qm-KkSyV0Kdwpj5Q=&amp;xsec_source=pc_trdark","https://www.xiaohongshu.com/explore/6982a4ac000000000a033c8c?xsec_token=TBRUGO98Ap-B8eSGcZxxfvdI_zbT9qm-KkSyV0Kdwpj5Q=&amp;xsec_source=pc_trdark")</f>
        <v>0.0</v>
      </c>
      <c r="D1709" t="inlineStr">
        <is>
          <t>鲜水湾甄选</t>
        </is>
      </c>
      <c r="E1709" t="inlineStr">
        <is>
          <t>27401929161</t>
        </is>
      </c>
      <c r="F1709" t="inlineStr">
        <is>
          <t>2026-02-04 09:45:16</t>
        </is>
      </c>
      <c r="G1709" t="inlineStr">
        <is>
          <t>视频</t>
        </is>
      </c>
      <c r="H1709" t="inlineStr">
        <is>
          <t>北极甜虾头籽甜虾元宝虾北极熊冰虾孕妈妈宝宝辅食顺丰</t>
        </is>
      </c>
      <c r="I1709" t="inlineStr">
        <is>
          <t>6953717eb8f0bb000115158d</t>
        </is>
      </c>
      <c r="J1709" t="n">
        <v>53.0</v>
      </c>
      <c r="K1709" t="n">
        <v>0.0</v>
      </c>
      <c r="L1709" t="n">
        <v>0.0</v>
      </c>
      <c r="M1709" t="n">
        <v>0.0</v>
      </c>
      <c r="N1709" t="inlineStr">
        <is>
          <t/>
        </is>
      </c>
      <c r="O1709" t="n">
        <v>0.0</v>
      </c>
      <c r="P1709" t="n">
        <v>0.0</v>
      </c>
      <c r="Q1709" t="inlineStr">
        <is>
          <t/>
        </is>
      </c>
      <c r="R1709" t="inlineStr">
        <is>
          <t/>
        </is>
      </c>
      <c r="S1709" t="n">
        <v>0.0</v>
      </c>
      <c r="T1709" t="n">
        <v>0.0</v>
      </c>
      <c r="U1709" t="n">
        <v>0.0</v>
      </c>
      <c r="V1709" t="n">
        <v>0.0</v>
      </c>
      <c r="W1709" t="inlineStr">
        <is>
          <t/>
        </is>
      </c>
      <c r="X1709" t="n">
        <v>0.0</v>
      </c>
      <c r="Y1709" t="n">
        <v>0.0</v>
      </c>
      <c r="Z1709" t="n">
        <v>0.0</v>
      </c>
      <c r="AA1709" t="n">
        <v>0.0</v>
      </c>
      <c r="AB1709" t="n">
        <v>0.0</v>
      </c>
      <c r="AC1709" t="n">
        <v>0.0</v>
      </c>
      <c r="AD1709" t="n">
        <v>0.0</v>
      </c>
      <c r="AE1709" t="n">
        <v>0.0</v>
      </c>
      <c r="AF1709" t="n">
        <v>0.0</v>
      </c>
      <c r="AG1709" t="n">
        <v>0.0</v>
      </c>
      <c r="AH1709" t="n">
        <v>0.0</v>
      </c>
      <c r="AI1709" t="n">
        <v>0.0</v>
      </c>
      <c r="AJ1709" t="n">
        <v>0.0</v>
      </c>
      <c r="AK1709" t="inlineStr">
        <is>
          <t/>
        </is>
      </c>
      <c r="AL1709" t="inlineStr">
        <is>
          <t/>
        </is>
      </c>
    </row>
    <row r="1710">
      <c r="A1710" t="inlineStr">
        <is>
          <t>新年送礼被问爆！整条三文鱼礼盒太有面了</t>
        </is>
      </c>
      <c r="B1710" t="inlineStr">
        <is>
          <t>698197600000000028021a81</t>
        </is>
      </c>
      <c r="C1710" s="1709" t="n">
        <f>HYPERLINK("https://www.xiaohongshu.com/explore/698197600000000028021a81?xsec_token=TBCSP6T6xotiZWoIZvuSKQiBW6fQAyJUVJP04K6Tt2nJw=&amp;xsec_source=pc_trdark","https://www.xiaohongshu.com/explore/698197600000000028021a81?xsec_token=TBCSP6T6xotiZWoIZvuSKQiBW6fQAyJUVJP04K6Tt2nJw=&amp;xsec_source=pc_trdark")</f>
        <v>0.0</v>
      </c>
      <c r="D1710" t="inlineStr">
        <is>
          <t>鲜水湾</t>
        </is>
      </c>
      <c r="E1710" t="inlineStr">
        <is>
          <t>49316638994</t>
        </is>
      </c>
      <c r="F1710" t="inlineStr">
        <is>
          <t>2026-02-03 14:36:16</t>
        </is>
      </c>
      <c r="G1710" t="inlineStr">
        <is>
          <t>图文</t>
        </is>
      </c>
      <c r="H1710" t="inlineStr">
        <is>
          <t>智利三文鱼切块·整条三文鱼·深海鱼一人食健康饮食</t>
        </is>
      </c>
      <c r="I1710" t="inlineStr">
        <is>
          <t>691ac562a524ee0001b51d7b</t>
        </is>
      </c>
      <c r="J1710" t="inlineStr">
        <is>
          <t/>
        </is>
      </c>
      <c r="K1710" t="n">
        <v>0.0</v>
      </c>
      <c r="L1710" t="n">
        <v>0.0</v>
      </c>
      <c r="M1710" t="n">
        <v>0.0</v>
      </c>
      <c r="N1710" t="inlineStr">
        <is>
          <t/>
        </is>
      </c>
      <c r="O1710" t="n">
        <v>0.0</v>
      </c>
      <c r="P1710" t="n">
        <v>0.0</v>
      </c>
      <c r="Q1710" t="inlineStr">
        <is>
          <t/>
        </is>
      </c>
      <c r="R1710" t="inlineStr">
        <is>
          <t/>
        </is>
      </c>
      <c r="S1710" t="n">
        <v>0.0</v>
      </c>
      <c r="T1710" t="n">
        <v>0.0</v>
      </c>
      <c r="U1710" t="n">
        <v>0.0</v>
      </c>
      <c r="V1710" t="n">
        <v>0.0</v>
      </c>
      <c r="W1710" t="inlineStr">
        <is>
          <t/>
        </is>
      </c>
      <c r="X1710" t="n">
        <v>0.0</v>
      </c>
      <c r="Y1710" t="n">
        <v>0.0</v>
      </c>
      <c r="Z1710" t="n">
        <v>0.0</v>
      </c>
      <c r="AA1710" t="n">
        <v>0.0</v>
      </c>
      <c r="AB1710" t="n">
        <v>0.0</v>
      </c>
      <c r="AC1710" t="n">
        <v>0.0</v>
      </c>
      <c r="AD1710" t="n">
        <v>0.0</v>
      </c>
      <c r="AE1710" t="n">
        <v>0.0</v>
      </c>
      <c r="AF1710" t="n">
        <v>0.0</v>
      </c>
      <c r="AG1710" t="n">
        <v>0.0</v>
      </c>
      <c r="AH1710" t="n">
        <v>0.0</v>
      </c>
      <c r="AI1710" t="n">
        <v>0.0</v>
      </c>
      <c r="AJ1710" t="n">
        <v>0.0</v>
      </c>
      <c r="AK1710" t="inlineStr">
        <is>
          <t/>
        </is>
      </c>
      <c r="AL1710" t="inlineStr">
        <is>
          <t/>
        </is>
      </c>
    </row>
    <row r="1711">
      <c r="A1711" t="inlineStr">
        <is>
          <t>和爸妈商量后，决定69三斤大虾，试试就500单</t>
        </is>
      </c>
      <c r="B1711" t="inlineStr">
        <is>
          <t>69805c08000000001a032143</t>
        </is>
      </c>
      <c r="C1711" s="1710" t="n">
        <f>HYPERLINK("https://www.xiaohongshu.com/explore/69805c08000000001a032143?xsec_token=TBZp4EcwSVhJKyeKQt7CpumdRVIdyVLOrXzt3H_27kwfc=&amp;xsec_source=pc_trdark","https://www.xiaohongshu.com/explore/69805c08000000001a032143?xsec_token=TBZp4EcwSVhJKyeKQt7CpumdRVIdyVLOrXzt3H_27kwfc=&amp;xsec_source=pc_trdark")</f>
        <v>0.0</v>
      </c>
      <c r="D1711" t="inlineStr">
        <is>
          <t>鲜水湾</t>
        </is>
      </c>
      <c r="E1711" t="inlineStr">
        <is>
          <t>49316638994</t>
        </is>
      </c>
      <c r="F1711" t="inlineStr">
        <is>
          <t>2026-02-02 16:10:48</t>
        </is>
      </c>
      <c r="G1711" t="inlineStr">
        <is>
          <t>图文</t>
        </is>
      </c>
      <c r="H1711" t="inlineStr">
        <is>
          <t>大虾基围虾王牌大虾厄瓜多尔白虾盐冻虾仁海洋大虾送礼顺丰包邮</t>
        </is>
      </c>
      <c r="I1711" t="inlineStr">
        <is>
          <t>690aeb7be379430001e686ac</t>
        </is>
      </c>
      <c r="J1711" t="inlineStr">
        <is>
          <t/>
        </is>
      </c>
      <c r="K1711" t="n">
        <v>0.0</v>
      </c>
      <c r="L1711" t="n">
        <v>0.0</v>
      </c>
      <c r="M1711" t="n">
        <v>0.0</v>
      </c>
      <c r="N1711" t="inlineStr">
        <is>
          <t/>
        </is>
      </c>
      <c r="O1711" t="n">
        <v>0.0</v>
      </c>
      <c r="P1711" t="n">
        <v>0.0</v>
      </c>
      <c r="Q1711" t="inlineStr">
        <is>
          <t/>
        </is>
      </c>
      <c r="R1711" t="inlineStr">
        <is>
          <t/>
        </is>
      </c>
      <c r="S1711" t="n">
        <v>0.0</v>
      </c>
      <c r="T1711" t="n">
        <v>0.0</v>
      </c>
      <c r="U1711" t="n">
        <v>0.0</v>
      </c>
      <c r="V1711" t="n">
        <v>0.0</v>
      </c>
      <c r="W1711" t="inlineStr">
        <is>
          <t/>
        </is>
      </c>
      <c r="X1711" t="n">
        <v>0.0</v>
      </c>
      <c r="Y1711" t="n">
        <v>0.0</v>
      </c>
      <c r="Z1711" t="n">
        <v>0.0</v>
      </c>
      <c r="AA1711" t="n">
        <v>0.0</v>
      </c>
      <c r="AB1711" t="n">
        <v>0.0</v>
      </c>
      <c r="AC1711" t="n">
        <v>0.0</v>
      </c>
      <c r="AD1711" t="n">
        <v>0.0</v>
      </c>
      <c r="AE1711" t="n">
        <v>0.0</v>
      </c>
      <c r="AF1711" t="n">
        <v>0.0</v>
      </c>
      <c r="AG1711" t="n">
        <v>0.0</v>
      </c>
      <c r="AH1711" t="n">
        <v>0.0</v>
      </c>
      <c r="AI1711" t="n">
        <v>0.0</v>
      </c>
      <c r="AJ1711" t="n">
        <v>0.0</v>
      </c>
      <c r="AK1711" t="inlineStr">
        <is>
          <t/>
        </is>
      </c>
      <c r="AL1711" t="inlineStr">
        <is>
          <t/>
        </is>
      </c>
    </row>
    <row r="1712">
      <c r="A1712" t="inlineStr">
        <is>
          <t>过年就备这个大虾招待亲朋好友吧！</t>
        </is>
      </c>
      <c r="B1712" t="inlineStr">
        <is>
          <t>697c77e3000000001a01d1b3</t>
        </is>
      </c>
      <c r="C1712" s="1711" t="n">
        <f>HYPERLINK("https://www.xiaohongshu.com/explore/697c77e3000000001a01d1b3?xsec_token=TBV-62_c6Sms9X18ENcOcpiCHEy_9hN2vO1o85ywyN8bQ=&amp;xsec_source=pc_trdark","https://www.xiaohongshu.com/explore/697c77e3000000001a01d1b3?xsec_token=TBV-62_c6Sms9X18ENcOcpiCHEy_9hN2vO1o85ywyN8bQ=&amp;xsec_source=pc_trdark")</f>
        <v>0.0</v>
      </c>
      <c r="D1712" t="inlineStr">
        <is>
          <t>鲜水湾</t>
        </is>
      </c>
      <c r="E1712" t="inlineStr">
        <is>
          <t>49316638994</t>
        </is>
      </c>
      <c r="F1712" t="inlineStr">
        <is>
          <t>2026-01-30 17:20:35</t>
        </is>
      </c>
      <c r="G1712" t="inlineStr">
        <is>
          <t>图文</t>
        </is>
      </c>
      <c r="H1712" t="inlineStr">
        <is>
          <t>大虾基围虾王牌大虾厄瓜多尔白虾盐冻虾仁海洋大虾送礼顺丰包邮</t>
        </is>
      </c>
      <c r="I1712" t="inlineStr">
        <is>
          <t>690aeb7be379430001e686ac</t>
        </is>
      </c>
      <c r="J1712" t="inlineStr">
        <is>
          <t/>
        </is>
      </c>
      <c r="K1712" t="n">
        <v>0.0</v>
      </c>
      <c r="L1712" t="n">
        <v>0.0</v>
      </c>
      <c r="M1712" t="n">
        <v>0.0</v>
      </c>
      <c r="N1712" t="inlineStr">
        <is>
          <t/>
        </is>
      </c>
      <c r="O1712" t="n">
        <v>0.0</v>
      </c>
      <c r="P1712" t="n">
        <v>0.0</v>
      </c>
      <c r="Q1712" t="inlineStr">
        <is>
          <t/>
        </is>
      </c>
      <c r="R1712" t="inlineStr">
        <is>
          <t/>
        </is>
      </c>
      <c r="S1712" t="n">
        <v>0.0</v>
      </c>
      <c r="T1712" t="n">
        <v>0.0</v>
      </c>
      <c r="U1712" t="n">
        <v>0.0</v>
      </c>
      <c r="V1712" t="n">
        <v>0.0</v>
      </c>
      <c r="W1712" t="inlineStr">
        <is>
          <t/>
        </is>
      </c>
      <c r="X1712" t="n">
        <v>0.0</v>
      </c>
      <c r="Y1712" t="n">
        <v>0.0</v>
      </c>
      <c r="Z1712" t="n">
        <v>0.0</v>
      </c>
      <c r="AA1712" t="n">
        <v>0.0</v>
      </c>
      <c r="AB1712" t="n">
        <v>0.0</v>
      </c>
      <c r="AC1712" t="n">
        <v>0.0</v>
      </c>
      <c r="AD1712" t="n">
        <v>0.0</v>
      </c>
      <c r="AE1712" t="n">
        <v>0.0</v>
      </c>
      <c r="AF1712" t="n">
        <v>0.0</v>
      </c>
      <c r="AG1712" t="n">
        <v>0.0</v>
      </c>
      <c r="AH1712" t="n">
        <v>0.0</v>
      </c>
      <c r="AI1712" t="n">
        <v>0.0</v>
      </c>
      <c r="AJ1712" t="n">
        <v>0.0</v>
      </c>
      <c r="AK1712" t="inlineStr">
        <is>
          <t/>
        </is>
      </c>
      <c r="AL1712" t="inlineStr">
        <is>
          <t/>
        </is>
      </c>
    </row>
    <row r="1713">
      <c r="A1713" t="inlineStr">
        <is>
          <t>冬天限定！再过几天就没有头籽甜虾了</t>
        </is>
      </c>
      <c r="B1713" t="inlineStr">
        <is>
          <t>697c62c2000000000a02a1c5</t>
        </is>
      </c>
      <c r="C1713" s="1712" t="n">
        <f>HYPERLINK("https://www.xiaohongshu.com/explore/697c62c2000000000a02a1c5?xsec_token=TBV-62_c6Sms9X18ENcOcpiOVbebQibHJCA9_5tI9Ghlw=&amp;xsec_source=pc_trdark","https://www.xiaohongshu.com/explore/697c62c2000000000a02a1c5?xsec_token=TBV-62_c6Sms9X18ENcOcpiOVbebQibHJCA9_5tI9Ghlw=&amp;xsec_source=pc_trdark")</f>
        <v>0.0</v>
      </c>
      <c r="D1713" t="inlineStr">
        <is>
          <t>鲜水湾甄选</t>
        </is>
      </c>
      <c r="E1713" t="inlineStr">
        <is>
          <t>27401929161</t>
        </is>
      </c>
      <c r="F1713" t="inlineStr">
        <is>
          <t>2026-01-30 15:50:27</t>
        </is>
      </c>
      <c r="G1713" t="inlineStr">
        <is>
          <t>视频</t>
        </is>
      </c>
      <c r="H1713" t="inlineStr">
        <is>
          <t>北极甜虾头籽甜虾元宝虾北极熊冰虾孕妈妈宝宝辅食顺丰</t>
        </is>
      </c>
      <c r="I1713" t="inlineStr">
        <is>
          <t>6953717eb8f0bb000115158d</t>
        </is>
      </c>
      <c r="J1713" t="n">
        <v>60.0</v>
      </c>
      <c r="K1713" t="n">
        <v>0.0</v>
      </c>
      <c r="L1713" t="n">
        <v>0.0</v>
      </c>
      <c r="M1713" t="n">
        <v>0.0</v>
      </c>
      <c r="N1713" t="inlineStr">
        <is>
          <t/>
        </is>
      </c>
      <c r="O1713" t="n">
        <v>0.0</v>
      </c>
      <c r="P1713" t="n">
        <v>0.0</v>
      </c>
      <c r="Q1713" t="inlineStr">
        <is>
          <t/>
        </is>
      </c>
      <c r="R1713" t="inlineStr">
        <is>
          <t/>
        </is>
      </c>
      <c r="S1713" t="n">
        <v>0.0</v>
      </c>
      <c r="T1713" t="n">
        <v>0.0</v>
      </c>
      <c r="U1713" t="n">
        <v>0.0</v>
      </c>
      <c r="V1713" t="n">
        <v>0.0</v>
      </c>
      <c r="W1713" t="inlineStr">
        <is>
          <t/>
        </is>
      </c>
      <c r="X1713" t="n">
        <v>0.0</v>
      </c>
      <c r="Y1713" t="n">
        <v>0.0</v>
      </c>
      <c r="Z1713" t="n">
        <v>0.0</v>
      </c>
      <c r="AA1713" t="n">
        <v>0.0</v>
      </c>
      <c r="AB1713" t="n">
        <v>0.0</v>
      </c>
      <c r="AC1713" t="n">
        <v>0.0</v>
      </c>
      <c r="AD1713" t="n">
        <v>0.0</v>
      </c>
      <c r="AE1713" t="n">
        <v>0.0</v>
      </c>
      <c r="AF1713" t="n">
        <v>0.0</v>
      </c>
      <c r="AG1713" t="n">
        <v>0.0</v>
      </c>
      <c r="AH1713" t="n">
        <v>0.0</v>
      </c>
      <c r="AI1713" t="n">
        <v>0.0</v>
      </c>
      <c r="AJ1713" t="n">
        <v>0.0</v>
      </c>
      <c r="AK1713" t="inlineStr">
        <is>
          <t/>
        </is>
      </c>
      <c r="AL1713" t="inlineStr">
        <is>
          <t/>
        </is>
      </c>
    </row>
    <row r="1714">
      <c r="A1714" t="inlineStr">
        <is>
          <t>过年给老爸老妈买的一整条三文鱼！</t>
        </is>
      </c>
      <c r="B1714" t="inlineStr">
        <is>
          <t>697c559a000000001a035ccc</t>
        </is>
      </c>
      <c r="C1714" s="1713" t="n">
        <f>HYPERLINK("https://www.xiaohongshu.com/explore/697c559a000000001a035ccc?xsec_token=TBV-62_c6Sms9X18ENcOcpiEd6DJ77aX2nqBDIN91pMVU=&amp;xsec_source=pc_trdark","https://www.xiaohongshu.com/explore/697c559a000000001a035ccc?xsec_token=TBV-62_c6Sms9X18ENcOcpiEd6DJ77aX2nqBDIN91pMVU=&amp;xsec_source=pc_trdark")</f>
        <v>0.0</v>
      </c>
      <c r="D1714" t="inlineStr">
        <is>
          <t>鲜水湾</t>
        </is>
      </c>
      <c r="E1714" t="inlineStr">
        <is>
          <t>49316638994</t>
        </is>
      </c>
      <c r="F1714" t="inlineStr">
        <is>
          <t>2026-01-30 14:54:18</t>
        </is>
      </c>
      <c r="G1714" t="inlineStr">
        <is>
          <t>图文</t>
        </is>
      </c>
      <c r="H1714" t="inlineStr">
        <is>
          <t>智利三文鱼切块·整条三文鱼·深海鱼一人食健康饮食</t>
        </is>
      </c>
      <c r="I1714" t="inlineStr">
        <is>
          <t>691ac562a524ee0001b51d7b</t>
        </is>
      </c>
      <c r="J1714" t="inlineStr">
        <is>
          <t/>
        </is>
      </c>
      <c r="K1714" t="n">
        <v>0.0</v>
      </c>
      <c r="L1714" t="n">
        <v>0.0</v>
      </c>
      <c r="M1714" t="n">
        <v>0.0</v>
      </c>
      <c r="N1714" t="inlineStr">
        <is>
          <t/>
        </is>
      </c>
      <c r="O1714" t="n">
        <v>0.0</v>
      </c>
      <c r="P1714" t="n">
        <v>0.0</v>
      </c>
      <c r="Q1714" t="inlineStr">
        <is>
          <t/>
        </is>
      </c>
      <c r="R1714" t="inlineStr">
        <is>
          <t/>
        </is>
      </c>
      <c r="S1714" t="n">
        <v>0.0</v>
      </c>
      <c r="T1714" t="n">
        <v>0.0</v>
      </c>
      <c r="U1714" t="n">
        <v>0.0</v>
      </c>
      <c r="V1714" t="n">
        <v>0.0</v>
      </c>
      <c r="W1714" t="inlineStr">
        <is>
          <t/>
        </is>
      </c>
      <c r="X1714" t="n">
        <v>0.0</v>
      </c>
      <c r="Y1714" t="n">
        <v>0.0</v>
      </c>
      <c r="Z1714" t="n">
        <v>0.0</v>
      </c>
      <c r="AA1714" t="n">
        <v>0.0</v>
      </c>
      <c r="AB1714" t="n">
        <v>0.0</v>
      </c>
      <c r="AC1714" t="n">
        <v>0.0</v>
      </c>
      <c r="AD1714" t="n">
        <v>0.0</v>
      </c>
      <c r="AE1714" t="n">
        <v>0.0</v>
      </c>
      <c r="AF1714" t="n">
        <v>0.0</v>
      </c>
      <c r="AG1714" t="n">
        <v>0.0</v>
      </c>
      <c r="AH1714" t="n">
        <v>0.0</v>
      </c>
      <c r="AI1714" t="n">
        <v>0.0</v>
      </c>
      <c r="AJ1714" t="n">
        <v>0.0</v>
      </c>
      <c r="AK1714" t="inlineStr">
        <is>
          <t/>
        </is>
      </c>
      <c r="AL1714" t="inlineStr">
        <is>
          <t/>
        </is>
      </c>
    </row>
    <row r="1715">
      <c r="A1715" t="inlineStr">
        <is>
          <t>今年走亲戚别送奶了❗️送这鱼备有面儿</t>
        </is>
      </c>
      <c r="B1715" t="inlineStr">
        <is>
          <t>697b2834000000000d008a39</t>
        </is>
      </c>
      <c r="C1715" s="1714" t="n">
        <f>HYPERLINK("https://www.xiaohongshu.com/explore/697b2834000000000d008a39?xsec_token=TBx0gf9xFBuo-Uf0_oTJMkRGIGml1cD74L8EYqARDVQLU=&amp;xsec_source=pc_trdark","https://www.xiaohongshu.com/explore/697b2834000000000d008a39?xsec_token=TBx0gf9xFBuo-Uf0_oTJMkRGIGml1cD74L8EYqARDVQLU=&amp;xsec_source=pc_trdark")</f>
        <v>0.0</v>
      </c>
      <c r="D1715" t="inlineStr">
        <is>
          <t>鲜水湾</t>
        </is>
      </c>
      <c r="E1715" t="inlineStr">
        <is>
          <t>49316638994</t>
        </is>
      </c>
      <c r="F1715" t="inlineStr">
        <is>
          <t>2026-01-29 17:28:20</t>
        </is>
      </c>
      <c r="G1715" t="inlineStr">
        <is>
          <t>图文</t>
        </is>
      </c>
      <c r="H1715" t="inlineStr">
        <is>
          <t>智利三文鱼切块·整条三文鱼·深海鱼一人食健康饮食</t>
        </is>
      </c>
      <c r="I1715" t="inlineStr">
        <is>
          <t>691ac562a524ee0001b51d7b</t>
        </is>
      </c>
      <c r="J1715" t="inlineStr">
        <is>
          <t/>
        </is>
      </c>
      <c r="K1715" t="n">
        <v>0.0</v>
      </c>
      <c r="L1715" t="n">
        <v>0.0</v>
      </c>
      <c r="M1715" t="n">
        <v>0.0</v>
      </c>
      <c r="N1715" t="inlineStr">
        <is>
          <t/>
        </is>
      </c>
      <c r="O1715" t="n">
        <v>0.0</v>
      </c>
      <c r="P1715" t="n">
        <v>0.0</v>
      </c>
      <c r="Q1715" t="inlineStr">
        <is>
          <t/>
        </is>
      </c>
      <c r="R1715" t="inlineStr">
        <is>
          <t/>
        </is>
      </c>
      <c r="S1715" t="n">
        <v>0.0</v>
      </c>
      <c r="T1715" t="n">
        <v>0.0</v>
      </c>
      <c r="U1715" t="n">
        <v>0.0</v>
      </c>
      <c r="V1715" t="n">
        <v>0.0</v>
      </c>
      <c r="W1715" t="inlineStr">
        <is>
          <t/>
        </is>
      </c>
      <c r="X1715" t="n">
        <v>0.0</v>
      </c>
      <c r="Y1715" t="n">
        <v>0.0</v>
      </c>
      <c r="Z1715" t="n">
        <v>0.0</v>
      </c>
      <c r="AA1715" t="n">
        <v>0.0</v>
      </c>
      <c r="AB1715" t="n">
        <v>0.0</v>
      </c>
      <c r="AC1715" t="n">
        <v>0.0</v>
      </c>
      <c r="AD1715" t="n">
        <v>0.0</v>
      </c>
      <c r="AE1715" t="n">
        <v>0.0</v>
      </c>
      <c r="AF1715" t="n">
        <v>0.0</v>
      </c>
      <c r="AG1715" t="n">
        <v>0.0</v>
      </c>
      <c r="AH1715" t="n">
        <v>0.0</v>
      </c>
      <c r="AI1715" t="n">
        <v>0.0</v>
      </c>
      <c r="AJ1715" t="n">
        <v>0.0</v>
      </c>
      <c r="AK1715" t="inlineStr">
        <is>
          <t/>
        </is>
      </c>
      <c r="AL1715" t="inlineStr">
        <is>
          <t/>
        </is>
      </c>
    </row>
    <row r="1716">
      <c r="A1716" t="inlineStr">
        <is>
          <t>过年就靠这个来油焖大虾惊呀小朋友啦～</t>
        </is>
      </c>
      <c r="B1716" t="inlineStr">
        <is>
          <t>697af1bc000000002801d22d</t>
        </is>
      </c>
      <c r="C1716" s="1715" t="n">
        <f>HYPERLINK("https://www.xiaohongshu.com/explore/697af1bc000000002801d22d?xsec_token=TB2dScbVxeUy83D31__wCwwweUbyyvQhgL57xl_dgVyGc=&amp;xsec_source=pc_trdark","https://www.xiaohongshu.com/explore/697af1bc000000002801d22d?xsec_token=TB2dScbVxeUy83D31__wCwwweUbyyvQhgL57xl_dgVyGc=&amp;xsec_source=pc_trdark")</f>
        <v>0.0</v>
      </c>
      <c r="D1716" t="inlineStr">
        <is>
          <t>鲜水湾</t>
        </is>
      </c>
      <c r="E1716" t="inlineStr">
        <is>
          <t>49316638994</t>
        </is>
      </c>
      <c r="F1716" t="inlineStr">
        <is>
          <t>2026-01-29 13:35:56</t>
        </is>
      </c>
      <c r="G1716" t="inlineStr">
        <is>
          <t>图文</t>
        </is>
      </c>
      <c r="H1716" t="inlineStr">
        <is>
          <t>大虾基围虾王牌大虾厄瓜多尔白虾盐冻虾仁海洋大虾送礼顺丰包邮</t>
        </is>
      </c>
      <c r="I1716" t="inlineStr">
        <is>
          <t>690aeb7be379430001e686ac</t>
        </is>
      </c>
      <c r="J1716" t="inlineStr">
        <is>
          <t/>
        </is>
      </c>
      <c r="K1716" t="n">
        <v>0.0</v>
      </c>
      <c r="L1716" t="n">
        <v>0.0</v>
      </c>
      <c r="M1716" t="n">
        <v>0.0</v>
      </c>
      <c r="N1716" t="inlineStr">
        <is>
          <t/>
        </is>
      </c>
      <c r="O1716" t="n">
        <v>0.0</v>
      </c>
      <c r="P1716" t="n">
        <v>0.0</v>
      </c>
      <c r="Q1716" t="inlineStr">
        <is>
          <t/>
        </is>
      </c>
      <c r="R1716" t="inlineStr">
        <is>
          <t/>
        </is>
      </c>
      <c r="S1716" t="n">
        <v>0.0</v>
      </c>
      <c r="T1716" t="n">
        <v>0.0</v>
      </c>
      <c r="U1716" t="n">
        <v>0.0</v>
      </c>
      <c r="V1716" t="n">
        <v>0.0</v>
      </c>
      <c r="W1716" t="inlineStr">
        <is>
          <t/>
        </is>
      </c>
      <c r="X1716" t="n">
        <v>0.0</v>
      </c>
      <c r="Y1716" t="n">
        <v>0.0</v>
      </c>
      <c r="Z1716" t="n">
        <v>0.0</v>
      </c>
      <c r="AA1716" t="n">
        <v>0.0</v>
      </c>
      <c r="AB1716" t="n">
        <v>0.0</v>
      </c>
      <c r="AC1716" t="n">
        <v>0.0</v>
      </c>
      <c r="AD1716" t="n">
        <v>0.0</v>
      </c>
      <c r="AE1716" t="n">
        <v>0.0</v>
      </c>
      <c r="AF1716" t="n">
        <v>0.0</v>
      </c>
      <c r="AG1716" t="n">
        <v>0.0</v>
      </c>
      <c r="AH1716" t="n">
        <v>0.0</v>
      </c>
      <c r="AI1716" t="n">
        <v>0.0</v>
      </c>
      <c r="AJ1716" t="n">
        <v>0.0</v>
      </c>
      <c r="AK1716" t="inlineStr">
        <is>
          <t/>
        </is>
      </c>
      <c r="AL1716" t="inlineStr">
        <is>
          <t/>
        </is>
      </c>
    </row>
    <row r="1717">
      <c r="A1717" t="inlineStr">
        <is>
          <t>一代人有一代人的年货要买！</t>
        </is>
      </c>
      <c r="B1717" t="inlineStr">
        <is>
          <t>697a0a1d000000000b00a2b0</t>
        </is>
      </c>
      <c r="C1717" s="1716" t="n">
        <f>HYPERLINK("https://www.xiaohongshu.com/explore/697a0a1d000000000b00a2b0?xsec_token=TB2dScbVxeUy83D31__wCwwwhDIrhPy6wRpuOWBkn90P4=&amp;xsec_source=pc_trdark","https://www.xiaohongshu.com/explore/697a0a1d000000000b00a2b0?xsec_token=TB2dScbVxeUy83D31__wCwwwhDIrhPy6wRpuOWBkn90P4=&amp;xsec_source=pc_trdark")</f>
        <v>0.0</v>
      </c>
      <c r="D1717" t="inlineStr">
        <is>
          <t>鲜水湾甄选</t>
        </is>
      </c>
      <c r="E1717" t="inlineStr">
        <is>
          <t>27401929161</t>
        </is>
      </c>
      <c r="F1717" t="inlineStr">
        <is>
          <t>2026-01-28 21:07:41</t>
        </is>
      </c>
      <c r="G1717" t="inlineStr">
        <is>
          <t>图文</t>
        </is>
      </c>
      <c r="H1717" t="inlineStr">
        <is>
          <t>北极甜虾头籽甜虾元宝虾北极熊冰虾孕妈妈宝宝辅食顺丰</t>
        </is>
      </c>
      <c r="I1717" t="inlineStr">
        <is>
          <t>6953717eb8f0bb000115158d</t>
        </is>
      </c>
      <c r="J1717" t="inlineStr">
        <is>
          <t/>
        </is>
      </c>
      <c r="K1717" t="n">
        <v>0.0</v>
      </c>
      <c r="L1717" t="n">
        <v>0.0</v>
      </c>
      <c r="M1717" t="n">
        <v>0.0</v>
      </c>
      <c r="N1717" t="inlineStr">
        <is>
          <t/>
        </is>
      </c>
      <c r="O1717" t="n">
        <v>0.0</v>
      </c>
      <c r="P1717" t="n">
        <v>0.0</v>
      </c>
      <c r="Q1717" t="inlineStr">
        <is>
          <t/>
        </is>
      </c>
      <c r="R1717" t="inlineStr">
        <is>
          <t/>
        </is>
      </c>
      <c r="S1717" t="n">
        <v>0.0</v>
      </c>
      <c r="T1717" t="n">
        <v>0.0</v>
      </c>
      <c r="U1717" t="n">
        <v>0.0</v>
      </c>
      <c r="V1717" t="n">
        <v>0.0</v>
      </c>
      <c r="W1717" t="inlineStr">
        <is>
          <t/>
        </is>
      </c>
      <c r="X1717" t="n">
        <v>0.0</v>
      </c>
      <c r="Y1717" t="n">
        <v>0.0</v>
      </c>
      <c r="Z1717" t="n">
        <v>0.0</v>
      </c>
      <c r="AA1717" t="n">
        <v>0.0</v>
      </c>
      <c r="AB1717" t="n">
        <v>0.0</v>
      </c>
      <c r="AC1717" t="n">
        <v>0.0</v>
      </c>
      <c r="AD1717" t="n">
        <v>0.0</v>
      </c>
      <c r="AE1717" t="n">
        <v>0.0</v>
      </c>
      <c r="AF1717" t="n">
        <v>0.0</v>
      </c>
      <c r="AG1717" t="n">
        <v>0.0</v>
      </c>
      <c r="AH1717" t="n">
        <v>0.0</v>
      </c>
      <c r="AI1717" t="n">
        <v>0.0</v>
      </c>
      <c r="AJ1717" t="n">
        <v>0.0</v>
      </c>
      <c r="AK1717" t="inlineStr">
        <is>
          <t/>
        </is>
      </c>
      <c r="AL1717" t="inlineStr">
        <is>
          <t/>
        </is>
      </c>
    </row>
    <row r="1718">
      <c r="A1718" t="inlineStr">
        <is>
          <t>三文鱼补蛋白质比牛肉还猛，整条才300多…</t>
        </is>
      </c>
      <c r="B1718" t="inlineStr">
        <is>
          <t>6978cf1c000000000e00df74</t>
        </is>
      </c>
      <c r="C1718" s="1717" t="n">
        <f>HYPERLINK("https://www.xiaohongshu.com/explore/6978cf1c000000000e00df74?xsec_token=TB4uixe4FoDg0vEpIlbspmipHM29uc79_xYphutBinVZY=&amp;xsec_source=pc_trdark","https://www.xiaohongshu.com/explore/6978cf1c000000000e00df74?xsec_token=TB4uixe4FoDg0vEpIlbspmipHM29uc79_xYphutBinVZY=&amp;xsec_source=pc_trdark")</f>
        <v>0.0</v>
      </c>
      <c r="D1718" t="inlineStr">
        <is>
          <t>鲜水湾</t>
        </is>
      </c>
      <c r="E1718" t="inlineStr">
        <is>
          <t>49316638994</t>
        </is>
      </c>
      <c r="F1718" t="inlineStr">
        <is>
          <t>2026-01-27 22:43:40</t>
        </is>
      </c>
      <c r="G1718" t="inlineStr">
        <is>
          <t>图文</t>
        </is>
      </c>
      <c r="H1718" t="inlineStr">
        <is>
          <t>智利三文鱼切块·整条三文鱼·深海鱼一人食健康饮食</t>
        </is>
      </c>
      <c r="I1718" t="inlineStr">
        <is>
          <t>691ac562a524ee0001b51d7b</t>
        </is>
      </c>
      <c r="J1718" t="inlineStr">
        <is>
          <t/>
        </is>
      </c>
      <c r="K1718" t="n">
        <v>0.0</v>
      </c>
      <c r="L1718" t="n">
        <v>0.0</v>
      </c>
      <c r="M1718" t="n">
        <v>0.0</v>
      </c>
      <c r="N1718" t="inlineStr">
        <is>
          <t/>
        </is>
      </c>
      <c r="O1718" t="n">
        <v>0.0</v>
      </c>
      <c r="P1718" t="n">
        <v>0.0</v>
      </c>
      <c r="Q1718" t="inlineStr">
        <is>
          <t/>
        </is>
      </c>
      <c r="R1718" t="inlineStr">
        <is>
          <t/>
        </is>
      </c>
      <c r="S1718" t="n">
        <v>0.0</v>
      </c>
      <c r="T1718" t="n">
        <v>0.0</v>
      </c>
      <c r="U1718" t="n">
        <v>0.0</v>
      </c>
      <c r="V1718" t="n">
        <v>0.0</v>
      </c>
      <c r="W1718" t="inlineStr">
        <is>
          <t/>
        </is>
      </c>
      <c r="X1718" t="n">
        <v>0.0</v>
      </c>
      <c r="Y1718" t="n">
        <v>0.0</v>
      </c>
      <c r="Z1718" t="n">
        <v>0.0</v>
      </c>
      <c r="AA1718" t="n">
        <v>0.0</v>
      </c>
      <c r="AB1718" t="n">
        <v>0.0</v>
      </c>
      <c r="AC1718" t="n">
        <v>0.0</v>
      </c>
      <c r="AD1718" t="n">
        <v>0.0</v>
      </c>
      <c r="AE1718" t="n">
        <v>0.0</v>
      </c>
      <c r="AF1718" t="n">
        <v>0.0</v>
      </c>
      <c r="AG1718" t="n">
        <v>0.0</v>
      </c>
      <c r="AH1718" t="n">
        <v>0.0</v>
      </c>
      <c r="AI1718" t="n">
        <v>0.0</v>
      </c>
      <c r="AJ1718" t="n">
        <v>0.0</v>
      </c>
      <c r="AK1718" t="inlineStr">
        <is>
          <t/>
        </is>
      </c>
      <c r="AL1718" t="inlineStr">
        <is>
          <t/>
        </is>
      </c>
    </row>
    <row r="1719">
      <c r="A1719" t="inlineStr">
        <is>
          <t>马上过年了，都来囤我家大虾了</t>
        </is>
      </c>
      <c r="B1719" t="inlineStr">
        <is>
          <t>69783035000000000e03e32f</t>
        </is>
      </c>
      <c r="C1719" s="1718" t="n">
        <f>HYPERLINK("https://www.xiaohongshu.com/explore/69783035000000000e03e32f?xsec_token=TB4uixe4FoDg0vEpIlbspmiqO8CmvC1qYIzvuKZenPR1Q=&amp;xsec_source=pc_trdark","https://www.xiaohongshu.com/explore/69783035000000000e03e32f?xsec_token=TB4uixe4FoDg0vEpIlbspmiqO8CmvC1qYIzvuKZenPR1Q=&amp;xsec_source=pc_trdark")</f>
        <v>0.0</v>
      </c>
      <c r="D1719" t="inlineStr">
        <is>
          <t>鲜水湾</t>
        </is>
      </c>
      <c r="E1719" t="inlineStr">
        <is>
          <t>49316638994</t>
        </is>
      </c>
      <c r="F1719" t="inlineStr">
        <is>
          <t>2026-01-27 11:25:41</t>
        </is>
      </c>
      <c r="G1719" t="inlineStr">
        <is>
          <t>图文</t>
        </is>
      </c>
      <c r="H1719" t="inlineStr">
        <is>
          <t>王牌大虾鲜冻大虾厄瓜多尔白虾盐冻大虾年货过年送礼顺丰包邮</t>
        </is>
      </c>
      <c r="I1719" t="inlineStr">
        <is>
          <t>69782738eb0d9a0001cd8a32</t>
        </is>
      </c>
      <c r="J1719" t="inlineStr">
        <is>
          <t/>
        </is>
      </c>
      <c r="K1719" t="n">
        <v>0.0</v>
      </c>
      <c r="L1719" t="n">
        <v>0.0</v>
      </c>
      <c r="M1719" t="n">
        <v>0.0</v>
      </c>
      <c r="N1719" t="inlineStr">
        <is>
          <t/>
        </is>
      </c>
      <c r="O1719" t="n">
        <v>0.0</v>
      </c>
      <c r="P1719" t="n">
        <v>0.0</v>
      </c>
      <c r="Q1719" t="inlineStr">
        <is>
          <t/>
        </is>
      </c>
      <c r="R1719" t="inlineStr">
        <is>
          <t/>
        </is>
      </c>
      <c r="S1719" t="n">
        <v>0.0</v>
      </c>
      <c r="T1719" t="n">
        <v>0.0</v>
      </c>
      <c r="U1719" t="n">
        <v>0.0</v>
      </c>
      <c r="V1719" t="n">
        <v>0.0</v>
      </c>
      <c r="W1719" t="inlineStr">
        <is>
          <t/>
        </is>
      </c>
      <c r="X1719" t="n">
        <v>0.0</v>
      </c>
      <c r="Y1719" t="n">
        <v>0.0</v>
      </c>
      <c r="Z1719" t="n">
        <v>0.0</v>
      </c>
      <c r="AA1719" t="n">
        <v>0.0</v>
      </c>
      <c r="AB1719" t="n">
        <v>0.0</v>
      </c>
      <c r="AC1719" t="n">
        <v>0.0</v>
      </c>
      <c r="AD1719" t="n">
        <v>0.0</v>
      </c>
      <c r="AE1719" t="n">
        <v>0.0</v>
      </c>
      <c r="AF1719" t="n">
        <v>0.0</v>
      </c>
      <c r="AG1719" t="n">
        <v>0.0</v>
      </c>
      <c r="AH1719" t="n">
        <v>0.0</v>
      </c>
      <c r="AI1719" t="n">
        <v>0.0</v>
      </c>
      <c r="AJ1719" t="n">
        <v>0.0</v>
      </c>
      <c r="AK1719" t="inlineStr">
        <is>
          <t/>
        </is>
      </c>
      <c r="AL1719" t="inlineStr">
        <is>
          <t/>
        </is>
      </c>
    </row>
    <row r="1720">
      <c r="A1720" t="inlineStr">
        <is>
          <t>终于找到性价比天花板！这三文鱼比⛰️姆划算</t>
        </is>
      </c>
      <c r="B1720" t="inlineStr">
        <is>
          <t>69770c77000000001a01cb2f</t>
        </is>
      </c>
      <c r="C1720" s="1719" t="n">
        <f>HYPERLINK("https://www.xiaohongshu.com/explore/69770c77000000001a01cb2f?xsec_token=TBZa2Y5La6UySpk4oKPt7hfxYzxcd8zC6ovj4vxPHsmAg=&amp;xsec_source=pc_trdark","https://www.xiaohongshu.com/explore/69770c77000000001a01cb2f?xsec_token=TBZa2Y5La6UySpk4oKPt7hfxYzxcd8zC6ovj4vxPHsmAg=&amp;xsec_source=pc_trdark")</f>
        <v>0.0</v>
      </c>
      <c r="D1720" t="inlineStr">
        <is>
          <t>鲜水湾</t>
        </is>
      </c>
      <c r="E1720" t="inlineStr">
        <is>
          <t>49316638994</t>
        </is>
      </c>
      <c r="F1720" t="inlineStr">
        <is>
          <t>2026-01-26 14:40:55</t>
        </is>
      </c>
      <c r="G1720" t="inlineStr">
        <is>
          <t>图文</t>
        </is>
      </c>
      <c r="H1720" t="inlineStr">
        <is>
          <t>智利三文鱼切块·整条三文鱼·深海鱼一人食健康饮食</t>
        </is>
      </c>
      <c r="I1720" t="inlineStr">
        <is>
          <t>691ac562a524ee0001b51d7b</t>
        </is>
      </c>
      <c r="J1720" t="inlineStr">
        <is>
          <t/>
        </is>
      </c>
      <c r="K1720" t="n">
        <v>0.0</v>
      </c>
      <c r="L1720" t="n">
        <v>0.0</v>
      </c>
      <c r="M1720" t="n">
        <v>0.0</v>
      </c>
      <c r="N1720" t="inlineStr">
        <is>
          <t/>
        </is>
      </c>
      <c r="O1720" t="n">
        <v>0.0</v>
      </c>
      <c r="P1720" t="n">
        <v>0.0</v>
      </c>
      <c r="Q1720" t="inlineStr">
        <is>
          <t/>
        </is>
      </c>
      <c r="R1720" t="inlineStr">
        <is>
          <t/>
        </is>
      </c>
      <c r="S1720" t="n">
        <v>0.0</v>
      </c>
      <c r="T1720" t="n">
        <v>0.0</v>
      </c>
      <c r="U1720" t="n">
        <v>0.0</v>
      </c>
      <c r="V1720" t="n">
        <v>0.0</v>
      </c>
      <c r="W1720" t="inlineStr">
        <is>
          <t/>
        </is>
      </c>
      <c r="X1720" t="n">
        <v>0.0</v>
      </c>
      <c r="Y1720" t="n">
        <v>0.0</v>
      </c>
      <c r="Z1720" t="n">
        <v>0.0</v>
      </c>
      <c r="AA1720" t="n">
        <v>0.0</v>
      </c>
      <c r="AB1720" t="n">
        <v>0.0</v>
      </c>
      <c r="AC1720" t="n">
        <v>0.0</v>
      </c>
      <c r="AD1720" t="n">
        <v>0.0</v>
      </c>
      <c r="AE1720" t="n">
        <v>0.0</v>
      </c>
      <c r="AF1720" t="n">
        <v>0.0</v>
      </c>
      <c r="AG1720" t="n">
        <v>0.0</v>
      </c>
      <c r="AH1720" t="n">
        <v>0.0</v>
      </c>
      <c r="AI1720" t="n">
        <v>0.0</v>
      </c>
      <c r="AJ1720" t="n">
        <v>0.0</v>
      </c>
      <c r="AK1720" t="inlineStr">
        <is>
          <t/>
        </is>
      </c>
      <c r="AL1720" t="inlineStr">
        <is>
          <t/>
        </is>
      </c>
    </row>
    <row r="1721">
      <c r="A1721" t="inlineStr">
        <is>
          <t>区区300块承包了我一个月的低脂餐</t>
        </is>
      </c>
      <c r="B1721" t="inlineStr">
        <is>
          <t>6976c763000000001a02bd8d</t>
        </is>
      </c>
      <c r="C1721" s="1720" t="n">
        <f>HYPERLINK("https://www.xiaohongshu.com/explore/6976c763000000001a02bd8d?xsec_token=TBEjiQazNQ2GMSJvE5OHqWXpZu9XuycYyPoI8S0NbTa78=&amp;xsec_source=pc_trdark","https://www.xiaohongshu.com/explore/6976c763000000001a02bd8d?xsec_token=TBEjiQazNQ2GMSJvE5OHqWXpZu9XuycYyPoI8S0NbTa78=&amp;xsec_source=pc_trdark")</f>
        <v>0.0</v>
      </c>
      <c r="D1721" t="inlineStr">
        <is>
          <t>鲜水湾</t>
        </is>
      </c>
      <c r="E1721" t="inlineStr">
        <is>
          <t>49316638994</t>
        </is>
      </c>
      <c r="F1721" t="inlineStr">
        <is>
          <t>2026-01-26 09:46:11</t>
        </is>
      </c>
      <c r="G1721" t="inlineStr">
        <is>
          <t>图文</t>
        </is>
      </c>
      <c r="H1721" t="inlineStr">
        <is>
          <t>智利三文鱼切块·整条三文鱼·深海鱼一人食健康饮食</t>
        </is>
      </c>
      <c r="I1721" t="inlineStr">
        <is>
          <t>691ac562a524ee0001b51d7b</t>
        </is>
      </c>
      <c r="J1721" t="inlineStr">
        <is>
          <t/>
        </is>
      </c>
      <c r="K1721" t="n">
        <v>0.0</v>
      </c>
      <c r="L1721" t="n">
        <v>0.0</v>
      </c>
      <c r="M1721" t="n">
        <v>0.0</v>
      </c>
      <c r="N1721" t="inlineStr">
        <is>
          <t/>
        </is>
      </c>
      <c r="O1721" t="n">
        <v>0.0</v>
      </c>
      <c r="P1721" t="n">
        <v>0.0</v>
      </c>
      <c r="Q1721" t="inlineStr">
        <is>
          <t/>
        </is>
      </c>
      <c r="R1721" t="inlineStr">
        <is>
          <t/>
        </is>
      </c>
      <c r="S1721" t="n">
        <v>0.0</v>
      </c>
      <c r="T1721" t="n">
        <v>0.0</v>
      </c>
      <c r="U1721" t="n">
        <v>0.0</v>
      </c>
      <c r="V1721" t="n">
        <v>0.0</v>
      </c>
      <c r="W1721" t="inlineStr">
        <is>
          <t/>
        </is>
      </c>
      <c r="X1721" t="n">
        <v>0.0</v>
      </c>
      <c r="Y1721" t="n">
        <v>0.0</v>
      </c>
      <c r="Z1721" t="n">
        <v>0.0</v>
      </c>
      <c r="AA1721" t="n">
        <v>0.0</v>
      </c>
      <c r="AB1721" t="n">
        <v>0.0</v>
      </c>
      <c r="AC1721" t="n">
        <v>0.0</v>
      </c>
      <c r="AD1721" t="n">
        <v>0.0</v>
      </c>
      <c r="AE1721" t="n">
        <v>0.0</v>
      </c>
      <c r="AF1721" t="n">
        <v>0.0</v>
      </c>
      <c r="AG1721" t="n">
        <v>0.0</v>
      </c>
      <c r="AH1721" t="n">
        <v>0.0</v>
      </c>
      <c r="AI1721" t="n">
        <v>0.0</v>
      </c>
      <c r="AJ1721" t="n">
        <v>0.0</v>
      </c>
      <c r="AK1721" t="inlineStr">
        <is>
          <t/>
        </is>
      </c>
      <c r="AL1721" t="inlineStr">
        <is>
          <t/>
        </is>
      </c>
    </row>
    <row r="1722">
      <c r="A1722" t="inlineStr">
        <is>
          <t>天冷了，乳山生蚝一下子全肥了不可控…</t>
        </is>
      </c>
      <c r="B1722" t="inlineStr">
        <is>
          <t>69742df6000000002800b39a</t>
        </is>
      </c>
      <c r="C1722" s="1721" t="n">
        <f>HYPERLINK("https://www.xiaohongshu.com/explore/69742df6000000002800b39a?xsec_token=TBnOcp8R1oAalfOSidaFfKvM0LA4ImtGhKNkltd-nkG58=&amp;xsec_source=pc_trdark","https://www.xiaohongshu.com/explore/69742df6000000002800b39a?xsec_token=TBnOcp8R1oAalfOSidaFfKvM0LA4ImtGhKNkltd-nkG58=&amp;xsec_source=pc_trdark")</f>
        <v>0.0</v>
      </c>
      <c r="D1722" t="inlineStr">
        <is>
          <t>鲜水湾</t>
        </is>
      </c>
      <c r="E1722" t="inlineStr">
        <is>
          <t>49316638994</t>
        </is>
      </c>
      <c r="F1722" t="inlineStr">
        <is>
          <t>2026-01-24 10:27:02</t>
        </is>
      </c>
      <c r="G1722" t="inlineStr">
        <is>
          <t>图文</t>
        </is>
      </c>
      <c r="H1722" t="inlineStr">
        <is>
          <t>生蚝乳山生蚝海蛎子顺丰包邮</t>
        </is>
      </c>
      <c r="I1722" t="inlineStr">
        <is>
          <t>690c70971b787900010866cc</t>
        </is>
      </c>
      <c r="J1722" t="inlineStr">
        <is>
          <t/>
        </is>
      </c>
      <c r="K1722" t="n">
        <v>0.0</v>
      </c>
      <c r="L1722" t="n">
        <v>0.0</v>
      </c>
      <c r="M1722" t="n">
        <v>0.0</v>
      </c>
      <c r="N1722" t="inlineStr">
        <is>
          <t/>
        </is>
      </c>
      <c r="O1722" t="n">
        <v>0.0</v>
      </c>
      <c r="P1722" t="n">
        <v>0.0</v>
      </c>
      <c r="Q1722" t="inlineStr">
        <is>
          <t/>
        </is>
      </c>
      <c r="R1722" t="inlineStr">
        <is>
          <t/>
        </is>
      </c>
      <c r="S1722" t="n">
        <v>0.0</v>
      </c>
      <c r="T1722" t="n">
        <v>0.0</v>
      </c>
      <c r="U1722" t="n">
        <v>0.0</v>
      </c>
      <c r="V1722" t="n">
        <v>0.0</v>
      </c>
      <c r="W1722" t="inlineStr">
        <is>
          <t/>
        </is>
      </c>
      <c r="X1722" t="n">
        <v>0.0</v>
      </c>
      <c r="Y1722" t="n">
        <v>0.0</v>
      </c>
      <c r="Z1722" t="n">
        <v>0.0</v>
      </c>
      <c r="AA1722" t="n">
        <v>0.0</v>
      </c>
      <c r="AB1722" t="n">
        <v>0.0</v>
      </c>
      <c r="AC1722" t="n">
        <v>0.0</v>
      </c>
      <c r="AD1722" t="n">
        <v>0.0</v>
      </c>
      <c r="AE1722" t="n">
        <v>0.0</v>
      </c>
      <c r="AF1722" t="n">
        <v>0.0</v>
      </c>
      <c r="AG1722" t="n">
        <v>0.0</v>
      </c>
      <c r="AH1722" t="n">
        <v>0.0</v>
      </c>
      <c r="AI1722" t="n">
        <v>0.0</v>
      </c>
      <c r="AJ1722" t="n">
        <v>0.0</v>
      </c>
      <c r="AK1722" t="inlineStr">
        <is>
          <t/>
        </is>
      </c>
      <c r="AL1722" t="inlineStr">
        <is>
          <t/>
        </is>
      </c>
    </row>
    <row r="1723">
      <c r="A1723" t="inlineStr">
        <is>
          <t>只要Xhs一直给！我就一直薅</t>
        </is>
      </c>
      <c r="B1723" t="inlineStr">
        <is>
          <t>696deb26000000001a034564</t>
        </is>
      </c>
      <c r="C1723" s="1722" t="n">
        <f>HYPERLINK("https://www.xiaohongshu.com/explore/696deb26000000001a034564?xsec_token=TBhBdCGGh1NnVPomuS6-J4H-lJBR6-tRJG_EXl-VW63Sg=&amp;xsec_source=pc_trdark","https://www.xiaohongshu.com/explore/696deb26000000001a034564?xsec_token=TBhBdCGGh1NnVPomuS6-J4H-lJBR6-tRJG_EXl-VW63Sg=&amp;xsec_source=pc_trdark")</f>
        <v>0.0</v>
      </c>
      <c r="D1723" t="inlineStr">
        <is>
          <t>鲜水湾</t>
        </is>
      </c>
      <c r="E1723" t="inlineStr">
        <is>
          <t>49316638994</t>
        </is>
      </c>
      <c r="F1723" t="inlineStr">
        <is>
          <t>2026-01-19 16:28:22</t>
        </is>
      </c>
      <c r="G1723" t="inlineStr">
        <is>
          <t>图文</t>
        </is>
      </c>
      <c r="H1723" t="inlineStr">
        <is>
          <t>生蚝乳山生蚝海蛎子顺丰包邮</t>
        </is>
      </c>
      <c r="I1723" t="inlineStr">
        <is>
          <t>690c70971b787900010866cc</t>
        </is>
      </c>
      <c r="J1723" t="inlineStr">
        <is>
          <t/>
        </is>
      </c>
      <c r="K1723" t="n">
        <v>0.0</v>
      </c>
      <c r="L1723" t="n">
        <v>0.0</v>
      </c>
      <c r="M1723" t="n">
        <v>0.0</v>
      </c>
      <c r="N1723" t="inlineStr">
        <is>
          <t/>
        </is>
      </c>
      <c r="O1723" t="n">
        <v>0.0</v>
      </c>
      <c r="P1723" t="n">
        <v>0.0</v>
      </c>
      <c r="Q1723" t="inlineStr">
        <is>
          <t/>
        </is>
      </c>
      <c r="R1723" t="inlineStr">
        <is>
          <t/>
        </is>
      </c>
      <c r="S1723" t="n">
        <v>0.0</v>
      </c>
      <c r="T1723" t="n">
        <v>0.0</v>
      </c>
      <c r="U1723" t="n">
        <v>0.0</v>
      </c>
      <c r="V1723" t="n">
        <v>0.0</v>
      </c>
      <c r="W1723" t="inlineStr">
        <is>
          <t/>
        </is>
      </c>
      <c r="X1723" t="n">
        <v>0.0</v>
      </c>
      <c r="Y1723" t="n">
        <v>0.0</v>
      </c>
      <c r="Z1723" t="n">
        <v>0.0</v>
      </c>
      <c r="AA1723" t="n">
        <v>0.0</v>
      </c>
      <c r="AB1723" t="n">
        <v>0.0</v>
      </c>
      <c r="AC1723" t="n">
        <v>0.0</v>
      </c>
      <c r="AD1723" t="n">
        <v>0.0</v>
      </c>
      <c r="AE1723" t="n">
        <v>0.0</v>
      </c>
      <c r="AF1723" t="n">
        <v>0.0</v>
      </c>
      <c r="AG1723" t="n">
        <v>0.0</v>
      </c>
      <c r="AH1723" t="n">
        <v>0.0</v>
      </c>
      <c r="AI1723" t="n">
        <v>0.0</v>
      </c>
      <c r="AJ1723" t="n">
        <v>0.0</v>
      </c>
      <c r="AK1723" t="inlineStr">
        <is>
          <t/>
        </is>
      </c>
      <c r="AL1723" t="inlineStr">
        <is>
          <t/>
        </is>
      </c>
    </row>
    <row r="1724">
      <c r="A1724" t="inlineStr">
        <is>
          <t>爱你老己 又给老己买到好吃的大生蚝了🥹</t>
        </is>
      </c>
      <c r="B1724" t="inlineStr">
        <is>
          <t>696b31e6000000001a0368ed</t>
        </is>
      </c>
      <c r="C1724" s="1723" t="n">
        <f>HYPERLINK("https://www.xiaohongshu.com/explore/696b31e6000000001a0368ed?xsec_token=TByNwaULKQbwsz_w7rWk61uPHiiktQq8xclHCWQOqg6YU=&amp;xsec_source=pc_trdark","https://www.xiaohongshu.com/explore/696b31e6000000001a0368ed?xsec_token=TByNwaULKQbwsz_w7rWk61uPHiiktQq8xclHCWQOqg6YU=&amp;xsec_source=pc_trdark")</f>
        <v>0.0</v>
      </c>
      <c r="D1724" t="inlineStr">
        <is>
          <t>婉婉上班吃什么</t>
        </is>
      </c>
      <c r="E1724" t="inlineStr">
        <is>
          <t>11434449706</t>
        </is>
      </c>
      <c r="F1724" t="inlineStr">
        <is>
          <t>2026-01-17 14:53:26</t>
        </is>
      </c>
      <c r="G1724" t="inlineStr">
        <is>
          <t>视频</t>
        </is>
      </c>
      <c r="H1724" t="inlineStr">
        <is>
          <t>生蚝乳山生蚝海蛎子顺丰包邮</t>
        </is>
      </c>
      <c r="I1724" t="inlineStr">
        <is>
          <t>690c70971b787900010866cc</t>
        </is>
      </c>
      <c r="J1724" t="n">
        <v>22.0</v>
      </c>
      <c r="K1724" t="n">
        <v>0.0</v>
      </c>
      <c r="L1724" t="n">
        <v>0.0</v>
      </c>
      <c r="M1724" t="n">
        <v>0.0</v>
      </c>
      <c r="N1724" t="inlineStr">
        <is>
          <t/>
        </is>
      </c>
      <c r="O1724" t="n">
        <v>0.0</v>
      </c>
      <c r="P1724" t="n">
        <v>0.0</v>
      </c>
      <c r="Q1724" t="inlineStr">
        <is>
          <t/>
        </is>
      </c>
      <c r="R1724" t="inlineStr">
        <is>
          <t/>
        </is>
      </c>
      <c r="S1724" t="n">
        <v>0.0</v>
      </c>
      <c r="T1724" t="n">
        <v>0.0</v>
      </c>
      <c r="U1724" t="n">
        <v>0.0</v>
      </c>
      <c r="V1724" t="n">
        <v>0.0</v>
      </c>
      <c r="W1724" t="inlineStr">
        <is>
          <t/>
        </is>
      </c>
      <c r="X1724" t="n">
        <v>0.0</v>
      </c>
      <c r="Y1724" t="n">
        <v>0.0</v>
      </c>
      <c r="Z1724" t="n">
        <v>0.0</v>
      </c>
      <c r="AA1724" t="n">
        <v>0.0</v>
      </c>
      <c r="AB1724" t="n">
        <v>0.0</v>
      </c>
      <c r="AC1724" t="n">
        <v>0.0</v>
      </c>
      <c r="AD1724" t="n">
        <v>0.0</v>
      </c>
      <c r="AE1724" t="n">
        <v>0.0</v>
      </c>
      <c r="AF1724" t="n">
        <v>0.0</v>
      </c>
      <c r="AG1724" t="n">
        <v>0.0</v>
      </c>
      <c r="AH1724" t="n">
        <v>0.0</v>
      </c>
      <c r="AI1724" t="n">
        <v>0.0</v>
      </c>
      <c r="AJ1724" t="n">
        <v>0.0</v>
      </c>
      <c r="AK1724" t="inlineStr">
        <is>
          <t/>
        </is>
      </c>
      <c r="AL1724" t="inlineStr">
        <is>
          <t/>
        </is>
      </c>
    </row>
    <row r="1725">
      <c r="A1725" t="inlineStr">
        <is>
          <t>不愧是山东网友推荐的🥹好好吃</t>
        </is>
      </c>
      <c r="B1725" t="inlineStr">
        <is>
          <t>6968b1ae000000000e03ffe8</t>
        </is>
      </c>
      <c r="C1725" s="1724" t="n">
        <f>HYPERLINK("https://www.xiaohongshu.com/explore/6968b1ae000000000e03ffe8?xsec_token=TBt4r6uOUj4MiyxIfh9PpR4G5rZMOyvDGuB3IOlwRartU=&amp;xsec_source=pc_trdark","https://www.xiaohongshu.com/explore/6968b1ae000000000e03ffe8?xsec_token=TBt4r6uOUj4MiyxIfh9PpR4G5rZMOyvDGuB3IOlwRartU=&amp;xsec_source=pc_trdark")</f>
        <v>0.0</v>
      </c>
      <c r="D1725" t="inlineStr">
        <is>
          <t>婉婉上班吃什么</t>
        </is>
      </c>
      <c r="E1725" t="inlineStr">
        <is>
          <t>11434449706</t>
        </is>
      </c>
      <c r="F1725" t="inlineStr">
        <is>
          <t>2026-01-15 17:21:50</t>
        </is>
      </c>
      <c r="G1725" t="inlineStr">
        <is>
          <t>视频</t>
        </is>
      </c>
      <c r="H1725" t="inlineStr">
        <is>
          <t>生蚝乳山生蚝海蛎子顺丰包邮</t>
        </is>
      </c>
      <c r="I1725" t="inlineStr">
        <is>
          <t>690c70971b787900010866cc</t>
        </is>
      </c>
      <c r="J1725" t="n">
        <v>27.0</v>
      </c>
      <c r="K1725" t="n">
        <v>0.0</v>
      </c>
      <c r="L1725" t="n">
        <v>0.0</v>
      </c>
      <c r="M1725" t="n">
        <v>0.0</v>
      </c>
      <c r="N1725" t="inlineStr">
        <is>
          <t/>
        </is>
      </c>
      <c r="O1725" t="n">
        <v>0.0</v>
      </c>
      <c r="P1725" t="n">
        <v>0.0</v>
      </c>
      <c r="Q1725" t="inlineStr">
        <is>
          <t/>
        </is>
      </c>
      <c r="R1725" t="inlineStr">
        <is>
          <t/>
        </is>
      </c>
      <c r="S1725" t="n">
        <v>0.0</v>
      </c>
      <c r="T1725" t="n">
        <v>0.0</v>
      </c>
      <c r="U1725" t="n">
        <v>0.0</v>
      </c>
      <c r="V1725" t="n">
        <v>0.0</v>
      </c>
      <c r="W1725" t="inlineStr">
        <is>
          <t/>
        </is>
      </c>
      <c r="X1725" t="n">
        <v>0.0</v>
      </c>
      <c r="Y1725" t="n">
        <v>0.0</v>
      </c>
      <c r="Z1725" t="n">
        <v>0.0</v>
      </c>
      <c r="AA1725" t="n">
        <v>0.0</v>
      </c>
      <c r="AB1725" t="n">
        <v>0.0</v>
      </c>
      <c r="AC1725" t="n">
        <v>0.0</v>
      </c>
      <c r="AD1725" t="n">
        <v>0.0</v>
      </c>
      <c r="AE1725" t="n">
        <v>0.0</v>
      </c>
      <c r="AF1725" t="n">
        <v>0.0</v>
      </c>
      <c r="AG1725" t="n">
        <v>0.0</v>
      </c>
      <c r="AH1725" t="n">
        <v>0.0</v>
      </c>
      <c r="AI1725" t="n">
        <v>0.0</v>
      </c>
      <c r="AJ1725" t="n">
        <v>0.0</v>
      </c>
      <c r="AK1725" t="inlineStr">
        <is>
          <t/>
        </is>
      </c>
      <c r="AL1725" t="inlineStr">
        <is>
          <t/>
        </is>
      </c>
    </row>
    <row r="1726">
      <c r="A1726" t="inlineStr">
        <is>
          <t>唯一缺点：每年冬天才能吃到巅峰状态！</t>
        </is>
      </c>
      <c r="B1726" t="inlineStr">
        <is>
          <t>6965fec9000000001a02b1ff</t>
        </is>
      </c>
      <c r="C1726" s="1725" t="n">
        <f>HYPERLINK("https://www.xiaohongshu.com/explore/6965fec9000000001a02b1ff?xsec_token=TBE9WU_urHEsXnQ8_LNO6gIQDV7v5DHA9yxliHE0F7npA=&amp;xsec_source=pc_trdark","https://www.xiaohongshu.com/explore/6965fec9000000001a02b1ff?xsec_token=TBE9WU_urHEsXnQ8_LNO6gIQDV7v5DHA9yxliHE0F7npA=&amp;xsec_source=pc_trdark")</f>
        <v>0.0</v>
      </c>
      <c r="D1726" t="inlineStr">
        <is>
          <t>婉婉上班吃什么</t>
        </is>
      </c>
      <c r="E1726" t="inlineStr">
        <is>
          <t>11434449706</t>
        </is>
      </c>
      <c r="F1726" t="inlineStr">
        <is>
          <t>2026-01-13 16:14:01</t>
        </is>
      </c>
      <c r="G1726" t="inlineStr">
        <is>
          <t>视频</t>
        </is>
      </c>
      <c r="H1726" t="inlineStr">
        <is>
          <t>生蚝乳山生蚝海蛎子顺丰包邮</t>
        </is>
      </c>
      <c r="I1726" t="inlineStr">
        <is>
          <t>690c70971b787900010866cc</t>
        </is>
      </c>
      <c r="J1726" t="n">
        <v>23.0</v>
      </c>
      <c r="K1726" t="n">
        <v>0.0</v>
      </c>
      <c r="L1726" t="n">
        <v>0.0</v>
      </c>
      <c r="M1726" t="n">
        <v>0.0</v>
      </c>
      <c r="N1726" t="inlineStr">
        <is>
          <t/>
        </is>
      </c>
      <c r="O1726" t="n">
        <v>0.0</v>
      </c>
      <c r="P1726" t="n">
        <v>0.0</v>
      </c>
      <c r="Q1726" t="inlineStr">
        <is>
          <t/>
        </is>
      </c>
      <c r="R1726" t="inlineStr">
        <is>
          <t/>
        </is>
      </c>
      <c r="S1726" t="n">
        <v>0.0</v>
      </c>
      <c r="T1726" t="n">
        <v>0.0</v>
      </c>
      <c r="U1726" t="n">
        <v>0.0</v>
      </c>
      <c r="V1726" t="n">
        <v>0.0</v>
      </c>
      <c r="W1726" t="inlineStr">
        <is>
          <t/>
        </is>
      </c>
      <c r="X1726" t="n">
        <v>0.0</v>
      </c>
      <c r="Y1726" t="n">
        <v>0.0</v>
      </c>
      <c r="Z1726" t="n">
        <v>0.0</v>
      </c>
      <c r="AA1726" t="n">
        <v>0.0</v>
      </c>
      <c r="AB1726" t="n">
        <v>0.0</v>
      </c>
      <c r="AC1726" t="n">
        <v>0.0</v>
      </c>
      <c r="AD1726" t="n">
        <v>0.0</v>
      </c>
      <c r="AE1726" t="n">
        <v>0.0</v>
      </c>
      <c r="AF1726" t="n">
        <v>0.0</v>
      </c>
      <c r="AG1726" t="n">
        <v>0.0</v>
      </c>
      <c r="AH1726" t="n">
        <v>0.0</v>
      </c>
      <c r="AI1726" t="n">
        <v>0.0</v>
      </c>
      <c r="AJ1726" t="n">
        <v>0.0</v>
      </c>
      <c r="AK1726" t="inlineStr">
        <is>
          <t/>
        </is>
      </c>
      <c r="AL1726" t="inlineStr">
        <is>
          <t/>
        </is>
      </c>
    </row>
    <row r="1727">
      <c r="A1727" t="inlineStr">
        <is>
          <t>40+一箱的乳山生蚝太鲜了，好好吃🤤</t>
        </is>
      </c>
      <c r="B1727" t="inlineStr">
        <is>
          <t>69609677000000001a023d13</t>
        </is>
      </c>
      <c r="C1727" s="1726" t="n">
        <f>HYPERLINK("https://www.xiaohongshu.com/explore/69609677000000001a023d13?xsec_token=TBYg-Zp66x4R1hUeuB0jKgE4bQY0Kwsr_n7NqbssxncXg=&amp;xsec_source=pc_trdark","https://www.xiaohongshu.com/explore/69609677000000001a023d13?xsec_token=TBYg-Zp66x4R1hUeuB0jKgE4bQY0Kwsr_n7NqbssxncXg=&amp;xsec_source=pc_trdark")</f>
        <v>0.0</v>
      </c>
      <c r="D1727" t="inlineStr">
        <is>
          <t>婉婉上班吃什么</t>
        </is>
      </c>
      <c r="E1727" t="inlineStr">
        <is>
          <t>11434449706</t>
        </is>
      </c>
      <c r="F1727" t="inlineStr">
        <is>
          <t>2026-01-09 13:47:35</t>
        </is>
      </c>
      <c r="G1727" t="inlineStr">
        <is>
          <t>视频</t>
        </is>
      </c>
      <c r="H1727" t="inlineStr">
        <is>
          <t>生蚝乳山生蚝海蛎子顺丰包邮</t>
        </is>
      </c>
      <c r="I1727" t="inlineStr">
        <is>
          <t>690c70971b787900010866cc</t>
        </is>
      </c>
      <c r="J1727" t="n">
        <v>27.0</v>
      </c>
      <c r="K1727" t="n">
        <v>0.0</v>
      </c>
      <c r="L1727" t="n">
        <v>0.0</v>
      </c>
      <c r="M1727" t="n">
        <v>0.0</v>
      </c>
      <c r="N1727" t="inlineStr">
        <is>
          <t/>
        </is>
      </c>
      <c r="O1727" t="n">
        <v>0.0</v>
      </c>
      <c r="P1727" t="n">
        <v>0.0</v>
      </c>
      <c r="Q1727" t="inlineStr">
        <is>
          <t/>
        </is>
      </c>
      <c r="R1727" t="inlineStr">
        <is>
          <t/>
        </is>
      </c>
      <c r="S1727" t="n">
        <v>0.0</v>
      </c>
      <c r="T1727" t="n">
        <v>0.0</v>
      </c>
      <c r="U1727" t="n">
        <v>0.0</v>
      </c>
      <c r="V1727" t="n">
        <v>0.0</v>
      </c>
      <c r="W1727" t="inlineStr">
        <is>
          <t/>
        </is>
      </c>
      <c r="X1727" t="n">
        <v>0.0</v>
      </c>
      <c r="Y1727" t="n">
        <v>0.0</v>
      </c>
      <c r="Z1727" t="n">
        <v>0.0</v>
      </c>
      <c r="AA1727" t="n">
        <v>0.0</v>
      </c>
      <c r="AB1727" t="n">
        <v>0.0</v>
      </c>
      <c r="AC1727" t="n">
        <v>0.0</v>
      </c>
      <c r="AD1727" t="n">
        <v>0.0</v>
      </c>
      <c r="AE1727" t="n">
        <v>0.0</v>
      </c>
      <c r="AF1727" t="n">
        <v>0.0</v>
      </c>
      <c r="AG1727" t="n">
        <v>0.0</v>
      </c>
      <c r="AH1727" t="n">
        <v>0.0</v>
      </c>
      <c r="AI1727" t="n">
        <v>0.0</v>
      </c>
      <c r="AJ1727" t="n">
        <v>0.0</v>
      </c>
      <c r="AK1727" t="inlineStr">
        <is>
          <t/>
        </is>
      </c>
      <c r="AL1727" t="inlineStr">
        <is>
          <t/>
        </is>
      </c>
    </row>
    <row r="1728">
      <c r="A1728" t="inlineStr">
        <is>
          <t>真心建议男人过了30，多吃生蚝🦪</t>
        </is>
      </c>
      <c r="B1728" t="inlineStr">
        <is>
          <t>6958d1f4000000001f005398</t>
        </is>
      </c>
      <c r="C1728" s="1727" t="n">
        <f>HYPERLINK("https://www.xiaohongshu.com/explore/6958d1f4000000001f005398?xsec_token=TBVWL7hy7ogZOv9P5VB1V6xwFILWsG_UatsLFAOiwl6-4=&amp;xsec_source=pc_trdark","https://www.xiaohongshu.com/explore/6958d1f4000000001f005398?xsec_token=TBVWL7hy7ogZOv9P5VB1V6xwFILWsG_UatsLFAOiwl6-4=&amp;xsec_source=pc_trdark")</f>
        <v>0.0</v>
      </c>
      <c r="D1728" t="inlineStr">
        <is>
          <t>鲜水湾</t>
        </is>
      </c>
      <c r="E1728" t="inlineStr">
        <is>
          <t>49316638994</t>
        </is>
      </c>
      <c r="F1728" t="inlineStr">
        <is>
          <t>2026-01-03 16:23:16</t>
        </is>
      </c>
      <c r="G1728" t="inlineStr">
        <is>
          <t>图文</t>
        </is>
      </c>
      <c r="H1728" t="inlineStr">
        <is>
          <t>生蚝乳山生蚝海蛎子顺丰包邮</t>
        </is>
      </c>
      <c r="I1728" t="inlineStr">
        <is>
          <t>690c70971b787900010866cc</t>
        </is>
      </c>
      <c r="J1728" t="inlineStr">
        <is>
          <t/>
        </is>
      </c>
      <c r="K1728" t="n">
        <v>0.0</v>
      </c>
      <c r="L1728" t="n">
        <v>0.0</v>
      </c>
      <c r="M1728" t="n">
        <v>0.0</v>
      </c>
      <c r="N1728" t="inlineStr">
        <is>
          <t/>
        </is>
      </c>
      <c r="O1728" t="n">
        <v>0.0</v>
      </c>
      <c r="P1728" t="n">
        <v>0.0</v>
      </c>
      <c r="Q1728" t="inlineStr">
        <is>
          <t/>
        </is>
      </c>
      <c r="R1728" t="inlineStr">
        <is>
          <t/>
        </is>
      </c>
      <c r="S1728" t="n">
        <v>0.0</v>
      </c>
      <c r="T1728" t="n">
        <v>0.0</v>
      </c>
      <c r="U1728" t="n">
        <v>0.0</v>
      </c>
      <c r="V1728" t="n">
        <v>0.0</v>
      </c>
      <c r="W1728" t="inlineStr">
        <is>
          <t/>
        </is>
      </c>
      <c r="X1728" t="n">
        <v>0.0</v>
      </c>
      <c r="Y1728" t="n">
        <v>0.0</v>
      </c>
      <c r="Z1728" t="n">
        <v>0.0</v>
      </c>
      <c r="AA1728" t="n">
        <v>0.0</v>
      </c>
      <c r="AB1728" t="n">
        <v>0.0</v>
      </c>
      <c r="AC1728" t="n">
        <v>0.0</v>
      </c>
      <c r="AD1728" t="n">
        <v>0.0</v>
      </c>
      <c r="AE1728" t="n">
        <v>0.0</v>
      </c>
      <c r="AF1728" t="n">
        <v>0.0</v>
      </c>
      <c r="AG1728" t="n">
        <v>0.0</v>
      </c>
      <c r="AH1728" t="n">
        <v>0.0</v>
      </c>
      <c r="AI1728" t="n">
        <v>0.0</v>
      </c>
      <c r="AJ1728" t="n">
        <v>0.0</v>
      </c>
      <c r="AK1728" t="inlineStr">
        <is>
          <t/>
        </is>
      </c>
      <c r="AL1728" t="inlineStr">
        <is>
          <t/>
        </is>
      </c>
    </row>
    <row r="1729">
      <c r="A1729" t="inlineStr">
        <is>
          <t>我爸说：五斤就卖49.9，总比倒闭了强</t>
        </is>
      </c>
      <c r="B1729" t="inlineStr">
        <is>
          <t>69569555000000001e036b60</t>
        </is>
      </c>
      <c r="C1729" s="1728" t="n">
        <f>HYPERLINK("https://www.xiaohongshu.com/explore/69569555000000001e036b60?xsec_token=TB_oVdiqQUcCQlNseLa8XT9nsvA6PkVXNgqOex2xAT6lE=&amp;xsec_source=pc_trdark","https://www.xiaohongshu.com/explore/69569555000000001e036b60?xsec_token=TB_oVdiqQUcCQlNseLa8XT9nsvA6PkVXNgqOex2xAT6lE=&amp;xsec_source=pc_trdark")</f>
        <v>0.0</v>
      </c>
      <c r="D1729" t="inlineStr">
        <is>
          <t>鲜水湾</t>
        </is>
      </c>
      <c r="E1729" t="inlineStr">
        <is>
          <t>49316638994</t>
        </is>
      </c>
      <c r="F1729" t="inlineStr">
        <is>
          <t>2026-01-01 23:40:05</t>
        </is>
      </c>
      <c r="G1729" t="inlineStr">
        <is>
          <t>图文</t>
        </is>
      </c>
      <c r="H1729" t="inlineStr">
        <is>
          <t>生蚝乳山生蚝海蛎子顺丰包邮</t>
        </is>
      </c>
      <c r="I1729" t="inlineStr">
        <is>
          <t>690c70971b787900010866cc</t>
        </is>
      </c>
      <c r="J1729" t="inlineStr">
        <is>
          <t/>
        </is>
      </c>
      <c r="K1729" t="n">
        <v>0.0</v>
      </c>
      <c r="L1729" t="n">
        <v>0.0</v>
      </c>
      <c r="M1729" t="n">
        <v>0.0</v>
      </c>
      <c r="N1729" t="inlineStr">
        <is>
          <t/>
        </is>
      </c>
      <c r="O1729" t="n">
        <v>0.0</v>
      </c>
      <c r="P1729" t="n">
        <v>0.0</v>
      </c>
      <c r="Q1729" t="inlineStr">
        <is>
          <t/>
        </is>
      </c>
      <c r="R1729" t="inlineStr">
        <is>
          <t/>
        </is>
      </c>
      <c r="S1729" t="n">
        <v>0.0</v>
      </c>
      <c r="T1729" t="n">
        <v>0.0</v>
      </c>
      <c r="U1729" t="n">
        <v>0.0</v>
      </c>
      <c r="V1729" t="n">
        <v>0.0</v>
      </c>
      <c r="W1729" t="inlineStr">
        <is>
          <t/>
        </is>
      </c>
      <c r="X1729" t="n">
        <v>0.0</v>
      </c>
      <c r="Y1729" t="n">
        <v>0.0</v>
      </c>
      <c r="Z1729" t="n">
        <v>0.0</v>
      </c>
      <c r="AA1729" t="n">
        <v>0.0</v>
      </c>
      <c r="AB1729" t="n">
        <v>0.0</v>
      </c>
      <c r="AC1729" t="n">
        <v>0.0</v>
      </c>
      <c r="AD1729" t="n">
        <v>0.0</v>
      </c>
      <c r="AE1729" t="n">
        <v>0.0</v>
      </c>
      <c r="AF1729" t="n">
        <v>0.0</v>
      </c>
      <c r="AG1729" t="n">
        <v>0.0</v>
      </c>
      <c r="AH1729" t="n">
        <v>0.0</v>
      </c>
      <c r="AI1729" t="n">
        <v>0.0</v>
      </c>
      <c r="AJ1729" t="n">
        <v>0.0</v>
      </c>
      <c r="AK1729" t="inlineStr">
        <is>
          <t/>
        </is>
      </c>
      <c r="AL1729" t="inlineStr">
        <is>
          <t/>
        </is>
      </c>
    </row>
    <row r="1730">
      <c r="A1730" t="inlineStr">
        <is>
          <t>到季节了！这个乳山生蚝太肥了</t>
        </is>
      </c>
      <c r="B1730" t="inlineStr">
        <is>
          <t>695542bc000000001e03711a</t>
        </is>
      </c>
      <c r="C1730" s="1729" t="n">
        <f>HYPERLINK("https://www.xiaohongshu.com/explore/695542bc000000001e03711a?xsec_token=TBIaTt8bDdfMemJ3dJpsBVNEpQGzC0cmx-IiY_YDjPRDI=&amp;xsec_source=pc_trdark","https://www.xiaohongshu.com/explore/695542bc000000001e03711a?xsec_token=TBIaTt8bDdfMemJ3dJpsBVNEpQGzC0cmx-IiY_YDjPRDI=&amp;xsec_source=pc_trdark")</f>
        <v>0.0</v>
      </c>
      <c r="D1730" t="inlineStr">
        <is>
          <t>鲜水湾</t>
        </is>
      </c>
      <c r="E1730" t="inlineStr">
        <is>
          <t>49316638994</t>
        </is>
      </c>
      <c r="F1730" t="inlineStr">
        <is>
          <t>2025-12-31 23:35:24</t>
        </is>
      </c>
      <c r="G1730" t="inlineStr">
        <is>
          <t>图文</t>
        </is>
      </c>
      <c r="H1730" t="inlineStr">
        <is>
          <t>生蚝乳山生蚝海蛎子顺丰包邮</t>
        </is>
      </c>
      <c r="I1730" t="inlineStr">
        <is>
          <t>690c70971b787900010866cc</t>
        </is>
      </c>
      <c r="J1730" t="inlineStr">
        <is>
          <t/>
        </is>
      </c>
      <c r="K1730" t="n">
        <v>0.0</v>
      </c>
      <c r="L1730" t="n">
        <v>0.0</v>
      </c>
      <c r="M1730" t="n">
        <v>0.0</v>
      </c>
      <c r="N1730" t="inlineStr">
        <is>
          <t/>
        </is>
      </c>
      <c r="O1730" t="n">
        <v>0.0</v>
      </c>
      <c r="P1730" t="n">
        <v>0.0</v>
      </c>
      <c r="Q1730" t="inlineStr">
        <is>
          <t/>
        </is>
      </c>
      <c r="R1730" t="inlineStr">
        <is>
          <t/>
        </is>
      </c>
      <c r="S1730" t="n">
        <v>0.0</v>
      </c>
      <c r="T1730" t="n">
        <v>0.0</v>
      </c>
      <c r="U1730" t="n">
        <v>0.0</v>
      </c>
      <c r="V1730" t="n">
        <v>0.0</v>
      </c>
      <c r="W1730" t="inlineStr">
        <is>
          <t/>
        </is>
      </c>
      <c r="X1730" t="n">
        <v>0.0</v>
      </c>
      <c r="Y1730" t="n">
        <v>0.0</v>
      </c>
      <c r="Z1730" t="n">
        <v>0.0</v>
      </c>
      <c r="AA1730" t="n">
        <v>0.0</v>
      </c>
      <c r="AB1730" t="n">
        <v>0.0</v>
      </c>
      <c r="AC1730" t="n">
        <v>0.0</v>
      </c>
      <c r="AD1730" t="n">
        <v>0.0</v>
      </c>
      <c r="AE1730" t="n">
        <v>0.0</v>
      </c>
      <c r="AF1730" t="n">
        <v>0.0</v>
      </c>
      <c r="AG1730" t="n">
        <v>0.0</v>
      </c>
      <c r="AH1730" t="n">
        <v>0.0</v>
      </c>
      <c r="AI1730" t="n">
        <v>0.0</v>
      </c>
      <c r="AJ1730" t="n">
        <v>0.0</v>
      </c>
      <c r="AK1730" t="inlineStr">
        <is>
          <t/>
        </is>
      </c>
      <c r="AL1730" t="inlineStr">
        <is>
          <t/>
        </is>
      </c>
    </row>
    <row r="1731">
      <c r="A1731" t="inlineStr">
        <is>
          <t>现在的年轻人真的对40多的购买力没概念了…</t>
        </is>
      </c>
      <c r="B1731" t="inlineStr">
        <is>
          <t>6953f2f4000000001f005a86</t>
        </is>
      </c>
      <c r="C1731" s="1730" t="n">
        <f>HYPERLINK("https://www.xiaohongshu.com/explore/6953f2f4000000001f005a86?xsec_token=TBmzMOJ_zly84G2ZjeUVNrpc1-iDtOtcbaxweQJHnAiAQ=&amp;xsec_source=pc_trdark","https://www.xiaohongshu.com/explore/6953f2f4000000001f005a86?xsec_token=TBmzMOJ_zly84G2ZjeUVNrpc1-iDtOtcbaxweQJHnAiAQ=&amp;xsec_source=pc_trdark")</f>
        <v>0.0</v>
      </c>
      <c r="D1731" t="inlineStr">
        <is>
          <t>鲜水湾</t>
        </is>
      </c>
      <c r="E1731" t="inlineStr">
        <is>
          <t>49316638994</t>
        </is>
      </c>
      <c r="F1731" t="inlineStr">
        <is>
          <t>2025-12-30 23:42:44</t>
        </is>
      </c>
      <c r="G1731" t="inlineStr">
        <is>
          <t>图文</t>
        </is>
      </c>
      <c r="H1731" t="inlineStr">
        <is>
          <t>生蚝乳山生蚝海蛎子顺丰包邮</t>
        </is>
      </c>
      <c r="I1731" t="inlineStr">
        <is>
          <t>690c70971b787900010866cc</t>
        </is>
      </c>
      <c r="J1731" t="inlineStr">
        <is>
          <t/>
        </is>
      </c>
      <c r="K1731" t="n">
        <v>0.0</v>
      </c>
      <c r="L1731" t="n">
        <v>0.0</v>
      </c>
      <c r="M1731" t="n">
        <v>0.0</v>
      </c>
      <c r="N1731" t="inlineStr">
        <is>
          <t/>
        </is>
      </c>
      <c r="O1731" t="n">
        <v>0.0</v>
      </c>
      <c r="P1731" t="n">
        <v>0.0</v>
      </c>
      <c r="Q1731" t="inlineStr">
        <is>
          <t/>
        </is>
      </c>
      <c r="R1731" t="inlineStr">
        <is>
          <t/>
        </is>
      </c>
      <c r="S1731" t="n">
        <v>0.0</v>
      </c>
      <c r="T1731" t="n">
        <v>0.0</v>
      </c>
      <c r="U1731" t="n">
        <v>0.0</v>
      </c>
      <c r="V1731" t="n">
        <v>0.0</v>
      </c>
      <c r="W1731" t="inlineStr">
        <is>
          <t/>
        </is>
      </c>
      <c r="X1731" t="n">
        <v>0.0</v>
      </c>
      <c r="Y1731" t="n">
        <v>0.0</v>
      </c>
      <c r="Z1731" t="n">
        <v>0.0</v>
      </c>
      <c r="AA1731" t="n">
        <v>0.0</v>
      </c>
      <c r="AB1731" t="n">
        <v>0.0</v>
      </c>
      <c r="AC1731" t="n">
        <v>0.0</v>
      </c>
      <c r="AD1731" t="n">
        <v>0.0</v>
      </c>
      <c r="AE1731" t="n">
        <v>0.0</v>
      </c>
      <c r="AF1731" t="n">
        <v>0.0</v>
      </c>
      <c r="AG1731" t="n">
        <v>0.0</v>
      </c>
      <c r="AH1731" t="n">
        <v>0.0</v>
      </c>
      <c r="AI1731" t="n">
        <v>0.0</v>
      </c>
      <c r="AJ1731" t="n">
        <v>0.0</v>
      </c>
      <c r="AK1731" t="inlineStr">
        <is>
          <t/>
        </is>
      </c>
      <c r="AL1731" t="inlineStr">
        <is>
          <t/>
        </is>
      </c>
    </row>
    <row r="1732">
      <c r="A1732" t="inlineStr">
        <is>
          <t>买回来的生蚝你就这样做，巨好吃😋</t>
        </is>
      </c>
      <c r="B1732" t="inlineStr">
        <is>
          <t>6953c1ef000000001f00d45c</t>
        </is>
      </c>
      <c r="C1732" s="1731" t="n">
        <f>HYPERLINK("https://www.xiaohongshu.com/explore/6953c1ef000000001f00d45c?xsec_token=TBmzMOJ_zly84G2ZjeUVNrpfWnor3sDEbGcCZUVnr-0yY=&amp;xsec_source=pc_trdark","https://www.xiaohongshu.com/explore/6953c1ef000000001f00d45c?xsec_token=TBmzMOJ_zly84G2ZjeUVNrpfWnor3sDEbGcCZUVnr-0yY=&amp;xsec_source=pc_trdark")</f>
        <v>0.0</v>
      </c>
      <c r="D1732" t="inlineStr">
        <is>
          <t>婉婉上班吃什么</t>
        </is>
      </c>
      <c r="E1732" t="inlineStr">
        <is>
          <t>11434449706</t>
        </is>
      </c>
      <c r="F1732" t="inlineStr">
        <is>
          <t>2025-12-30 20:13:36</t>
        </is>
      </c>
      <c r="G1732" t="inlineStr">
        <is>
          <t>视频</t>
        </is>
      </c>
      <c r="H1732" t="inlineStr">
        <is>
          <t>生蚝乳山生蚝海蛎子顺丰包邮</t>
        </is>
      </c>
      <c r="I1732" t="inlineStr">
        <is>
          <t>690c70971b787900010866cc</t>
        </is>
      </c>
      <c r="J1732" t="n">
        <v>55.0</v>
      </c>
      <c r="K1732" t="n">
        <v>0.0</v>
      </c>
      <c r="L1732" t="n">
        <v>0.0</v>
      </c>
      <c r="M1732" t="n">
        <v>0.0</v>
      </c>
      <c r="N1732" t="inlineStr">
        <is>
          <t/>
        </is>
      </c>
      <c r="O1732" t="n">
        <v>0.0</v>
      </c>
      <c r="P1732" t="n">
        <v>0.0</v>
      </c>
      <c r="Q1732" t="inlineStr">
        <is>
          <t/>
        </is>
      </c>
      <c r="R1732" t="inlineStr">
        <is>
          <t/>
        </is>
      </c>
      <c r="S1732" t="n">
        <v>0.0</v>
      </c>
      <c r="T1732" t="n">
        <v>0.0</v>
      </c>
      <c r="U1732" t="n">
        <v>0.0</v>
      </c>
      <c r="V1732" t="n">
        <v>0.0</v>
      </c>
      <c r="W1732" t="inlineStr">
        <is>
          <t/>
        </is>
      </c>
      <c r="X1732" t="n">
        <v>0.0</v>
      </c>
      <c r="Y1732" t="n">
        <v>0.0</v>
      </c>
      <c r="Z1732" t="n">
        <v>0.0</v>
      </c>
      <c r="AA1732" t="n">
        <v>0.0</v>
      </c>
      <c r="AB1732" t="n">
        <v>0.0</v>
      </c>
      <c r="AC1732" t="n">
        <v>0.0</v>
      </c>
      <c r="AD1732" t="n">
        <v>0.0</v>
      </c>
      <c r="AE1732" t="n">
        <v>0.0</v>
      </c>
      <c r="AF1732" t="n">
        <v>0.0</v>
      </c>
      <c r="AG1732" t="n">
        <v>0.0</v>
      </c>
      <c r="AH1732" t="n">
        <v>0.0</v>
      </c>
      <c r="AI1732" t="n">
        <v>0.0</v>
      </c>
      <c r="AJ1732" t="n">
        <v>0.0</v>
      </c>
      <c r="AK1732" t="inlineStr">
        <is>
          <t/>
        </is>
      </c>
      <c r="AL1732" t="inlineStr">
        <is>
          <t/>
        </is>
      </c>
    </row>
    <row r="1733">
      <c r="A1733" t="inlineStr">
        <is>
          <t>感谢小红书🙏让乳山生蚝卖到了广东</t>
        </is>
      </c>
      <c r="B1733" t="inlineStr">
        <is>
          <t>69520efc000000001e0373ae</t>
        </is>
      </c>
      <c r="C1733" s="1732" t="n">
        <f>HYPERLINK("https://www.xiaohongshu.com/explore/69520efc000000001e0373ae?xsec_token=TBD_qpfRw_GekiL1YWy-5sXpnIJrOzpxvipTOy3jWPWwE=&amp;xsec_source=pc_trdark","https://www.xiaohongshu.com/explore/69520efc000000001e0373ae?xsec_token=TBD_qpfRw_GekiL1YWy-5sXpnIJrOzpxvipTOy3jWPWwE=&amp;xsec_source=pc_trdark")</f>
        <v>0.0</v>
      </c>
      <c r="D1733" t="inlineStr">
        <is>
          <t>鲜水湾</t>
        </is>
      </c>
      <c r="E1733" t="inlineStr">
        <is>
          <t>49316638994</t>
        </is>
      </c>
      <c r="F1733" t="inlineStr">
        <is>
          <t>2025-12-29 13:17:48</t>
        </is>
      </c>
      <c r="G1733" t="inlineStr">
        <is>
          <t>图文</t>
        </is>
      </c>
      <c r="H1733" t="inlineStr">
        <is>
          <t>生蚝乳山生蚝海蛎子顺丰包邮</t>
        </is>
      </c>
      <c r="I1733" t="inlineStr">
        <is>
          <t>690c70971b787900010866cc</t>
        </is>
      </c>
      <c r="J1733" t="inlineStr">
        <is>
          <t/>
        </is>
      </c>
      <c r="K1733" t="n">
        <v>0.0</v>
      </c>
      <c r="L1733" t="n">
        <v>0.0</v>
      </c>
      <c r="M1733" t="n">
        <v>0.0</v>
      </c>
      <c r="N1733" t="inlineStr">
        <is>
          <t/>
        </is>
      </c>
      <c r="O1733" t="n">
        <v>0.0</v>
      </c>
      <c r="P1733" t="n">
        <v>0.0</v>
      </c>
      <c r="Q1733" t="inlineStr">
        <is>
          <t/>
        </is>
      </c>
      <c r="R1733" t="inlineStr">
        <is>
          <t/>
        </is>
      </c>
      <c r="S1733" t="n">
        <v>0.0</v>
      </c>
      <c r="T1733" t="n">
        <v>0.0</v>
      </c>
      <c r="U1733" t="n">
        <v>0.0</v>
      </c>
      <c r="V1733" t="n">
        <v>0.0</v>
      </c>
      <c r="W1733" t="inlineStr">
        <is>
          <t/>
        </is>
      </c>
      <c r="X1733" t="n">
        <v>0.0</v>
      </c>
      <c r="Y1733" t="n">
        <v>0.0</v>
      </c>
      <c r="Z1733" t="n">
        <v>0.0</v>
      </c>
      <c r="AA1733" t="n">
        <v>0.0</v>
      </c>
      <c r="AB1733" t="n">
        <v>0.0</v>
      </c>
      <c r="AC1733" t="n">
        <v>0.0</v>
      </c>
      <c r="AD1733" t="n">
        <v>0.0</v>
      </c>
      <c r="AE1733" t="n">
        <v>0.0</v>
      </c>
      <c r="AF1733" t="n">
        <v>0.0</v>
      </c>
      <c r="AG1733" t="n">
        <v>0.0</v>
      </c>
      <c r="AH1733" t="n">
        <v>0.0</v>
      </c>
      <c r="AI1733" t="n">
        <v>0.0</v>
      </c>
      <c r="AJ1733" t="n">
        <v>0.0</v>
      </c>
      <c r="AK1733" t="inlineStr">
        <is>
          <t/>
        </is>
      </c>
      <c r="AL1733" t="inlineStr">
        <is>
          <t/>
        </is>
      </c>
    </row>
    <row r="1734">
      <c r="A1734" t="inlineStr">
        <is>
          <t>建议男人过了40多吃生蚝，40+一箱的生蚝真肥</t>
        </is>
      </c>
      <c r="B1734" t="inlineStr">
        <is>
          <t>69509b7b000000001e0242ce</t>
        </is>
      </c>
      <c r="C1734" s="1733" t="n">
        <f>HYPERLINK("https://www.xiaohongshu.com/explore/69509b7b000000001e0242ce?xsec_token=TBZlsVk_u522I8N-JhGtRMDt_31dwPsls_8oOedinU-fs=&amp;xsec_source=pc_trdark","https://www.xiaohongshu.com/explore/69509b7b000000001e0242ce?xsec_token=TBZlsVk_u522I8N-JhGtRMDt_31dwPsls_8oOedinU-fs=&amp;xsec_source=pc_trdark")</f>
        <v>0.0</v>
      </c>
      <c r="D1734" t="inlineStr">
        <is>
          <t>婉婉上班吃什么</t>
        </is>
      </c>
      <c r="E1734" t="inlineStr">
        <is>
          <t>11434449706</t>
        </is>
      </c>
      <c r="F1734" t="inlineStr">
        <is>
          <t>2025-12-28 10:52:43</t>
        </is>
      </c>
      <c r="G1734" t="inlineStr">
        <is>
          <t>图文</t>
        </is>
      </c>
      <c r="H1734" t="inlineStr">
        <is>
          <t>生蚝乳山生蚝海蛎子顺丰包邮</t>
        </is>
      </c>
      <c r="I1734" t="inlineStr">
        <is>
          <t>690c70971b787900010866cc</t>
        </is>
      </c>
      <c r="J1734" t="inlineStr">
        <is>
          <t/>
        </is>
      </c>
      <c r="K1734" t="n">
        <v>0.0</v>
      </c>
      <c r="L1734" t="n">
        <v>0.0</v>
      </c>
      <c r="M1734" t="n">
        <v>0.0</v>
      </c>
      <c r="N1734" t="inlineStr">
        <is>
          <t/>
        </is>
      </c>
      <c r="O1734" t="n">
        <v>0.0</v>
      </c>
      <c r="P1734" t="n">
        <v>0.0</v>
      </c>
      <c r="Q1734" t="inlineStr">
        <is>
          <t/>
        </is>
      </c>
      <c r="R1734" t="inlineStr">
        <is>
          <t/>
        </is>
      </c>
      <c r="S1734" t="n">
        <v>0.0</v>
      </c>
      <c r="T1734" t="n">
        <v>0.0</v>
      </c>
      <c r="U1734" t="n">
        <v>0.0</v>
      </c>
      <c r="V1734" t="n">
        <v>0.0</v>
      </c>
      <c r="W1734" t="inlineStr">
        <is>
          <t/>
        </is>
      </c>
      <c r="X1734" t="n">
        <v>0.0</v>
      </c>
      <c r="Y1734" t="n">
        <v>0.0</v>
      </c>
      <c r="Z1734" t="n">
        <v>0.0</v>
      </c>
      <c r="AA1734" t="n">
        <v>0.0</v>
      </c>
      <c r="AB1734" t="n">
        <v>0.0</v>
      </c>
      <c r="AC1734" t="n">
        <v>0.0</v>
      </c>
      <c r="AD1734" t="n">
        <v>0.0</v>
      </c>
      <c r="AE1734" t="n">
        <v>0.0</v>
      </c>
      <c r="AF1734" t="n">
        <v>0.0</v>
      </c>
      <c r="AG1734" t="n">
        <v>0.0</v>
      </c>
      <c r="AH1734" t="n">
        <v>0.0</v>
      </c>
      <c r="AI1734" t="n">
        <v>0.0</v>
      </c>
      <c r="AJ1734" t="n">
        <v>0.0</v>
      </c>
      <c r="AK1734" t="inlineStr">
        <is>
          <t/>
        </is>
      </c>
      <c r="AL1734" t="inlineStr">
        <is>
          <t/>
        </is>
      </c>
    </row>
    <row r="1735">
      <c r="A1735" t="inlineStr">
        <is>
          <t>区区300多承包了我一个月的减脂餐😎</t>
        </is>
      </c>
      <c r="B1735" t="inlineStr">
        <is>
          <t>694d4d55000000001e02f936</t>
        </is>
      </c>
      <c r="C1735" s="1734" t="n">
        <f>HYPERLINK("https://www.xiaohongshu.com/explore/694d4d55000000001e02f936?xsec_token=TBtwDoStOWWrqIzqfvN9e2OfBKKCe5OU5wm_XAyKnlIzM=&amp;xsec_source=pc_trdark","https://www.xiaohongshu.com/explore/694d4d55000000001e02f936?xsec_token=TBtwDoStOWWrqIzqfvN9e2OfBKKCe5OU5wm_XAyKnlIzM=&amp;xsec_source=pc_trdark")</f>
        <v>0.0</v>
      </c>
      <c r="D1735" t="inlineStr">
        <is>
          <t>鲜水湾</t>
        </is>
      </c>
      <c r="E1735" t="inlineStr">
        <is>
          <t>49316638994</t>
        </is>
      </c>
      <c r="F1735" t="inlineStr">
        <is>
          <t>2025-12-25 22:42:29</t>
        </is>
      </c>
      <c r="G1735" t="inlineStr">
        <is>
          <t>图文</t>
        </is>
      </c>
      <c r="H1735" t="inlineStr">
        <is>
          <t>智利三文鱼切块·整条三文鱼·深海鱼一人食健康饮食</t>
        </is>
      </c>
      <c r="I1735" t="inlineStr">
        <is>
          <t>691ac562a524ee0001b51d7b</t>
        </is>
      </c>
      <c r="J1735" t="inlineStr">
        <is>
          <t/>
        </is>
      </c>
      <c r="K1735" t="n">
        <v>0.0</v>
      </c>
      <c r="L1735" t="n">
        <v>0.0</v>
      </c>
      <c r="M1735" t="n">
        <v>0.0</v>
      </c>
      <c r="N1735" t="inlineStr">
        <is>
          <t/>
        </is>
      </c>
      <c r="O1735" t="n">
        <v>0.0</v>
      </c>
      <c r="P1735" t="n">
        <v>0.0</v>
      </c>
      <c r="Q1735" t="inlineStr">
        <is>
          <t/>
        </is>
      </c>
      <c r="R1735" t="inlineStr">
        <is>
          <t/>
        </is>
      </c>
      <c r="S1735" t="n">
        <v>0.0</v>
      </c>
      <c r="T1735" t="n">
        <v>0.0</v>
      </c>
      <c r="U1735" t="n">
        <v>0.0</v>
      </c>
      <c r="V1735" t="n">
        <v>0.0</v>
      </c>
      <c r="W1735" t="inlineStr">
        <is>
          <t/>
        </is>
      </c>
      <c r="X1735" t="n">
        <v>0.0</v>
      </c>
      <c r="Y1735" t="n">
        <v>0.0</v>
      </c>
      <c r="Z1735" t="n">
        <v>0.0</v>
      </c>
      <c r="AA1735" t="n">
        <v>0.0</v>
      </c>
      <c r="AB1735" t="n">
        <v>0.0</v>
      </c>
      <c r="AC1735" t="n">
        <v>0.0</v>
      </c>
      <c r="AD1735" t="n">
        <v>0.0</v>
      </c>
      <c r="AE1735" t="n">
        <v>0.0</v>
      </c>
      <c r="AF1735" t="n">
        <v>0.0</v>
      </c>
      <c r="AG1735" t="n">
        <v>0.0</v>
      </c>
      <c r="AH1735" t="n">
        <v>0.0</v>
      </c>
      <c r="AI1735" t="n">
        <v>0.0</v>
      </c>
      <c r="AJ1735" t="n">
        <v>0.0</v>
      </c>
      <c r="AK1735" t="inlineStr">
        <is>
          <t/>
        </is>
      </c>
      <c r="AL1735" t="inlineStr">
        <is>
          <t/>
        </is>
      </c>
    </row>
    <row r="1736">
      <c r="A1736" t="inlineStr">
        <is>
          <t>男朋友过了30，一定要多吃这个乳山生蚝</t>
        </is>
      </c>
      <c r="B1736" t="inlineStr">
        <is>
          <t>694c99e0000000001f00e958</t>
        </is>
      </c>
      <c r="C1736" s="1735" t="n">
        <f>HYPERLINK("https://www.xiaohongshu.com/explore/694c99e0000000001f00e958?xsec_token=TBxptwG9J_WafnJLanMiOzJBcoP6xceBzUm8ylc3RpDV8=&amp;xsec_source=pc_trdark","https://www.xiaohongshu.com/explore/694c99e0000000001f00e958?xsec_token=TBxptwG9J_WafnJLanMiOzJBcoP6xceBzUm8ylc3RpDV8=&amp;xsec_source=pc_trdark")</f>
        <v>0.0</v>
      </c>
      <c r="D1736" t="inlineStr">
        <is>
          <t>婉婉上班吃什么</t>
        </is>
      </c>
      <c r="E1736" t="inlineStr">
        <is>
          <t>11434449706</t>
        </is>
      </c>
      <c r="F1736" t="inlineStr">
        <is>
          <t>2025-12-25 09:56:48</t>
        </is>
      </c>
      <c r="G1736" t="inlineStr">
        <is>
          <t>图文</t>
        </is>
      </c>
      <c r="H1736" t="inlineStr">
        <is>
          <t>生蚝乳山生蚝海蛎子顺丰包邮</t>
        </is>
      </c>
      <c r="I1736" t="inlineStr">
        <is>
          <t>690c70971b787900010866cc</t>
        </is>
      </c>
      <c r="J1736" t="inlineStr">
        <is>
          <t/>
        </is>
      </c>
      <c r="K1736" t="n">
        <v>0.0</v>
      </c>
      <c r="L1736" t="n">
        <v>0.0</v>
      </c>
      <c r="M1736" t="n">
        <v>0.0</v>
      </c>
      <c r="N1736" t="inlineStr">
        <is>
          <t/>
        </is>
      </c>
      <c r="O1736" t="n">
        <v>0.0</v>
      </c>
      <c r="P1736" t="n">
        <v>0.0</v>
      </c>
      <c r="Q1736" t="inlineStr">
        <is>
          <t/>
        </is>
      </c>
      <c r="R1736" t="inlineStr">
        <is>
          <t/>
        </is>
      </c>
      <c r="S1736" t="n">
        <v>0.0</v>
      </c>
      <c r="T1736" t="n">
        <v>0.0</v>
      </c>
      <c r="U1736" t="n">
        <v>0.0</v>
      </c>
      <c r="V1736" t="n">
        <v>0.0</v>
      </c>
      <c r="W1736" t="inlineStr">
        <is>
          <t/>
        </is>
      </c>
      <c r="X1736" t="n">
        <v>0.0</v>
      </c>
      <c r="Y1736" t="n">
        <v>0.0</v>
      </c>
      <c r="Z1736" t="n">
        <v>0.0</v>
      </c>
      <c r="AA1736" t="n">
        <v>0.0</v>
      </c>
      <c r="AB1736" t="n">
        <v>0.0</v>
      </c>
      <c r="AC1736" t="n">
        <v>0.0</v>
      </c>
      <c r="AD1736" t="n">
        <v>0.0</v>
      </c>
      <c r="AE1736" t="n">
        <v>0.0</v>
      </c>
      <c r="AF1736" t="n">
        <v>0.0</v>
      </c>
      <c r="AG1736" t="n">
        <v>0.0</v>
      </c>
      <c r="AH1736" t="n">
        <v>0.0</v>
      </c>
      <c r="AI1736" t="n">
        <v>0.0</v>
      </c>
      <c r="AJ1736" t="n">
        <v>0.0</v>
      </c>
      <c r="AK1736" t="inlineStr">
        <is>
          <t/>
        </is>
      </c>
      <c r="AL1736" t="inlineStr">
        <is>
          <t/>
        </is>
      </c>
    </row>
    <row r="1737">
      <c r="A1737" t="inlineStr">
        <is>
          <t>替大家试过了49.9💰五斤的生蚝是真的肥</t>
        </is>
      </c>
      <c r="B1737" t="inlineStr">
        <is>
          <t>69479860000000001f006d2a</t>
        </is>
      </c>
      <c r="C1737" s="1736" t="n">
        <f>HYPERLINK("https://www.xiaohongshu.com/explore/69479860000000001f006d2a?xsec_token=TBnuuEENMsYpnBa1PDFqnFZMzS_oJZW4bj7QL8P7pGbTA=&amp;xsec_source=pc_trdark","https://www.xiaohongshu.com/explore/69479860000000001f006d2a?xsec_token=TBnuuEENMsYpnBa1PDFqnFZMzS_oJZW4bj7QL8P7pGbTA=&amp;xsec_source=pc_trdark")</f>
        <v>0.0</v>
      </c>
      <c r="D1737" t="inlineStr">
        <is>
          <t>鲜水湾</t>
        </is>
      </c>
      <c r="E1737" t="inlineStr">
        <is>
          <t>49316638994</t>
        </is>
      </c>
      <c r="F1737" t="inlineStr">
        <is>
          <t>2025-12-21 14:49:04</t>
        </is>
      </c>
      <c r="G1737" t="inlineStr">
        <is>
          <t>图文</t>
        </is>
      </c>
      <c r="H1737" t="inlineStr">
        <is>
          <t>生蚝乳山生蚝海蛎子顺丰包邮</t>
        </is>
      </c>
      <c r="I1737" t="inlineStr">
        <is>
          <t>690c70971b787900010866cc</t>
        </is>
      </c>
      <c r="J1737" t="inlineStr">
        <is>
          <t/>
        </is>
      </c>
      <c r="K1737" t="n">
        <v>0.0</v>
      </c>
      <c r="L1737" t="n">
        <v>0.0</v>
      </c>
      <c r="M1737" t="n">
        <v>0.0</v>
      </c>
      <c r="N1737" t="inlineStr">
        <is>
          <t/>
        </is>
      </c>
      <c r="O1737" t="n">
        <v>0.0</v>
      </c>
      <c r="P1737" t="n">
        <v>0.0</v>
      </c>
      <c r="Q1737" t="inlineStr">
        <is>
          <t/>
        </is>
      </c>
      <c r="R1737" t="inlineStr">
        <is>
          <t/>
        </is>
      </c>
      <c r="S1737" t="n">
        <v>0.0</v>
      </c>
      <c r="T1737" t="n">
        <v>0.0</v>
      </c>
      <c r="U1737" t="n">
        <v>0.0</v>
      </c>
      <c r="V1737" t="n">
        <v>0.0</v>
      </c>
      <c r="W1737" t="inlineStr">
        <is>
          <t/>
        </is>
      </c>
      <c r="X1737" t="n">
        <v>0.0</v>
      </c>
      <c r="Y1737" t="n">
        <v>0.0</v>
      </c>
      <c r="Z1737" t="n">
        <v>0.0</v>
      </c>
      <c r="AA1737" t="n">
        <v>0.0</v>
      </c>
      <c r="AB1737" t="n">
        <v>0.0</v>
      </c>
      <c r="AC1737" t="n">
        <v>0.0</v>
      </c>
      <c r="AD1737" t="n">
        <v>0.0</v>
      </c>
      <c r="AE1737" t="n">
        <v>0.0</v>
      </c>
      <c r="AF1737" t="n">
        <v>0.0</v>
      </c>
      <c r="AG1737" t="n">
        <v>0.0</v>
      </c>
      <c r="AH1737" t="n">
        <v>0.0</v>
      </c>
      <c r="AI1737" t="n">
        <v>0.0</v>
      </c>
      <c r="AJ1737" t="n">
        <v>0.0</v>
      </c>
      <c r="AK1737" t="inlineStr">
        <is>
          <t/>
        </is>
      </c>
      <c r="AL1737" t="inlineStr">
        <is>
          <t/>
        </is>
      </c>
    </row>
    <row r="1738">
      <c r="A1738" t="inlineStr">
        <is>
          <t>过年了🧨买了整条三文鱼回家</t>
        </is>
      </c>
      <c r="B1738" t="inlineStr">
        <is>
          <t>69466567000000001f00a3ce</t>
        </is>
      </c>
      <c r="C1738" s="1737" t="n">
        <f>HYPERLINK("https://www.xiaohongshu.com/explore/69466567000000001f00a3ce?xsec_token=TBHCyq_CQBT5wFdM6Ltqr7eyV_nAy0QE5ioCDsomteKuQ=&amp;xsec_source=pc_trdark","https://www.xiaohongshu.com/explore/69466567000000001f00a3ce?xsec_token=TBHCyq_CQBT5wFdM6Ltqr7eyV_nAy0QE5ioCDsomteKuQ=&amp;xsec_source=pc_trdark")</f>
        <v>0.0</v>
      </c>
      <c r="D1738" t="inlineStr">
        <is>
          <t>鲜水湾</t>
        </is>
      </c>
      <c r="E1738" t="inlineStr">
        <is>
          <t>49316638994</t>
        </is>
      </c>
      <c r="F1738" t="inlineStr">
        <is>
          <t>2025-12-20 16:59:19</t>
        </is>
      </c>
      <c r="G1738" t="inlineStr">
        <is>
          <t>图文</t>
        </is>
      </c>
      <c r="H1738" t="inlineStr">
        <is>
          <t>智利三文鱼切块·整条三文鱼·深海鱼一人食健康饮食</t>
        </is>
      </c>
      <c r="I1738" t="inlineStr">
        <is>
          <t>691ac562a524ee0001b51d7b</t>
        </is>
      </c>
      <c r="J1738" t="inlineStr">
        <is>
          <t/>
        </is>
      </c>
      <c r="K1738" t="n">
        <v>0.0</v>
      </c>
      <c r="L1738" t="n">
        <v>0.0</v>
      </c>
      <c r="M1738" t="n">
        <v>0.0</v>
      </c>
      <c r="N1738" t="inlineStr">
        <is>
          <t/>
        </is>
      </c>
      <c r="O1738" t="n">
        <v>0.0</v>
      </c>
      <c r="P1738" t="n">
        <v>0.0</v>
      </c>
      <c r="Q1738" t="inlineStr">
        <is>
          <t/>
        </is>
      </c>
      <c r="R1738" t="inlineStr">
        <is>
          <t/>
        </is>
      </c>
      <c r="S1738" t="n">
        <v>0.0</v>
      </c>
      <c r="T1738" t="n">
        <v>0.0</v>
      </c>
      <c r="U1738" t="n">
        <v>0.0</v>
      </c>
      <c r="V1738" t="n">
        <v>0.0</v>
      </c>
      <c r="W1738" t="inlineStr">
        <is>
          <t/>
        </is>
      </c>
      <c r="X1738" t="n">
        <v>0.0</v>
      </c>
      <c r="Y1738" t="n">
        <v>0.0</v>
      </c>
      <c r="Z1738" t="n">
        <v>0.0</v>
      </c>
      <c r="AA1738" t="n">
        <v>0.0</v>
      </c>
      <c r="AB1738" t="n">
        <v>0.0</v>
      </c>
      <c r="AC1738" t="n">
        <v>0.0</v>
      </c>
      <c r="AD1738" t="n">
        <v>0.0</v>
      </c>
      <c r="AE1738" t="n">
        <v>0.0</v>
      </c>
      <c r="AF1738" t="n">
        <v>0.0</v>
      </c>
      <c r="AG1738" t="n">
        <v>0.0</v>
      </c>
      <c r="AH1738" t="n">
        <v>0.0</v>
      </c>
      <c r="AI1738" t="n">
        <v>0.0</v>
      </c>
      <c r="AJ1738" t="n">
        <v>0.0</v>
      </c>
      <c r="AK1738" t="inlineStr">
        <is>
          <t/>
        </is>
      </c>
      <c r="AL1738" t="inlineStr">
        <is>
          <t/>
        </is>
      </c>
    </row>
    <row r="1739">
      <c r="A1739" t="inlineStr">
        <is>
          <t>天才想出来的……减脂搭子！！</t>
        </is>
      </c>
      <c r="B1739" t="inlineStr">
        <is>
          <t>694561ea000000001e0286e5</t>
        </is>
      </c>
      <c r="C1739" s="1738" t="n">
        <f>HYPERLINK("https://www.xiaohongshu.com/explore/694561ea000000001e0286e5?xsec_token=TB7p1vWXvB33zoX2lon7HfpVy6Gao4nSLHXYECbHz2y-0=&amp;xsec_source=pc_trdark","https://www.xiaohongshu.com/explore/694561ea000000001e0286e5?xsec_token=TB7p1vWXvB33zoX2lon7HfpVy6Gao4nSLHXYECbHz2y-0=&amp;xsec_source=pc_trdark")</f>
        <v>0.0</v>
      </c>
      <c r="D1739" t="inlineStr">
        <is>
          <t>鲜水湾</t>
        </is>
      </c>
      <c r="E1739" t="inlineStr">
        <is>
          <t>49316638994</t>
        </is>
      </c>
      <c r="F1739" t="inlineStr">
        <is>
          <t>2025-12-19 22:32:10</t>
        </is>
      </c>
      <c r="G1739" t="inlineStr">
        <is>
          <t>图文</t>
        </is>
      </c>
      <c r="H1739" t="inlineStr">
        <is>
          <t>大虾基围虾王牌大虾厄瓜多尔白虾盐冻虾仁海洋大虾送礼顺丰包邮</t>
        </is>
      </c>
      <c r="I1739" t="inlineStr">
        <is>
          <t>690aeb7be379430001e686ac</t>
        </is>
      </c>
      <c r="J1739" t="inlineStr">
        <is>
          <t/>
        </is>
      </c>
      <c r="K1739" t="n">
        <v>0.0</v>
      </c>
      <c r="L1739" t="n">
        <v>0.0</v>
      </c>
      <c r="M1739" t="n">
        <v>0.0</v>
      </c>
      <c r="N1739" t="inlineStr">
        <is>
          <t/>
        </is>
      </c>
      <c r="O1739" t="n">
        <v>0.0</v>
      </c>
      <c r="P1739" t="n">
        <v>0.0</v>
      </c>
      <c r="Q1739" t="inlineStr">
        <is>
          <t/>
        </is>
      </c>
      <c r="R1739" t="inlineStr">
        <is>
          <t/>
        </is>
      </c>
      <c r="S1739" t="n">
        <v>0.0</v>
      </c>
      <c r="T1739" t="n">
        <v>0.0</v>
      </c>
      <c r="U1739" t="n">
        <v>0.0</v>
      </c>
      <c r="V1739" t="n">
        <v>0.0</v>
      </c>
      <c r="W1739" t="inlineStr">
        <is>
          <t/>
        </is>
      </c>
      <c r="X1739" t="n">
        <v>0.0</v>
      </c>
      <c r="Y1739" t="n">
        <v>0.0</v>
      </c>
      <c r="Z1739" t="n">
        <v>0.0</v>
      </c>
      <c r="AA1739" t="n">
        <v>0.0</v>
      </c>
      <c r="AB1739" t="n">
        <v>0.0</v>
      </c>
      <c r="AC1739" t="n">
        <v>0.0</v>
      </c>
      <c r="AD1739" t="n">
        <v>0.0</v>
      </c>
      <c r="AE1739" t="n">
        <v>0.0</v>
      </c>
      <c r="AF1739" t="n">
        <v>0.0</v>
      </c>
      <c r="AG1739" t="n">
        <v>0.0</v>
      </c>
      <c r="AH1739" t="n">
        <v>0.0</v>
      </c>
      <c r="AI1739" t="n">
        <v>0.0</v>
      </c>
      <c r="AJ1739" t="n">
        <v>0.0</v>
      </c>
      <c r="AK1739" t="inlineStr">
        <is>
          <t/>
        </is>
      </c>
      <c r="AL1739" t="inlineStr">
        <is>
          <t/>
        </is>
      </c>
    </row>
    <row r="1740">
      <c r="A1740" t="inlineStr">
        <is>
          <t>我爸：大虾你就25一斤卖总会出单的</t>
        </is>
      </c>
      <c r="B1740" t="inlineStr">
        <is>
          <t>6942b246000000001f006aec</t>
        </is>
      </c>
      <c r="C1740" s="1739" t="n">
        <f>HYPERLINK("https://www.xiaohongshu.com/explore/6942b246000000001f006aec?xsec_token=TB0tDM60Z2n8tclFaINyevIaVt7CMYfI-7ya499lFojHI=&amp;xsec_source=pc_trdark","https://www.xiaohongshu.com/explore/6942b246000000001f006aec?xsec_token=TB0tDM60Z2n8tclFaINyevIaVt7CMYfI-7ya499lFojHI=&amp;xsec_source=pc_trdark")</f>
        <v>0.0</v>
      </c>
      <c r="D1740" t="inlineStr">
        <is>
          <t>鲜水湾</t>
        </is>
      </c>
      <c r="E1740" t="inlineStr">
        <is>
          <t>49316638994</t>
        </is>
      </c>
      <c r="F1740" t="inlineStr">
        <is>
          <t>2025-12-17 21:38:14</t>
        </is>
      </c>
      <c r="G1740" t="inlineStr">
        <is>
          <t>图文</t>
        </is>
      </c>
      <c r="H1740" t="inlineStr">
        <is>
          <t>大虾基围虾王牌大虾厄瓜多尔白虾盐冻虾仁海洋大虾送礼顺丰包邮</t>
        </is>
      </c>
      <c r="I1740" t="inlineStr">
        <is>
          <t>690aeb7be379430001e686ac</t>
        </is>
      </c>
      <c r="J1740" t="inlineStr">
        <is>
          <t/>
        </is>
      </c>
      <c r="K1740" t="n">
        <v>0.0</v>
      </c>
      <c r="L1740" t="n">
        <v>0.0</v>
      </c>
      <c r="M1740" t="n">
        <v>0.0</v>
      </c>
      <c r="N1740" t="inlineStr">
        <is>
          <t/>
        </is>
      </c>
      <c r="O1740" t="n">
        <v>0.0</v>
      </c>
      <c r="P1740" t="n">
        <v>0.0</v>
      </c>
      <c r="Q1740" t="inlineStr">
        <is>
          <t/>
        </is>
      </c>
      <c r="R1740" t="inlineStr">
        <is>
          <t/>
        </is>
      </c>
      <c r="S1740" t="n">
        <v>0.0</v>
      </c>
      <c r="T1740" t="n">
        <v>0.0</v>
      </c>
      <c r="U1740" t="n">
        <v>0.0</v>
      </c>
      <c r="V1740" t="n">
        <v>0.0</v>
      </c>
      <c r="W1740" t="inlineStr">
        <is>
          <t/>
        </is>
      </c>
      <c r="X1740" t="n">
        <v>0.0</v>
      </c>
      <c r="Y1740" t="n">
        <v>0.0</v>
      </c>
      <c r="Z1740" t="n">
        <v>0.0</v>
      </c>
      <c r="AA1740" t="n">
        <v>0.0</v>
      </c>
      <c r="AB1740" t="n">
        <v>0.0</v>
      </c>
      <c r="AC1740" t="n">
        <v>0.0</v>
      </c>
      <c r="AD1740" t="n">
        <v>0.0</v>
      </c>
      <c r="AE1740" t="n">
        <v>0.0</v>
      </c>
      <c r="AF1740" t="n">
        <v>0.0</v>
      </c>
      <c r="AG1740" t="n">
        <v>0.0</v>
      </c>
      <c r="AH1740" t="n">
        <v>0.0</v>
      </c>
      <c r="AI1740" t="n">
        <v>0.0</v>
      </c>
      <c r="AJ1740" t="n">
        <v>0.0</v>
      </c>
      <c r="AK1740" t="inlineStr">
        <is>
          <t/>
        </is>
      </c>
      <c r="AL1740" t="inlineStr">
        <is>
          <t/>
        </is>
      </c>
    </row>
    <row r="1741">
      <c r="A1741" t="inlineStr">
        <is>
          <t>我宣布三文鱼熟的比生的好吃！</t>
        </is>
      </c>
      <c r="B1741" t="inlineStr">
        <is>
          <t>69420d65000000001f00fd34</t>
        </is>
      </c>
      <c r="C1741" s="1740" t="n">
        <f>HYPERLINK("https://www.xiaohongshu.com/explore/69420d65000000001f00fd34?xsec_token=TB0tDM60Z2n8tclFaINyevIT5ot5Py_x3D0HDLO4s-u_w=&amp;xsec_source=pc_trdark","https://www.xiaohongshu.com/explore/69420d65000000001f00fd34?xsec_token=TB0tDM60Z2n8tclFaINyevIT5ot5Py_x3D0HDLO4s-u_w=&amp;xsec_source=pc_trdark")</f>
        <v>0.0</v>
      </c>
      <c r="D1741" t="inlineStr">
        <is>
          <t>鲜水湾</t>
        </is>
      </c>
      <c r="E1741" t="inlineStr">
        <is>
          <t>49316638994</t>
        </is>
      </c>
      <c r="F1741" t="inlineStr">
        <is>
          <t>2025-12-17 09:54:45</t>
        </is>
      </c>
      <c r="G1741" t="inlineStr">
        <is>
          <t>图文</t>
        </is>
      </c>
      <c r="H1741" t="inlineStr">
        <is>
          <t>智利三文鱼切块·整条三文鱼·深海鱼一人食健康饮食</t>
        </is>
      </c>
      <c r="I1741" t="inlineStr">
        <is>
          <t>691ac562a524ee0001b51d7b</t>
        </is>
      </c>
      <c r="J1741" t="inlineStr">
        <is>
          <t/>
        </is>
      </c>
      <c r="K1741" t="n">
        <v>0.0</v>
      </c>
      <c r="L1741" t="n">
        <v>0.0</v>
      </c>
      <c r="M1741" t="n">
        <v>0.0</v>
      </c>
      <c r="N1741" t="inlineStr">
        <is>
          <t/>
        </is>
      </c>
      <c r="O1741" t="n">
        <v>0.0</v>
      </c>
      <c r="P1741" t="n">
        <v>0.0</v>
      </c>
      <c r="Q1741" t="inlineStr">
        <is>
          <t/>
        </is>
      </c>
      <c r="R1741" t="inlineStr">
        <is>
          <t/>
        </is>
      </c>
      <c r="S1741" t="n">
        <v>0.0</v>
      </c>
      <c r="T1741" t="n">
        <v>0.0</v>
      </c>
      <c r="U1741" t="n">
        <v>0.0</v>
      </c>
      <c r="V1741" t="n">
        <v>0.0</v>
      </c>
      <c r="W1741" t="inlineStr">
        <is>
          <t/>
        </is>
      </c>
      <c r="X1741" t="n">
        <v>0.0</v>
      </c>
      <c r="Y1741" t="n">
        <v>0.0</v>
      </c>
      <c r="Z1741" t="n">
        <v>0.0</v>
      </c>
      <c r="AA1741" t="n">
        <v>0.0</v>
      </c>
      <c r="AB1741" t="n">
        <v>0.0</v>
      </c>
      <c r="AC1741" t="n">
        <v>0.0</v>
      </c>
      <c r="AD1741" t="n">
        <v>0.0</v>
      </c>
      <c r="AE1741" t="n">
        <v>0.0</v>
      </c>
      <c r="AF1741" t="n">
        <v>0.0</v>
      </c>
      <c r="AG1741" t="n">
        <v>0.0</v>
      </c>
      <c r="AH1741" t="n">
        <v>0.0</v>
      </c>
      <c r="AI1741" t="n">
        <v>0.0</v>
      </c>
      <c r="AJ1741" t="n">
        <v>0.0</v>
      </c>
      <c r="AK1741" t="inlineStr">
        <is>
          <t/>
        </is>
      </c>
      <c r="AL1741" t="inlineStr">
        <is>
          <t/>
        </is>
      </c>
    </row>
    <row r="1742">
      <c r="A1742" t="inlineStr">
        <is>
          <t>买虾不迷路🦐孕妇宝宝都适合吃的大虾</t>
        </is>
      </c>
      <c r="B1742" t="inlineStr">
        <is>
          <t>694024d0000000001f005c0c</t>
        </is>
      </c>
      <c r="C1742" s="1741" t="n">
        <f>HYPERLINK("https://www.xiaohongshu.com/explore/694024d0000000001f005c0c?xsec_token=TBzm36tUj4jhogPihZGtakWaY4X6jgzThj3H79mIfjsHY=&amp;xsec_source=pc_trdark","https://www.xiaohongshu.com/explore/694024d0000000001f005c0c?xsec_token=TBzm36tUj4jhogPihZGtakWaY4X6jgzThj3H79mIfjsHY=&amp;xsec_source=pc_trdark")</f>
        <v>0.0</v>
      </c>
      <c r="D1742" t="inlineStr">
        <is>
          <t>鲜水湾</t>
        </is>
      </c>
      <c r="E1742" t="inlineStr">
        <is>
          <t>49316638994</t>
        </is>
      </c>
      <c r="F1742" t="inlineStr">
        <is>
          <t>2025-12-15 23:10:08</t>
        </is>
      </c>
      <c r="G1742" t="inlineStr">
        <is>
          <t>图文</t>
        </is>
      </c>
      <c r="H1742" t="inlineStr">
        <is>
          <t>大虾基围虾王牌大虾厄瓜多尔白虾盐冻虾仁海洋大虾送礼顺丰包邮</t>
        </is>
      </c>
      <c r="I1742" t="inlineStr">
        <is>
          <t>690aeb7be379430001e686ac</t>
        </is>
      </c>
      <c r="J1742" t="inlineStr">
        <is>
          <t/>
        </is>
      </c>
      <c r="K1742" t="n">
        <v>0.0</v>
      </c>
      <c r="L1742" t="n">
        <v>0.0</v>
      </c>
      <c r="M1742" t="n">
        <v>0.0</v>
      </c>
      <c r="N1742" t="inlineStr">
        <is>
          <t/>
        </is>
      </c>
      <c r="O1742" t="n">
        <v>0.0</v>
      </c>
      <c r="P1742" t="n">
        <v>0.0</v>
      </c>
      <c r="Q1742" t="inlineStr">
        <is>
          <t/>
        </is>
      </c>
      <c r="R1742" t="inlineStr">
        <is>
          <t/>
        </is>
      </c>
      <c r="S1742" t="n">
        <v>0.0</v>
      </c>
      <c r="T1742" t="n">
        <v>0.0</v>
      </c>
      <c r="U1742" t="n">
        <v>0.0</v>
      </c>
      <c r="V1742" t="n">
        <v>0.0</v>
      </c>
      <c r="W1742" t="inlineStr">
        <is>
          <t/>
        </is>
      </c>
      <c r="X1742" t="n">
        <v>0.0</v>
      </c>
      <c r="Y1742" t="n">
        <v>0.0</v>
      </c>
      <c r="Z1742" t="n">
        <v>0.0</v>
      </c>
      <c r="AA1742" t="n">
        <v>0.0</v>
      </c>
      <c r="AB1742" t="n">
        <v>0.0</v>
      </c>
      <c r="AC1742" t="n">
        <v>0.0</v>
      </c>
      <c r="AD1742" t="n">
        <v>0.0</v>
      </c>
      <c r="AE1742" t="n">
        <v>0.0</v>
      </c>
      <c r="AF1742" t="n">
        <v>0.0</v>
      </c>
      <c r="AG1742" t="n">
        <v>0.0</v>
      </c>
      <c r="AH1742" t="n">
        <v>0.0</v>
      </c>
      <c r="AI1742" t="n">
        <v>0.0</v>
      </c>
      <c r="AJ1742" t="n">
        <v>0.0</v>
      </c>
      <c r="AK1742" t="inlineStr">
        <is>
          <t/>
        </is>
      </c>
      <c r="AL1742" t="inlineStr">
        <is>
          <t/>
        </is>
      </c>
    </row>
    <row r="1743">
      <c r="A1743" t="inlineStr">
        <is>
          <t>低估了200多的购买力了</t>
        </is>
      </c>
      <c r="B1743" t="inlineStr">
        <is>
          <t>694002d6000000001f00dda4</t>
        </is>
      </c>
      <c r="C1743" s="1742" t="n">
        <f>HYPERLINK("https://www.xiaohongshu.com/explore/694002d6000000001f00dda4?xsec_token=TBzm36tUj4jhogPihZGtakWQrr_kym20zAn6MsvZ2T6aU=&amp;xsec_source=pc_trdark","https://www.xiaohongshu.com/explore/694002d6000000001f00dda4?xsec_token=TBzm36tUj4jhogPihZGtakWQrr_kym20zAn6MsvZ2T6aU=&amp;xsec_source=pc_trdark")</f>
        <v>0.0</v>
      </c>
      <c r="D1743" t="inlineStr">
        <is>
          <t>鲜水湾</t>
        </is>
      </c>
      <c r="E1743" t="inlineStr">
        <is>
          <t>49316638994</t>
        </is>
      </c>
      <c r="F1743" t="inlineStr">
        <is>
          <t>2025-12-15 20:45:10</t>
        </is>
      </c>
      <c r="G1743" t="inlineStr">
        <is>
          <t>图文</t>
        </is>
      </c>
      <c r="H1743" t="inlineStr">
        <is>
          <t>智利三文鱼切块·整条三文鱼·深海鱼一人食健康饮食</t>
        </is>
      </c>
      <c r="I1743" t="inlineStr">
        <is>
          <t>691ac562a524ee0001b51d7b</t>
        </is>
      </c>
      <c r="J1743" t="inlineStr">
        <is>
          <t/>
        </is>
      </c>
      <c r="K1743" t="n">
        <v>0.0</v>
      </c>
      <c r="L1743" t="n">
        <v>0.0</v>
      </c>
      <c r="M1743" t="n">
        <v>0.0</v>
      </c>
      <c r="N1743" t="inlineStr">
        <is>
          <t/>
        </is>
      </c>
      <c r="O1743" t="n">
        <v>0.0</v>
      </c>
      <c r="P1743" t="n">
        <v>0.0</v>
      </c>
      <c r="Q1743" t="inlineStr">
        <is>
          <t/>
        </is>
      </c>
      <c r="R1743" t="inlineStr">
        <is>
          <t/>
        </is>
      </c>
      <c r="S1743" t="n">
        <v>0.0</v>
      </c>
      <c r="T1743" t="n">
        <v>0.0</v>
      </c>
      <c r="U1743" t="n">
        <v>0.0</v>
      </c>
      <c r="V1743" t="n">
        <v>0.0</v>
      </c>
      <c r="W1743" t="inlineStr">
        <is>
          <t/>
        </is>
      </c>
      <c r="X1743" t="n">
        <v>0.0</v>
      </c>
      <c r="Y1743" t="n">
        <v>0.0</v>
      </c>
      <c r="Z1743" t="n">
        <v>0.0</v>
      </c>
      <c r="AA1743" t="n">
        <v>0.0</v>
      </c>
      <c r="AB1743" t="n">
        <v>0.0</v>
      </c>
      <c r="AC1743" t="n">
        <v>0.0</v>
      </c>
      <c r="AD1743" t="n">
        <v>0.0</v>
      </c>
      <c r="AE1743" t="n">
        <v>0.0</v>
      </c>
      <c r="AF1743" t="n">
        <v>0.0</v>
      </c>
      <c r="AG1743" t="n">
        <v>0.0</v>
      </c>
      <c r="AH1743" t="n">
        <v>0.0</v>
      </c>
      <c r="AI1743" t="n">
        <v>0.0</v>
      </c>
      <c r="AJ1743" t="n">
        <v>0.0</v>
      </c>
      <c r="AK1743" t="inlineStr">
        <is>
          <t/>
        </is>
      </c>
      <c r="AL1743" t="inlineStr">
        <is>
          <t/>
        </is>
      </c>
    </row>
    <row r="1744">
      <c r="A1744" t="inlineStr">
        <is>
          <t>和老爸商量了，69.9💰3斤先给大家尝尝</t>
        </is>
      </c>
      <c r="B1744" t="inlineStr">
        <is>
          <t>693fce0e000000001f00760a</t>
        </is>
      </c>
      <c r="C1744" s="1743" t="n">
        <f>HYPERLINK("https://www.xiaohongshu.com/explore/693fce0e000000001f00760a?xsec_token=TB1R2yju8ccr97WVPo1goJUJE7_lQREmxIfGi-p-xFS4Q=&amp;xsec_source=pc_trdark","https://www.xiaohongshu.com/explore/693fce0e000000001f00760a?xsec_token=TB1R2yju8ccr97WVPo1goJUJE7_lQREmxIfGi-p-xFS4Q=&amp;xsec_source=pc_trdark")</f>
        <v>0.0</v>
      </c>
      <c r="D1744" t="inlineStr">
        <is>
          <t>鲜水湾</t>
        </is>
      </c>
      <c r="E1744" t="inlineStr">
        <is>
          <t>49316638994</t>
        </is>
      </c>
      <c r="F1744" t="inlineStr">
        <is>
          <t>2025-12-15 16:59:58</t>
        </is>
      </c>
      <c r="G1744" t="inlineStr">
        <is>
          <t>图文</t>
        </is>
      </c>
      <c r="H1744" t="inlineStr">
        <is>
          <t>大虾基围虾王牌大虾厄瓜多尔白虾盐冻虾仁海洋大虾送礼顺丰包邮</t>
        </is>
      </c>
      <c r="I1744" t="inlineStr">
        <is>
          <t>690aeb7be379430001e686ac</t>
        </is>
      </c>
      <c r="J1744" t="inlineStr">
        <is>
          <t/>
        </is>
      </c>
      <c r="K1744" t="n">
        <v>0.0</v>
      </c>
      <c r="L1744" t="n">
        <v>0.0</v>
      </c>
      <c r="M1744" t="n">
        <v>0.0</v>
      </c>
      <c r="N1744" t="inlineStr">
        <is>
          <t/>
        </is>
      </c>
      <c r="O1744" t="n">
        <v>0.0</v>
      </c>
      <c r="P1744" t="n">
        <v>0.0</v>
      </c>
      <c r="Q1744" t="inlineStr">
        <is>
          <t/>
        </is>
      </c>
      <c r="R1744" t="inlineStr">
        <is>
          <t/>
        </is>
      </c>
      <c r="S1744" t="n">
        <v>0.0</v>
      </c>
      <c r="T1744" t="n">
        <v>0.0</v>
      </c>
      <c r="U1744" t="n">
        <v>0.0</v>
      </c>
      <c r="V1744" t="n">
        <v>0.0</v>
      </c>
      <c r="W1744" t="inlineStr">
        <is>
          <t/>
        </is>
      </c>
      <c r="X1744" t="n">
        <v>0.0</v>
      </c>
      <c r="Y1744" t="n">
        <v>0.0</v>
      </c>
      <c r="Z1744" t="n">
        <v>0.0</v>
      </c>
      <c r="AA1744" t="n">
        <v>0.0</v>
      </c>
      <c r="AB1744" t="n">
        <v>0.0</v>
      </c>
      <c r="AC1744" t="n">
        <v>0.0</v>
      </c>
      <c r="AD1744" t="n">
        <v>0.0</v>
      </c>
      <c r="AE1744" t="n">
        <v>0.0</v>
      </c>
      <c r="AF1744" t="n">
        <v>0.0</v>
      </c>
      <c r="AG1744" t="n">
        <v>0.0</v>
      </c>
      <c r="AH1744" t="n">
        <v>0.0</v>
      </c>
      <c r="AI1744" t="n">
        <v>0.0</v>
      </c>
      <c r="AJ1744" t="n">
        <v>0.0</v>
      </c>
      <c r="AK1744" t="inlineStr">
        <is>
          <t/>
        </is>
      </c>
      <c r="AL1744" t="inlineStr">
        <is>
          <t/>
        </is>
      </c>
    </row>
    <row r="1745">
      <c r="A1745" t="inlineStr">
        <is>
          <t>减脂期姐妹推荐的，真有用</t>
        </is>
      </c>
      <c r="B1745" t="inlineStr">
        <is>
          <t>693fa285000000001e03035c</t>
        </is>
      </c>
      <c r="C1745" s="1744" t="n">
        <f>HYPERLINK("https://www.xiaohongshu.com/explore/693fa285000000001e03035c?xsec_token=TB1R2yju8ccr97WVPo1goJUO0tcN41VvN9nzPL-EJyyMs=&amp;xsec_source=pc_trdark","https://www.xiaohongshu.com/explore/693fa285000000001e03035c?xsec_token=TB1R2yju8ccr97WVPo1goJUO0tcN41VvN9nzPL-EJyyMs=&amp;xsec_source=pc_trdark")</f>
        <v>0.0</v>
      </c>
      <c r="D1745" t="inlineStr">
        <is>
          <t>鲜水湾</t>
        </is>
      </c>
      <c r="E1745" t="inlineStr">
        <is>
          <t>49316638994</t>
        </is>
      </c>
      <c r="F1745" t="inlineStr">
        <is>
          <t>2025-12-15 13:54:13</t>
        </is>
      </c>
      <c r="G1745" t="inlineStr">
        <is>
          <t>图文</t>
        </is>
      </c>
      <c r="H1745" t="inlineStr">
        <is>
          <t>大虾基围虾王牌大虾厄瓜多尔白虾盐冻虾仁海洋大虾送礼顺丰包邮</t>
        </is>
      </c>
      <c r="I1745" t="inlineStr">
        <is>
          <t>690aeb7be379430001e686ac</t>
        </is>
      </c>
      <c r="J1745" t="inlineStr">
        <is>
          <t/>
        </is>
      </c>
      <c r="K1745" t="n">
        <v>0.0</v>
      </c>
      <c r="L1745" t="n">
        <v>0.0</v>
      </c>
      <c r="M1745" t="n">
        <v>0.0</v>
      </c>
      <c r="N1745" t="inlineStr">
        <is>
          <t/>
        </is>
      </c>
      <c r="O1745" t="n">
        <v>0.0</v>
      </c>
      <c r="P1745" t="n">
        <v>0.0</v>
      </c>
      <c r="Q1745" t="inlineStr">
        <is>
          <t/>
        </is>
      </c>
      <c r="R1745" t="inlineStr">
        <is>
          <t/>
        </is>
      </c>
      <c r="S1745" t="n">
        <v>0.0</v>
      </c>
      <c r="T1745" t="n">
        <v>0.0</v>
      </c>
      <c r="U1745" t="n">
        <v>0.0</v>
      </c>
      <c r="V1745" t="n">
        <v>0.0</v>
      </c>
      <c r="W1745" t="inlineStr">
        <is>
          <t/>
        </is>
      </c>
      <c r="X1745" t="n">
        <v>0.0</v>
      </c>
      <c r="Y1745" t="n">
        <v>0.0</v>
      </c>
      <c r="Z1745" t="n">
        <v>0.0</v>
      </c>
      <c r="AA1745" t="n">
        <v>0.0</v>
      </c>
      <c r="AB1745" t="n">
        <v>0.0</v>
      </c>
      <c r="AC1745" t="n">
        <v>0.0</v>
      </c>
      <c r="AD1745" t="n">
        <v>0.0</v>
      </c>
      <c r="AE1745" t="n">
        <v>0.0</v>
      </c>
      <c r="AF1745" t="n">
        <v>0.0</v>
      </c>
      <c r="AG1745" t="n">
        <v>0.0</v>
      </c>
      <c r="AH1745" t="n">
        <v>0.0</v>
      </c>
      <c r="AI1745" t="n">
        <v>0.0</v>
      </c>
      <c r="AJ1745" t="n">
        <v>0.0</v>
      </c>
      <c r="AK1745" t="inlineStr">
        <is>
          <t/>
        </is>
      </c>
      <c r="AL1745" t="inlineStr">
        <is>
          <t/>
        </is>
      </c>
    </row>
    <row r="1746">
      <c r="A1746" t="inlineStr">
        <is>
          <t>感谢小红书‼️让我实现三文鱼自由</t>
        </is>
      </c>
      <c r="B1746" t="inlineStr">
        <is>
          <t>693ec388000000001e02f0d0</t>
        </is>
      </c>
      <c r="C1746" s="1745" t="n">
        <f>HYPERLINK("https://www.xiaohongshu.com/explore/693ec388000000001e02f0d0?xsec_token=TBoM4IjxTW7h2pIceDY6ppQGnMianfmmw6EHwKcS0XVwA=&amp;xsec_source=pc_trdark","https://www.xiaohongshu.com/explore/693ec388000000001e02f0d0?xsec_token=TBoM4IjxTW7h2pIceDY6ppQGnMianfmmw6EHwKcS0XVwA=&amp;xsec_source=pc_trdark")</f>
        <v>0.0</v>
      </c>
      <c r="D1746" t="inlineStr">
        <is>
          <t>鲜水湾</t>
        </is>
      </c>
      <c r="E1746" t="inlineStr">
        <is>
          <t>49316638994</t>
        </is>
      </c>
      <c r="F1746" t="inlineStr">
        <is>
          <t>2025-12-14 22:02:49</t>
        </is>
      </c>
      <c r="G1746" t="inlineStr">
        <is>
          <t>图文</t>
        </is>
      </c>
      <c r="H1746" t="inlineStr">
        <is>
          <t>智利三文鱼切块·整条三文鱼·深海鱼一人食健康饮食</t>
        </is>
      </c>
      <c r="I1746" t="inlineStr">
        <is>
          <t>691ac562a524ee0001b51d7b</t>
        </is>
      </c>
      <c r="J1746" t="inlineStr">
        <is>
          <t/>
        </is>
      </c>
      <c r="K1746" t="n">
        <v>0.0</v>
      </c>
      <c r="L1746" t="n">
        <v>0.0</v>
      </c>
      <c r="M1746" t="n">
        <v>0.0</v>
      </c>
      <c r="N1746" t="inlineStr">
        <is>
          <t/>
        </is>
      </c>
      <c r="O1746" t="n">
        <v>0.0</v>
      </c>
      <c r="P1746" t="n">
        <v>0.0</v>
      </c>
      <c r="Q1746" t="inlineStr">
        <is>
          <t/>
        </is>
      </c>
      <c r="R1746" t="inlineStr">
        <is>
          <t/>
        </is>
      </c>
      <c r="S1746" t="n">
        <v>0.0</v>
      </c>
      <c r="T1746" t="n">
        <v>0.0</v>
      </c>
      <c r="U1746" t="n">
        <v>0.0</v>
      </c>
      <c r="V1746" t="n">
        <v>0.0</v>
      </c>
      <c r="W1746" t="inlineStr">
        <is>
          <t/>
        </is>
      </c>
      <c r="X1746" t="n">
        <v>0.0</v>
      </c>
      <c r="Y1746" t="n">
        <v>0.0</v>
      </c>
      <c r="Z1746" t="n">
        <v>0.0</v>
      </c>
      <c r="AA1746" t="n">
        <v>0.0</v>
      </c>
      <c r="AB1746" t="n">
        <v>0.0</v>
      </c>
      <c r="AC1746" t="n">
        <v>0.0</v>
      </c>
      <c r="AD1746" t="n">
        <v>0.0</v>
      </c>
      <c r="AE1746" t="n">
        <v>0.0</v>
      </c>
      <c r="AF1746" t="n">
        <v>0.0</v>
      </c>
      <c r="AG1746" t="n">
        <v>0.0</v>
      </c>
      <c r="AH1746" t="n">
        <v>0.0</v>
      </c>
      <c r="AI1746" t="n">
        <v>0.0</v>
      </c>
      <c r="AJ1746" t="n">
        <v>0.0</v>
      </c>
      <c r="AK1746" t="inlineStr">
        <is>
          <t/>
        </is>
      </c>
      <c r="AL1746" t="inlineStr">
        <is>
          <t/>
        </is>
      </c>
    </row>
    <row r="1747">
      <c r="A1747" t="inlineStr">
        <is>
          <t>已瘦30斤｜吃的简单真的会掉秤🫢</t>
        </is>
      </c>
      <c r="B1747" t="inlineStr">
        <is>
          <t>693e0ff8000000001f008447</t>
        </is>
      </c>
      <c r="C1747" s="1746" t="n">
        <f>HYPERLINK("https://www.xiaohongshu.com/explore/693e0ff8000000001f008447?xsec_token=TBoM4IjxTW7h2pIceDY6ppQN8E9_r3iSLz0clFCwov7IM=&amp;xsec_source=pc_trdark","https://www.xiaohongshu.com/explore/693e0ff8000000001f008447?xsec_token=TBoM4IjxTW7h2pIceDY6ppQN8E9_r3iSLz0clFCwov7IM=&amp;xsec_source=pc_trdark")</f>
        <v>0.0</v>
      </c>
      <c r="D1747" t="inlineStr">
        <is>
          <t>鲜水湾</t>
        </is>
      </c>
      <c r="E1747" t="inlineStr">
        <is>
          <t>49316638994</t>
        </is>
      </c>
      <c r="F1747" t="inlineStr">
        <is>
          <t>2025-12-14 09:16:40</t>
        </is>
      </c>
      <c r="G1747" t="inlineStr">
        <is>
          <t>图文</t>
        </is>
      </c>
      <c r="H1747" t="inlineStr">
        <is>
          <t>大虾基围虾王牌大虾厄瓜多尔白虾盐冻虾仁海洋大虾送礼顺丰包邮</t>
        </is>
      </c>
      <c r="I1747" t="inlineStr">
        <is>
          <t>690aeb7be379430001e686ac</t>
        </is>
      </c>
      <c r="J1747" t="inlineStr">
        <is>
          <t/>
        </is>
      </c>
      <c r="K1747" t="n">
        <v>0.0</v>
      </c>
      <c r="L1747" t="n">
        <v>0.0</v>
      </c>
      <c r="M1747" t="n">
        <v>0.0</v>
      </c>
      <c r="N1747" t="inlineStr">
        <is>
          <t/>
        </is>
      </c>
      <c r="O1747" t="n">
        <v>0.0</v>
      </c>
      <c r="P1747" t="n">
        <v>0.0</v>
      </c>
      <c r="Q1747" t="inlineStr">
        <is>
          <t/>
        </is>
      </c>
      <c r="R1747" t="inlineStr">
        <is>
          <t/>
        </is>
      </c>
      <c r="S1747" t="n">
        <v>0.0</v>
      </c>
      <c r="T1747" t="n">
        <v>0.0</v>
      </c>
      <c r="U1747" t="n">
        <v>0.0</v>
      </c>
      <c r="V1747" t="n">
        <v>0.0</v>
      </c>
      <c r="W1747" t="inlineStr">
        <is>
          <t/>
        </is>
      </c>
      <c r="X1747" t="n">
        <v>0.0</v>
      </c>
      <c r="Y1747" t="n">
        <v>0.0</v>
      </c>
      <c r="Z1747" t="n">
        <v>0.0</v>
      </c>
      <c r="AA1747" t="n">
        <v>0.0</v>
      </c>
      <c r="AB1747" t="n">
        <v>0.0</v>
      </c>
      <c r="AC1747" t="n">
        <v>0.0</v>
      </c>
      <c r="AD1747" t="n">
        <v>0.0</v>
      </c>
      <c r="AE1747" t="n">
        <v>0.0</v>
      </c>
      <c r="AF1747" t="n">
        <v>0.0</v>
      </c>
      <c r="AG1747" t="n">
        <v>0.0</v>
      </c>
      <c r="AH1747" t="n">
        <v>0.0</v>
      </c>
      <c r="AI1747" t="n">
        <v>0.0</v>
      </c>
      <c r="AJ1747" t="n">
        <v>0.0</v>
      </c>
      <c r="AK1747" t="inlineStr">
        <is>
          <t/>
        </is>
      </c>
      <c r="AL1747" t="inlineStr">
        <is>
          <t/>
        </is>
      </c>
    </row>
    <row r="1748">
      <c r="A1748" t="inlineStr">
        <is>
          <t>我妈让我通知各位：整条鱼200多可以冲了‼️</t>
        </is>
      </c>
      <c r="B1748" t="inlineStr">
        <is>
          <t>693d2cdc000000001f0075a4</t>
        </is>
      </c>
      <c r="C1748" s="1747" t="n">
        <f>HYPERLINK("https://www.xiaohongshu.com/explore/693d2cdc000000001f0075a4?xsec_token=TBz651BHP1Dr15NeLsAqSGPgl1sDuSofFc9NSt7WNS2cs=&amp;xsec_source=pc_trdark","https://www.xiaohongshu.com/explore/693d2cdc000000001f0075a4?xsec_token=TBz651BHP1Dr15NeLsAqSGPgl1sDuSofFc9NSt7WNS2cs=&amp;xsec_source=pc_trdark")</f>
        <v>0.0</v>
      </c>
      <c r="D1748" t="inlineStr">
        <is>
          <t>鲜水湾</t>
        </is>
      </c>
      <c r="E1748" t="inlineStr">
        <is>
          <t>49316638994</t>
        </is>
      </c>
      <c r="F1748" t="inlineStr">
        <is>
          <t>2025-12-13 17:07:40</t>
        </is>
      </c>
      <c r="G1748" t="inlineStr">
        <is>
          <t>图文</t>
        </is>
      </c>
      <c r="H1748" t="inlineStr">
        <is>
          <t>智利三文鱼切块·整条三文鱼·深海鱼一人食健康饮食</t>
        </is>
      </c>
      <c r="I1748" t="inlineStr">
        <is>
          <t>691ac562a524ee0001b51d7b</t>
        </is>
      </c>
      <c r="J1748" t="inlineStr">
        <is>
          <t/>
        </is>
      </c>
      <c r="K1748" t="n">
        <v>0.0</v>
      </c>
      <c r="L1748" t="n">
        <v>0.0</v>
      </c>
      <c r="M1748" t="n">
        <v>0.0</v>
      </c>
      <c r="N1748" t="inlineStr">
        <is>
          <t/>
        </is>
      </c>
      <c r="O1748" t="n">
        <v>0.0</v>
      </c>
      <c r="P1748" t="n">
        <v>0.0</v>
      </c>
      <c r="Q1748" t="inlineStr">
        <is>
          <t/>
        </is>
      </c>
      <c r="R1748" t="inlineStr">
        <is>
          <t/>
        </is>
      </c>
      <c r="S1748" t="n">
        <v>0.0</v>
      </c>
      <c r="T1748" t="n">
        <v>0.0</v>
      </c>
      <c r="U1748" t="n">
        <v>0.0</v>
      </c>
      <c r="V1748" t="n">
        <v>0.0</v>
      </c>
      <c r="W1748" t="inlineStr">
        <is>
          <t/>
        </is>
      </c>
      <c r="X1748" t="n">
        <v>0.0</v>
      </c>
      <c r="Y1748" t="n">
        <v>0.0</v>
      </c>
      <c r="Z1748" t="n">
        <v>0.0</v>
      </c>
      <c r="AA1748" t="n">
        <v>0.0</v>
      </c>
      <c r="AB1748" t="n">
        <v>0.0</v>
      </c>
      <c r="AC1748" t="n">
        <v>0.0</v>
      </c>
      <c r="AD1748" t="n">
        <v>0.0</v>
      </c>
      <c r="AE1748" t="n">
        <v>0.0</v>
      </c>
      <c r="AF1748" t="n">
        <v>0.0</v>
      </c>
      <c r="AG1748" t="n">
        <v>0.0</v>
      </c>
      <c r="AH1748" t="n">
        <v>0.0</v>
      </c>
      <c r="AI1748" t="n">
        <v>0.0</v>
      </c>
      <c r="AJ1748" t="n">
        <v>0.0</v>
      </c>
      <c r="AK1748" t="inlineStr">
        <is>
          <t/>
        </is>
      </c>
      <c r="AL1748" t="inlineStr">
        <is>
          <t/>
        </is>
      </c>
    </row>
    <row r="1749">
      <c r="A1749" t="inlineStr">
        <is>
          <t>我q。。。😳小红书给的券也太大了吧</t>
        </is>
      </c>
      <c r="B1749" t="inlineStr">
        <is>
          <t>693cfb90000000001f00793f</t>
        </is>
      </c>
      <c r="C1749" s="1748" t="n">
        <f>HYPERLINK("https://www.xiaohongshu.com/explore/693cfb90000000001f00793f?xsec_token=TBby_8TUlAJfj-jHsmZvLUDZtW2_h8p59gEWad8lYQS54=&amp;xsec_source=pc_trdark","https://www.xiaohongshu.com/explore/693cfb90000000001f00793f?xsec_token=TBby_8TUlAJfj-jHsmZvLUDZtW2_h8p59gEWad8lYQS54=&amp;xsec_source=pc_trdark")</f>
        <v>0.0</v>
      </c>
      <c r="D1749" t="inlineStr">
        <is>
          <t>鲜水湾</t>
        </is>
      </c>
      <c r="E1749" t="inlineStr">
        <is>
          <t>49316638994</t>
        </is>
      </c>
      <c r="F1749" t="inlineStr">
        <is>
          <t>2025-12-13 13:37:20</t>
        </is>
      </c>
      <c r="G1749" t="inlineStr">
        <is>
          <t>图文</t>
        </is>
      </c>
      <c r="H1749" t="inlineStr">
        <is>
          <t>智利三文鱼切块·整条三文鱼·深海鱼一人食健康饮食</t>
        </is>
      </c>
      <c r="I1749" t="inlineStr">
        <is>
          <t>691ac562a524ee0001b51d7b</t>
        </is>
      </c>
      <c r="J1749" t="inlineStr">
        <is>
          <t/>
        </is>
      </c>
      <c r="K1749" t="n">
        <v>0.0</v>
      </c>
      <c r="L1749" t="n">
        <v>0.0</v>
      </c>
      <c r="M1749" t="n">
        <v>0.0</v>
      </c>
      <c r="N1749" t="inlineStr">
        <is>
          <t/>
        </is>
      </c>
      <c r="O1749" t="n">
        <v>0.0</v>
      </c>
      <c r="P1749" t="n">
        <v>0.0</v>
      </c>
      <c r="Q1749" t="inlineStr">
        <is>
          <t/>
        </is>
      </c>
      <c r="R1749" t="inlineStr">
        <is>
          <t/>
        </is>
      </c>
      <c r="S1749" t="n">
        <v>0.0</v>
      </c>
      <c r="T1749" t="n">
        <v>0.0</v>
      </c>
      <c r="U1749" t="n">
        <v>0.0</v>
      </c>
      <c r="V1749" t="n">
        <v>0.0</v>
      </c>
      <c r="W1749" t="inlineStr">
        <is>
          <t/>
        </is>
      </c>
      <c r="X1749" t="n">
        <v>0.0</v>
      </c>
      <c r="Y1749" t="n">
        <v>0.0</v>
      </c>
      <c r="Z1749" t="n">
        <v>0.0</v>
      </c>
      <c r="AA1749" t="n">
        <v>0.0</v>
      </c>
      <c r="AB1749" t="n">
        <v>0.0</v>
      </c>
      <c r="AC1749" t="n">
        <v>0.0</v>
      </c>
      <c r="AD1749" t="n">
        <v>0.0</v>
      </c>
      <c r="AE1749" t="n">
        <v>0.0</v>
      </c>
      <c r="AF1749" t="n">
        <v>0.0</v>
      </c>
      <c r="AG1749" t="n">
        <v>0.0</v>
      </c>
      <c r="AH1749" t="n">
        <v>0.0</v>
      </c>
      <c r="AI1749" t="n">
        <v>0.0</v>
      </c>
      <c r="AJ1749" t="n">
        <v>0.0</v>
      </c>
      <c r="AK1749" t="inlineStr">
        <is>
          <t/>
        </is>
      </c>
      <c r="AL1749" t="inlineStr">
        <is>
          <t/>
        </is>
      </c>
    </row>
    <row r="1750">
      <c r="A1750" t="inlineStr">
        <is>
          <t>要不是吃虾瘦的快，我早就不吃了！</t>
        </is>
      </c>
      <c r="B1750" t="inlineStr">
        <is>
          <t>693c089e000000001f00b833</t>
        </is>
      </c>
      <c r="C1750" s="1749" t="n">
        <f>HYPERLINK("https://www.xiaohongshu.com/explore/693c089e000000001f00b833?xsec_token=TBby_8TUlAJfj-jHsmZvLUDQadctlSDj2QnDumqshe8Is=&amp;xsec_source=pc_trdark","https://www.xiaohongshu.com/explore/693c089e000000001f00b833?xsec_token=TBby_8TUlAJfj-jHsmZvLUDQadctlSDj2QnDumqshe8Is=&amp;xsec_source=pc_trdark")</f>
        <v>0.0</v>
      </c>
      <c r="D1750" t="inlineStr">
        <is>
          <t>鲜水湾</t>
        </is>
      </c>
      <c r="E1750" t="inlineStr">
        <is>
          <t>49316638994</t>
        </is>
      </c>
      <c r="F1750" t="inlineStr">
        <is>
          <t>2025-12-12 20:20:46</t>
        </is>
      </c>
      <c r="G1750" t="inlineStr">
        <is>
          <t>图文</t>
        </is>
      </c>
      <c r="H1750" t="inlineStr">
        <is>
          <t>大虾基围虾王牌大虾厄瓜多尔白虾盐冻虾仁海洋大虾送礼顺丰包邮</t>
        </is>
      </c>
      <c r="I1750" t="inlineStr">
        <is>
          <t>690aeb7be379430001e686ac</t>
        </is>
      </c>
      <c r="J1750" t="inlineStr">
        <is>
          <t/>
        </is>
      </c>
      <c r="K1750" t="n">
        <v>0.0</v>
      </c>
      <c r="L1750" t="n">
        <v>0.0</v>
      </c>
      <c r="M1750" t="n">
        <v>0.0</v>
      </c>
      <c r="N1750" t="inlineStr">
        <is>
          <t/>
        </is>
      </c>
      <c r="O1750" t="n">
        <v>0.0</v>
      </c>
      <c r="P1750" t="n">
        <v>0.0</v>
      </c>
      <c r="Q1750" t="inlineStr">
        <is>
          <t/>
        </is>
      </c>
      <c r="R1750" t="inlineStr">
        <is>
          <t/>
        </is>
      </c>
      <c r="S1750" t="n">
        <v>0.0</v>
      </c>
      <c r="T1750" t="n">
        <v>0.0</v>
      </c>
      <c r="U1750" t="n">
        <v>0.0</v>
      </c>
      <c r="V1750" t="n">
        <v>0.0</v>
      </c>
      <c r="W1750" t="inlineStr">
        <is>
          <t/>
        </is>
      </c>
      <c r="X1750" t="n">
        <v>0.0</v>
      </c>
      <c r="Y1750" t="n">
        <v>0.0</v>
      </c>
      <c r="Z1750" t="n">
        <v>0.0</v>
      </c>
      <c r="AA1750" t="n">
        <v>0.0</v>
      </c>
      <c r="AB1750" t="n">
        <v>0.0</v>
      </c>
      <c r="AC1750" t="n">
        <v>0.0</v>
      </c>
      <c r="AD1750" t="n">
        <v>0.0</v>
      </c>
      <c r="AE1750" t="n">
        <v>0.0</v>
      </c>
      <c r="AF1750" t="n">
        <v>0.0</v>
      </c>
      <c r="AG1750" t="n">
        <v>0.0</v>
      </c>
      <c r="AH1750" t="n">
        <v>0.0</v>
      </c>
      <c r="AI1750" t="n">
        <v>0.0</v>
      </c>
      <c r="AJ1750" t="n">
        <v>0.0</v>
      </c>
      <c r="AK1750" t="inlineStr">
        <is>
          <t/>
        </is>
      </c>
      <c r="AL1750" t="inlineStr">
        <is>
          <t/>
        </is>
      </c>
    </row>
    <row r="1751">
      <c r="A1751" t="inlineStr">
        <is>
          <t>我妈让我抓紧宣传下，40来块一斤还包邮</t>
        </is>
      </c>
      <c r="B1751" t="inlineStr">
        <is>
          <t>693bc2f0000000001e03b9ab</t>
        </is>
      </c>
      <c r="C1751" s="1750" t="n">
        <f>HYPERLINK("https://www.xiaohongshu.com/explore/693bc2f0000000001e03b9ab?xsec_token=TBehUwc4QxLaaQbLqKc-ieHr6izQXYwFqEiKFOzdPmOkI=&amp;xsec_source=pc_trdark","https://www.xiaohongshu.com/explore/693bc2f0000000001e03b9ab?xsec_token=TBehUwc4QxLaaQbLqKc-ieHr6izQXYwFqEiKFOzdPmOkI=&amp;xsec_source=pc_trdark")</f>
        <v>0.0</v>
      </c>
      <c r="D1751" t="inlineStr">
        <is>
          <t>鲜水湾</t>
        </is>
      </c>
      <c r="E1751" t="inlineStr">
        <is>
          <t>49316638994</t>
        </is>
      </c>
      <c r="F1751" t="inlineStr">
        <is>
          <t>2025-12-12 15:23:28</t>
        </is>
      </c>
      <c r="G1751" t="inlineStr">
        <is>
          <t>图文</t>
        </is>
      </c>
      <c r="H1751" t="inlineStr">
        <is>
          <t>智利三文鱼切块·整条三文鱼·深海鱼一人食健康饮食</t>
        </is>
      </c>
      <c r="I1751" t="inlineStr">
        <is>
          <t>691ac562a524ee0001b51d7b</t>
        </is>
      </c>
      <c r="J1751" t="inlineStr">
        <is>
          <t/>
        </is>
      </c>
      <c r="K1751" t="n">
        <v>0.0</v>
      </c>
      <c r="L1751" t="n">
        <v>0.0</v>
      </c>
      <c r="M1751" t="n">
        <v>0.0</v>
      </c>
      <c r="N1751" t="inlineStr">
        <is>
          <t/>
        </is>
      </c>
      <c r="O1751" t="n">
        <v>0.0</v>
      </c>
      <c r="P1751" t="n">
        <v>0.0</v>
      </c>
      <c r="Q1751" t="inlineStr">
        <is>
          <t/>
        </is>
      </c>
      <c r="R1751" t="inlineStr">
        <is>
          <t/>
        </is>
      </c>
      <c r="S1751" t="n">
        <v>0.0</v>
      </c>
      <c r="T1751" t="n">
        <v>0.0</v>
      </c>
      <c r="U1751" t="n">
        <v>0.0</v>
      </c>
      <c r="V1751" t="n">
        <v>0.0</v>
      </c>
      <c r="W1751" t="inlineStr">
        <is>
          <t/>
        </is>
      </c>
      <c r="X1751" t="n">
        <v>0.0</v>
      </c>
      <c r="Y1751" t="n">
        <v>0.0</v>
      </c>
      <c r="Z1751" t="n">
        <v>0.0</v>
      </c>
      <c r="AA1751" t="n">
        <v>0.0</v>
      </c>
      <c r="AB1751" t="n">
        <v>0.0</v>
      </c>
      <c r="AC1751" t="n">
        <v>0.0</v>
      </c>
      <c r="AD1751" t="n">
        <v>0.0</v>
      </c>
      <c r="AE1751" t="n">
        <v>0.0</v>
      </c>
      <c r="AF1751" t="n">
        <v>0.0</v>
      </c>
      <c r="AG1751" t="n">
        <v>0.0</v>
      </c>
      <c r="AH1751" t="n">
        <v>0.0</v>
      </c>
      <c r="AI1751" t="n">
        <v>0.0</v>
      </c>
      <c r="AJ1751" t="n">
        <v>0.0</v>
      </c>
      <c r="AK1751" t="inlineStr">
        <is>
          <t/>
        </is>
      </c>
      <c r="AL1751" t="inlineStr">
        <is>
          <t/>
        </is>
      </c>
    </row>
    <row r="1752">
      <c r="A1752" t="inlineStr">
        <is>
          <t>不愧是健身教练推荐的！抗炎神器</t>
        </is>
      </c>
      <c r="B1752" t="inlineStr">
        <is>
          <t>693ad1d4000000001e02025e</t>
        </is>
      </c>
      <c r="C1752" s="1751" t="n">
        <f>HYPERLINK("https://www.xiaohongshu.com/explore/693ad1d4000000001e02025e?xsec_token=TBSe-eT4tPFhzXSmwZAcjHHyafMYmfcrkSqIihNjLOj3Q=&amp;xsec_source=pc_trdark","https://www.xiaohongshu.com/explore/693ad1d4000000001e02025e?xsec_token=TBSe-eT4tPFhzXSmwZAcjHHyafMYmfcrkSqIihNjLOj3Q=&amp;xsec_source=pc_trdark")</f>
        <v>0.0</v>
      </c>
      <c r="D1752" t="inlineStr">
        <is>
          <t>鲜水湾</t>
        </is>
      </c>
      <c r="E1752" t="inlineStr">
        <is>
          <t>49316638994</t>
        </is>
      </c>
      <c r="F1752" t="inlineStr">
        <is>
          <t>2025-12-11 22:14:44</t>
        </is>
      </c>
      <c r="G1752" t="inlineStr">
        <is>
          <t>图文</t>
        </is>
      </c>
      <c r="H1752" t="inlineStr">
        <is>
          <t>智利三文鱼切块·整条三文鱼·深海鱼一人食健康饮食</t>
        </is>
      </c>
      <c r="I1752" t="inlineStr">
        <is>
          <t>691ac562a524ee0001b51d7b</t>
        </is>
      </c>
      <c r="J1752" t="inlineStr">
        <is>
          <t/>
        </is>
      </c>
      <c r="K1752" t="n">
        <v>0.0</v>
      </c>
      <c r="L1752" t="n">
        <v>0.0</v>
      </c>
      <c r="M1752" t="n">
        <v>0.0</v>
      </c>
      <c r="N1752" t="inlineStr">
        <is>
          <t/>
        </is>
      </c>
      <c r="O1752" t="n">
        <v>0.0</v>
      </c>
      <c r="P1752" t="n">
        <v>0.0</v>
      </c>
      <c r="Q1752" t="inlineStr">
        <is>
          <t/>
        </is>
      </c>
      <c r="R1752" t="inlineStr">
        <is>
          <t/>
        </is>
      </c>
      <c r="S1752" t="n">
        <v>0.0</v>
      </c>
      <c r="T1752" t="n">
        <v>0.0</v>
      </c>
      <c r="U1752" t="n">
        <v>0.0</v>
      </c>
      <c r="V1752" t="n">
        <v>0.0</v>
      </c>
      <c r="W1752" t="inlineStr">
        <is>
          <t/>
        </is>
      </c>
      <c r="X1752" t="n">
        <v>0.0</v>
      </c>
      <c r="Y1752" t="n">
        <v>0.0</v>
      </c>
      <c r="Z1752" t="n">
        <v>0.0</v>
      </c>
      <c r="AA1752" t="n">
        <v>0.0</v>
      </c>
      <c r="AB1752" t="n">
        <v>0.0</v>
      </c>
      <c r="AC1752" t="n">
        <v>0.0</v>
      </c>
      <c r="AD1752" t="n">
        <v>0.0</v>
      </c>
      <c r="AE1752" t="n">
        <v>0.0</v>
      </c>
      <c r="AF1752" t="n">
        <v>0.0</v>
      </c>
      <c r="AG1752" t="n">
        <v>0.0</v>
      </c>
      <c r="AH1752" t="n">
        <v>0.0</v>
      </c>
      <c r="AI1752" t="n">
        <v>0.0</v>
      </c>
      <c r="AJ1752" t="n">
        <v>0.0</v>
      </c>
      <c r="AK1752" t="inlineStr">
        <is>
          <t/>
        </is>
      </c>
      <c r="AL1752" t="inlineStr">
        <is>
          <t/>
        </is>
      </c>
    </row>
    <row r="1753">
      <c r="A1753" t="inlineStr">
        <is>
          <t>建议十二月狠狠吃生蚝，40+一箱的生蚝真嫩~</t>
        </is>
      </c>
      <c r="B1753" t="inlineStr">
        <is>
          <t>693a3eff000000001d03cdbe</t>
        </is>
      </c>
      <c r="C1753" s="1752" t="n">
        <f>HYPERLINK("https://www.xiaohongshu.com/explore/693a3eff000000001d03cdbe?xsec_token=TBSe-eT4tPFhzXSmwZAcjHHzmieHTnjkTL_S03ZMh_jG0=&amp;xsec_source=pc_trdark","https://www.xiaohongshu.com/explore/693a3eff000000001d03cdbe?xsec_token=TBSe-eT4tPFhzXSmwZAcjHHzmieHTnjkTL_S03ZMh_jG0=&amp;xsec_source=pc_trdark")</f>
        <v>0.0</v>
      </c>
      <c r="D1753" t="inlineStr">
        <is>
          <t>婉婉上班吃什么</t>
        </is>
      </c>
      <c r="E1753" t="inlineStr">
        <is>
          <t>11434449706</t>
        </is>
      </c>
      <c r="F1753" t="inlineStr">
        <is>
          <t>2025-12-11 11:48:15</t>
        </is>
      </c>
      <c r="G1753" t="inlineStr">
        <is>
          <t>视频</t>
        </is>
      </c>
      <c r="H1753" t="inlineStr">
        <is>
          <t>生蚝乳山生蚝海蛎子顺丰包邮</t>
        </is>
      </c>
      <c r="I1753" t="inlineStr">
        <is>
          <t>690c70971b787900010866cc</t>
        </is>
      </c>
      <c r="J1753" t="n">
        <v>25.0</v>
      </c>
      <c r="K1753" t="n">
        <v>0.0</v>
      </c>
      <c r="L1753" t="n">
        <v>0.0</v>
      </c>
      <c r="M1753" t="n">
        <v>0.0</v>
      </c>
      <c r="N1753" t="inlineStr">
        <is>
          <t/>
        </is>
      </c>
      <c r="O1753" t="n">
        <v>0.0</v>
      </c>
      <c r="P1753" t="n">
        <v>0.0</v>
      </c>
      <c r="Q1753" t="inlineStr">
        <is>
          <t/>
        </is>
      </c>
      <c r="R1753" t="inlineStr">
        <is>
          <t/>
        </is>
      </c>
      <c r="S1753" t="n">
        <v>0.0</v>
      </c>
      <c r="T1753" t="n">
        <v>0.0</v>
      </c>
      <c r="U1753" t="n">
        <v>0.0</v>
      </c>
      <c r="V1753" t="n">
        <v>0.0</v>
      </c>
      <c r="W1753" t="inlineStr">
        <is>
          <t/>
        </is>
      </c>
      <c r="X1753" t="n">
        <v>0.0</v>
      </c>
      <c r="Y1753" t="n">
        <v>0.0</v>
      </c>
      <c r="Z1753" t="n">
        <v>0.0</v>
      </c>
      <c r="AA1753" t="n">
        <v>0.0</v>
      </c>
      <c r="AB1753" t="n">
        <v>0.0</v>
      </c>
      <c r="AC1753" t="n">
        <v>0.0</v>
      </c>
      <c r="AD1753" t="n">
        <v>0.0</v>
      </c>
      <c r="AE1753" t="n">
        <v>0.0</v>
      </c>
      <c r="AF1753" t="n">
        <v>0.0</v>
      </c>
      <c r="AG1753" t="n">
        <v>0.0</v>
      </c>
      <c r="AH1753" t="n">
        <v>0.0</v>
      </c>
      <c r="AI1753" t="n">
        <v>0.0</v>
      </c>
      <c r="AJ1753" t="n">
        <v>0.0</v>
      </c>
      <c r="AK1753" t="inlineStr">
        <is>
          <t/>
        </is>
      </c>
      <c r="AL1753" t="inlineStr">
        <is>
          <t/>
        </is>
      </c>
    </row>
    <row r="1754">
      <c r="A1754" t="inlineStr">
        <is>
          <t>现在年轻人对60来块，毫无毫无概念！</t>
        </is>
      </c>
      <c r="B1754" t="inlineStr">
        <is>
          <t>69397713000000001e032977</t>
        </is>
      </c>
      <c r="C1754" s="1753" t="n">
        <f>HYPERLINK("https://www.xiaohongshu.com/explore/69397713000000001e032977?xsec_token=TBaopk6NP1Kn3Gui1O5R_ovt-gQJhUCkzFEl628TZuvkA=&amp;xsec_source=pc_trdark","https://www.xiaohongshu.com/explore/69397713000000001e032977?xsec_token=TBaopk6NP1Kn3Gui1O5R_ovt-gQJhUCkzFEl628TZuvkA=&amp;xsec_source=pc_trdark")</f>
        <v>0.0</v>
      </c>
      <c r="D1754" t="inlineStr">
        <is>
          <t>鲜水湾</t>
        </is>
      </c>
      <c r="E1754" t="inlineStr">
        <is>
          <t>49316638994</t>
        </is>
      </c>
      <c r="F1754" t="inlineStr">
        <is>
          <t>2025-12-10 21:35:15</t>
        </is>
      </c>
      <c r="G1754" t="inlineStr">
        <is>
          <t>图文</t>
        </is>
      </c>
      <c r="H1754" t="inlineStr">
        <is>
          <t>智利三文鱼切块·整条三文鱼·深海鱼一人食健康饮食</t>
        </is>
      </c>
      <c r="I1754" t="inlineStr">
        <is>
          <t>691ac562a524ee0001b51d7b</t>
        </is>
      </c>
      <c r="J1754" t="inlineStr">
        <is>
          <t/>
        </is>
      </c>
      <c r="K1754" t="n">
        <v>0.0</v>
      </c>
      <c r="L1754" t="n">
        <v>0.0</v>
      </c>
      <c r="M1754" t="n">
        <v>0.0</v>
      </c>
      <c r="N1754" t="inlineStr">
        <is>
          <t/>
        </is>
      </c>
      <c r="O1754" t="n">
        <v>0.0</v>
      </c>
      <c r="P1754" t="n">
        <v>0.0</v>
      </c>
      <c r="Q1754" t="inlineStr">
        <is>
          <t/>
        </is>
      </c>
      <c r="R1754" t="inlineStr">
        <is>
          <t/>
        </is>
      </c>
      <c r="S1754" t="n">
        <v>0.0</v>
      </c>
      <c r="T1754" t="n">
        <v>0.0</v>
      </c>
      <c r="U1754" t="n">
        <v>0.0</v>
      </c>
      <c r="V1754" t="n">
        <v>0.0</v>
      </c>
      <c r="W1754" t="inlineStr">
        <is>
          <t/>
        </is>
      </c>
      <c r="X1754" t="n">
        <v>0.0</v>
      </c>
      <c r="Y1754" t="n">
        <v>0.0</v>
      </c>
      <c r="Z1754" t="n">
        <v>0.0</v>
      </c>
      <c r="AA1754" t="n">
        <v>0.0</v>
      </c>
      <c r="AB1754" t="n">
        <v>0.0</v>
      </c>
      <c r="AC1754" t="n">
        <v>0.0</v>
      </c>
      <c r="AD1754" t="n">
        <v>0.0</v>
      </c>
      <c r="AE1754" t="n">
        <v>0.0</v>
      </c>
      <c r="AF1754" t="n">
        <v>0.0</v>
      </c>
      <c r="AG1754" t="n">
        <v>0.0</v>
      </c>
      <c r="AH1754" t="n">
        <v>0.0</v>
      </c>
      <c r="AI1754" t="n">
        <v>0.0</v>
      </c>
      <c r="AJ1754" t="n">
        <v>0.0</v>
      </c>
      <c r="AK1754" t="inlineStr">
        <is>
          <t/>
        </is>
      </c>
      <c r="AL1754" t="inlineStr">
        <is>
          <t/>
        </is>
      </c>
    </row>
    <row r="1755">
      <c r="A1755" t="inlineStr">
        <is>
          <t>月掉10斤的秘诀～原来都在这个三文鱼身上</t>
        </is>
      </c>
      <c r="B1755" t="inlineStr">
        <is>
          <t>693935cf000000001e02bdfb</t>
        </is>
      </c>
      <c r="C1755" s="1754" t="n">
        <f>HYPERLINK("https://www.xiaohongshu.com/explore/693935cf000000001e02bdfb?xsec_token=TBaopk6NP1Kn3Gui1O5R_ovsTnM_jal7Uk8AmCVptIfvw=&amp;xsec_source=pc_trdark","https://www.xiaohongshu.com/explore/693935cf000000001e02bdfb?xsec_token=TBaopk6NP1Kn3Gui1O5R_ovsTnM_jal7Uk8AmCVptIfvw=&amp;xsec_source=pc_trdark")</f>
        <v>0.0</v>
      </c>
      <c r="D1755" t="inlineStr">
        <is>
          <t>鲜水湾</t>
        </is>
      </c>
      <c r="E1755" t="inlineStr">
        <is>
          <t>49316638994</t>
        </is>
      </c>
      <c r="F1755" t="inlineStr">
        <is>
          <t>2025-12-10 16:56:47</t>
        </is>
      </c>
      <c r="G1755" t="inlineStr">
        <is>
          <t>图文</t>
        </is>
      </c>
      <c r="H1755" t="inlineStr">
        <is>
          <t>智利三文鱼切块·整条三文鱼·深海鱼一人食健康饮食</t>
        </is>
      </c>
      <c r="I1755" t="inlineStr">
        <is>
          <t>691ac562a524ee0001b51d7b</t>
        </is>
      </c>
      <c r="J1755" t="inlineStr">
        <is>
          <t/>
        </is>
      </c>
      <c r="K1755" t="n">
        <v>0.0</v>
      </c>
      <c r="L1755" t="n">
        <v>0.0</v>
      </c>
      <c r="M1755" t="n">
        <v>0.0</v>
      </c>
      <c r="N1755" t="inlineStr">
        <is>
          <t/>
        </is>
      </c>
      <c r="O1755" t="n">
        <v>0.0</v>
      </c>
      <c r="P1755" t="n">
        <v>0.0</v>
      </c>
      <c r="Q1755" t="inlineStr">
        <is>
          <t/>
        </is>
      </c>
      <c r="R1755" t="inlineStr">
        <is>
          <t/>
        </is>
      </c>
      <c r="S1755" t="n">
        <v>0.0</v>
      </c>
      <c r="T1755" t="n">
        <v>0.0</v>
      </c>
      <c r="U1755" t="n">
        <v>0.0</v>
      </c>
      <c r="V1755" t="n">
        <v>0.0</v>
      </c>
      <c r="W1755" t="inlineStr">
        <is>
          <t/>
        </is>
      </c>
      <c r="X1755" t="n">
        <v>0.0</v>
      </c>
      <c r="Y1755" t="n">
        <v>0.0</v>
      </c>
      <c r="Z1755" t="n">
        <v>0.0</v>
      </c>
      <c r="AA1755" t="n">
        <v>0.0</v>
      </c>
      <c r="AB1755" t="n">
        <v>0.0</v>
      </c>
      <c r="AC1755" t="n">
        <v>0.0</v>
      </c>
      <c r="AD1755" t="n">
        <v>0.0</v>
      </c>
      <c r="AE1755" t="n">
        <v>0.0</v>
      </c>
      <c r="AF1755" t="n">
        <v>0.0</v>
      </c>
      <c r="AG1755" t="n">
        <v>0.0</v>
      </c>
      <c r="AH1755" t="n">
        <v>0.0</v>
      </c>
      <c r="AI1755" t="n">
        <v>0.0</v>
      </c>
      <c r="AJ1755" t="n">
        <v>0.0</v>
      </c>
      <c r="AK1755" t="inlineStr">
        <is>
          <t/>
        </is>
      </c>
      <c r="AL1755" t="inlineStr">
        <is>
          <t/>
        </is>
      </c>
    </row>
    <row r="1756">
      <c r="A1756" t="inlineStr">
        <is>
          <t>跟爸妈商量后，一整条只需360💰</t>
        </is>
      </c>
      <c r="B1756" t="inlineStr">
        <is>
          <t>69382453000000001e023427</t>
        </is>
      </c>
      <c r="C1756" s="1755" t="n">
        <f>HYPERLINK("https://www.xiaohongshu.com/explore/69382453000000001e023427?xsec_token=TB0A09PqRCzsPFC3N13yAkHBSc4FjeHxA6IJUCtKGi4Z8=&amp;xsec_source=pc_trdark","https://www.xiaohongshu.com/explore/69382453000000001e023427?xsec_token=TB0A09PqRCzsPFC3N13yAkHBSc4FjeHxA6IJUCtKGi4Z8=&amp;xsec_source=pc_trdark")</f>
        <v>0.0</v>
      </c>
      <c r="D1756" t="inlineStr">
        <is>
          <t>鲜水湾</t>
        </is>
      </c>
      <c r="E1756" t="inlineStr">
        <is>
          <t>49316638994</t>
        </is>
      </c>
      <c r="F1756" t="inlineStr">
        <is>
          <t>2025-12-09 21:29:55</t>
        </is>
      </c>
      <c r="G1756" t="inlineStr">
        <is>
          <t>图文</t>
        </is>
      </c>
      <c r="H1756" t="inlineStr">
        <is>
          <t>智利三文鱼切块·整条三文鱼·深海鱼一人食健康饮食</t>
        </is>
      </c>
      <c r="I1756" t="inlineStr">
        <is>
          <t>691ac562a524ee0001b51d7b</t>
        </is>
      </c>
      <c r="J1756" t="inlineStr">
        <is>
          <t/>
        </is>
      </c>
      <c r="K1756" t="n">
        <v>0.0</v>
      </c>
      <c r="L1756" t="n">
        <v>0.0</v>
      </c>
      <c r="M1756" t="n">
        <v>0.0</v>
      </c>
      <c r="N1756" t="inlineStr">
        <is>
          <t/>
        </is>
      </c>
      <c r="O1756" t="n">
        <v>0.0</v>
      </c>
      <c r="P1756" t="n">
        <v>0.0</v>
      </c>
      <c r="Q1756" t="inlineStr">
        <is>
          <t/>
        </is>
      </c>
      <c r="R1756" t="inlineStr">
        <is>
          <t/>
        </is>
      </c>
      <c r="S1756" t="n">
        <v>0.0</v>
      </c>
      <c r="T1756" t="n">
        <v>0.0</v>
      </c>
      <c r="U1756" t="n">
        <v>0.0</v>
      </c>
      <c r="V1756" t="n">
        <v>0.0</v>
      </c>
      <c r="W1756" t="inlineStr">
        <is>
          <t/>
        </is>
      </c>
      <c r="X1756" t="n">
        <v>0.0</v>
      </c>
      <c r="Y1756" t="n">
        <v>0.0</v>
      </c>
      <c r="Z1756" t="n">
        <v>0.0</v>
      </c>
      <c r="AA1756" t="n">
        <v>0.0</v>
      </c>
      <c r="AB1756" t="n">
        <v>0.0</v>
      </c>
      <c r="AC1756" t="n">
        <v>0.0</v>
      </c>
      <c r="AD1756" t="n">
        <v>0.0</v>
      </c>
      <c r="AE1756" t="n">
        <v>0.0</v>
      </c>
      <c r="AF1756" t="n">
        <v>0.0</v>
      </c>
      <c r="AG1756" t="n">
        <v>0.0</v>
      </c>
      <c r="AH1756" t="n">
        <v>0.0</v>
      </c>
      <c r="AI1756" t="n">
        <v>0.0</v>
      </c>
      <c r="AJ1756" t="n">
        <v>0.0</v>
      </c>
      <c r="AK1756" t="inlineStr">
        <is>
          <t/>
        </is>
      </c>
      <c r="AL1756" t="inlineStr">
        <is>
          <t/>
        </is>
      </c>
    </row>
    <row r="1757">
      <c r="A1757" t="inlineStr">
        <is>
          <t>越吃越瘦的快乐，是整条三文鱼给的</t>
        </is>
      </c>
      <c r="B1757" t="inlineStr">
        <is>
          <t>6937e457000000001e038158</t>
        </is>
      </c>
      <c r="C1757" s="1756" t="n">
        <f>HYPERLINK("https://www.xiaohongshu.com/explore/6937e457000000001e038158?xsec_token=TBm581DxyfKxLtHTMgt_7Xf1z8c1RGdlZUOUUVoH73L7c=&amp;xsec_source=pc_trdark","https://www.xiaohongshu.com/explore/6937e457000000001e038158?xsec_token=TBm581DxyfKxLtHTMgt_7Xf1z8c1RGdlZUOUUVoH73L7c=&amp;xsec_source=pc_trdark")</f>
        <v>0.0</v>
      </c>
      <c r="D1757" t="inlineStr">
        <is>
          <t>鲜水湾</t>
        </is>
      </c>
      <c r="E1757" t="inlineStr">
        <is>
          <t>49316638994</t>
        </is>
      </c>
      <c r="F1757" t="inlineStr">
        <is>
          <t>2025-12-09 16:56:55</t>
        </is>
      </c>
      <c r="G1757" t="inlineStr">
        <is>
          <t>图文</t>
        </is>
      </c>
      <c r="H1757" t="inlineStr">
        <is>
          <t>智利三文鱼切块·整条三文鱼·深海鱼一人食健康饮食</t>
        </is>
      </c>
      <c r="I1757" t="inlineStr">
        <is>
          <t>691ac562a524ee0001b51d7b</t>
        </is>
      </c>
      <c r="J1757" t="inlineStr">
        <is>
          <t/>
        </is>
      </c>
      <c r="K1757" t="n">
        <v>0.0</v>
      </c>
      <c r="L1757" t="n">
        <v>0.0</v>
      </c>
      <c r="M1757" t="n">
        <v>0.0</v>
      </c>
      <c r="N1757" t="inlineStr">
        <is>
          <t/>
        </is>
      </c>
      <c r="O1757" t="n">
        <v>0.0</v>
      </c>
      <c r="P1757" t="n">
        <v>0.0</v>
      </c>
      <c r="Q1757" t="inlineStr">
        <is>
          <t/>
        </is>
      </c>
      <c r="R1757" t="inlineStr">
        <is>
          <t/>
        </is>
      </c>
      <c r="S1757" t="n">
        <v>0.0</v>
      </c>
      <c r="T1757" t="n">
        <v>0.0</v>
      </c>
      <c r="U1757" t="n">
        <v>0.0</v>
      </c>
      <c r="V1757" t="n">
        <v>0.0</v>
      </c>
      <c r="W1757" t="inlineStr">
        <is>
          <t/>
        </is>
      </c>
      <c r="X1757" t="n">
        <v>0.0</v>
      </c>
      <c r="Y1757" t="n">
        <v>0.0</v>
      </c>
      <c r="Z1757" t="n">
        <v>0.0</v>
      </c>
      <c r="AA1757" t="n">
        <v>0.0</v>
      </c>
      <c r="AB1757" t="n">
        <v>0.0</v>
      </c>
      <c r="AC1757" t="n">
        <v>0.0</v>
      </c>
      <c r="AD1757" t="n">
        <v>0.0</v>
      </c>
      <c r="AE1757" t="n">
        <v>0.0</v>
      </c>
      <c r="AF1757" t="n">
        <v>0.0</v>
      </c>
      <c r="AG1757" t="n">
        <v>0.0</v>
      </c>
      <c r="AH1757" t="n">
        <v>0.0</v>
      </c>
      <c r="AI1757" t="n">
        <v>0.0</v>
      </c>
      <c r="AJ1757" t="n">
        <v>0.0</v>
      </c>
      <c r="AK1757" t="inlineStr">
        <is>
          <t/>
        </is>
      </c>
      <c r="AL1757" t="inlineStr">
        <is>
          <t/>
        </is>
      </c>
    </row>
    <row r="1758">
      <c r="A1758" t="inlineStr">
        <is>
          <t>长期主义三文鱼。。。没有平替！</t>
        </is>
      </c>
      <c r="B1758" t="inlineStr">
        <is>
          <t>693793e4000000001e0260d6</t>
        </is>
      </c>
      <c r="C1758" s="1757" t="n">
        <f>HYPERLINK("https://www.xiaohongshu.com/explore/693793e4000000001e0260d6?xsec_token=TBm581DxyfKxLtHTMgt_7Xf-DdfiRvQ6XLxeBBUf-udi0=&amp;xsec_source=pc_trdark","https://www.xiaohongshu.com/explore/693793e4000000001e0260d6?xsec_token=TBm581DxyfKxLtHTMgt_7Xf-DdfiRvQ6XLxeBBUf-udi0=&amp;xsec_source=pc_trdark")</f>
        <v>0.0</v>
      </c>
      <c r="D1758" t="inlineStr">
        <is>
          <t>鲜水湾</t>
        </is>
      </c>
      <c r="E1758" t="inlineStr">
        <is>
          <t>49316638994</t>
        </is>
      </c>
      <c r="F1758" t="inlineStr">
        <is>
          <t>2025-12-09 11:13:40</t>
        </is>
      </c>
      <c r="G1758" t="inlineStr">
        <is>
          <t>图文</t>
        </is>
      </c>
      <c r="H1758" t="inlineStr">
        <is>
          <t>智利三文鱼切块·整条三文鱼·深海鱼一人食健康饮食</t>
        </is>
      </c>
      <c r="I1758" t="inlineStr">
        <is>
          <t>691ac562a524ee0001b51d7b</t>
        </is>
      </c>
      <c r="J1758" t="inlineStr">
        <is>
          <t/>
        </is>
      </c>
      <c r="K1758" t="n">
        <v>0.0</v>
      </c>
      <c r="L1758" t="n">
        <v>0.0</v>
      </c>
      <c r="M1758" t="n">
        <v>0.0</v>
      </c>
      <c r="N1758" t="inlineStr">
        <is>
          <t/>
        </is>
      </c>
      <c r="O1758" t="n">
        <v>0.0</v>
      </c>
      <c r="P1758" t="n">
        <v>0.0</v>
      </c>
      <c r="Q1758" t="inlineStr">
        <is>
          <t/>
        </is>
      </c>
      <c r="R1758" t="inlineStr">
        <is>
          <t/>
        </is>
      </c>
      <c r="S1758" t="n">
        <v>0.0</v>
      </c>
      <c r="T1758" t="n">
        <v>0.0</v>
      </c>
      <c r="U1758" t="n">
        <v>0.0</v>
      </c>
      <c r="V1758" t="n">
        <v>0.0</v>
      </c>
      <c r="W1758" t="inlineStr">
        <is>
          <t/>
        </is>
      </c>
      <c r="X1758" t="n">
        <v>0.0</v>
      </c>
      <c r="Y1758" t="n">
        <v>0.0</v>
      </c>
      <c r="Z1758" t="n">
        <v>0.0</v>
      </c>
      <c r="AA1758" t="n">
        <v>0.0</v>
      </c>
      <c r="AB1758" t="n">
        <v>0.0</v>
      </c>
      <c r="AC1758" t="n">
        <v>0.0</v>
      </c>
      <c r="AD1758" t="n">
        <v>0.0</v>
      </c>
      <c r="AE1758" t="n">
        <v>0.0</v>
      </c>
      <c r="AF1758" t="n">
        <v>0.0</v>
      </c>
      <c r="AG1758" t="n">
        <v>0.0</v>
      </c>
      <c r="AH1758" t="n">
        <v>0.0</v>
      </c>
      <c r="AI1758" t="n">
        <v>0.0</v>
      </c>
      <c r="AJ1758" t="n">
        <v>0.0</v>
      </c>
      <c r="AK1758" t="inlineStr">
        <is>
          <t/>
        </is>
      </c>
      <c r="AL1758" t="inlineStr">
        <is>
          <t/>
        </is>
      </c>
    </row>
    <row r="1759">
      <c r="A1759" t="inlineStr">
        <is>
          <t>一个很变态，但可以瘦的方法</t>
        </is>
      </c>
      <c r="B1759" t="inlineStr">
        <is>
          <t>6936e236000000001e033d69</t>
        </is>
      </c>
      <c r="C1759" s="1758" t="n">
        <f>HYPERLINK("https://www.xiaohongshu.com/explore/6936e236000000001e033d69?xsec_token=TBlR01uRP0dY963Q_AxX8vHG9NopxmE4c_Kx3ofNqu-5I=&amp;xsec_source=pc_trdark","https://www.xiaohongshu.com/explore/6936e236000000001e033d69?xsec_token=TBlR01uRP0dY963Q_AxX8vHG9NopxmE4c_Kx3ofNqu-5I=&amp;xsec_source=pc_trdark")</f>
        <v>0.0</v>
      </c>
      <c r="D1759" t="inlineStr">
        <is>
          <t>鲜水湾</t>
        </is>
      </c>
      <c r="E1759" t="inlineStr">
        <is>
          <t>49316638994</t>
        </is>
      </c>
      <c r="F1759" t="inlineStr">
        <is>
          <t>2025-12-08 22:35:34</t>
        </is>
      </c>
      <c r="G1759" t="inlineStr">
        <is>
          <t>视频</t>
        </is>
      </c>
      <c r="H1759" t="inlineStr">
        <is>
          <t>大虾基围虾王牌大虾厄瓜多尔白虾盐冻虾仁海洋大虾送礼顺丰包邮</t>
        </is>
      </c>
      <c r="I1759" t="inlineStr">
        <is>
          <t>690aeb7be379430001e686ac</t>
        </is>
      </c>
      <c r="J1759" t="n">
        <v>14.0</v>
      </c>
      <c r="K1759" t="n">
        <v>0.0</v>
      </c>
      <c r="L1759" t="n">
        <v>0.0</v>
      </c>
      <c r="M1759" t="n">
        <v>0.0</v>
      </c>
      <c r="N1759" t="inlineStr">
        <is>
          <t/>
        </is>
      </c>
      <c r="O1759" t="n">
        <v>0.0</v>
      </c>
      <c r="P1759" t="n">
        <v>0.0</v>
      </c>
      <c r="Q1759" t="inlineStr">
        <is>
          <t/>
        </is>
      </c>
      <c r="R1759" t="inlineStr">
        <is>
          <t/>
        </is>
      </c>
      <c r="S1759" t="n">
        <v>0.0</v>
      </c>
      <c r="T1759" t="n">
        <v>0.0</v>
      </c>
      <c r="U1759" t="n">
        <v>0.0</v>
      </c>
      <c r="V1759" t="n">
        <v>0.0</v>
      </c>
      <c r="W1759" t="inlineStr">
        <is>
          <t/>
        </is>
      </c>
      <c r="X1759" t="n">
        <v>0.0</v>
      </c>
      <c r="Y1759" t="n">
        <v>0.0</v>
      </c>
      <c r="Z1759" t="n">
        <v>0.0</v>
      </c>
      <c r="AA1759" t="n">
        <v>0.0</v>
      </c>
      <c r="AB1759" t="n">
        <v>0.0</v>
      </c>
      <c r="AC1759" t="n">
        <v>0.0</v>
      </c>
      <c r="AD1759" t="n">
        <v>0.0</v>
      </c>
      <c r="AE1759" t="n">
        <v>0.0</v>
      </c>
      <c r="AF1759" t="n">
        <v>0.0</v>
      </c>
      <c r="AG1759" t="n">
        <v>0.0</v>
      </c>
      <c r="AH1759" t="n">
        <v>0.0</v>
      </c>
      <c r="AI1759" t="n">
        <v>0.0</v>
      </c>
      <c r="AJ1759" t="n">
        <v>0.0</v>
      </c>
      <c r="AK1759" t="inlineStr">
        <is>
          <t/>
        </is>
      </c>
      <c r="AL1759" t="inlineStr">
        <is>
          <t/>
        </is>
      </c>
    </row>
    <row r="1760">
      <c r="A1760" t="inlineStr">
        <is>
          <t>小红书诚不欺我😭香煎三文鱼真的超好吃！</t>
        </is>
      </c>
      <c r="B1760" t="inlineStr">
        <is>
          <t>6936ce79000000001e02e3c2</t>
        </is>
      </c>
      <c r="C1760" s="1759" t="n">
        <f>HYPERLINK("https://www.xiaohongshu.com/explore/6936ce79000000001e02e3c2?xsec_token=TBlR01uRP0dY963Q_AxX8vHKuz4QQcb-jS2lEfPVjHVsA=&amp;xsec_source=pc_trdark","https://www.xiaohongshu.com/explore/6936ce79000000001e02e3c2?xsec_token=TBlR01uRP0dY963Q_AxX8vHKuz4QQcb-jS2lEfPVjHVsA=&amp;xsec_source=pc_trdark")</f>
        <v>0.0</v>
      </c>
      <c r="D1760" t="inlineStr">
        <is>
          <t>鲜水湾</t>
        </is>
      </c>
      <c r="E1760" t="inlineStr">
        <is>
          <t>49316638994</t>
        </is>
      </c>
      <c r="F1760" t="inlineStr">
        <is>
          <t>2025-12-08 21:11:21</t>
        </is>
      </c>
      <c r="G1760" t="inlineStr">
        <is>
          <t>图文</t>
        </is>
      </c>
      <c r="H1760" t="inlineStr">
        <is>
          <t>智利三文鱼切块·整条三文鱼·深海鱼一人食健康饮食</t>
        </is>
      </c>
      <c r="I1760" t="inlineStr">
        <is>
          <t>691ac562a524ee0001b51d7b</t>
        </is>
      </c>
      <c r="J1760" t="inlineStr">
        <is>
          <t/>
        </is>
      </c>
      <c r="K1760" t="n">
        <v>0.0</v>
      </c>
      <c r="L1760" t="n">
        <v>0.0</v>
      </c>
      <c r="M1760" t="n">
        <v>0.0</v>
      </c>
      <c r="N1760" t="inlineStr">
        <is>
          <t/>
        </is>
      </c>
      <c r="O1760" t="n">
        <v>0.0</v>
      </c>
      <c r="P1760" t="n">
        <v>0.0</v>
      </c>
      <c r="Q1760" t="inlineStr">
        <is>
          <t/>
        </is>
      </c>
      <c r="R1760" t="inlineStr">
        <is>
          <t/>
        </is>
      </c>
      <c r="S1760" t="n">
        <v>0.0</v>
      </c>
      <c r="T1760" t="n">
        <v>0.0</v>
      </c>
      <c r="U1760" t="n">
        <v>0.0</v>
      </c>
      <c r="V1760" t="n">
        <v>0.0</v>
      </c>
      <c r="W1760" t="inlineStr">
        <is>
          <t/>
        </is>
      </c>
      <c r="X1760" t="n">
        <v>0.0</v>
      </c>
      <c r="Y1760" t="n">
        <v>0.0</v>
      </c>
      <c r="Z1760" t="n">
        <v>0.0</v>
      </c>
      <c r="AA1760" t="n">
        <v>0.0</v>
      </c>
      <c r="AB1760" t="n">
        <v>0.0</v>
      </c>
      <c r="AC1760" t="n">
        <v>0.0</v>
      </c>
      <c r="AD1760" t="n">
        <v>0.0</v>
      </c>
      <c r="AE1760" t="n">
        <v>0.0</v>
      </c>
      <c r="AF1760" t="n">
        <v>0.0</v>
      </c>
      <c r="AG1760" t="n">
        <v>0.0</v>
      </c>
      <c r="AH1760" t="n">
        <v>0.0</v>
      </c>
      <c r="AI1760" t="n">
        <v>0.0</v>
      </c>
      <c r="AJ1760" t="n">
        <v>0.0</v>
      </c>
      <c r="AK1760" t="inlineStr">
        <is>
          <t/>
        </is>
      </c>
      <c r="AL1760" t="inlineStr">
        <is>
          <t/>
        </is>
      </c>
    </row>
    <row r="1761">
      <c r="A1761" t="inlineStr">
        <is>
          <t>太喜欢小红书了！比山姆还实惠</t>
        </is>
      </c>
      <c r="B1761" t="inlineStr">
        <is>
          <t>69367f13000000001f005aef</t>
        </is>
      </c>
      <c r="C1761" s="1760" t="n">
        <f>HYPERLINK("https://www.xiaohongshu.com/explore/69367f13000000001f005aef?xsec_token=TBlR01uRP0dY963Q_AxX8vHBOKSHOJrXd3qrdXkuvz998=&amp;xsec_source=pc_trdark","https://www.xiaohongshu.com/explore/69367f13000000001f005aef?xsec_token=TBlR01uRP0dY963Q_AxX8vHBOKSHOJrXd3qrdXkuvz998=&amp;xsec_source=pc_trdark")</f>
        <v>0.0</v>
      </c>
      <c r="D1761" t="inlineStr">
        <is>
          <t>鲜水湾</t>
        </is>
      </c>
      <c r="E1761" t="inlineStr">
        <is>
          <t>49316638994</t>
        </is>
      </c>
      <c r="F1761" t="inlineStr">
        <is>
          <t>2025-12-08 15:32:35</t>
        </is>
      </c>
      <c r="G1761" t="inlineStr">
        <is>
          <t>图文</t>
        </is>
      </c>
      <c r="H1761" t="inlineStr">
        <is>
          <t>智利三文鱼切块·整条三文鱼·深海鱼一人食健康饮食</t>
        </is>
      </c>
      <c r="I1761" t="inlineStr">
        <is>
          <t>691ac562a524ee0001b51d7b</t>
        </is>
      </c>
      <c r="J1761" t="inlineStr">
        <is>
          <t/>
        </is>
      </c>
      <c r="K1761" t="n">
        <v>0.0</v>
      </c>
      <c r="L1761" t="n">
        <v>0.0</v>
      </c>
      <c r="M1761" t="n">
        <v>0.0</v>
      </c>
      <c r="N1761" t="inlineStr">
        <is>
          <t/>
        </is>
      </c>
      <c r="O1761" t="n">
        <v>0.0</v>
      </c>
      <c r="P1761" t="n">
        <v>0.0</v>
      </c>
      <c r="Q1761" t="inlineStr">
        <is>
          <t/>
        </is>
      </c>
      <c r="R1761" t="inlineStr">
        <is>
          <t/>
        </is>
      </c>
      <c r="S1761" t="n">
        <v>0.0</v>
      </c>
      <c r="T1761" t="n">
        <v>0.0</v>
      </c>
      <c r="U1761" t="n">
        <v>0.0</v>
      </c>
      <c r="V1761" t="n">
        <v>0.0</v>
      </c>
      <c r="W1761" t="inlineStr">
        <is>
          <t/>
        </is>
      </c>
      <c r="X1761" t="n">
        <v>0.0</v>
      </c>
      <c r="Y1761" t="n">
        <v>0.0</v>
      </c>
      <c r="Z1761" t="n">
        <v>0.0</v>
      </c>
      <c r="AA1761" t="n">
        <v>0.0</v>
      </c>
      <c r="AB1761" t="n">
        <v>0.0</v>
      </c>
      <c r="AC1761" t="n">
        <v>0.0</v>
      </c>
      <c r="AD1761" t="n">
        <v>0.0</v>
      </c>
      <c r="AE1761" t="n">
        <v>0.0</v>
      </c>
      <c r="AF1761" t="n">
        <v>0.0</v>
      </c>
      <c r="AG1761" t="n">
        <v>0.0</v>
      </c>
      <c r="AH1761" t="n">
        <v>0.0</v>
      </c>
      <c r="AI1761" t="n">
        <v>0.0</v>
      </c>
      <c r="AJ1761" t="n">
        <v>0.0</v>
      </c>
      <c r="AK1761" t="inlineStr">
        <is>
          <t/>
        </is>
      </c>
      <c r="AL1761" t="inlineStr">
        <is>
          <t/>
        </is>
      </c>
    </row>
    <row r="1762">
      <c r="A1762" t="inlineStr">
        <is>
          <t>69💰看着不起眼 实际够我吃一个周</t>
        </is>
      </c>
      <c r="B1762" t="inlineStr">
        <is>
          <t>6935948e000000001f004a65</t>
        </is>
      </c>
      <c r="C1762" s="1761" t="n">
        <f>HYPERLINK("https://www.xiaohongshu.com/explore/6935948e000000001f004a65?xsec_token=TBVD2oNyykPWo5AeaDpfHB-spXXPzORjROCJhBE0vFZuE=&amp;xsec_source=pc_trdark","https://www.xiaohongshu.com/explore/6935948e000000001f004a65?xsec_token=TBVD2oNyykPWo5AeaDpfHB-spXXPzORjROCJhBE0vFZuE=&amp;xsec_source=pc_trdark")</f>
        <v>0.0</v>
      </c>
      <c r="D1762" t="inlineStr">
        <is>
          <t>鲜水湾</t>
        </is>
      </c>
      <c r="E1762" t="inlineStr">
        <is>
          <t>49316638994</t>
        </is>
      </c>
      <c r="F1762" t="inlineStr">
        <is>
          <t>2025-12-07 22:51:58</t>
        </is>
      </c>
      <c r="G1762" t="inlineStr">
        <is>
          <t>图文</t>
        </is>
      </c>
      <c r="H1762" t="inlineStr">
        <is>
          <t>大虾基围虾王牌大虾厄瓜多尔白虾盐冻虾仁海洋大虾送礼顺丰包邮</t>
        </is>
      </c>
      <c r="I1762" t="inlineStr">
        <is>
          <t>690aeb7be379430001e686ac</t>
        </is>
      </c>
      <c r="J1762" t="inlineStr">
        <is>
          <t/>
        </is>
      </c>
      <c r="K1762" t="n">
        <v>0.0</v>
      </c>
      <c r="L1762" t="n">
        <v>0.0</v>
      </c>
      <c r="M1762" t="n">
        <v>0.0</v>
      </c>
      <c r="N1762" t="inlineStr">
        <is>
          <t/>
        </is>
      </c>
      <c r="O1762" t="n">
        <v>0.0</v>
      </c>
      <c r="P1762" t="n">
        <v>0.0</v>
      </c>
      <c r="Q1762" t="inlineStr">
        <is>
          <t/>
        </is>
      </c>
      <c r="R1762" t="inlineStr">
        <is>
          <t/>
        </is>
      </c>
      <c r="S1762" t="n">
        <v>0.0</v>
      </c>
      <c r="T1762" t="n">
        <v>0.0</v>
      </c>
      <c r="U1762" t="n">
        <v>0.0</v>
      </c>
      <c r="V1762" t="n">
        <v>0.0</v>
      </c>
      <c r="W1762" t="inlineStr">
        <is>
          <t/>
        </is>
      </c>
      <c r="X1762" t="n">
        <v>0.0</v>
      </c>
      <c r="Y1762" t="n">
        <v>0.0</v>
      </c>
      <c r="Z1762" t="n">
        <v>0.0</v>
      </c>
      <c r="AA1762" t="n">
        <v>0.0</v>
      </c>
      <c r="AB1762" t="n">
        <v>0.0</v>
      </c>
      <c r="AC1762" t="n">
        <v>0.0</v>
      </c>
      <c r="AD1762" t="n">
        <v>0.0</v>
      </c>
      <c r="AE1762" t="n">
        <v>0.0</v>
      </c>
      <c r="AF1762" t="n">
        <v>0.0</v>
      </c>
      <c r="AG1762" t="n">
        <v>0.0</v>
      </c>
      <c r="AH1762" t="n">
        <v>0.0</v>
      </c>
      <c r="AI1762" t="n">
        <v>0.0</v>
      </c>
      <c r="AJ1762" t="n">
        <v>0.0</v>
      </c>
      <c r="AK1762" t="inlineStr">
        <is>
          <t/>
        </is>
      </c>
      <c r="AL1762" t="inlineStr">
        <is>
          <t/>
        </is>
      </c>
    </row>
    <row r="1763">
      <c r="A1763" t="inlineStr">
        <is>
          <t>讲真…年轻人低估了100💰的购买力</t>
        </is>
      </c>
      <c r="B1763" t="inlineStr">
        <is>
          <t>69358c43000000001e026616</t>
        </is>
      </c>
      <c r="C1763" s="1762" t="n">
        <f>HYPERLINK("https://www.xiaohongshu.com/explore/69358c43000000001e026616?xsec_token=TBVD2oNyykPWo5AeaDpfHB-g66dbnYDAWmgdsgoTyZ2cE=&amp;xsec_source=pc_trdark","https://www.xiaohongshu.com/explore/69358c43000000001e026616?xsec_token=TBVD2oNyykPWo5AeaDpfHB-g66dbnYDAWmgdsgoTyZ2cE=&amp;xsec_source=pc_trdark")</f>
        <v>0.0</v>
      </c>
      <c r="D1763" t="inlineStr">
        <is>
          <t>鲜水湾</t>
        </is>
      </c>
      <c r="E1763" t="inlineStr">
        <is>
          <t>49316638994</t>
        </is>
      </c>
      <c r="F1763" t="inlineStr">
        <is>
          <t>2025-12-07 22:16:35</t>
        </is>
      </c>
      <c r="G1763" t="inlineStr">
        <is>
          <t>图文</t>
        </is>
      </c>
      <c r="H1763" t="inlineStr">
        <is>
          <t>智利三文鱼切块·整条三文鱼·深海鱼一人食健康饮食</t>
        </is>
      </c>
      <c r="I1763" t="inlineStr">
        <is>
          <t>691ac562a524ee0001b51d7b</t>
        </is>
      </c>
      <c r="J1763" t="inlineStr">
        <is>
          <t/>
        </is>
      </c>
      <c r="K1763" t="n">
        <v>0.0</v>
      </c>
      <c r="L1763" t="n">
        <v>0.0</v>
      </c>
      <c r="M1763" t="n">
        <v>0.0</v>
      </c>
      <c r="N1763" t="inlineStr">
        <is>
          <t/>
        </is>
      </c>
      <c r="O1763" t="n">
        <v>0.0</v>
      </c>
      <c r="P1763" t="n">
        <v>0.0</v>
      </c>
      <c r="Q1763" t="inlineStr">
        <is>
          <t/>
        </is>
      </c>
      <c r="R1763" t="inlineStr">
        <is>
          <t/>
        </is>
      </c>
      <c r="S1763" t="n">
        <v>0.0</v>
      </c>
      <c r="T1763" t="n">
        <v>0.0</v>
      </c>
      <c r="U1763" t="n">
        <v>0.0</v>
      </c>
      <c r="V1763" t="n">
        <v>0.0</v>
      </c>
      <c r="W1763" t="inlineStr">
        <is>
          <t/>
        </is>
      </c>
      <c r="X1763" t="n">
        <v>0.0</v>
      </c>
      <c r="Y1763" t="n">
        <v>0.0</v>
      </c>
      <c r="Z1763" t="n">
        <v>0.0</v>
      </c>
      <c r="AA1763" t="n">
        <v>0.0</v>
      </c>
      <c r="AB1763" t="n">
        <v>0.0</v>
      </c>
      <c r="AC1763" t="n">
        <v>0.0</v>
      </c>
      <c r="AD1763" t="n">
        <v>0.0</v>
      </c>
      <c r="AE1763" t="n">
        <v>0.0</v>
      </c>
      <c r="AF1763" t="n">
        <v>0.0</v>
      </c>
      <c r="AG1763" t="n">
        <v>0.0</v>
      </c>
      <c r="AH1763" t="n">
        <v>0.0</v>
      </c>
      <c r="AI1763" t="n">
        <v>0.0</v>
      </c>
      <c r="AJ1763" t="n">
        <v>0.0</v>
      </c>
      <c r="AK1763" t="inlineStr">
        <is>
          <t/>
        </is>
      </c>
      <c r="AL1763" t="inlineStr">
        <is>
          <t/>
        </is>
      </c>
    </row>
    <row r="1764">
      <c r="A1764" t="inlineStr">
        <is>
          <t>双12抢购，整条三文鱼只要300多✅</t>
        </is>
      </c>
      <c r="B1764" t="inlineStr">
        <is>
          <t>6935507a000000001f004707</t>
        </is>
      </c>
      <c r="C1764" s="1763" t="n">
        <f>HYPERLINK("https://www.xiaohongshu.com/explore/6935507a000000001f004707?xsec_token=TBVD2oNyykPWo5AeaDpfHB-tVcIaj27hx_n7cUIRuKx3c=&amp;xsec_source=pc_trdark","https://www.xiaohongshu.com/explore/6935507a000000001f004707?xsec_token=TBVD2oNyykPWo5AeaDpfHB-tVcIaj27hx_n7cUIRuKx3c=&amp;xsec_source=pc_trdark")</f>
        <v>0.0</v>
      </c>
      <c r="D1764" t="inlineStr">
        <is>
          <t>鲜水湾</t>
        </is>
      </c>
      <c r="E1764" t="inlineStr">
        <is>
          <t>49316638994</t>
        </is>
      </c>
      <c r="F1764" t="inlineStr">
        <is>
          <t>2025-12-07 18:01:30</t>
        </is>
      </c>
      <c r="G1764" t="inlineStr">
        <is>
          <t>图文</t>
        </is>
      </c>
      <c r="H1764" t="inlineStr">
        <is>
          <t>智利三文鱼切块·整条三文鱼·深海鱼一人食健康饮食</t>
        </is>
      </c>
      <c r="I1764" t="inlineStr">
        <is>
          <t>691ac562a524ee0001b51d7b</t>
        </is>
      </c>
      <c r="J1764" t="inlineStr">
        <is>
          <t/>
        </is>
      </c>
      <c r="K1764" t="n">
        <v>0.0</v>
      </c>
      <c r="L1764" t="n">
        <v>0.0</v>
      </c>
      <c r="M1764" t="n">
        <v>0.0</v>
      </c>
      <c r="N1764" t="inlineStr">
        <is>
          <t/>
        </is>
      </c>
      <c r="O1764" t="n">
        <v>0.0</v>
      </c>
      <c r="P1764" t="n">
        <v>0.0</v>
      </c>
      <c r="Q1764" t="inlineStr">
        <is>
          <t/>
        </is>
      </c>
      <c r="R1764" t="inlineStr">
        <is>
          <t/>
        </is>
      </c>
      <c r="S1764" t="n">
        <v>0.0</v>
      </c>
      <c r="T1764" t="n">
        <v>0.0</v>
      </c>
      <c r="U1764" t="n">
        <v>0.0</v>
      </c>
      <c r="V1764" t="n">
        <v>0.0</v>
      </c>
      <c r="W1764" t="inlineStr">
        <is>
          <t/>
        </is>
      </c>
      <c r="X1764" t="n">
        <v>0.0</v>
      </c>
      <c r="Y1764" t="n">
        <v>0.0</v>
      </c>
      <c r="Z1764" t="n">
        <v>0.0</v>
      </c>
      <c r="AA1764" t="n">
        <v>0.0</v>
      </c>
      <c r="AB1764" t="n">
        <v>0.0</v>
      </c>
      <c r="AC1764" t="n">
        <v>0.0</v>
      </c>
      <c r="AD1764" t="n">
        <v>0.0</v>
      </c>
      <c r="AE1764" t="n">
        <v>0.0</v>
      </c>
      <c r="AF1764" t="n">
        <v>0.0</v>
      </c>
      <c r="AG1764" t="n">
        <v>0.0</v>
      </c>
      <c r="AH1764" t="n">
        <v>0.0</v>
      </c>
      <c r="AI1764" t="n">
        <v>0.0</v>
      </c>
      <c r="AJ1764" t="n">
        <v>0.0</v>
      </c>
      <c r="AK1764" t="inlineStr">
        <is>
          <t/>
        </is>
      </c>
      <c r="AL1764" t="inlineStr">
        <is>
          <t/>
        </is>
      </c>
    </row>
    <row r="1765">
      <c r="A1765" t="inlineStr">
        <is>
          <t>我妈说：你就41r一直卖，总会出单的</t>
        </is>
      </c>
      <c r="B1765" t="inlineStr">
        <is>
          <t>6932a29d000000001e0213f6</t>
        </is>
      </c>
      <c r="C1765" s="1764" t="n">
        <f>HYPERLINK("https://www.xiaohongshu.com/explore/6932a29d000000001e0213f6?xsec_token=TBpgGkEYDo_gVOMrYT9wIn9z6vfXDhvw6nIa3HACWFP9s=&amp;xsec_source=pc_trdark","https://www.xiaohongshu.com/explore/6932a29d000000001e0213f6?xsec_token=TBpgGkEYDo_gVOMrYT9wIn9z6vfXDhvw6nIa3HACWFP9s=&amp;xsec_source=pc_trdark")</f>
        <v>0.0</v>
      </c>
      <c r="D1765" t="inlineStr">
        <is>
          <t>鲜水湾</t>
        </is>
      </c>
      <c r="E1765" t="inlineStr">
        <is>
          <t>49316638994</t>
        </is>
      </c>
      <c r="F1765" t="inlineStr">
        <is>
          <t>2025-12-05 17:15:09</t>
        </is>
      </c>
      <c r="G1765" t="inlineStr">
        <is>
          <t>图文</t>
        </is>
      </c>
      <c r="H1765" t="inlineStr">
        <is>
          <t>智利三文鱼切块·整条三文鱼·深海鱼一人食健康饮食</t>
        </is>
      </c>
      <c r="I1765" t="inlineStr">
        <is>
          <t>691ac562a524ee0001b51d7b</t>
        </is>
      </c>
      <c r="J1765" t="inlineStr">
        <is>
          <t/>
        </is>
      </c>
      <c r="K1765" t="n">
        <v>0.0</v>
      </c>
      <c r="L1765" t="n">
        <v>0.0</v>
      </c>
      <c r="M1765" t="n">
        <v>0.0</v>
      </c>
      <c r="N1765" t="inlineStr">
        <is>
          <t/>
        </is>
      </c>
      <c r="O1765" t="n">
        <v>0.0</v>
      </c>
      <c r="P1765" t="n">
        <v>0.0</v>
      </c>
      <c r="Q1765" t="inlineStr">
        <is>
          <t/>
        </is>
      </c>
      <c r="R1765" t="inlineStr">
        <is>
          <t/>
        </is>
      </c>
      <c r="S1765" t="n">
        <v>0.0</v>
      </c>
      <c r="T1765" t="n">
        <v>0.0</v>
      </c>
      <c r="U1765" t="n">
        <v>0.0</v>
      </c>
      <c r="V1765" t="n">
        <v>0.0</v>
      </c>
      <c r="W1765" t="inlineStr">
        <is>
          <t/>
        </is>
      </c>
      <c r="X1765" t="n">
        <v>0.0</v>
      </c>
      <c r="Y1765" t="n">
        <v>0.0</v>
      </c>
      <c r="Z1765" t="n">
        <v>0.0</v>
      </c>
      <c r="AA1765" t="n">
        <v>0.0</v>
      </c>
      <c r="AB1765" t="n">
        <v>0.0</v>
      </c>
      <c r="AC1765" t="n">
        <v>0.0</v>
      </c>
      <c r="AD1765" t="n">
        <v>0.0</v>
      </c>
      <c r="AE1765" t="n">
        <v>0.0</v>
      </c>
      <c r="AF1765" t="n">
        <v>0.0</v>
      </c>
      <c r="AG1765" t="n">
        <v>0.0</v>
      </c>
      <c r="AH1765" t="n">
        <v>0.0</v>
      </c>
      <c r="AI1765" t="n">
        <v>0.0</v>
      </c>
      <c r="AJ1765" t="n">
        <v>0.0</v>
      </c>
      <c r="AK1765" t="inlineStr">
        <is>
          <t/>
        </is>
      </c>
      <c r="AL1765" t="inlineStr">
        <is>
          <t/>
        </is>
      </c>
    </row>
    <row r="1766">
      <c r="A1766" t="inlineStr">
        <is>
          <t>马上元旦了，都来囤我家大虾吧！！</t>
        </is>
      </c>
      <c r="B1766" t="inlineStr">
        <is>
          <t>69328cb8000000001f0062ce</t>
        </is>
      </c>
      <c r="C1766" s="1765" t="n">
        <f>HYPERLINK("https://www.xiaohongshu.com/explore/69328cb8000000001f0062ce?xsec_token=TBpgGkEYDo_gVOMrYT9wIn94nVVTjcLT2GuGmQI9u37lQ=&amp;xsec_source=pc_trdark","https://www.xiaohongshu.com/explore/69328cb8000000001f0062ce?xsec_token=TBpgGkEYDo_gVOMrYT9wIn94nVVTjcLT2GuGmQI9u37lQ=&amp;xsec_source=pc_trdark")</f>
        <v>0.0</v>
      </c>
      <c r="D1766" t="inlineStr">
        <is>
          <t>鲜水湾</t>
        </is>
      </c>
      <c r="E1766" t="inlineStr">
        <is>
          <t>49316638994</t>
        </is>
      </c>
      <c r="F1766" t="inlineStr">
        <is>
          <t>2025-12-05 15:41:44</t>
        </is>
      </c>
      <c r="G1766" t="inlineStr">
        <is>
          <t>图文</t>
        </is>
      </c>
      <c r="H1766" t="inlineStr">
        <is>
          <t>大虾基围虾王牌大虾厄瓜多尔白虾盐冻虾仁海洋大虾送礼顺丰包邮</t>
        </is>
      </c>
      <c r="I1766" t="inlineStr">
        <is>
          <t>690aeb7be379430001e686ac</t>
        </is>
      </c>
      <c r="J1766" t="inlineStr">
        <is>
          <t/>
        </is>
      </c>
      <c r="K1766" t="n">
        <v>0.0</v>
      </c>
      <c r="L1766" t="n">
        <v>0.0</v>
      </c>
      <c r="M1766" t="n">
        <v>0.0</v>
      </c>
      <c r="N1766" t="inlineStr">
        <is>
          <t/>
        </is>
      </c>
      <c r="O1766" t="n">
        <v>0.0</v>
      </c>
      <c r="P1766" t="n">
        <v>0.0</v>
      </c>
      <c r="Q1766" t="inlineStr">
        <is>
          <t/>
        </is>
      </c>
      <c r="R1766" t="inlineStr">
        <is>
          <t/>
        </is>
      </c>
      <c r="S1766" t="n">
        <v>0.0</v>
      </c>
      <c r="T1766" t="n">
        <v>0.0</v>
      </c>
      <c r="U1766" t="n">
        <v>0.0</v>
      </c>
      <c r="V1766" t="n">
        <v>0.0</v>
      </c>
      <c r="W1766" t="inlineStr">
        <is>
          <t/>
        </is>
      </c>
      <c r="X1766" t="n">
        <v>0.0</v>
      </c>
      <c r="Y1766" t="n">
        <v>0.0</v>
      </c>
      <c r="Z1766" t="n">
        <v>0.0</v>
      </c>
      <c r="AA1766" t="n">
        <v>0.0</v>
      </c>
      <c r="AB1766" t="n">
        <v>0.0</v>
      </c>
      <c r="AC1766" t="n">
        <v>0.0</v>
      </c>
      <c r="AD1766" t="n">
        <v>0.0</v>
      </c>
      <c r="AE1766" t="n">
        <v>0.0</v>
      </c>
      <c r="AF1766" t="n">
        <v>0.0</v>
      </c>
      <c r="AG1766" t="n">
        <v>0.0</v>
      </c>
      <c r="AH1766" t="n">
        <v>0.0</v>
      </c>
      <c r="AI1766" t="n">
        <v>0.0</v>
      </c>
      <c r="AJ1766" t="n">
        <v>0.0</v>
      </c>
      <c r="AK1766" t="inlineStr">
        <is>
          <t/>
        </is>
      </c>
      <c r="AL1766" t="inlineStr">
        <is>
          <t/>
        </is>
      </c>
    </row>
    <row r="1767">
      <c r="A1767" t="inlineStr">
        <is>
          <t>网购了一整条三文鱼，安全下车</t>
        </is>
      </c>
      <c r="B1767" t="inlineStr">
        <is>
          <t>692efa4e000000001e031463</t>
        </is>
      </c>
      <c r="C1767" s="1766" t="n">
        <f>HYPERLINK("https://www.xiaohongshu.com/explore/692efa4e000000001e031463?xsec_token=TBhc9WPqfa5dhWfRrPj8DX7cIgblguwcH-tlVsfoRDmiM=&amp;xsec_source=pc_trdark","https://www.xiaohongshu.com/explore/692efa4e000000001e031463?xsec_token=TBhc9WPqfa5dhWfRrPj8DX7cIgblguwcH-tlVsfoRDmiM=&amp;xsec_source=pc_trdark")</f>
        <v>0.0</v>
      </c>
      <c r="D1767" t="inlineStr">
        <is>
          <t>鲜水湾</t>
        </is>
      </c>
      <c r="E1767" t="inlineStr">
        <is>
          <t>49316638994</t>
        </is>
      </c>
      <c r="F1767" t="inlineStr">
        <is>
          <t>2025-12-02 22:40:14</t>
        </is>
      </c>
      <c r="G1767" t="inlineStr">
        <is>
          <t>图文</t>
        </is>
      </c>
      <c r="H1767" t="inlineStr">
        <is>
          <t>智利三文鱼切块·整条三文鱼·深海鱼一人食健康饮食</t>
        </is>
      </c>
      <c r="I1767" t="inlineStr">
        <is>
          <t>691ac562a524ee0001b51d7b</t>
        </is>
      </c>
      <c r="J1767" t="inlineStr">
        <is>
          <t/>
        </is>
      </c>
      <c r="K1767" t="n">
        <v>0.0</v>
      </c>
      <c r="L1767" t="n">
        <v>0.0</v>
      </c>
      <c r="M1767" t="n">
        <v>0.0</v>
      </c>
      <c r="N1767" t="inlineStr">
        <is>
          <t/>
        </is>
      </c>
      <c r="O1767" t="n">
        <v>0.0</v>
      </c>
      <c r="P1767" t="n">
        <v>0.0</v>
      </c>
      <c r="Q1767" t="inlineStr">
        <is>
          <t/>
        </is>
      </c>
      <c r="R1767" t="inlineStr">
        <is>
          <t/>
        </is>
      </c>
      <c r="S1767" t="n">
        <v>0.0</v>
      </c>
      <c r="T1767" t="n">
        <v>0.0</v>
      </c>
      <c r="U1767" t="n">
        <v>0.0</v>
      </c>
      <c r="V1767" t="n">
        <v>0.0</v>
      </c>
      <c r="W1767" t="inlineStr">
        <is>
          <t/>
        </is>
      </c>
      <c r="X1767" t="n">
        <v>0.0</v>
      </c>
      <c r="Y1767" t="n">
        <v>0.0</v>
      </c>
      <c r="Z1767" t="n">
        <v>0.0</v>
      </c>
      <c r="AA1767" t="n">
        <v>0.0</v>
      </c>
      <c r="AB1767" t="n">
        <v>0.0</v>
      </c>
      <c r="AC1767" t="n">
        <v>0.0</v>
      </c>
      <c r="AD1767" t="n">
        <v>0.0</v>
      </c>
      <c r="AE1767" t="n">
        <v>0.0</v>
      </c>
      <c r="AF1767" t="n">
        <v>0.0</v>
      </c>
      <c r="AG1767" t="n">
        <v>0.0</v>
      </c>
      <c r="AH1767" t="n">
        <v>0.0</v>
      </c>
      <c r="AI1767" t="n">
        <v>0.0</v>
      </c>
      <c r="AJ1767" t="n">
        <v>0.0</v>
      </c>
      <c r="AK1767" t="inlineStr">
        <is>
          <t/>
        </is>
      </c>
      <c r="AL1767" t="inlineStr">
        <is>
          <t/>
        </is>
      </c>
    </row>
    <row r="1768">
      <c r="A1768" t="inlineStr">
        <is>
          <t>这么大的生蚝你能吃几个？</t>
        </is>
      </c>
      <c r="B1768" t="inlineStr">
        <is>
          <t>69267780000000001e00ebe8</t>
        </is>
      </c>
      <c r="C1768" s="1767" t="n">
        <f>HYPERLINK("https://www.xiaohongshu.com/explore/69267780000000001e00ebe8?xsec_token=TBFGqkDRGUjajy3y4pB3XfUk7gFCFbQ7a9uJhZbleSDnM=&amp;xsec_source=pc_trdark","https://www.xiaohongshu.com/explore/69267780000000001e00ebe8?xsec_token=TBFGqkDRGUjajy3y4pB3XfUk7gFCFbQ7a9uJhZbleSDnM=&amp;xsec_source=pc_trdark")</f>
        <v>0.0</v>
      </c>
      <c r="D1768" t="inlineStr">
        <is>
          <t>婉婉上班吃什么</t>
        </is>
      </c>
      <c r="E1768" t="inlineStr">
        <is>
          <t>11434449706</t>
        </is>
      </c>
      <c r="F1768" t="inlineStr">
        <is>
          <t>2025-11-26 11:44:00</t>
        </is>
      </c>
      <c r="G1768" t="inlineStr">
        <is>
          <t>视频</t>
        </is>
      </c>
      <c r="H1768" t="inlineStr">
        <is>
          <t>生蚝乳山生蚝海蛎子顺丰包邮</t>
        </is>
      </c>
      <c r="I1768" t="inlineStr">
        <is>
          <t>690c70971b787900010866cc</t>
        </is>
      </c>
      <c r="J1768" t="n">
        <v>16.0</v>
      </c>
      <c r="K1768" t="n">
        <v>0.0</v>
      </c>
      <c r="L1768" t="n">
        <v>0.0</v>
      </c>
      <c r="M1768" t="n">
        <v>0.0</v>
      </c>
      <c r="N1768" t="inlineStr">
        <is>
          <t/>
        </is>
      </c>
      <c r="O1768" t="n">
        <v>0.0</v>
      </c>
      <c r="P1768" t="n">
        <v>0.0</v>
      </c>
      <c r="Q1768" t="inlineStr">
        <is>
          <t/>
        </is>
      </c>
      <c r="R1768" t="inlineStr">
        <is>
          <t/>
        </is>
      </c>
      <c r="S1768" t="n">
        <v>0.0</v>
      </c>
      <c r="T1768" t="n">
        <v>0.0</v>
      </c>
      <c r="U1768" t="n">
        <v>0.0</v>
      </c>
      <c r="V1768" t="n">
        <v>0.0</v>
      </c>
      <c r="W1768" t="inlineStr">
        <is>
          <t/>
        </is>
      </c>
      <c r="X1768" t="n">
        <v>0.0</v>
      </c>
      <c r="Y1768" t="n">
        <v>0.0</v>
      </c>
      <c r="Z1768" t="n">
        <v>0.0</v>
      </c>
      <c r="AA1768" t="n">
        <v>0.0</v>
      </c>
      <c r="AB1768" t="n">
        <v>0.0</v>
      </c>
      <c r="AC1768" t="n">
        <v>0.0</v>
      </c>
      <c r="AD1768" t="n">
        <v>0.0</v>
      </c>
      <c r="AE1768" t="n">
        <v>0.0</v>
      </c>
      <c r="AF1768" t="n">
        <v>0.0</v>
      </c>
      <c r="AG1768" t="n">
        <v>0.0</v>
      </c>
      <c r="AH1768" t="n">
        <v>0.0</v>
      </c>
      <c r="AI1768" t="n">
        <v>0.0</v>
      </c>
      <c r="AJ1768" t="n">
        <v>0.0</v>
      </c>
      <c r="AK1768" t="inlineStr">
        <is>
          <t/>
        </is>
      </c>
      <c r="AL1768" t="inlineStr">
        <is>
          <t/>
        </is>
      </c>
    </row>
    <row r="1769">
      <c r="A1769" t="inlineStr">
        <is>
          <t>向全世界安利我减脂期经常回购的大虾</t>
        </is>
      </c>
      <c r="B1769" t="inlineStr">
        <is>
          <t>6925c1a9000000001e03b8a8</t>
        </is>
      </c>
      <c r="C1769" s="1768" t="n">
        <f>HYPERLINK("https://www.xiaohongshu.com/explore/6925c1a9000000001e03b8a8?xsec_token=TBVx22ZAFho_bBgysCIliGP5d16euiK77zamCeAqMcuTg=&amp;xsec_source=pc_trdark","https://www.xiaohongshu.com/explore/6925c1a9000000001e03b8a8?xsec_token=TBVx22ZAFho_bBgysCIliGP5d16euiK77zamCeAqMcuTg=&amp;xsec_source=pc_trdark")</f>
        <v>0.0</v>
      </c>
      <c r="D1769" t="inlineStr">
        <is>
          <t>鲜水湾</t>
        </is>
      </c>
      <c r="E1769" t="inlineStr">
        <is>
          <t>49316638994</t>
        </is>
      </c>
      <c r="F1769" t="inlineStr">
        <is>
          <t>2025-11-25 22:48:09</t>
        </is>
      </c>
      <c r="G1769" t="inlineStr">
        <is>
          <t>图文</t>
        </is>
      </c>
      <c r="H1769" t="inlineStr">
        <is>
          <t>大虾基围虾王牌大虾厄瓜多尔白虾盐冻虾仁海洋大虾送礼顺丰包邮</t>
        </is>
      </c>
      <c r="I1769" t="inlineStr">
        <is>
          <t>690aeb7be379430001e686ac</t>
        </is>
      </c>
      <c r="J1769" t="inlineStr">
        <is>
          <t/>
        </is>
      </c>
      <c r="K1769" t="n">
        <v>0.0</v>
      </c>
      <c r="L1769" t="n">
        <v>0.0</v>
      </c>
      <c r="M1769" t="n">
        <v>0.0</v>
      </c>
      <c r="N1769" t="inlineStr">
        <is>
          <t/>
        </is>
      </c>
      <c r="O1769" t="n">
        <v>0.0</v>
      </c>
      <c r="P1769" t="n">
        <v>0.0</v>
      </c>
      <c r="Q1769" t="inlineStr">
        <is>
          <t/>
        </is>
      </c>
      <c r="R1769" t="inlineStr">
        <is>
          <t/>
        </is>
      </c>
      <c r="S1769" t="n">
        <v>0.0</v>
      </c>
      <c r="T1769" t="n">
        <v>0.0</v>
      </c>
      <c r="U1769" t="n">
        <v>0.0</v>
      </c>
      <c r="V1769" t="n">
        <v>0.0</v>
      </c>
      <c r="W1769" t="inlineStr">
        <is>
          <t/>
        </is>
      </c>
      <c r="X1769" t="n">
        <v>0.0</v>
      </c>
      <c r="Y1769" t="n">
        <v>0.0</v>
      </c>
      <c r="Z1769" t="n">
        <v>0.0</v>
      </c>
      <c r="AA1769" t="n">
        <v>0.0</v>
      </c>
      <c r="AB1769" t="n">
        <v>0.0</v>
      </c>
      <c r="AC1769" t="n">
        <v>0.0</v>
      </c>
      <c r="AD1769" t="n">
        <v>0.0</v>
      </c>
      <c r="AE1769" t="n">
        <v>0.0</v>
      </c>
      <c r="AF1769" t="n">
        <v>0.0</v>
      </c>
      <c r="AG1769" t="n">
        <v>0.0</v>
      </c>
      <c r="AH1769" t="n">
        <v>0.0</v>
      </c>
      <c r="AI1769" t="n">
        <v>0.0</v>
      </c>
      <c r="AJ1769" t="n">
        <v>0.0</v>
      </c>
      <c r="AK1769" t="inlineStr">
        <is>
          <t/>
        </is>
      </c>
      <c r="AL1769" t="inlineStr">
        <is>
          <t/>
        </is>
      </c>
    </row>
    <row r="1770">
      <c r="A1770" t="inlineStr">
        <is>
          <t>这么大的生蚝你能吃几个？</t>
        </is>
      </c>
      <c r="B1770" t="inlineStr">
        <is>
          <t>6925754f000000001e02c06b</t>
        </is>
      </c>
      <c r="C1770" s="1769" t="n">
        <f>HYPERLINK("https://www.xiaohongshu.com/explore/6925754f000000001e02c06b?xsec_token=TBVx22ZAFho_bBgysCIliGP3vqKLftKs_THH_Wnmk1JDk=&amp;xsec_source=pc_trdark","https://www.xiaohongshu.com/explore/6925754f000000001e02c06b?xsec_token=TBVx22ZAFho_bBgysCIliGP3vqKLftKs_THH_Wnmk1JDk=&amp;xsec_source=pc_trdark")</f>
        <v>0.0</v>
      </c>
      <c r="D1770" t="inlineStr">
        <is>
          <t>婉婉上班吃什么</t>
        </is>
      </c>
      <c r="E1770" t="inlineStr">
        <is>
          <t>11434449706</t>
        </is>
      </c>
      <c r="F1770" t="inlineStr">
        <is>
          <t>2025-11-25 17:22:23</t>
        </is>
      </c>
      <c r="G1770" t="inlineStr">
        <is>
          <t>视频</t>
        </is>
      </c>
      <c r="H1770" t="inlineStr">
        <is>
          <t>生蚝乳山生蚝海蛎子顺丰包邮</t>
        </is>
      </c>
      <c r="I1770" t="inlineStr">
        <is>
          <t>690c70971b787900010866cc</t>
        </is>
      </c>
      <c r="J1770" t="n">
        <v>15.0</v>
      </c>
      <c r="K1770" t="n">
        <v>0.0</v>
      </c>
      <c r="L1770" t="n">
        <v>0.0</v>
      </c>
      <c r="M1770" t="n">
        <v>0.0</v>
      </c>
      <c r="N1770" t="inlineStr">
        <is>
          <t/>
        </is>
      </c>
      <c r="O1770" t="n">
        <v>0.0</v>
      </c>
      <c r="P1770" t="n">
        <v>0.0</v>
      </c>
      <c r="Q1770" t="inlineStr">
        <is>
          <t/>
        </is>
      </c>
      <c r="R1770" t="inlineStr">
        <is>
          <t/>
        </is>
      </c>
      <c r="S1770" t="n">
        <v>0.0</v>
      </c>
      <c r="T1770" t="n">
        <v>0.0</v>
      </c>
      <c r="U1770" t="n">
        <v>0.0</v>
      </c>
      <c r="V1770" t="n">
        <v>0.0</v>
      </c>
      <c r="W1770" t="inlineStr">
        <is>
          <t/>
        </is>
      </c>
      <c r="X1770" t="n">
        <v>0.0</v>
      </c>
      <c r="Y1770" t="n">
        <v>0.0</v>
      </c>
      <c r="Z1770" t="n">
        <v>0.0</v>
      </c>
      <c r="AA1770" t="n">
        <v>0.0</v>
      </c>
      <c r="AB1770" t="n">
        <v>0.0</v>
      </c>
      <c r="AC1770" t="n">
        <v>0.0</v>
      </c>
      <c r="AD1770" t="n">
        <v>0.0</v>
      </c>
      <c r="AE1770" t="n">
        <v>0.0</v>
      </c>
      <c r="AF1770" t="n">
        <v>0.0</v>
      </c>
      <c r="AG1770" t="n">
        <v>0.0</v>
      </c>
      <c r="AH1770" t="n">
        <v>0.0</v>
      </c>
      <c r="AI1770" t="n">
        <v>0.0</v>
      </c>
      <c r="AJ1770" t="n">
        <v>0.0</v>
      </c>
      <c r="AK1770" t="inlineStr">
        <is>
          <t/>
        </is>
      </c>
      <c r="AL1770" t="inlineStr">
        <is>
          <t/>
        </is>
      </c>
    </row>
    <row r="1771">
      <c r="A1771" t="inlineStr">
        <is>
          <t>我爸说：海捕大虾你早卖24一斤，早就爆单了❗️</t>
        </is>
      </c>
      <c r="B1771" t="inlineStr">
        <is>
          <t>6924018a000000001f00bee4</t>
        </is>
      </c>
      <c r="C1771" s="1770" t="n">
        <f>HYPERLINK("https://www.xiaohongshu.com/explore/6924018a000000001f00bee4?xsec_token=TB0c3tEqPt7plwTa5OTb5KF2vD7fofgLkVLTt7KAa-wig=&amp;xsec_source=pc_trdark","https://www.xiaohongshu.com/explore/6924018a000000001f00bee4?xsec_token=TB0c3tEqPt7plwTa5OTb5KF2vD7fofgLkVLTt7KAa-wig=&amp;xsec_source=pc_trdark")</f>
        <v>0.0</v>
      </c>
      <c r="D1771" t="inlineStr">
        <is>
          <t>鲜水湾</t>
        </is>
      </c>
      <c r="E1771" t="inlineStr">
        <is>
          <t>49316638994</t>
        </is>
      </c>
      <c r="F1771" t="inlineStr">
        <is>
          <t>2025-11-24 14:56:10</t>
        </is>
      </c>
      <c r="G1771" t="inlineStr">
        <is>
          <t>图文</t>
        </is>
      </c>
      <c r="H1771" t="inlineStr">
        <is>
          <t>大虾基围虾王牌大虾厄瓜多尔白虾盐冻虾仁海洋大虾送礼顺丰包邮</t>
        </is>
      </c>
      <c r="I1771" t="inlineStr">
        <is>
          <t>690aeb7be379430001e686ac</t>
        </is>
      </c>
      <c r="J1771" t="inlineStr">
        <is>
          <t/>
        </is>
      </c>
      <c r="K1771" t="n">
        <v>0.0</v>
      </c>
      <c r="L1771" t="n">
        <v>0.0</v>
      </c>
      <c r="M1771" t="n">
        <v>0.0</v>
      </c>
      <c r="N1771" t="inlineStr">
        <is>
          <t/>
        </is>
      </c>
      <c r="O1771" t="n">
        <v>0.0</v>
      </c>
      <c r="P1771" t="n">
        <v>0.0</v>
      </c>
      <c r="Q1771" t="inlineStr">
        <is>
          <t/>
        </is>
      </c>
      <c r="R1771" t="inlineStr">
        <is>
          <t/>
        </is>
      </c>
      <c r="S1771" t="n">
        <v>0.0</v>
      </c>
      <c r="T1771" t="n">
        <v>0.0</v>
      </c>
      <c r="U1771" t="n">
        <v>0.0</v>
      </c>
      <c r="V1771" t="n">
        <v>0.0</v>
      </c>
      <c r="W1771" t="inlineStr">
        <is>
          <t/>
        </is>
      </c>
      <c r="X1771" t="n">
        <v>0.0</v>
      </c>
      <c r="Y1771" t="n">
        <v>0.0</v>
      </c>
      <c r="Z1771" t="n">
        <v>0.0</v>
      </c>
      <c r="AA1771" t="n">
        <v>0.0</v>
      </c>
      <c r="AB1771" t="n">
        <v>0.0</v>
      </c>
      <c r="AC1771" t="n">
        <v>0.0</v>
      </c>
      <c r="AD1771" t="n">
        <v>0.0</v>
      </c>
      <c r="AE1771" t="n">
        <v>0.0</v>
      </c>
      <c r="AF1771" t="n">
        <v>0.0</v>
      </c>
      <c r="AG1771" t="n">
        <v>0.0</v>
      </c>
      <c r="AH1771" t="n">
        <v>0.0</v>
      </c>
      <c r="AI1771" t="n">
        <v>0.0</v>
      </c>
      <c r="AJ1771" t="n">
        <v>0.0</v>
      </c>
      <c r="AK1771" t="inlineStr">
        <is>
          <t/>
        </is>
      </c>
      <c r="AL1771" t="inlineStr">
        <is>
          <t/>
        </is>
      </c>
    </row>
    <row r="1772">
      <c r="A1772" t="inlineStr">
        <is>
          <t>告别练后饿到暴食！健身女的蛋白补给已就位</t>
        </is>
      </c>
      <c r="B1772" t="inlineStr">
        <is>
          <t>6923ca43000000001e030372</t>
        </is>
      </c>
      <c r="C1772" s="1771" t="n">
        <f>HYPERLINK("https://www.xiaohongshu.com/explore/6923ca43000000001e030372?xsec_token=TBBxL79LDzc6WqpUNHJD-EhYIDIzUaSiYBZdOzWcv8EHY=&amp;xsec_source=pc_trdark","https://www.xiaohongshu.com/explore/6923ca43000000001e030372?xsec_token=TBBxL79LDzc6WqpUNHJD-EhYIDIzUaSiYBZdOzWcv8EHY=&amp;xsec_source=pc_trdark")</f>
        <v>0.0</v>
      </c>
      <c r="D1772" t="inlineStr">
        <is>
          <t>鲜水湾</t>
        </is>
      </c>
      <c r="E1772" t="inlineStr">
        <is>
          <t>49316638994</t>
        </is>
      </c>
      <c r="F1772" t="inlineStr">
        <is>
          <t>2025-11-24 11:00:19</t>
        </is>
      </c>
      <c r="G1772" t="inlineStr">
        <is>
          <t>图文</t>
        </is>
      </c>
      <c r="H1772" t="inlineStr">
        <is>
          <t>大虾基围虾王牌大虾厄瓜多尔白虾盐冻虾仁海洋大虾送礼顺丰包邮</t>
        </is>
      </c>
      <c r="I1772" t="inlineStr">
        <is>
          <t>690aeb7be379430001e686ac</t>
        </is>
      </c>
      <c r="J1772" t="inlineStr">
        <is>
          <t/>
        </is>
      </c>
      <c r="K1772" t="n">
        <v>0.0</v>
      </c>
      <c r="L1772" t="n">
        <v>0.0</v>
      </c>
      <c r="M1772" t="n">
        <v>0.0</v>
      </c>
      <c r="N1772" t="inlineStr">
        <is>
          <t/>
        </is>
      </c>
      <c r="O1772" t="n">
        <v>0.0</v>
      </c>
      <c r="P1772" t="n">
        <v>0.0</v>
      </c>
      <c r="Q1772" t="inlineStr">
        <is>
          <t/>
        </is>
      </c>
      <c r="R1772" t="inlineStr">
        <is>
          <t/>
        </is>
      </c>
      <c r="S1772" t="n">
        <v>0.0</v>
      </c>
      <c r="T1772" t="n">
        <v>0.0</v>
      </c>
      <c r="U1772" t="n">
        <v>0.0</v>
      </c>
      <c r="V1772" t="n">
        <v>0.0</v>
      </c>
      <c r="W1772" t="inlineStr">
        <is>
          <t/>
        </is>
      </c>
      <c r="X1772" t="n">
        <v>0.0</v>
      </c>
      <c r="Y1772" t="n">
        <v>0.0</v>
      </c>
      <c r="Z1772" t="n">
        <v>0.0</v>
      </c>
      <c r="AA1772" t="n">
        <v>0.0</v>
      </c>
      <c r="AB1772" t="n">
        <v>0.0</v>
      </c>
      <c r="AC1772" t="n">
        <v>0.0</v>
      </c>
      <c r="AD1772" t="n">
        <v>0.0</v>
      </c>
      <c r="AE1772" t="n">
        <v>0.0</v>
      </c>
      <c r="AF1772" t="n">
        <v>0.0</v>
      </c>
      <c r="AG1772" t="n">
        <v>0.0</v>
      </c>
      <c r="AH1772" t="n">
        <v>0.0</v>
      </c>
      <c r="AI1772" t="n">
        <v>0.0</v>
      </c>
      <c r="AJ1772" t="n">
        <v>0.0</v>
      </c>
      <c r="AK1772" t="inlineStr">
        <is>
          <t/>
        </is>
      </c>
      <c r="AL1772" t="inlineStr">
        <is>
          <t/>
        </is>
      </c>
    </row>
    <row r="1773">
      <c r="A1773" t="inlineStr">
        <is>
          <t>一个能撑死人，但热量很低的东西</t>
        </is>
      </c>
      <c r="B1773" t="inlineStr">
        <is>
          <t>69231eff000000001e022941</t>
        </is>
      </c>
      <c r="C1773" s="1772" t="n">
        <f>HYPERLINK("https://www.xiaohongshu.com/explore/69231eff000000001e022941?xsec_token=TBBxL79LDzc6WqpUNHJD-EhcFqaVjs_EY-zYiTuVgkqhk=&amp;xsec_source=pc_trdark","https://www.xiaohongshu.com/explore/69231eff000000001e022941?xsec_token=TBBxL79LDzc6WqpUNHJD-EhcFqaVjs_EY-zYiTuVgkqhk=&amp;xsec_source=pc_trdark")</f>
        <v>0.0</v>
      </c>
      <c r="D1773" t="inlineStr">
        <is>
          <t>鲜水湾</t>
        </is>
      </c>
      <c r="E1773" t="inlineStr">
        <is>
          <t>49316638994</t>
        </is>
      </c>
      <c r="F1773" t="inlineStr">
        <is>
          <t>2025-11-23 22:49:35</t>
        </is>
      </c>
      <c r="G1773" t="inlineStr">
        <is>
          <t>图文</t>
        </is>
      </c>
      <c r="H1773" t="inlineStr">
        <is>
          <t>大虾基围虾王牌大虾厄瓜多尔白虾盐冻虾仁海洋大虾送礼顺丰包邮</t>
        </is>
      </c>
      <c r="I1773" t="inlineStr">
        <is>
          <t>690aeb7be379430001e686ac</t>
        </is>
      </c>
      <c r="J1773" t="inlineStr">
        <is>
          <t/>
        </is>
      </c>
      <c r="K1773" t="n">
        <v>0.0</v>
      </c>
      <c r="L1773" t="n">
        <v>0.0</v>
      </c>
      <c r="M1773" t="n">
        <v>0.0</v>
      </c>
      <c r="N1773" t="inlineStr">
        <is>
          <t/>
        </is>
      </c>
      <c r="O1773" t="n">
        <v>0.0</v>
      </c>
      <c r="P1773" t="n">
        <v>0.0</v>
      </c>
      <c r="Q1773" t="inlineStr">
        <is>
          <t/>
        </is>
      </c>
      <c r="R1773" t="inlineStr">
        <is>
          <t/>
        </is>
      </c>
      <c r="S1773" t="n">
        <v>0.0</v>
      </c>
      <c r="T1773" t="n">
        <v>0.0</v>
      </c>
      <c r="U1773" t="n">
        <v>0.0</v>
      </c>
      <c r="V1773" t="n">
        <v>0.0</v>
      </c>
      <c r="W1773" t="inlineStr">
        <is>
          <t/>
        </is>
      </c>
      <c r="X1773" t="n">
        <v>0.0</v>
      </c>
      <c r="Y1773" t="n">
        <v>0.0</v>
      </c>
      <c r="Z1773" t="n">
        <v>0.0</v>
      </c>
      <c r="AA1773" t="n">
        <v>0.0</v>
      </c>
      <c r="AB1773" t="n">
        <v>0.0</v>
      </c>
      <c r="AC1773" t="n">
        <v>0.0</v>
      </c>
      <c r="AD1773" t="n">
        <v>0.0</v>
      </c>
      <c r="AE1773" t="n">
        <v>0.0</v>
      </c>
      <c r="AF1773" t="n">
        <v>0.0</v>
      </c>
      <c r="AG1773" t="n">
        <v>0.0</v>
      </c>
      <c r="AH1773" t="n">
        <v>0.0</v>
      </c>
      <c r="AI1773" t="n">
        <v>0.0</v>
      </c>
      <c r="AJ1773" t="n">
        <v>0.0</v>
      </c>
      <c r="AK1773" t="inlineStr">
        <is>
          <t/>
        </is>
      </c>
      <c r="AL1773" t="inlineStr">
        <is>
          <t/>
        </is>
      </c>
    </row>
    <row r="1774">
      <c r="A1774" t="inlineStr">
        <is>
          <t>太香了！60几块就能解决一周减脂餐</t>
        </is>
      </c>
      <c r="B1774" t="inlineStr">
        <is>
          <t>6921cbae000000001e030d05</t>
        </is>
      </c>
      <c r="C1774" s="1773" t="n">
        <f>HYPERLINK("https://www.xiaohongshu.com/explore/6921cbae000000001e030d05?xsec_token=TBXRRyp7npeNirIt6SRYXfK_xDIww_vNSnp-NhdF1eW8k=&amp;xsec_source=pc_trdark","https://www.xiaohongshu.com/explore/6921cbae000000001e030d05?xsec_token=TBXRRyp7npeNirIt6SRYXfK_xDIww_vNSnp-NhdF1eW8k=&amp;xsec_source=pc_trdark")</f>
        <v>0.0</v>
      </c>
      <c r="D1774" t="inlineStr">
        <is>
          <t>鲜水湾</t>
        </is>
      </c>
      <c r="E1774" t="inlineStr">
        <is>
          <t>49316638994</t>
        </is>
      </c>
      <c r="F1774" t="inlineStr">
        <is>
          <t>2025-11-22 22:41:50</t>
        </is>
      </c>
      <c r="G1774" t="inlineStr">
        <is>
          <t>图文</t>
        </is>
      </c>
      <c r="H1774" t="inlineStr">
        <is>
          <t>大虾基围虾王牌大虾厄瓜多尔白虾盐冻虾仁海洋大虾送礼顺丰包邮</t>
        </is>
      </c>
      <c r="I1774" t="inlineStr">
        <is>
          <t>690aeb7be379430001e686ac</t>
        </is>
      </c>
      <c r="J1774" t="inlineStr">
        <is>
          <t/>
        </is>
      </c>
      <c r="K1774" t="n">
        <v>0.0</v>
      </c>
      <c r="L1774" t="n">
        <v>0.0</v>
      </c>
      <c r="M1774" t="n">
        <v>0.0</v>
      </c>
      <c r="N1774" t="inlineStr">
        <is>
          <t/>
        </is>
      </c>
      <c r="O1774" t="n">
        <v>0.0</v>
      </c>
      <c r="P1774" t="n">
        <v>0.0</v>
      </c>
      <c r="Q1774" t="inlineStr">
        <is>
          <t/>
        </is>
      </c>
      <c r="R1774" t="inlineStr">
        <is>
          <t/>
        </is>
      </c>
      <c r="S1774" t="n">
        <v>0.0</v>
      </c>
      <c r="T1774" t="n">
        <v>0.0</v>
      </c>
      <c r="U1774" t="n">
        <v>0.0</v>
      </c>
      <c r="V1774" t="n">
        <v>0.0</v>
      </c>
      <c r="W1774" t="inlineStr">
        <is>
          <t/>
        </is>
      </c>
      <c r="X1774" t="n">
        <v>0.0</v>
      </c>
      <c r="Y1774" t="n">
        <v>0.0</v>
      </c>
      <c r="Z1774" t="n">
        <v>0.0</v>
      </c>
      <c r="AA1774" t="n">
        <v>0.0</v>
      </c>
      <c r="AB1774" t="n">
        <v>0.0</v>
      </c>
      <c r="AC1774" t="n">
        <v>0.0</v>
      </c>
      <c r="AD1774" t="n">
        <v>0.0</v>
      </c>
      <c r="AE1774" t="n">
        <v>0.0</v>
      </c>
      <c r="AF1774" t="n">
        <v>0.0</v>
      </c>
      <c r="AG1774" t="n">
        <v>0.0</v>
      </c>
      <c r="AH1774" t="n">
        <v>0.0</v>
      </c>
      <c r="AI1774" t="n">
        <v>0.0</v>
      </c>
      <c r="AJ1774" t="n">
        <v>0.0</v>
      </c>
      <c r="AK1774" t="inlineStr">
        <is>
          <t/>
        </is>
      </c>
      <c r="AL1774" t="inlineStr">
        <is>
          <t/>
        </is>
      </c>
    </row>
    <row r="1775">
      <c r="A1775" t="inlineStr">
        <is>
          <t>不愧是10w网友认证过的减重餐？？太绝了‼️</t>
        </is>
      </c>
      <c r="B1775" t="inlineStr">
        <is>
          <t>691a8ff8000000000402b2b6</t>
        </is>
      </c>
      <c r="C1775" s="1774" t="n">
        <f>HYPERLINK("https://www.xiaohongshu.com/explore/691a8ff8000000000402b2b6?xsec_token=TB7_xX17zVvyJQL8hbcdzoIKGb5aaUt1KEEMh2gAbuHz0=&amp;xsec_source=pc_trdark","https://www.xiaohongshu.com/explore/691a8ff8000000000402b2b6?xsec_token=TB7_xX17zVvyJQL8hbcdzoIKGb5aaUt1KEEMh2gAbuHz0=&amp;xsec_source=pc_trdark")</f>
        <v>0.0</v>
      </c>
      <c r="D1775" t="inlineStr">
        <is>
          <t>鲜水湾</t>
        </is>
      </c>
      <c r="E1775" t="inlineStr">
        <is>
          <t>49316638994</t>
        </is>
      </c>
      <c r="F1775" t="inlineStr">
        <is>
          <t>2025-11-17 11:01:12</t>
        </is>
      </c>
      <c r="G1775" t="inlineStr">
        <is>
          <t>图文</t>
        </is>
      </c>
      <c r="H1775" t="inlineStr">
        <is>
          <t>大虾基围虾王牌大虾厄瓜多尔白虾盐冻虾仁海洋大虾送礼顺丰包邮</t>
        </is>
      </c>
      <c r="I1775" t="inlineStr">
        <is>
          <t>690aeb7be379430001e686ac</t>
        </is>
      </c>
      <c r="J1775" t="inlineStr">
        <is>
          <t/>
        </is>
      </c>
      <c r="K1775" t="n">
        <v>0.0</v>
      </c>
      <c r="L1775" t="n">
        <v>0.0</v>
      </c>
      <c r="M1775" t="n">
        <v>0.0</v>
      </c>
      <c r="N1775" t="inlineStr">
        <is>
          <t/>
        </is>
      </c>
      <c r="O1775" t="n">
        <v>0.0</v>
      </c>
      <c r="P1775" t="n">
        <v>0.0</v>
      </c>
      <c r="Q1775" t="inlineStr">
        <is>
          <t/>
        </is>
      </c>
      <c r="R1775" t="inlineStr">
        <is>
          <t/>
        </is>
      </c>
      <c r="S1775" t="n">
        <v>0.0</v>
      </c>
      <c r="T1775" t="n">
        <v>0.0</v>
      </c>
      <c r="U1775" t="n">
        <v>0.0</v>
      </c>
      <c r="V1775" t="n">
        <v>0.0</v>
      </c>
      <c r="W1775" t="inlineStr">
        <is>
          <t/>
        </is>
      </c>
      <c r="X1775" t="n">
        <v>0.0</v>
      </c>
      <c r="Y1775" t="n">
        <v>0.0</v>
      </c>
      <c r="Z1775" t="n">
        <v>0.0</v>
      </c>
      <c r="AA1775" t="n">
        <v>0.0</v>
      </c>
      <c r="AB1775" t="n">
        <v>0.0</v>
      </c>
      <c r="AC1775" t="n">
        <v>0.0</v>
      </c>
      <c r="AD1775" t="n">
        <v>0.0</v>
      </c>
      <c r="AE1775" t="n">
        <v>0.0</v>
      </c>
      <c r="AF1775" t="n">
        <v>0.0</v>
      </c>
      <c r="AG1775" t="n">
        <v>0.0</v>
      </c>
      <c r="AH1775" t="n">
        <v>0.0</v>
      </c>
      <c r="AI1775" t="n">
        <v>0.0</v>
      </c>
      <c r="AJ1775" t="n">
        <v>0.0</v>
      </c>
      <c r="AK1775" t="inlineStr">
        <is>
          <t/>
        </is>
      </c>
      <c r="AL1775" t="inlineStr">
        <is>
          <t/>
        </is>
      </c>
    </row>
    <row r="1776">
      <c r="A1776" t="inlineStr">
        <is>
          <t>连不爱网购的老妈都催我囤大虾！</t>
        </is>
      </c>
      <c r="B1776" t="inlineStr">
        <is>
          <t>691837c30000000004017464</t>
        </is>
      </c>
      <c r="C1776" s="1775" t="n">
        <f>HYPERLINK("https://www.xiaohongshu.com/explore/691837c30000000004017464?xsec_token=TB2jG8LClQLNxZisl2ii_FqJK3qqI7shX4ABma525rQKY=&amp;xsec_source=pc_trdark","https://www.xiaohongshu.com/explore/691837c30000000004017464?xsec_token=TB2jG8LClQLNxZisl2ii_FqJK3qqI7shX4ABma525rQKY=&amp;xsec_source=pc_trdark")</f>
        <v>0.0</v>
      </c>
      <c r="D1776" t="inlineStr">
        <is>
          <t>鲜水湾</t>
        </is>
      </c>
      <c r="E1776" t="inlineStr">
        <is>
          <t>49316638994</t>
        </is>
      </c>
      <c r="F1776" t="inlineStr">
        <is>
          <t>2025-11-15 16:20:19</t>
        </is>
      </c>
      <c r="G1776" t="inlineStr">
        <is>
          <t>图文</t>
        </is>
      </c>
      <c r="H1776" t="inlineStr">
        <is>
          <t>大虾基围虾王牌大虾厄瓜多尔白虾盐冻虾仁海洋大虾送礼顺丰包邮</t>
        </is>
      </c>
      <c r="I1776" t="inlineStr">
        <is>
          <t>690aeb7be379430001e686ac</t>
        </is>
      </c>
      <c r="J1776" t="inlineStr">
        <is>
          <t/>
        </is>
      </c>
      <c r="K1776" t="n">
        <v>0.0</v>
      </c>
      <c r="L1776" t="n">
        <v>0.0</v>
      </c>
      <c r="M1776" t="n">
        <v>0.0</v>
      </c>
      <c r="N1776" t="inlineStr">
        <is>
          <t/>
        </is>
      </c>
      <c r="O1776" t="n">
        <v>0.0</v>
      </c>
      <c r="P1776" t="n">
        <v>0.0</v>
      </c>
      <c r="Q1776" t="inlineStr">
        <is>
          <t/>
        </is>
      </c>
      <c r="R1776" t="inlineStr">
        <is>
          <t/>
        </is>
      </c>
      <c r="S1776" t="n">
        <v>0.0</v>
      </c>
      <c r="T1776" t="n">
        <v>0.0</v>
      </c>
      <c r="U1776" t="n">
        <v>0.0</v>
      </c>
      <c r="V1776" t="n">
        <v>0.0</v>
      </c>
      <c r="W1776" t="inlineStr">
        <is>
          <t/>
        </is>
      </c>
      <c r="X1776" t="n">
        <v>0.0</v>
      </c>
      <c r="Y1776" t="n">
        <v>0.0</v>
      </c>
      <c r="Z1776" t="n">
        <v>0.0</v>
      </c>
      <c r="AA1776" t="n">
        <v>0.0</v>
      </c>
      <c r="AB1776" t="n">
        <v>0.0</v>
      </c>
      <c r="AC1776" t="n">
        <v>0.0</v>
      </c>
      <c r="AD1776" t="n">
        <v>0.0</v>
      </c>
      <c r="AE1776" t="n">
        <v>0.0</v>
      </c>
      <c r="AF1776" t="n">
        <v>0.0</v>
      </c>
      <c r="AG1776" t="n">
        <v>0.0</v>
      </c>
      <c r="AH1776" t="n">
        <v>0.0</v>
      </c>
      <c r="AI1776" t="n">
        <v>0.0</v>
      </c>
      <c r="AJ1776" t="n">
        <v>0.0</v>
      </c>
      <c r="AK1776" t="inlineStr">
        <is>
          <t/>
        </is>
      </c>
      <c r="AL1776" t="inlineStr">
        <is>
          <t/>
        </is>
      </c>
    </row>
    <row r="1777">
      <c r="A1777" t="inlineStr">
        <is>
          <t>误以为很贵，实际60多三大斤真的过瘾！</t>
        </is>
      </c>
      <c r="B1777" t="inlineStr">
        <is>
          <t>691746070000000005032d43</t>
        </is>
      </c>
      <c r="C1777" s="1776" t="n">
        <f>HYPERLINK("https://www.xiaohongshu.com/explore/691746070000000005032d43?xsec_token=TBLSBfqZexCmmruTMJXuhniyb3522Q1EebKfRQ6O65R4I=&amp;xsec_source=pc_trdark","https://www.xiaohongshu.com/explore/691746070000000005032d43?xsec_token=TBLSBfqZexCmmruTMJXuhniyb3522Q1EebKfRQ6O65R4I=&amp;xsec_source=pc_trdark")</f>
        <v>0.0</v>
      </c>
      <c r="D1777" t="inlineStr">
        <is>
          <t>鲜水湾</t>
        </is>
      </c>
      <c r="E1777" t="inlineStr">
        <is>
          <t>49316638994</t>
        </is>
      </c>
      <c r="F1777" t="inlineStr">
        <is>
          <t>2025-11-14 23:08:55</t>
        </is>
      </c>
      <c r="G1777" t="inlineStr">
        <is>
          <t>图文</t>
        </is>
      </c>
      <c r="H1777" t="inlineStr">
        <is>
          <t>大虾基围虾王牌大虾厄瓜多尔白虾盐冻虾仁海洋大虾送礼顺丰包邮</t>
        </is>
      </c>
      <c r="I1777" t="inlineStr">
        <is>
          <t>690aeb7be379430001e686ac</t>
        </is>
      </c>
      <c r="J1777" t="inlineStr">
        <is>
          <t/>
        </is>
      </c>
      <c r="K1777" t="n">
        <v>0.0</v>
      </c>
      <c r="L1777" t="n">
        <v>0.0</v>
      </c>
      <c r="M1777" t="n">
        <v>0.0</v>
      </c>
      <c r="N1777" t="inlineStr">
        <is>
          <t/>
        </is>
      </c>
      <c r="O1777" t="n">
        <v>0.0</v>
      </c>
      <c r="P1777" t="n">
        <v>0.0</v>
      </c>
      <c r="Q1777" t="inlineStr">
        <is>
          <t/>
        </is>
      </c>
      <c r="R1777" t="inlineStr">
        <is>
          <t/>
        </is>
      </c>
      <c r="S1777" t="n">
        <v>0.0</v>
      </c>
      <c r="T1777" t="n">
        <v>0.0</v>
      </c>
      <c r="U1777" t="n">
        <v>0.0</v>
      </c>
      <c r="V1777" t="n">
        <v>0.0</v>
      </c>
      <c r="W1777" t="inlineStr">
        <is>
          <t/>
        </is>
      </c>
      <c r="X1777" t="n">
        <v>0.0</v>
      </c>
      <c r="Y1777" t="n">
        <v>0.0</v>
      </c>
      <c r="Z1777" t="n">
        <v>0.0</v>
      </c>
      <c r="AA1777" t="n">
        <v>0.0</v>
      </c>
      <c r="AB1777" t="n">
        <v>0.0</v>
      </c>
      <c r="AC1777" t="n">
        <v>0.0</v>
      </c>
      <c r="AD1777" t="n">
        <v>0.0</v>
      </c>
      <c r="AE1777" t="n">
        <v>0.0</v>
      </c>
      <c r="AF1777" t="n">
        <v>0.0</v>
      </c>
      <c r="AG1777" t="n">
        <v>0.0</v>
      </c>
      <c r="AH1777" t="n">
        <v>0.0</v>
      </c>
      <c r="AI1777" t="n">
        <v>0.0</v>
      </c>
      <c r="AJ1777" t="n">
        <v>0.0</v>
      </c>
      <c r="AK1777" t="inlineStr">
        <is>
          <t/>
        </is>
      </c>
      <c r="AL1777" t="inlineStr">
        <is>
          <t/>
        </is>
      </c>
    </row>
    <row r="1778">
      <c r="A1778" t="inlineStr">
        <is>
          <t>60+💰很适合上班族带饭的虾</t>
        </is>
      </c>
      <c r="B1778" t="inlineStr">
        <is>
          <t>6916fd440000000004002b06</t>
        </is>
      </c>
      <c r="C1778" s="1777" t="n">
        <f>HYPERLINK("https://www.xiaohongshu.com/explore/6916fd440000000004002b06?xsec_token=TBHZiehrAOyLGw_5sWYDTDSSV1nrgE7qguoH2JB5X9l5I=&amp;xsec_source=pc_trdark","https://www.xiaohongshu.com/explore/6916fd440000000004002b06?xsec_token=TBHZiehrAOyLGw_5sWYDTDSSV1nrgE7qguoH2JB5X9l5I=&amp;xsec_source=pc_trdark")</f>
        <v>0.0</v>
      </c>
      <c r="D1778" t="inlineStr">
        <is>
          <t>鲜水湾</t>
        </is>
      </c>
      <c r="E1778" t="inlineStr">
        <is>
          <t>49316638994</t>
        </is>
      </c>
      <c r="F1778" t="inlineStr">
        <is>
          <t>2025-11-14 17:58:28</t>
        </is>
      </c>
      <c r="G1778" t="inlineStr">
        <is>
          <t>图文</t>
        </is>
      </c>
      <c r="H1778" t="inlineStr">
        <is>
          <t>大虾基围虾王牌大虾厄瓜多尔白虾盐冻虾仁海洋大虾送礼顺丰包邮</t>
        </is>
      </c>
      <c r="I1778" t="inlineStr">
        <is>
          <t>690aeb7be379430001e686ac</t>
        </is>
      </c>
      <c r="J1778" t="inlineStr">
        <is>
          <t/>
        </is>
      </c>
      <c r="K1778" t="n">
        <v>0.0</v>
      </c>
      <c r="L1778" t="n">
        <v>0.0</v>
      </c>
      <c r="M1778" t="n">
        <v>0.0</v>
      </c>
      <c r="N1778" t="inlineStr">
        <is>
          <t/>
        </is>
      </c>
      <c r="O1778" t="n">
        <v>0.0</v>
      </c>
      <c r="P1778" t="n">
        <v>0.0</v>
      </c>
      <c r="Q1778" t="inlineStr">
        <is>
          <t/>
        </is>
      </c>
      <c r="R1778" t="inlineStr">
        <is>
          <t/>
        </is>
      </c>
      <c r="S1778" t="n">
        <v>0.0</v>
      </c>
      <c r="T1778" t="n">
        <v>0.0</v>
      </c>
      <c r="U1778" t="n">
        <v>0.0</v>
      </c>
      <c r="V1778" t="n">
        <v>0.0</v>
      </c>
      <c r="W1778" t="inlineStr">
        <is>
          <t/>
        </is>
      </c>
      <c r="X1778" t="n">
        <v>0.0</v>
      </c>
      <c r="Y1778" t="n">
        <v>0.0</v>
      </c>
      <c r="Z1778" t="n">
        <v>0.0</v>
      </c>
      <c r="AA1778" t="n">
        <v>0.0</v>
      </c>
      <c r="AB1778" t="n">
        <v>0.0</v>
      </c>
      <c r="AC1778" t="n">
        <v>0.0</v>
      </c>
      <c r="AD1778" t="n">
        <v>0.0</v>
      </c>
      <c r="AE1778" t="n">
        <v>0.0</v>
      </c>
      <c r="AF1778" t="n">
        <v>0.0</v>
      </c>
      <c r="AG1778" t="n">
        <v>0.0</v>
      </c>
      <c r="AH1778" t="n">
        <v>0.0</v>
      </c>
      <c r="AI1778" t="n">
        <v>0.0</v>
      </c>
      <c r="AJ1778" t="n">
        <v>0.0</v>
      </c>
      <c r="AK1778" t="inlineStr">
        <is>
          <t/>
        </is>
      </c>
      <c r="AL1778" t="inlineStr">
        <is>
          <t/>
        </is>
      </c>
    </row>
    <row r="1779">
      <c r="A1779" t="inlineStr">
        <is>
          <t>不要低估60+💰的购买力，敞开吃吧…</t>
        </is>
      </c>
      <c r="B1779" t="inlineStr">
        <is>
          <t>6915a71900000000050315c1</t>
        </is>
      </c>
      <c r="C1779" s="1778" t="n">
        <f>HYPERLINK("https://www.xiaohongshu.com/explore/6915a71900000000050315c1?xsec_token=TBAg-veJq-9HvX6LdnoJFXam1UmZ7vP4SKjS-YNGARor4=&amp;xsec_source=pc_trdark","https://www.xiaohongshu.com/explore/6915a71900000000050315c1?xsec_token=TBAg-veJq-9HvX6LdnoJFXam1UmZ7vP4SKjS-YNGARor4=&amp;xsec_source=pc_trdark")</f>
        <v>0.0</v>
      </c>
      <c r="D1779" t="inlineStr">
        <is>
          <t>鲜水湾</t>
        </is>
      </c>
      <c r="E1779" t="inlineStr">
        <is>
          <t>49316638994</t>
        </is>
      </c>
      <c r="F1779" t="inlineStr">
        <is>
          <t>2025-11-13 17:38:33</t>
        </is>
      </c>
      <c r="G1779" t="inlineStr">
        <is>
          <t>图文</t>
        </is>
      </c>
      <c r="H1779" t="inlineStr">
        <is>
          <t>大虾基围虾王牌大虾厄瓜多尔白虾盐冻虾仁海洋大虾送礼顺丰包邮</t>
        </is>
      </c>
      <c r="I1779" t="inlineStr">
        <is>
          <t>690aeb7be379430001e686ac</t>
        </is>
      </c>
      <c r="J1779" t="inlineStr">
        <is>
          <t/>
        </is>
      </c>
      <c r="K1779" t="n">
        <v>0.0</v>
      </c>
      <c r="L1779" t="n">
        <v>0.0</v>
      </c>
      <c r="M1779" t="n">
        <v>0.0</v>
      </c>
      <c r="N1779" t="inlineStr">
        <is>
          <t/>
        </is>
      </c>
      <c r="O1779" t="n">
        <v>0.0</v>
      </c>
      <c r="P1779" t="n">
        <v>0.0</v>
      </c>
      <c r="Q1779" t="inlineStr">
        <is>
          <t/>
        </is>
      </c>
      <c r="R1779" t="inlineStr">
        <is>
          <t/>
        </is>
      </c>
      <c r="S1779" t="n">
        <v>0.0</v>
      </c>
      <c r="T1779" t="n">
        <v>0.0</v>
      </c>
      <c r="U1779" t="n">
        <v>0.0</v>
      </c>
      <c r="V1779" t="n">
        <v>0.0</v>
      </c>
      <c r="W1779" t="inlineStr">
        <is>
          <t/>
        </is>
      </c>
      <c r="X1779" t="n">
        <v>0.0</v>
      </c>
      <c r="Y1779" t="n">
        <v>0.0</v>
      </c>
      <c r="Z1779" t="n">
        <v>0.0</v>
      </c>
      <c r="AA1779" t="n">
        <v>0.0</v>
      </c>
      <c r="AB1779" t="n">
        <v>0.0</v>
      </c>
      <c r="AC1779" t="n">
        <v>0.0</v>
      </c>
      <c r="AD1779" t="n">
        <v>0.0</v>
      </c>
      <c r="AE1779" t="n">
        <v>0.0</v>
      </c>
      <c r="AF1779" t="n">
        <v>0.0</v>
      </c>
      <c r="AG1779" t="n">
        <v>0.0</v>
      </c>
      <c r="AH1779" t="n">
        <v>0.0</v>
      </c>
      <c r="AI1779" t="n">
        <v>0.0</v>
      </c>
      <c r="AJ1779" t="n">
        <v>0.0</v>
      </c>
      <c r="AK1779" t="inlineStr">
        <is>
          <t/>
        </is>
      </c>
      <c r="AL1779" t="inlineStr">
        <is>
          <t/>
        </is>
      </c>
    </row>
    <row r="1780">
      <c r="A1780" t="inlineStr">
        <is>
          <t>太香了！60多就能买满满一箱大虾！</t>
        </is>
      </c>
      <c r="B1780" t="inlineStr">
        <is>
          <t>6915760a0000000004013483</t>
        </is>
      </c>
      <c r="C1780" s="1779" t="n">
        <f>HYPERLINK("https://www.xiaohongshu.com/explore/6915760a0000000004013483?xsec_token=TBAg-veJq-9HvX6LdnoJFXanh0ElIUwIIMEaByNHvqITs=&amp;xsec_source=pc_trdark","https://www.xiaohongshu.com/explore/6915760a0000000004013483?xsec_token=TBAg-veJq-9HvX6LdnoJFXanh0ElIUwIIMEaByNHvqITs=&amp;xsec_source=pc_trdark")</f>
        <v>0.0</v>
      </c>
      <c r="D1780" t="inlineStr">
        <is>
          <t>鲜水湾</t>
        </is>
      </c>
      <c r="E1780" t="inlineStr">
        <is>
          <t>49316638994</t>
        </is>
      </c>
      <c r="F1780" t="inlineStr">
        <is>
          <t>2025-11-13 14:09:14</t>
        </is>
      </c>
      <c r="G1780" t="inlineStr">
        <is>
          <t>图文</t>
        </is>
      </c>
      <c r="H1780" t="inlineStr">
        <is>
          <t>大虾基围虾王牌大虾厄瓜多尔白虾盐冻虾仁海洋大虾送礼顺丰包邮</t>
        </is>
      </c>
      <c r="I1780" t="inlineStr">
        <is>
          <t>690aeb7be379430001e686ac</t>
        </is>
      </c>
      <c r="J1780" t="inlineStr">
        <is>
          <t/>
        </is>
      </c>
      <c r="K1780" t="n">
        <v>0.0</v>
      </c>
      <c r="L1780" t="n">
        <v>0.0</v>
      </c>
      <c r="M1780" t="n">
        <v>0.0</v>
      </c>
      <c r="N1780" t="inlineStr">
        <is>
          <t/>
        </is>
      </c>
      <c r="O1780" t="n">
        <v>0.0</v>
      </c>
      <c r="P1780" t="n">
        <v>0.0</v>
      </c>
      <c r="Q1780" t="inlineStr">
        <is>
          <t/>
        </is>
      </c>
      <c r="R1780" t="inlineStr">
        <is>
          <t/>
        </is>
      </c>
      <c r="S1780" t="n">
        <v>0.0</v>
      </c>
      <c r="T1780" t="n">
        <v>0.0</v>
      </c>
      <c r="U1780" t="n">
        <v>0.0</v>
      </c>
      <c r="V1780" t="n">
        <v>0.0</v>
      </c>
      <c r="W1780" t="inlineStr">
        <is>
          <t/>
        </is>
      </c>
      <c r="X1780" t="n">
        <v>0.0</v>
      </c>
      <c r="Y1780" t="n">
        <v>0.0</v>
      </c>
      <c r="Z1780" t="n">
        <v>0.0</v>
      </c>
      <c r="AA1780" t="n">
        <v>0.0</v>
      </c>
      <c r="AB1780" t="n">
        <v>0.0</v>
      </c>
      <c r="AC1780" t="n">
        <v>0.0</v>
      </c>
      <c r="AD1780" t="n">
        <v>0.0</v>
      </c>
      <c r="AE1780" t="n">
        <v>0.0</v>
      </c>
      <c r="AF1780" t="n">
        <v>0.0</v>
      </c>
      <c r="AG1780" t="n">
        <v>0.0</v>
      </c>
      <c r="AH1780" t="n">
        <v>0.0</v>
      </c>
      <c r="AI1780" t="n">
        <v>0.0</v>
      </c>
      <c r="AJ1780" t="n">
        <v>0.0</v>
      </c>
      <c r="AK1780" t="inlineStr">
        <is>
          <t/>
        </is>
      </c>
      <c r="AL1780" t="inlineStr">
        <is>
          <t/>
        </is>
      </c>
    </row>
    <row r="1781">
      <c r="A1781" t="inlineStr">
        <is>
          <t>在办公室吃虾，结果整个公司都被种草了🥺</t>
        </is>
      </c>
      <c r="B1781" t="inlineStr">
        <is>
          <t>69154f1a0000000004011889</t>
        </is>
      </c>
      <c r="C1781" s="1780" t="n">
        <f>HYPERLINK("https://www.xiaohongshu.com/explore/69154f1a0000000004011889?xsec_token=TBAg-veJq-9HvX6LdnoJFXasyK0CljA2XvM9Bauv3uBSI=&amp;xsec_source=pc_trdark","https://www.xiaohongshu.com/explore/69154f1a0000000004011889?xsec_token=TBAg-veJq-9HvX6LdnoJFXasyK0CljA2XvM9Bauv3uBSI=&amp;xsec_source=pc_trdark")</f>
        <v>0.0</v>
      </c>
      <c r="D1781" t="inlineStr">
        <is>
          <t>鲜水湾</t>
        </is>
      </c>
      <c r="E1781" t="inlineStr">
        <is>
          <t>49316638994</t>
        </is>
      </c>
      <c r="F1781" t="inlineStr">
        <is>
          <t>2025-11-13 11:23:06</t>
        </is>
      </c>
      <c r="G1781" t="inlineStr">
        <is>
          <t>图文</t>
        </is>
      </c>
      <c r="H1781" t="inlineStr">
        <is>
          <t>大虾基围虾王牌大虾厄瓜多尔白虾盐冻虾仁海洋大虾送礼顺丰包邮</t>
        </is>
      </c>
      <c r="I1781" t="inlineStr">
        <is>
          <t>690aeb7be379430001e686ac</t>
        </is>
      </c>
      <c r="J1781" t="inlineStr">
        <is>
          <t/>
        </is>
      </c>
      <c r="K1781" t="n">
        <v>0.0</v>
      </c>
      <c r="L1781" t="n">
        <v>0.0</v>
      </c>
      <c r="M1781" t="n">
        <v>0.0</v>
      </c>
      <c r="N1781" t="inlineStr">
        <is>
          <t/>
        </is>
      </c>
      <c r="O1781" t="n">
        <v>0.0</v>
      </c>
      <c r="P1781" t="n">
        <v>0.0</v>
      </c>
      <c r="Q1781" t="inlineStr">
        <is>
          <t/>
        </is>
      </c>
      <c r="R1781" t="inlineStr">
        <is>
          <t/>
        </is>
      </c>
      <c r="S1781" t="n">
        <v>0.0</v>
      </c>
      <c r="T1781" t="n">
        <v>0.0</v>
      </c>
      <c r="U1781" t="n">
        <v>0.0</v>
      </c>
      <c r="V1781" t="n">
        <v>0.0</v>
      </c>
      <c r="W1781" t="inlineStr">
        <is>
          <t/>
        </is>
      </c>
      <c r="X1781" t="n">
        <v>0.0</v>
      </c>
      <c r="Y1781" t="n">
        <v>0.0</v>
      </c>
      <c r="Z1781" t="n">
        <v>0.0</v>
      </c>
      <c r="AA1781" t="n">
        <v>0.0</v>
      </c>
      <c r="AB1781" t="n">
        <v>0.0</v>
      </c>
      <c r="AC1781" t="n">
        <v>0.0</v>
      </c>
      <c r="AD1781" t="n">
        <v>0.0</v>
      </c>
      <c r="AE1781" t="n">
        <v>0.0</v>
      </c>
      <c r="AF1781" t="n">
        <v>0.0</v>
      </c>
      <c r="AG1781" t="n">
        <v>0.0</v>
      </c>
      <c r="AH1781" t="n">
        <v>0.0</v>
      </c>
      <c r="AI1781" t="n">
        <v>0.0</v>
      </c>
      <c r="AJ1781" t="n">
        <v>0.0</v>
      </c>
      <c r="AK1781" t="inlineStr">
        <is>
          <t/>
        </is>
      </c>
      <c r="AL1781" t="inlineStr">
        <is>
          <t/>
        </is>
      </c>
    </row>
    <row r="1782">
      <c r="A1782" t="inlineStr">
        <is>
          <t>60几块钱的购买力，远比我想得多得多</t>
        </is>
      </c>
      <c r="B1782" t="inlineStr">
        <is>
          <t>691441d10000000005030f68</t>
        </is>
      </c>
      <c r="C1782" s="1781" t="n">
        <f>HYPERLINK("https://www.xiaohongshu.com/explore/691441d10000000005030f68?xsec_token=TBaXvlcWwd_4ttBIqZOUWAk4TCcJLygE0Kvb13kaLE6xU=&amp;xsec_source=pc_trdark","https://www.xiaohongshu.com/explore/691441d10000000005030f68?xsec_token=TBaXvlcWwd_4ttBIqZOUWAk4TCcJLygE0Kvb13kaLE6xU=&amp;xsec_source=pc_trdark")</f>
        <v>0.0</v>
      </c>
      <c r="D1782" t="inlineStr">
        <is>
          <t>鲜水湾</t>
        </is>
      </c>
      <c r="E1782" t="inlineStr">
        <is>
          <t>49316638994</t>
        </is>
      </c>
      <c r="F1782" t="inlineStr">
        <is>
          <t>2025-11-12 16:14:09</t>
        </is>
      </c>
      <c r="G1782" t="inlineStr">
        <is>
          <t>图文</t>
        </is>
      </c>
      <c r="H1782" t="inlineStr">
        <is>
          <t>大虾基围虾王牌大虾厄瓜多尔白虾盐冻虾仁海洋大虾送礼顺丰包邮</t>
        </is>
      </c>
      <c r="I1782" t="inlineStr">
        <is>
          <t>690aeb7be379430001e686ac</t>
        </is>
      </c>
      <c r="J1782" t="inlineStr">
        <is>
          <t/>
        </is>
      </c>
      <c r="K1782" t="n">
        <v>0.0</v>
      </c>
      <c r="L1782" t="n">
        <v>0.0</v>
      </c>
      <c r="M1782" t="n">
        <v>0.0</v>
      </c>
      <c r="N1782" t="inlineStr">
        <is>
          <t/>
        </is>
      </c>
      <c r="O1782" t="n">
        <v>0.0</v>
      </c>
      <c r="P1782" t="n">
        <v>0.0</v>
      </c>
      <c r="Q1782" t="inlineStr">
        <is>
          <t/>
        </is>
      </c>
      <c r="R1782" t="inlineStr">
        <is>
          <t/>
        </is>
      </c>
      <c r="S1782" t="n">
        <v>0.0</v>
      </c>
      <c r="T1782" t="n">
        <v>0.0</v>
      </c>
      <c r="U1782" t="n">
        <v>0.0</v>
      </c>
      <c r="V1782" t="n">
        <v>0.0</v>
      </c>
      <c r="W1782" t="inlineStr">
        <is>
          <t/>
        </is>
      </c>
      <c r="X1782" t="n">
        <v>0.0</v>
      </c>
      <c r="Y1782" t="n">
        <v>0.0</v>
      </c>
      <c r="Z1782" t="n">
        <v>0.0</v>
      </c>
      <c r="AA1782" t="n">
        <v>0.0</v>
      </c>
      <c r="AB1782" t="n">
        <v>0.0</v>
      </c>
      <c r="AC1782" t="n">
        <v>0.0</v>
      </c>
      <c r="AD1782" t="n">
        <v>0.0</v>
      </c>
      <c r="AE1782" t="n">
        <v>0.0</v>
      </c>
      <c r="AF1782" t="n">
        <v>0.0</v>
      </c>
      <c r="AG1782" t="n">
        <v>0.0</v>
      </c>
      <c r="AH1782" t="n">
        <v>0.0</v>
      </c>
      <c r="AI1782" t="n">
        <v>0.0</v>
      </c>
      <c r="AJ1782" t="n">
        <v>0.0</v>
      </c>
      <c r="AK1782" t="inlineStr">
        <is>
          <t/>
        </is>
      </c>
      <c r="AL1782" t="inlineStr">
        <is>
          <t/>
        </is>
      </c>
    </row>
    <row r="1783">
      <c r="A1783" t="inlineStr">
        <is>
          <t>女孩们，千万别小瞧60块的购买力</t>
        </is>
      </c>
      <c r="B1783" t="inlineStr">
        <is>
          <t>691426fb0000000007039a15</t>
        </is>
      </c>
      <c r="C1783" s="1782" t="n">
        <f>HYPERLINK("https://www.xiaohongshu.com/explore/691426fb0000000007039a15?xsec_token=TBaXvlcWwd_4ttBIqZOUWAk-rRiUTIHwOdDE-46MSMzQs=&amp;xsec_source=pc_trdark","https://www.xiaohongshu.com/explore/691426fb0000000007039a15?xsec_token=TBaXvlcWwd_4ttBIqZOUWAk-rRiUTIHwOdDE-46MSMzQs=&amp;xsec_source=pc_trdark")</f>
        <v>0.0</v>
      </c>
      <c r="D1783" t="inlineStr">
        <is>
          <t>鲜水湾甄选</t>
        </is>
      </c>
      <c r="E1783" t="inlineStr">
        <is>
          <t>27401929161</t>
        </is>
      </c>
      <c r="F1783" t="inlineStr">
        <is>
          <t>2025-11-12 14:19:39</t>
        </is>
      </c>
      <c r="G1783" t="inlineStr">
        <is>
          <t>图文</t>
        </is>
      </c>
      <c r="H1783" t="inlineStr">
        <is>
          <t>大虾基围虾王牌大虾厄瓜多尔白虾盐冻虾仁海洋大虾送礼顺丰包邮</t>
        </is>
      </c>
      <c r="I1783" t="inlineStr">
        <is>
          <t>690aeb7be379430001e686ac</t>
        </is>
      </c>
      <c r="J1783" t="inlineStr">
        <is>
          <t/>
        </is>
      </c>
      <c r="K1783" t="n">
        <v>0.0</v>
      </c>
      <c r="L1783" t="n">
        <v>0.0</v>
      </c>
      <c r="M1783" t="n">
        <v>0.0</v>
      </c>
      <c r="N1783" t="inlineStr">
        <is>
          <t/>
        </is>
      </c>
      <c r="O1783" t="n">
        <v>0.0</v>
      </c>
      <c r="P1783" t="n">
        <v>0.0</v>
      </c>
      <c r="Q1783" t="inlineStr">
        <is>
          <t/>
        </is>
      </c>
      <c r="R1783" t="inlineStr">
        <is>
          <t/>
        </is>
      </c>
      <c r="S1783" t="n">
        <v>0.0</v>
      </c>
      <c r="T1783" t="n">
        <v>0.0</v>
      </c>
      <c r="U1783" t="n">
        <v>0.0</v>
      </c>
      <c r="V1783" t="n">
        <v>0.0</v>
      </c>
      <c r="W1783" t="inlineStr">
        <is>
          <t/>
        </is>
      </c>
      <c r="X1783" t="n">
        <v>0.0</v>
      </c>
      <c r="Y1783" t="n">
        <v>0.0</v>
      </c>
      <c r="Z1783" t="n">
        <v>0.0</v>
      </c>
      <c r="AA1783" t="n">
        <v>0.0</v>
      </c>
      <c r="AB1783" t="n">
        <v>0.0</v>
      </c>
      <c r="AC1783" t="n">
        <v>0.0</v>
      </c>
      <c r="AD1783" t="n">
        <v>0.0</v>
      </c>
      <c r="AE1783" t="n">
        <v>0.0</v>
      </c>
      <c r="AF1783" t="n">
        <v>0.0</v>
      </c>
      <c r="AG1783" t="n">
        <v>0.0</v>
      </c>
      <c r="AH1783" t="n">
        <v>0.0</v>
      </c>
      <c r="AI1783" t="n">
        <v>0.0</v>
      </c>
      <c r="AJ1783" t="n">
        <v>0.0</v>
      </c>
      <c r="AK1783" t="inlineStr">
        <is>
          <t/>
        </is>
      </c>
      <c r="AL1783" t="inlineStr">
        <is>
          <t/>
        </is>
      </c>
    </row>
    <row r="1784">
      <c r="A1784" t="inlineStr">
        <is>
          <t>健身党的优质蛋白！60多的大虾超划算</t>
        </is>
      </c>
      <c r="B1784" t="inlineStr">
        <is>
          <t>6913e42a00000000050133fc</t>
        </is>
      </c>
      <c r="C1784" s="1783" t="n">
        <f>HYPERLINK("https://www.xiaohongshu.com/explore/6913e42a00000000050133fc?xsec_token=TBuRf-kx9cRMi3U9rbAm1Pe6WLdTVG4Xw6AsmAU7FAU5w=&amp;xsec_source=pc_trdark","https://www.xiaohongshu.com/explore/6913e42a00000000050133fc?xsec_token=TBuRf-kx9cRMi3U9rbAm1Pe6WLdTVG4Xw6AsmAU7FAU5w=&amp;xsec_source=pc_trdark")</f>
        <v>0.0</v>
      </c>
      <c r="D1784" t="inlineStr">
        <is>
          <t>鲜水湾</t>
        </is>
      </c>
      <c r="E1784" t="inlineStr">
        <is>
          <t>49316638994</t>
        </is>
      </c>
      <c r="F1784" t="inlineStr">
        <is>
          <t>2025-11-12 09:34:34</t>
        </is>
      </c>
      <c r="G1784" t="inlineStr">
        <is>
          <t>图文</t>
        </is>
      </c>
      <c r="H1784" t="inlineStr">
        <is>
          <t>大虾基围虾王牌大虾厄瓜多尔白虾盐冻虾仁海洋大虾送礼顺丰包邮</t>
        </is>
      </c>
      <c r="I1784" t="inlineStr">
        <is>
          <t>690aeb7be379430001e686ac</t>
        </is>
      </c>
      <c r="J1784" t="inlineStr">
        <is>
          <t/>
        </is>
      </c>
      <c r="K1784" t="n">
        <v>0.0</v>
      </c>
      <c r="L1784" t="n">
        <v>0.0</v>
      </c>
      <c r="M1784" t="n">
        <v>0.0</v>
      </c>
      <c r="N1784" t="inlineStr">
        <is>
          <t/>
        </is>
      </c>
      <c r="O1784" t="n">
        <v>0.0</v>
      </c>
      <c r="P1784" t="n">
        <v>0.0</v>
      </c>
      <c r="Q1784" t="inlineStr">
        <is>
          <t/>
        </is>
      </c>
      <c r="R1784" t="inlineStr">
        <is>
          <t/>
        </is>
      </c>
      <c r="S1784" t="n">
        <v>0.0</v>
      </c>
      <c r="T1784" t="n">
        <v>0.0</v>
      </c>
      <c r="U1784" t="n">
        <v>0.0</v>
      </c>
      <c r="V1784" t="n">
        <v>0.0</v>
      </c>
      <c r="W1784" t="inlineStr">
        <is>
          <t/>
        </is>
      </c>
      <c r="X1784" t="n">
        <v>0.0</v>
      </c>
      <c r="Y1784" t="n">
        <v>0.0</v>
      </c>
      <c r="Z1784" t="n">
        <v>0.0</v>
      </c>
      <c r="AA1784" t="n">
        <v>0.0</v>
      </c>
      <c r="AB1784" t="n">
        <v>0.0</v>
      </c>
      <c r="AC1784" t="n">
        <v>0.0</v>
      </c>
      <c r="AD1784" t="n">
        <v>0.0</v>
      </c>
      <c r="AE1784" t="n">
        <v>0.0</v>
      </c>
      <c r="AF1784" t="n">
        <v>0.0</v>
      </c>
      <c r="AG1784" t="n">
        <v>0.0</v>
      </c>
      <c r="AH1784" t="n">
        <v>0.0</v>
      </c>
      <c r="AI1784" t="n">
        <v>0.0</v>
      </c>
      <c r="AJ1784" t="n">
        <v>0.0</v>
      </c>
      <c r="AK1784" t="inlineStr">
        <is>
          <t/>
        </is>
      </c>
      <c r="AL1784" t="inlineStr">
        <is>
          <t/>
        </is>
      </c>
    </row>
    <row r="1785">
      <c r="A1785" t="inlineStr">
        <is>
          <t>60多块的购买力解决上班族十天的优质蛋白</t>
        </is>
      </c>
      <c r="B1785" t="inlineStr">
        <is>
          <t>6913498d0000000004003e56</t>
        </is>
      </c>
      <c r="C1785" s="1784" t="n">
        <f>HYPERLINK("https://www.xiaohongshu.com/explore/6913498d0000000004003e56?xsec_token=TBuRf-kx9cRMi3U9rbAm1Pe6Y7t0mc0gMNlSQ5U3k5_mc=&amp;xsec_source=pc_trdark","https://www.xiaohongshu.com/explore/6913498d0000000004003e56?xsec_token=TBuRf-kx9cRMi3U9rbAm1Pe6Y7t0mc0gMNlSQ5U3k5_mc=&amp;xsec_source=pc_trdark")</f>
        <v>0.0</v>
      </c>
      <c r="D1785" t="inlineStr">
        <is>
          <t>鲜水湾</t>
        </is>
      </c>
      <c r="E1785" t="inlineStr">
        <is>
          <t>49316638994</t>
        </is>
      </c>
      <c r="F1785" t="inlineStr">
        <is>
          <t>2025-11-11 22:34:53</t>
        </is>
      </c>
      <c r="G1785" t="inlineStr">
        <is>
          <t>图文</t>
        </is>
      </c>
      <c r="H1785" t="inlineStr">
        <is>
          <t>大虾基围虾王牌大虾厄瓜多尔白虾盐冻虾仁海洋大虾送礼顺丰包邮</t>
        </is>
      </c>
      <c r="I1785" t="inlineStr">
        <is>
          <t>690aeb7be379430001e686ac</t>
        </is>
      </c>
      <c r="J1785" t="inlineStr">
        <is>
          <t/>
        </is>
      </c>
      <c r="K1785" t="n">
        <v>0.0</v>
      </c>
      <c r="L1785" t="n">
        <v>0.0</v>
      </c>
      <c r="M1785" t="n">
        <v>0.0</v>
      </c>
      <c r="N1785" t="inlineStr">
        <is>
          <t/>
        </is>
      </c>
      <c r="O1785" t="n">
        <v>0.0</v>
      </c>
      <c r="P1785" t="n">
        <v>0.0</v>
      </c>
      <c r="Q1785" t="inlineStr">
        <is>
          <t/>
        </is>
      </c>
      <c r="R1785" t="inlineStr">
        <is>
          <t/>
        </is>
      </c>
      <c r="S1785" t="n">
        <v>0.0</v>
      </c>
      <c r="T1785" t="n">
        <v>0.0</v>
      </c>
      <c r="U1785" t="n">
        <v>0.0</v>
      </c>
      <c r="V1785" t="n">
        <v>0.0</v>
      </c>
      <c r="W1785" t="inlineStr">
        <is>
          <t/>
        </is>
      </c>
      <c r="X1785" t="n">
        <v>0.0</v>
      </c>
      <c r="Y1785" t="n">
        <v>0.0</v>
      </c>
      <c r="Z1785" t="n">
        <v>0.0</v>
      </c>
      <c r="AA1785" t="n">
        <v>0.0</v>
      </c>
      <c r="AB1785" t="n">
        <v>0.0</v>
      </c>
      <c r="AC1785" t="n">
        <v>0.0</v>
      </c>
      <c r="AD1785" t="n">
        <v>0.0</v>
      </c>
      <c r="AE1785" t="n">
        <v>0.0</v>
      </c>
      <c r="AF1785" t="n">
        <v>0.0</v>
      </c>
      <c r="AG1785" t="n">
        <v>0.0</v>
      </c>
      <c r="AH1785" t="n">
        <v>0.0</v>
      </c>
      <c r="AI1785" t="n">
        <v>0.0</v>
      </c>
      <c r="AJ1785" t="n">
        <v>0.0</v>
      </c>
      <c r="AK1785" t="inlineStr">
        <is>
          <t/>
        </is>
      </c>
      <c r="AL1785" t="inlineStr">
        <is>
          <t/>
        </is>
      </c>
    </row>
    <row r="1786">
      <c r="A1786" t="inlineStr">
        <is>
          <t>随手一买带动全办公室开始减酯</t>
        </is>
      </c>
      <c r="B1786" t="inlineStr">
        <is>
          <t>6912ce19000000000401511c</t>
        </is>
      </c>
      <c r="C1786" s="1785" t="n">
        <f>HYPERLINK("https://www.xiaohongshu.com/explore/6912ce19000000000401511c?xsec_token=TBnZN0DmKGIQMnPXPN25j7p1p3SVu36K-RH3cJ0MoB2ls=&amp;xsec_source=pc_trdark","https://www.xiaohongshu.com/explore/6912ce19000000000401511c?xsec_token=TBnZN0DmKGIQMnPXPN25j7p1p3SVu36K-RH3cJ0MoB2ls=&amp;xsec_source=pc_trdark")</f>
        <v>0.0</v>
      </c>
      <c r="D1786" t="inlineStr">
        <is>
          <t>鲜水湾</t>
        </is>
      </c>
      <c r="E1786" t="inlineStr">
        <is>
          <t>49316638994</t>
        </is>
      </c>
      <c r="F1786" t="inlineStr">
        <is>
          <t>2025-11-11 13:48:09</t>
        </is>
      </c>
      <c r="G1786" t="inlineStr">
        <is>
          <t>图文</t>
        </is>
      </c>
      <c r="H1786" t="inlineStr">
        <is>
          <t>大虾基围虾王牌大虾厄瓜多尔白虾盐冻虾仁海洋大虾送礼顺丰包邮</t>
        </is>
      </c>
      <c r="I1786" t="inlineStr">
        <is>
          <t>690aeb7be379430001e686ac</t>
        </is>
      </c>
      <c r="J1786" t="inlineStr">
        <is>
          <t/>
        </is>
      </c>
      <c r="K1786" t="n">
        <v>0.0</v>
      </c>
      <c r="L1786" t="n">
        <v>0.0</v>
      </c>
      <c r="M1786" t="n">
        <v>0.0</v>
      </c>
      <c r="N1786" t="inlineStr">
        <is>
          <t/>
        </is>
      </c>
      <c r="O1786" t="n">
        <v>0.0</v>
      </c>
      <c r="P1786" t="n">
        <v>0.0</v>
      </c>
      <c r="Q1786" t="inlineStr">
        <is>
          <t/>
        </is>
      </c>
      <c r="R1786" t="inlineStr">
        <is>
          <t/>
        </is>
      </c>
      <c r="S1786" t="n">
        <v>0.0</v>
      </c>
      <c r="T1786" t="n">
        <v>0.0</v>
      </c>
      <c r="U1786" t="n">
        <v>0.0</v>
      </c>
      <c r="V1786" t="n">
        <v>0.0</v>
      </c>
      <c r="W1786" t="inlineStr">
        <is>
          <t/>
        </is>
      </c>
      <c r="X1786" t="n">
        <v>0.0</v>
      </c>
      <c r="Y1786" t="n">
        <v>0.0</v>
      </c>
      <c r="Z1786" t="n">
        <v>0.0</v>
      </c>
      <c r="AA1786" t="n">
        <v>0.0</v>
      </c>
      <c r="AB1786" t="n">
        <v>0.0</v>
      </c>
      <c r="AC1786" t="n">
        <v>0.0</v>
      </c>
      <c r="AD1786" t="n">
        <v>0.0</v>
      </c>
      <c r="AE1786" t="n">
        <v>0.0</v>
      </c>
      <c r="AF1786" t="n">
        <v>0.0</v>
      </c>
      <c r="AG1786" t="n">
        <v>0.0</v>
      </c>
      <c r="AH1786" t="n">
        <v>0.0</v>
      </c>
      <c r="AI1786" t="n">
        <v>0.0</v>
      </c>
      <c r="AJ1786" t="n">
        <v>0.0</v>
      </c>
      <c r="AK1786" t="inlineStr">
        <is>
          <t/>
        </is>
      </c>
      <c r="AL1786" t="inlineStr">
        <is>
          <t/>
        </is>
      </c>
    </row>
    <row r="1787">
      <c r="A1787" t="inlineStr">
        <is>
          <t>懂事的姐妹已经给男朋友安排起来了......</t>
        </is>
      </c>
      <c r="B1787" t="inlineStr">
        <is>
          <t>6912caf4000000000301ad06</t>
        </is>
      </c>
      <c r="C1787" s="1786" t="n">
        <f>HYPERLINK("https://www.xiaohongshu.com/explore/6912caf4000000000301ad06?xsec_token=TBnZN0DmKGIQMnPXPN25j7p5Y62lX9J2JSUhOPF9i86vE=&amp;xsec_source=pc_trdark","https://www.xiaohongshu.com/explore/6912caf4000000000301ad06?xsec_token=TBnZN0DmKGIQMnPXPN25j7p5Y62lX9J2JSUhOPF9i86vE=&amp;xsec_source=pc_trdark")</f>
        <v>0.0</v>
      </c>
      <c r="D1787" t="inlineStr">
        <is>
          <t>婉婉上班吃什么</t>
        </is>
      </c>
      <c r="E1787" t="inlineStr">
        <is>
          <t>11434449706</t>
        </is>
      </c>
      <c r="F1787" t="inlineStr">
        <is>
          <t>2025-11-11 13:34:44</t>
        </is>
      </c>
      <c r="G1787" t="inlineStr">
        <is>
          <t>视频</t>
        </is>
      </c>
      <c r="H1787" t="inlineStr">
        <is>
          <t>生蚝乳山生蚝海蛎子顺丰包邮</t>
        </is>
      </c>
      <c r="I1787" t="inlineStr">
        <is>
          <t>690c70971b787900010866cc</t>
        </is>
      </c>
      <c r="J1787" t="n">
        <v>24.0</v>
      </c>
      <c r="K1787" t="n">
        <v>0.0</v>
      </c>
      <c r="L1787" t="n">
        <v>0.0</v>
      </c>
      <c r="M1787" t="n">
        <v>0.0</v>
      </c>
      <c r="N1787" t="inlineStr">
        <is>
          <t/>
        </is>
      </c>
      <c r="O1787" t="n">
        <v>0.0</v>
      </c>
      <c r="P1787" t="n">
        <v>0.0</v>
      </c>
      <c r="Q1787" t="inlineStr">
        <is>
          <t/>
        </is>
      </c>
      <c r="R1787" t="inlineStr">
        <is>
          <t/>
        </is>
      </c>
      <c r="S1787" t="n">
        <v>0.0</v>
      </c>
      <c r="T1787" t="n">
        <v>0.0</v>
      </c>
      <c r="U1787" t="n">
        <v>0.0</v>
      </c>
      <c r="V1787" t="n">
        <v>0.0</v>
      </c>
      <c r="W1787" t="inlineStr">
        <is>
          <t/>
        </is>
      </c>
      <c r="X1787" t="n">
        <v>0.0</v>
      </c>
      <c r="Y1787" t="n">
        <v>0.0</v>
      </c>
      <c r="Z1787" t="n">
        <v>0.0</v>
      </c>
      <c r="AA1787" t="n">
        <v>0.0</v>
      </c>
      <c r="AB1787" t="n">
        <v>0.0</v>
      </c>
      <c r="AC1787" t="n">
        <v>0.0</v>
      </c>
      <c r="AD1787" t="n">
        <v>0.0</v>
      </c>
      <c r="AE1787" t="n">
        <v>0.0</v>
      </c>
      <c r="AF1787" t="n">
        <v>0.0</v>
      </c>
      <c r="AG1787" t="n">
        <v>0.0</v>
      </c>
      <c r="AH1787" t="n">
        <v>0.0</v>
      </c>
      <c r="AI1787" t="n">
        <v>0.0</v>
      </c>
      <c r="AJ1787" t="n">
        <v>0.0</v>
      </c>
      <c r="AK1787" t="inlineStr">
        <is>
          <t/>
        </is>
      </c>
      <c r="AL1787" t="n">
        <v>0.0</v>
      </c>
    </row>
    <row r="1788">
      <c r="A1788" t="inlineStr">
        <is>
          <t>真的低估60多块的购买力，20多一斤赶紧冲</t>
        </is>
      </c>
      <c r="B1788" t="inlineStr">
        <is>
          <t>691292660000000004007ce2</t>
        </is>
      </c>
      <c r="C1788" s="1787" t="n">
        <f>HYPERLINK("https://www.xiaohongshu.com/explore/691292660000000004007ce2?xsec_token=TBnZN0DmKGIQMnPXPN25j7pwWOMvxhl-fwhEn8oSqBanY=&amp;xsec_source=pc_trdark","https://www.xiaohongshu.com/explore/691292660000000004007ce2?xsec_token=TBnZN0DmKGIQMnPXPN25j7pwWOMvxhl-fwhEn8oSqBanY=&amp;xsec_source=pc_trdark")</f>
        <v>0.0</v>
      </c>
      <c r="D1788" t="inlineStr">
        <is>
          <t>鲜水湾</t>
        </is>
      </c>
      <c r="E1788" t="inlineStr">
        <is>
          <t>49316638994</t>
        </is>
      </c>
      <c r="F1788" t="inlineStr">
        <is>
          <t>2025-11-11 09:33:26</t>
        </is>
      </c>
      <c r="G1788" t="inlineStr">
        <is>
          <t>图文</t>
        </is>
      </c>
      <c r="H1788" t="inlineStr">
        <is>
          <t>大虾基围虾王牌大虾厄瓜多尔白虾盐冻虾仁海洋大虾送礼顺丰包邮</t>
        </is>
      </c>
      <c r="I1788" t="inlineStr">
        <is>
          <t>690aeb7be379430001e686ac</t>
        </is>
      </c>
      <c r="J1788" t="inlineStr">
        <is>
          <t/>
        </is>
      </c>
      <c r="K1788" t="n">
        <v>0.0</v>
      </c>
      <c r="L1788" t="n">
        <v>0.0</v>
      </c>
      <c r="M1788" t="n">
        <v>0.0</v>
      </c>
      <c r="N1788" t="inlineStr">
        <is>
          <t/>
        </is>
      </c>
      <c r="O1788" t="n">
        <v>0.0</v>
      </c>
      <c r="P1788" t="n">
        <v>0.0</v>
      </c>
      <c r="Q1788" t="inlineStr">
        <is>
          <t/>
        </is>
      </c>
      <c r="R1788" t="inlineStr">
        <is>
          <t/>
        </is>
      </c>
      <c r="S1788" t="n">
        <v>0.0</v>
      </c>
      <c r="T1788" t="n">
        <v>0.0</v>
      </c>
      <c r="U1788" t="n">
        <v>0.0</v>
      </c>
      <c r="V1788" t="n">
        <v>0.0</v>
      </c>
      <c r="W1788" t="inlineStr">
        <is>
          <t/>
        </is>
      </c>
      <c r="X1788" t="n">
        <v>0.0</v>
      </c>
      <c r="Y1788" t="n">
        <v>0.0</v>
      </c>
      <c r="Z1788" t="n">
        <v>0.0</v>
      </c>
      <c r="AA1788" t="n">
        <v>0.0</v>
      </c>
      <c r="AB1788" t="n">
        <v>0.0</v>
      </c>
      <c r="AC1788" t="n">
        <v>0.0</v>
      </c>
      <c r="AD1788" t="n">
        <v>0.0</v>
      </c>
      <c r="AE1788" t="n">
        <v>0.0</v>
      </c>
      <c r="AF1788" t="n">
        <v>0.0</v>
      </c>
      <c r="AG1788" t="n">
        <v>0.0</v>
      </c>
      <c r="AH1788" t="n">
        <v>0.0</v>
      </c>
      <c r="AI1788" t="n">
        <v>0.0</v>
      </c>
      <c r="AJ1788" t="n">
        <v>0.0</v>
      </c>
      <c r="AK1788" t="inlineStr">
        <is>
          <t/>
        </is>
      </c>
      <c r="AL1788" t="inlineStr">
        <is>
          <t/>
        </is>
      </c>
    </row>
    <row r="1789">
      <c r="A1789" t="inlineStr">
        <is>
          <t>终于知道年轻人爱大虾的理由了……</t>
        </is>
      </c>
      <c r="B1789" t="inlineStr">
        <is>
          <t>691185f4000000000703b57a</t>
        </is>
      </c>
      <c r="C1789" s="1788" t="n">
        <f>HYPERLINK("https://www.xiaohongshu.com/explore/691185f4000000000703b57a?xsec_token=TBrsrV1jnhRUA39f7gREfx-NTLmV1A7aUV7O42PPhiFzo=&amp;xsec_source=pc_trdark","https://www.xiaohongshu.com/explore/691185f4000000000703b57a?xsec_token=TBrsrV1jnhRUA39f7gREfx-NTLmV1A7aUV7O42PPhiFzo=&amp;xsec_source=pc_trdark")</f>
        <v>0.0</v>
      </c>
      <c r="D1789" t="inlineStr">
        <is>
          <t>鲜水湾甄选</t>
        </is>
      </c>
      <c r="E1789" t="inlineStr">
        <is>
          <t>27401929161</t>
        </is>
      </c>
      <c r="F1789" t="inlineStr">
        <is>
          <t>2025-11-10 14:28:04</t>
        </is>
      </c>
      <c r="G1789" t="inlineStr">
        <is>
          <t>图文</t>
        </is>
      </c>
      <c r="H1789" t="inlineStr">
        <is>
          <t>大虾基围虾王牌大虾厄瓜多尔白虾盐冻虾仁海洋大虾送礼顺丰包邮</t>
        </is>
      </c>
      <c r="I1789" t="inlineStr">
        <is>
          <t>690aeb7be379430001e686ac</t>
        </is>
      </c>
      <c r="J1789" t="inlineStr">
        <is>
          <t/>
        </is>
      </c>
      <c r="K1789" t="n">
        <v>0.0</v>
      </c>
      <c r="L1789" t="n">
        <v>0.0</v>
      </c>
      <c r="M1789" t="n">
        <v>0.0</v>
      </c>
      <c r="N1789" t="inlineStr">
        <is>
          <t/>
        </is>
      </c>
      <c r="O1789" t="n">
        <v>0.0</v>
      </c>
      <c r="P1789" t="n">
        <v>0.0</v>
      </c>
      <c r="Q1789" t="inlineStr">
        <is>
          <t/>
        </is>
      </c>
      <c r="R1789" t="inlineStr">
        <is>
          <t/>
        </is>
      </c>
      <c r="S1789" t="n">
        <v>0.0</v>
      </c>
      <c r="T1789" t="n">
        <v>0.0</v>
      </c>
      <c r="U1789" t="n">
        <v>0.0</v>
      </c>
      <c r="V1789" t="n">
        <v>0.0</v>
      </c>
      <c r="W1789" t="inlineStr">
        <is>
          <t/>
        </is>
      </c>
      <c r="X1789" t="n">
        <v>0.0</v>
      </c>
      <c r="Y1789" t="n">
        <v>0.0</v>
      </c>
      <c r="Z1789" t="n">
        <v>0.0</v>
      </c>
      <c r="AA1789" t="n">
        <v>0.0</v>
      </c>
      <c r="AB1789" t="n">
        <v>0.0</v>
      </c>
      <c r="AC1789" t="n">
        <v>0.0</v>
      </c>
      <c r="AD1789" t="n">
        <v>0.0</v>
      </c>
      <c r="AE1789" t="n">
        <v>0.0</v>
      </c>
      <c r="AF1789" t="n">
        <v>0.0</v>
      </c>
      <c r="AG1789" t="n">
        <v>0.0</v>
      </c>
      <c r="AH1789" t="n">
        <v>0.0</v>
      </c>
      <c r="AI1789" t="n">
        <v>0.0</v>
      </c>
      <c r="AJ1789" t="n">
        <v>0.0</v>
      </c>
      <c r="AK1789" t="inlineStr">
        <is>
          <t/>
        </is>
      </c>
      <c r="AL1789" t="inlineStr">
        <is>
          <t/>
        </is>
      </c>
    </row>
    <row r="1790">
      <c r="A1790" t="inlineStr">
        <is>
          <t>原以为不便宜，其实60多三斤大虾太过瘾！</t>
        </is>
      </c>
      <c r="B1790" t="inlineStr">
        <is>
          <t>6911558000000000040108e2</t>
        </is>
      </c>
      <c r="C1790" s="1789" t="n">
        <f>HYPERLINK("https://www.xiaohongshu.com/explore/6911558000000000040108e2?xsec_token=TBrsrV1jnhRUA39f7gREfx-FGlWHQ6Be4qbuClTbNxpnU=&amp;xsec_source=pc_trdark","https://www.xiaohongshu.com/explore/6911558000000000040108e2?xsec_token=TBrsrV1jnhRUA39f7gREfx-FGlWHQ6Be4qbuClTbNxpnU=&amp;xsec_source=pc_trdark")</f>
        <v>0.0</v>
      </c>
      <c r="D1790" t="inlineStr">
        <is>
          <t>鲜水湾</t>
        </is>
      </c>
      <c r="E1790" t="inlineStr">
        <is>
          <t>49316638994</t>
        </is>
      </c>
      <c r="F1790" t="inlineStr">
        <is>
          <t>2025-11-10 11:01:20</t>
        </is>
      </c>
      <c r="G1790" t="inlineStr">
        <is>
          <t>图文</t>
        </is>
      </c>
      <c r="H1790" t="inlineStr">
        <is>
          <t>大虾基围虾王牌大虾厄瓜多尔白虾盐冻虾仁海洋大虾送礼顺丰包邮</t>
        </is>
      </c>
      <c r="I1790" t="inlineStr">
        <is>
          <t>690aeb7be379430001e686ac</t>
        </is>
      </c>
      <c r="J1790" t="inlineStr">
        <is>
          <t/>
        </is>
      </c>
      <c r="K1790" t="n">
        <v>0.0</v>
      </c>
      <c r="L1790" t="n">
        <v>0.0</v>
      </c>
      <c r="M1790" t="n">
        <v>0.0</v>
      </c>
      <c r="N1790" t="inlineStr">
        <is>
          <t/>
        </is>
      </c>
      <c r="O1790" t="n">
        <v>0.0</v>
      </c>
      <c r="P1790" t="n">
        <v>0.0</v>
      </c>
      <c r="Q1790" t="inlineStr">
        <is>
          <t/>
        </is>
      </c>
      <c r="R1790" t="inlineStr">
        <is>
          <t/>
        </is>
      </c>
      <c r="S1790" t="n">
        <v>0.0</v>
      </c>
      <c r="T1790" t="n">
        <v>0.0</v>
      </c>
      <c r="U1790" t="n">
        <v>0.0</v>
      </c>
      <c r="V1790" t="n">
        <v>0.0</v>
      </c>
      <c r="W1790" t="inlineStr">
        <is>
          <t/>
        </is>
      </c>
      <c r="X1790" t="n">
        <v>0.0</v>
      </c>
      <c r="Y1790" t="n">
        <v>0.0</v>
      </c>
      <c r="Z1790" t="n">
        <v>0.0</v>
      </c>
      <c r="AA1790" t="n">
        <v>0.0</v>
      </c>
      <c r="AB1790" t="n">
        <v>0.0</v>
      </c>
      <c r="AC1790" t="n">
        <v>0.0</v>
      </c>
      <c r="AD1790" t="n">
        <v>0.0</v>
      </c>
      <c r="AE1790" t="n">
        <v>0.0</v>
      </c>
      <c r="AF1790" t="n">
        <v>0.0</v>
      </c>
      <c r="AG1790" t="n">
        <v>0.0</v>
      </c>
      <c r="AH1790" t="n">
        <v>0.0</v>
      </c>
      <c r="AI1790" t="n">
        <v>0.0</v>
      </c>
      <c r="AJ1790" t="n">
        <v>0.0</v>
      </c>
      <c r="AK1790" t="inlineStr">
        <is>
          <t/>
        </is>
      </c>
      <c r="AL1790" t="inlineStr">
        <is>
          <t/>
        </is>
      </c>
    </row>
    <row r="1791">
      <c r="A1791" t="inlineStr">
        <is>
          <t>又到吃生蚝的季节了！🔥</t>
        </is>
      </c>
      <c r="B1791" t="inlineStr">
        <is>
          <t>691090c7000000000503163c</t>
        </is>
      </c>
      <c r="C1791" s="1790" t="n">
        <f>HYPERLINK("https://www.xiaohongshu.com/explore/691090c7000000000503163c?xsec_token=TBUjpd2w0LBMv9oJsd0xbTvJFCxAqWbZPRJB7jhMDNDKk=&amp;xsec_source=pc_trdark","https://www.xiaohongshu.com/explore/691090c7000000000503163c?xsec_token=TBUjpd2w0LBMv9oJsd0xbTvJFCxAqWbZPRJB7jhMDNDKk=&amp;xsec_source=pc_trdark")</f>
        <v>0.0</v>
      </c>
      <c r="D1791" t="inlineStr">
        <is>
          <t>婉婉上班吃什么</t>
        </is>
      </c>
      <c r="E1791" t="inlineStr">
        <is>
          <t>11434449706</t>
        </is>
      </c>
      <c r="F1791" t="inlineStr">
        <is>
          <t>2025-11-09 21:01:59</t>
        </is>
      </c>
      <c r="G1791" t="inlineStr">
        <is>
          <t>视频</t>
        </is>
      </c>
      <c r="H1791" t="inlineStr">
        <is>
          <t>生蚝乳山生蚝海蛎子顺丰包邮</t>
        </is>
      </c>
      <c r="I1791" t="inlineStr">
        <is>
          <t>690c70971b787900010866cc</t>
        </is>
      </c>
      <c r="J1791" t="n">
        <v>95.0</v>
      </c>
      <c r="K1791" t="n">
        <v>0.0</v>
      </c>
      <c r="L1791" t="n">
        <v>0.0</v>
      </c>
      <c r="M1791" t="n">
        <v>0.0</v>
      </c>
      <c r="N1791" t="inlineStr">
        <is>
          <t/>
        </is>
      </c>
      <c r="O1791" t="n">
        <v>0.0</v>
      </c>
      <c r="P1791" t="n">
        <v>0.0</v>
      </c>
      <c r="Q1791" t="inlineStr">
        <is>
          <t/>
        </is>
      </c>
      <c r="R1791" t="inlineStr">
        <is>
          <t/>
        </is>
      </c>
      <c r="S1791" t="n">
        <v>0.0</v>
      </c>
      <c r="T1791" t="n">
        <v>0.0</v>
      </c>
      <c r="U1791" t="n">
        <v>0.0</v>
      </c>
      <c r="V1791" t="n">
        <v>0.0</v>
      </c>
      <c r="W1791" t="inlineStr">
        <is>
          <t/>
        </is>
      </c>
      <c r="X1791" t="n">
        <v>0.0</v>
      </c>
      <c r="Y1791" t="n">
        <v>0.0</v>
      </c>
      <c r="Z1791" t="n">
        <v>0.0</v>
      </c>
      <c r="AA1791" t="n">
        <v>0.0</v>
      </c>
      <c r="AB1791" t="n">
        <v>0.0</v>
      </c>
      <c r="AC1791" t="n">
        <v>0.0</v>
      </c>
      <c r="AD1791" t="n">
        <v>0.0</v>
      </c>
      <c r="AE1791" t="n">
        <v>0.0</v>
      </c>
      <c r="AF1791" t="n">
        <v>0.0</v>
      </c>
      <c r="AG1791" t="n">
        <v>0.0</v>
      </c>
      <c r="AH1791" t="n">
        <v>0.0</v>
      </c>
      <c r="AI1791" t="n">
        <v>0.0</v>
      </c>
      <c r="AJ1791" t="n">
        <v>0.0</v>
      </c>
      <c r="AK1791" t="inlineStr">
        <is>
          <t/>
        </is>
      </c>
      <c r="AL1791" t="inlineStr">
        <is>
          <t/>
        </is>
      </c>
    </row>
    <row r="1792">
      <c r="A1792" t="inlineStr">
        <is>
          <t>60多块的购买力解决打工人十天的优质蛋白</t>
        </is>
      </c>
      <c r="B1792" t="inlineStr">
        <is>
          <t>690f64e500000000040016dd</t>
        </is>
      </c>
      <c r="C1792" s="1791" t="n">
        <f>HYPERLINK("https://www.xiaohongshu.com/explore/690f64e500000000040016dd?xsec_token=TBl1ZK_PAsBDZJiqFwt7hIYd0XsoKhBXGAE0V7Cj8yyHU=&amp;xsec_source=pc_trdark","https://www.xiaohongshu.com/explore/690f64e500000000040016dd?xsec_token=TBl1ZK_PAsBDZJiqFwt7hIYd0XsoKhBXGAE0V7Cj8yyHU=&amp;xsec_source=pc_trdark")</f>
        <v>0.0</v>
      </c>
      <c r="D1792" t="inlineStr">
        <is>
          <t>鲜水湾</t>
        </is>
      </c>
      <c r="E1792" t="inlineStr">
        <is>
          <t>49316638994</t>
        </is>
      </c>
      <c r="F1792" t="inlineStr">
        <is>
          <t>2025-11-08 23:42:29</t>
        </is>
      </c>
      <c r="G1792" t="inlineStr">
        <is>
          <t>图文</t>
        </is>
      </c>
      <c r="H1792" t="inlineStr">
        <is>
          <t>大虾基围虾王牌大虾厄瓜多尔白虾盐冻虾仁海洋大虾送礼顺丰包邮</t>
        </is>
      </c>
      <c r="I1792" t="inlineStr">
        <is>
          <t>690aeb7be379430001e686ac</t>
        </is>
      </c>
      <c r="J1792" t="inlineStr">
        <is>
          <t/>
        </is>
      </c>
      <c r="K1792" t="n">
        <v>0.0</v>
      </c>
      <c r="L1792" t="n">
        <v>0.0</v>
      </c>
      <c r="M1792" t="n">
        <v>0.0</v>
      </c>
      <c r="N1792" t="inlineStr">
        <is>
          <t/>
        </is>
      </c>
      <c r="O1792" t="n">
        <v>0.0</v>
      </c>
      <c r="P1792" t="n">
        <v>0.0</v>
      </c>
      <c r="Q1792" t="inlineStr">
        <is>
          <t/>
        </is>
      </c>
      <c r="R1792" t="inlineStr">
        <is>
          <t/>
        </is>
      </c>
      <c r="S1792" t="n">
        <v>0.0</v>
      </c>
      <c r="T1792" t="n">
        <v>0.0</v>
      </c>
      <c r="U1792" t="n">
        <v>0.0</v>
      </c>
      <c r="V1792" t="n">
        <v>0.0</v>
      </c>
      <c r="W1792" t="inlineStr">
        <is>
          <t/>
        </is>
      </c>
      <c r="X1792" t="n">
        <v>0.0</v>
      </c>
      <c r="Y1792" t="n">
        <v>0.0</v>
      </c>
      <c r="Z1792" t="n">
        <v>0.0</v>
      </c>
      <c r="AA1792" t="n">
        <v>0.0</v>
      </c>
      <c r="AB1792" t="n">
        <v>0.0</v>
      </c>
      <c r="AC1792" t="n">
        <v>0.0</v>
      </c>
      <c r="AD1792" t="n">
        <v>0.0</v>
      </c>
      <c r="AE1792" t="n">
        <v>0.0</v>
      </c>
      <c r="AF1792" t="n">
        <v>0.0</v>
      </c>
      <c r="AG1792" t="n">
        <v>0.0</v>
      </c>
      <c r="AH1792" t="n">
        <v>0.0</v>
      </c>
      <c r="AI1792" t="n">
        <v>0.0</v>
      </c>
      <c r="AJ1792" t="n">
        <v>0.0</v>
      </c>
      <c r="AK1792" t="inlineStr">
        <is>
          <t/>
        </is>
      </c>
      <c r="AL1792" t="inlineStr">
        <is>
          <t/>
        </is>
      </c>
    </row>
    <row r="1793">
      <c r="A1793" t="inlineStr">
        <is>
          <t>别再砍价啦！20+💰1斤的大虾真没赚头</t>
        </is>
      </c>
      <c r="B1793" t="inlineStr">
        <is>
          <t>690ea0dc0000000004002f4f</t>
        </is>
      </c>
      <c r="C1793" s="1792" t="n">
        <f>HYPERLINK("https://www.xiaohongshu.com/explore/690ea0dc0000000004002f4f?xsec_token=TBJajQDaP2lymAuuRX7yQPUewVaoUQEzemwtjRoH_ABNg=&amp;xsec_source=pc_trdark","https://www.xiaohongshu.com/explore/690ea0dc0000000004002f4f?xsec_token=TBJajQDaP2lymAuuRX7yQPUewVaoUQEzemwtjRoH_ABNg=&amp;xsec_source=pc_trdark")</f>
        <v>0.0</v>
      </c>
      <c r="D1793" t="inlineStr">
        <is>
          <t>鲜水湾</t>
        </is>
      </c>
      <c r="E1793" t="inlineStr">
        <is>
          <t>49316638994</t>
        </is>
      </c>
      <c r="F1793" t="inlineStr">
        <is>
          <t>2025-11-08 09:46:04</t>
        </is>
      </c>
      <c r="G1793" t="inlineStr">
        <is>
          <t>图文</t>
        </is>
      </c>
      <c r="H1793" t="inlineStr">
        <is>
          <t>大虾基围虾王牌大虾厄瓜多尔白虾盐冻虾仁海洋大虾送礼顺丰包邮</t>
        </is>
      </c>
      <c r="I1793" t="inlineStr">
        <is>
          <t>690aeb7be379430001e686ac</t>
        </is>
      </c>
      <c r="J1793" t="inlineStr">
        <is>
          <t/>
        </is>
      </c>
      <c r="K1793" t="n">
        <v>0.0</v>
      </c>
      <c r="L1793" t="n">
        <v>0.0</v>
      </c>
      <c r="M1793" t="n">
        <v>0.0</v>
      </c>
      <c r="N1793" t="inlineStr">
        <is>
          <t/>
        </is>
      </c>
      <c r="O1793" t="n">
        <v>0.0</v>
      </c>
      <c r="P1793" t="n">
        <v>0.0</v>
      </c>
      <c r="Q1793" t="inlineStr">
        <is>
          <t/>
        </is>
      </c>
      <c r="R1793" t="inlineStr">
        <is>
          <t/>
        </is>
      </c>
      <c r="S1793" t="n">
        <v>0.0</v>
      </c>
      <c r="T1793" t="n">
        <v>0.0</v>
      </c>
      <c r="U1793" t="n">
        <v>0.0</v>
      </c>
      <c r="V1793" t="n">
        <v>0.0</v>
      </c>
      <c r="W1793" t="inlineStr">
        <is>
          <t/>
        </is>
      </c>
      <c r="X1793" t="n">
        <v>0.0</v>
      </c>
      <c r="Y1793" t="n">
        <v>0.0</v>
      </c>
      <c r="Z1793" t="n">
        <v>0.0</v>
      </c>
      <c r="AA1793" t="n">
        <v>0.0</v>
      </c>
      <c r="AB1793" t="n">
        <v>0.0</v>
      </c>
      <c r="AC1793" t="n">
        <v>0.0</v>
      </c>
      <c r="AD1793" t="n">
        <v>0.0</v>
      </c>
      <c r="AE1793" t="n">
        <v>0.0</v>
      </c>
      <c r="AF1793" t="n">
        <v>0.0</v>
      </c>
      <c r="AG1793" t="n">
        <v>0.0</v>
      </c>
      <c r="AH1793" t="n">
        <v>0.0</v>
      </c>
      <c r="AI1793" t="n">
        <v>0.0</v>
      </c>
      <c r="AJ1793" t="n">
        <v>0.0</v>
      </c>
      <c r="AK1793" t="inlineStr">
        <is>
          <t/>
        </is>
      </c>
      <c r="AL1793" t="inlineStr">
        <is>
          <t/>
        </is>
      </c>
    </row>
    <row r="1794">
      <c r="A1794" t="inlineStr">
        <is>
          <t>真的会谢🥲对60多块的购买力有了新概念</t>
        </is>
      </c>
      <c r="B1794" t="inlineStr">
        <is>
          <t>690e0de20000000007017008</t>
        </is>
      </c>
      <c r="C1794" s="1793" t="n">
        <f>HYPERLINK("https://www.xiaohongshu.com/explore/690e0de20000000007017008?xsec_token=TBJajQDaP2lymAuuRX7yQPUerY7FmGIH6-pDM1Bboe-O0=&amp;xsec_source=pc_trdark","https://www.xiaohongshu.com/explore/690e0de20000000007017008?xsec_token=TBJajQDaP2lymAuuRX7yQPUerY7FmGIH6-pDM1Bboe-O0=&amp;xsec_source=pc_trdark")</f>
        <v>0.0</v>
      </c>
      <c r="D1794" t="inlineStr">
        <is>
          <t>鲜水湾甄选</t>
        </is>
      </c>
      <c r="E1794" t="inlineStr">
        <is>
          <t>27401929161</t>
        </is>
      </c>
      <c r="F1794" t="inlineStr">
        <is>
          <t>2025-11-07 23:18:58</t>
        </is>
      </c>
      <c r="G1794" t="inlineStr">
        <is>
          <t>图文</t>
        </is>
      </c>
      <c r="H1794" t="inlineStr">
        <is>
          <t>大虾基围虾王牌大虾厄瓜多尔白虾盐冻虾仁海洋大虾送礼顺丰包邮</t>
        </is>
      </c>
      <c r="I1794" t="inlineStr">
        <is>
          <t>690aeb7be379430001e686ac</t>
        </is>
      </c>
      <c r="J1794" t="inlineStr">
        <is>
          <t/>
        </is>
      </c>
      <c r="K1794" t="n">
        <v>0.0</v>
      </c>
      <c r="L1794" t="n">
        <v>0.0</v>
      </c>
      <c r="M1794" t="n">
        <v>0.0</v>
      </c>
      <c r="N1794" t="inlineStr">
        <is>
          <t/>
        </is>
      </c>
      <c r="O1794" t="n">
        <v>0.0</v>
      </c>
      <c r="P1794" t="n">
        <v>0.0</v>
      </c>
      <c r="Q1794" t="inlineStr">
        <is>
          <t/>
        </is>
      </c>
      <c r="R1794" t="inlineStr">
        <is>
          <t/>
        </is>
      </c>
      <c r="S1794" t="n">
        <v>0.0</v>
      </c>
      <c r="T1794" t="n">
        <v>0.0</v>
      </c>
      <c r="U1794" t="n">
        <v>0.0</v>
      </c>
      <c r="V1794" t="n">
        <v>0.0</v>
      </c>
      <c r="W1794" t="inlineStr">
        <is>
          <t/>
        </is>
      </c>
      <c r="X1794" t="n">
        <v>0.0</v>
      </c>
      <c r="Y1794" t="n">
        <v>0.0</v>
      </c>
      <c r="Z1794" t="n">
        <v>0.0</v>
      </c>
      <c r="AA1794" t="n">
        <v>0.0</v>
      </c>
      <c r="AB1794" t="n">
        <v>0.0</v>
      </c>
      <c r="AC1794" t="n">
        <v>0.0</v>
      </c>
      <c r="AD1794" t="n">
        <v>0.0</v>
      </c>
      <c r="AE1794" t="n">
        <v>0.0</v>
      </c>
      <c r="AF1794" t="n">
        <v>0.0</v>
      </c>
      <c r="AG1794" t="n">
        <v>0.0</v>
      </c>
      <c r="AH1794" t="n">
        <v>0.0</v>
      </c>
      <c r="AI1794" t="n">
        <v>0.0</v>
      </c>
      <c r="AJ1794" t="n">
        <v>0.0</v>
      </c>
      <c r="AK1794" t="inlineStr">
        <is>
          <t/>
        </is>
      </c>
      <c r="AL1794" t="inlineStr">
        <is>
          <t/>
        </is>
      </c>
    </row>
    <row r="1795">
      <c r="A1795" t="inlineStr">
        <is>
          <t>低估60多块的购买力了，不到1r💰1只</t>
        </is>
      </c>
      <c r="B1795" t="inlineStr">
        <is>
          <t>690d87950000000004028206</t>
        </is>
      </c>
      <c r="C1795" s="1794" t="n">
        <f>HYPERLINK("https://www.xiaohongshu.com/explore/690d87950000000004028206?xsec_token=TBD_zEgNllAsWvESEGX2jOc95H7mvkGIKTjG-blduADj0=&amp;xsec_source=pc_trdark","https://www.xiaohongshu.com/explore/690d87950000000004028206?xsec_token=TBD_zEgNllAsWvESEGX2jOc95H7mvkGIKTjG-blduADj0=&amp;xsec_source=pc_trdark")</f>
        <v>0.0</v>
      </c>
      <c r="D1795" t="inlineStr">
        <is>
          <t>鲜水湾</t>
        </is>
      </c>
      <c r="E1795" t="inlineStr">
        <is>
          <t>49316638994</t>
        </is>
      </c>
      <c r="F1795" t="inlineStr">
        <is>
          <t>2025-11-07 13:45:57</t>
        </is>
      </c>
      <c r="G1795" t="inlineStr">
        <is>
          <t>图文</t>
        </is>
      </c>
      <c r="H1795" t="inlineStr">
        <is>
          <t>大虾基围虾王牌大虾厄瓜多尔白虾盐冻虾仁海洋大虾送礼顺丰包邮</t>
        </is>
      </c>
      <c r="I1795" t="inlineStr">
        <is>
          <t>690aeb7be379430001e686ac</t>
        </is>
      </c>
      <c r="J1795" t="inlineStr">
        <is>
          <t/>
        </is>
      </c>
      <c r="K1795" t="n">
        <v>0.0</v>
      </c>
      <c r="L1795" t="n">
        <v>0.0</v>
      </c>
      <c r="M1795" t="n">
        <v>0.0</v>
      </c>
      <c r="N1795" t="inlineStr">
        <is>
          <t/>
        </is>
      </c>
      <c r="O1795" t="n">
        <v>0.0</v>
      </c>
      <c r="P1795" t="n">
        <v>0.0</v>
      </c>
      <c r="Q1795" t="inlineStr">
        <is>
          <t/>
        </is>
      </c>
      <c r="R1795" t="inlineStr">
        <is>
          <t/>
        </is>
      </c>
      <c r="S1795" t="n">
        <v>0.0</v>
      </c>
      <c r="T1795" t="n">
        <v>0.0</v>
      </c>
      <c r="U1795" t="n">
        <v>0.0</v>
      </c>
      <c r="V1795" t="n">
        <v>0.0</v>
      </c>
      <c r="W1795" t="inlineStr">
        <is>
          <t/>
        </is>
      </c>
      <c r="X1795" t="n">
        <v>0.0</v>
      </c>
      <c r="Y1795" t="n">
        <v>0.0</v>
      </c>
      <c r="Z1795" t="n">
        <v>0.0</v>
      </c>
      <c r="AA1795" t="n">
        <v>0.0</v>
      </c>
      <c r="AB1795" t="n">
        <v>0.0</v>
      </c>
      <c r="AC1795" t="n">
        <v>0.0</v>
      </c>
      <c r="AD1795" t="n">
        <v>0.0</v>
      </c>
      <c r="AE1795" t="n">
        <v>0.0</v>
      </c>
      <c r="AF1795" t="n">
        <v>0.0</v>
      </c>
      <c r="AG1795" t="n">
        <v>0.0</v>
      </c>
      <c r="AH1795" t="n">
        <v>0.0</v>
      </c>
      <c r="AI1795" t="n">
        <v>0.0</v>
      </c>
      <c r="AJ1795" t="n">
        <v>0.0</v>
      </c>
      <c r="AK1795" t="inlineStr">
        <is>
          <t/>
        </is>
      </c>
      <c r="AL1795"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2026-08-22T09:40:35Z</dcterms:created>
  <dc:creator>Apache POI</dc:creator>
</cp:coreProperties>
</file>