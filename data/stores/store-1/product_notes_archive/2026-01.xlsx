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笔记数据-(2026年01月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3">
    <font>
      <sz val="11.0"/>
      <color indexed="8"/>
      <name val="Calibri"/>
      <family val="2"/>
      <scheme val="minor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</cols>
  <sheetData>
    <row r="1">
      <c r="A1" t="inlineStr">
        <is>
          <t>笔记标题</t>
        </is>
      </c>
      <c r="B1" t="inlineStr">
        <is>
          <t>笔记ID</t>
        </is>
      </c>
      <c r="C1" t="inlineStr">
        <is>
          <t>笔记链接</t>
        </is>
      </c>
      <c r="D1" t="inlineStr">
        <is>
          <t>作者昵称</t>
        </is>
      </c>
      <c r="E1" t="inlineStr">
        <is>
          <t>作者xhs_ID</t>
        </is>
      </c>
      <c r="F1" t="inlineStr">
        <is>
          <t>笔记创建时间</t>
        </is>
      </c>
      <c r="G1" t="inlineStr">
        <is>
          <t>笔记类型</t>
        </is>
      </c>
      <c r="H1" t="inlineStr">
        <is>
          <t>关联商品名称</t>
        </is>
      </c>
      <c r="I1" t="inlineStr">
        <is>
          <t>关联商品ID</t>
        </is>
      </c>
      <c r="J1" t="inlineStr">
        <is>
          <t>视频时长（秒）</t>
        </is>
      </c>
      <c r="K1" t="inlineStr">
        <is>
          <t>笔记支付金额</t>
        </is>
      </c>
      <c r="L1" t="inlineStr">
        <is>
          <t>笔记支付订单数</t>
        </is>
      </c>
      <c r="M1" t="inlineStr">
        <is>
          <t>笔记商品点击次数</t>
        </is>
      </c>
      <c r="N1" t="inlineStr">
        <is>
          <t>笔记商品点击率（PV）</t>
        </is>
      </c>
      <c r="O1" t="inlineStr">
        <is>
          <t>笔记商品点击人数</t>
        </is>
      </c>
      <c r="P1" t="inlineStr">
        <is>
          <t>笔记支付人数</t>
        </is>
      </c>
      <c r="Q1" t="inlineStr">
        <is>
          <t>笔记支付转化率（PV）</t>
        </is>
      </c>
      <c r="R1" t="inlineStr">
        <is>
          <t>笔记支付转化率（UV）</t>
        </is>
      </c>
      <c r="S1" t="inlineStr">
        <is>
          <t>笔记退款金额（退款时间）</t>
        </is>
      </c>
      <c r="T1" t="inlineStr">
        <is>
          <t>笔记退款订单数（退款时间）</t>
        </is>
      </c>
      <c r="U1" t="inlineStr">
        <is>
          <t>笔记退款人数（退款时间）</t>
        </is>
      </c>
      <c r="V1" t="inlineStr">
        <is>
          <t>笔记退款金额（支付时间）</t>
        </is>
      </c>
      <c r="W1" t="inlineStr">
        <is>
          <t>笔记退款率（支付时间）</t>
        </is>
      </c>
      <c r="X1" t="inlineStr">
        <is>
          <t>笔记退款订单数（支付时间）</t>
        </is>
      </c>
      <c r="Y1" t="inlineStr">
        <is>
          <t>笔记加购件数</t>
        </is>
      </c>
      <c r="Z1" t="inlineStr">
        <is>
          <t>引流店铺主页次数</t>
        </is>
      </c>
      <c r="AA1" t="inlineStr">
        <is>
          <t>引流店铺主页支付金额</t>
        </is>
      </c>
      <c r="AB1" t="inlineStr">
        <is>
          <t>引流直播间次数</t>
        </is>
      </c>
      <c r="AC1" t="inlineStr">
        <is>
          <t>引流直播间支付金额</t>
        </is>
      </c>
      <c r="AD1" t="inlineStr">
        <is>
          <t>笔记阅读数</t>
        </is>
      </c>
      <c r="AE1" t="inlineStr">
        <is>
          <t>点赞次数</t>
        </is>
      </c>
      <c r="AF1" t="inlineStr">
        <is>
          <t>收藏次数</t>
        </is>
      </c>
      <c r="AG1" t="inlineStr">
        <is>
          <t>评论次数</t>
        </is>
      </c>
      <c r="AH1" t="inlineStr">
        <is>
          <t>分享次数</t>
        </is>
      </c>
      <c r="AI1" t="inlineStr">
        <is>
          <t>笔记点击关注次数</t>
        </is>
      </c>
      <c r="AJ1" t="inlineStr">
        <is>
          <t>弹幕次数</t>
        </is>
      </c>
      <c r="AK1" t="inlineStr">
        <is>
          <t>平均阅读时长（观播时长）</t>
        </is>
      </c>
      <c r="AL1" t="inlineStr">
        <is>
          <t>完播率（PV）</t>
        </is>
      </c>
    </row>
    <row r="2">
      <c r="A2" t="inlineStr">
        <is>
          <t>40多的乳山生蚝太肥了！好好吃啊</t>
        </is>
      </c>
      <c r="B2" t="inlineStr">
        <is>
          <t>694b5431000000001e00acd4</t>
        </is>
      </c>
      <c r="C2" s="1" t="n">
        <f>HYPERLINK("https://www.xiaohongshu.com/explore/694b5431000000001e00acd4?xsec_token=TBJ1d3lsVKl7u73DozgnzSfvzPKARdzhfUzdrmxgDiM1Q=&amp;xsec_source=pc_trdark","https://www.xiaohongshu.com/explore/694b5431000000001e00acd4?xsec_token=TBJ1d3lsVKl7u73DozgnzSfvzPKARdzhfUzdrmxgDiM1Q=&amp;xsec_source=pc_trdark")</f>
        <v>0.0</v>
      </c>
      <c r="D2" t="inlineStr">
        <is>
          <t>婉婉上班吃什么</t>
        </is>
      </c>
      <c r="E2" t="inlineStr">
        <is>
          <t>11434449706</t>
        </is>
      </c>
      <c r="F2" t="inlineStr">
        <is>
          <t>2025-12-24 10:47:13</t>
        </is>
      </c>
      <c r="G2" t="inlineStr">
        <is>
          <t>视频</t>
        </is>
      </c>
      <c r="H2" t="inlineStr">
        <is>
          <t>生蚝乳山生蚝海蛎子顺丰包邮</t>
        </is>
      </c>
      <c r="I2" t="inlineStr">
        <is>
          <t>690c70971b787900010866cc</t>
        </is>
      </c>
      <c r="J2" t="n">
        <v>31.0</v>
      </c>
      <c r="K2" t="n">
        <v>219.70000000000002</v>
      </c>
      <c r="L2" t="n">
        <v>3.0</v>
      </c>
      <c r="M2" t="n">
        <v>87.0</v>
      </c>
      <c r="N2" t="inlineStr">
        <is>
          <t>0.019162995594713655</t>
        </is>
      </c>
      <c r="O2" t="n">
        <v>78.0</v>
      </c>
      <c r="P2" t="n">
        <v>2.0</v>
      </c>
      <c r="Q2" t="inlineStr">
        <is>
          <t>0.034482758620689655</t>
        </is>
      </c>
      <c r="R2" t="inlineStr">
        <is>
          <t>0.02564102564102564</t>
        </is>
      </c>
      <c r="S2" t="n">
        <v>109.9</v>
      </c>
      <c r="T2" t="n">
        <v>1.0</v>
      </c>
      <c r="U2" t="n">
        <v>1.0</v>
      </c>
      <c r="V2" t="n">
        <v>0.0</v>
      </c>
      <c r="W2" t="n">
        <v>0.0</v>
      </c>
      <c r="X2" t="n">
        <v>0.0</v>
      </c>
      <c r="Y2" t="n">
        <v>9.0</v>
      </c>
      <c r="Z2" t="n">
        <v>9.0</v>
      </c>
      <c r="AA2" t="n">
        <v>0.0</v>
      </c>
      <c r="AB2" t="n">
        <v>0.0</v>
      </c>
      <c r="AC2" t="n">
        <v>0.0</v>
      </c>
      <c r="AD2" t="n">
        <v>4540.0</v>
      </c>
      <c r="AE2" t="n">
        <v>30.0</v>
      </c>
      <c r="AF2" t="n">
        <v>7.0</v>
      </c>
      <c r="AG2" t="n">
        <v>2.0</v>
      </c>
      <c r="AH2" t="n">
        <v>0.0</v>
      </c>
      <c r="AI2" t="n">
        <v>2.0</v>
      </c>
      <c r="AJ2" t="n">
        <v>0.0</v>
      </c>
      <c r="AK2" t="n">
        <v>7.4129955947136565</v>
      </c>
      <c r="AL2" t="inlineStr">
        <is>
          <t>0.07587628865979382</t>
        </is>
      </c>
    </row>
    <row r="3">
      <c r="A3" t="inlineStr">
        <is>
          <t>59.9r到手5斤，大小一个价，喜欢的来尝尝</t>
        </is>
      </c>
      <c r="B3" t="inlineStr">
        <is>
          <t>691a7ea200000000050388b4</t>
        </is>
      </c>
      <c r="C3" s="2" t="n">
        <f>HYPERLINK("https://www.xiaohongshu.com/explore/691a7ea200000000050388b4?xsec_token=TB7_xX17zVvyJQL8hbcdzoIN866HpH48suQ8lZBcFNk0Q=&amp;xsec_source=pc_trdark","https://www.xiaohongshu.com/explore/691a7ea200000000050388b4?xsec_token=TB7_xX17zVvyJQL8hbcdzoIN866HpH48suQ8lZBcFNk0Q=&amp;xsec_source=pc_trdark")</f>
        <v>0.0</v>
      </c>
      <c r="D3" t="inlineStr">
        <is>
          <t>婉婉上班吃什么</t>
        </is>
      </c>
      <c r="E3" t="inlineStr">
        <is>
          <t>11434449706</t>
        </is>
      </c>
      <c r="F3" t="inlineStr">
        <is>
          <t>2025-11-17 11:47:00</t>
        </is>
      </c>
      <c r="G3" t="inlineStr">
        <is>
          <t>视频</t>
        </is>
      </c>
      <c r="H3" t="inlineStr">
        <is>
          <t>生蚝乳山生蚝海蛎子顺丰包邮</t>
        </is>
      </c>
      <c r="I3" t="inlineStr">
        <is>
          <t>690c70971b787900010866cc</t>
        </is>
      </c>
      <c r="J3" t="n">
        <v>28.0</v>
      </c>
      <c r="K3" t="n">
        <v>179.8</v>
      </c>
      <c r="L3" t="n">
        <v>2.0</v>
      </c>
      <c r="M3" t="n">
        <v>114.0</v>
      </c>
      <c r="N3" t="inlineStr">
        <is>
          <t>0.030702935631564773</t>
        </is>
      </c>
      <c r="O3" t="n">
        <v>103.0</v>
      </c>
      <c r="P3" t="n">
        <v>1.0</v>
      </c>
      <c r="Q3" t="inlineStr">
        <is>
          <t>0.017543859649122806</t>
        </is>
      </c>
      <c r="R3" t="inlineStr">
        <is>
          <t>0.009708737864077669</t>
        </is>
      </c>
      <c r="S3" t="n">
        <v>89.9</v>
      </c>
      <c r="T3" t="n">
        <v>1.0</v>
      </c>
      <c r="U3" t="n">
        <v>1.0</v>
      </c>
      <c r="V3" t="n">
        <v>89.9</v>
      </c>
      <c r="W3" t="n">
        <v>0.5</v>
      </c>
      <c r="X3" t="n">
        <v>1.0</v>
      </c>
      <c r="Y3" t="n">
        <v>6.0</v>
      </c>
      <c r="Z3" t="n">
        <v>25.0</v>
      </c>
      <c r="AA3" t="n">
        <v>0.0</v>
      </c>
      <c r="AB3" t="n">
        <v>0.0</v>
      </c>
      <c r="AC3" t="n">
        <v>0.0</v>
      </c>
      <c r="AD3" t="n">
        <v>3713.0</v>
      </c>
      <c r="AE3" t="n">
        <v>36.0</v>
      </c>
      <c r="AF3" t="n">
        <v>8.0</v>
      </c>
      <c r="AG3" t="n">
        <v>0.0</v>
      </c>
      <c r="AH3" t="n">
        <v>6.0</v>
      </c>
      <c r="AI3" t="n">
        <v>2.0</v>
      </c>
      <c r="AJ3" t="n">
        <v>0.0</v>
      </c>
      <c r="AK3" t="n">
        <v>10.541610557500674</v>
      </c>
      <c r="AL3" t="inlineStr">
        <is>
          <t>0.11517943743937924</t>
        </is>
      </c>
    </row>
    <row r="4">
      <c r="A4" t="inlineStr">
        <is>
          <t>这么大的生蚝你能吃几个？</t>
        </is>
      </c>
      <c r="B4" t="inlineStr">
        <is>
          <t>6923f964000000001e027c8f</t>
        </is>
      </c>
      <c r="C4" s="3" t="n">
        <f>HYPERLINK("https://www.xiaohongshu.com/explore/6923f964000000001e027c8f?xsec_token=TBBxL79LDzc6WqpUNHJD-EhWwcY2GgAg9WSXeLoqYOhgc=&amp;xsec_source=pc_trdark","https://www.xiaohongshu.com/explore/6923f964000000001e027c8f?xsec_token=TBBxL79LDzc6WqpUNHJD-EhWwcY2GgAg9WSXeLoqYOhgc=&amp;xsec_source=pc_trdark")</f>
        <v>0.0</v>
      </c>
      <c r="D4" t="inlineStr">
        <is>
          <t>婉婉上班吃什么</t>
        </is>
      </c>
      <c r="E4" t="inlineStr">
        <is>
          <t>11434449706</t>
        </is>
      </c>
      <c r="F4" t="inlineStr">
        <is>
          <t>2025-11-24 14:21:24</t>
        </is>
      </c>
      <c r="G4" t="inlineStr">
        <is>
          <t>视频</t>
        </is>
      </c>
      <c r="H4" t="inlineStr">
        <is>
          <t>生蚝乳山生蚝海蛎子顺丰包邮</t>
        </is>
      </c>
      <c r="I4" t="inlineStr">
        <is>
          <t>690c70971b787900010866cc</t>
        </is>
      </c>
      <c r="J4" t="n">
        <v>16.0</v>
      </c>
      <c r="K4" t="n">
        <v>0.0</v>
      </c>
      <c r="L4" t="n">
        <v>0.0</v>
      </c>
      <c r="M4" t="n">
        <v>15.0</v>
      </c>
      <c r="N4" t="inlineStr">
        <is>
          <t>0.007704160246533128</t>
        </is>
      </c>
      <c r="O4" t="n">
        <v>14.0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inlineStr">
        <is>
          <t/>
        </is>
      </c>
      <c r="X4" t="n">
        <v>0.0</v>
      </c>
      <c r="Y4" t="n">
        <v>0.0</v>
      </c>
      <c r="Z4" t="n">
        <v>12.0</v>
      </c>
      <c r="AA4" t="n">
        <v>0.0</v>
      </c>
      <c r="AB4" t="n">
        <v>0.0</v>
      </c>
      <c r="AC4" t="n">
        <v>0.0</v>
      </c>
      <c r="AD4" t="n">
        <v>1947.0</v>
      </c>
      <c r="AE4" t="n">
        <v>2.0</v>
      </c>
      <c r="AF4" t="n">
        <v>0.0</v>
      </c>
      <c r="AG4" t="n">
        <v>0.0</v>
      </c>
      <c r="AH4" t="n">
        <v>1.0</v>
      </c>
      <c r="AI4" t="n">
        <v>0.0</v>
      </c>
      <c r="AJ4" t="n">
        <v>0.0</v>
      </c>
      <c r="AK4" t="n">
        <v>10.742167437082692</v>
      </c>
      <c r="AL4" t="inlineStr">
        <is>
          <t>0.29121306376360806</t>
        </is>
      </c>
    </row>
    <row r="5">
      <c r="A5" t="inlineStr">
        <is>
          <t>又到吃生蚝的季节了！🔥</t>
        </is>
      </c>
      <c r="B5" t="inlineStr">
        <is>
          <t>691090c7000000000503163c</t>
        </is>
      </c>
      <c r="C5" s="4" t="n">
        <f>HYPERLINK("https://www.xiaohongshu.com/explore/691090c7000000000503163c?xsec_token=TBUjpd2w0LBMv9oJsd0xbTvJFCxAqWbZPRJB7jhMDNDKk=&amp;xsec_source=pc_trdark","https://www.xiaohongshu.com/explore/691090c7000000000503163c?xsec_token=TBUjpd2w0LBMv9oJsd0xbTvJFCxAqWbZPRJB7jhMDNDKk=&amp;xsec_source=pc_trdark")</f>
        <v>0.0</v>
      </c>
      <c r="D5" t="inlineStr">
        <is>
          <t>婉婉上班吃什么</t>
        </is>
      </c>
      <c r="E5" t="inlineStr">
        <is>
          <t>11434449706</t>
        </is>
      </c>
      <c r="F5" t="inlineStr">
        <is>
          <t>2025-11-09 21:01:59</t>
        </is>
      </c>
      <c r="G5" t="inlineStr">
        <is>
          <t>视频</t>
        </is>
      </c>
      <c r="H5" t="inlineStr">
        <is>
          <t>生蚝乳山生蚝海蛎子顺丰包邮</t>
        </is>
      </c>
      <c r="I5" t="inlineStr">
        <is>
          <t>690c70971b787900010866cc</t>
        </is>
      </c>
      <c r="J5" t="n">
        <v>95.0</v>
      </c>
      <c r="K5" t="n">
        <v>0.0</v>
      </c>
      <c r="L5" t="n">
        <v>0.0</v>
      </c>
      <c r="M5" t="n">
        <v>56.0</v>
      </c>
      <c r="N5" t="inlineStr">
        <is>
          <t>0.038356164383561646</t>
        </is>
      </c>
      <c r="O5" t="n">
        <v>45.0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inlineStr">
        <is>
          <t/>
        </is>
      </c>
      <c r="X5" t="n">
        <v>0.0</v>
      </c>
      <c r="Y5" t="n">
        <v>6.0</v>
      </c>
      <c r="Z5" t="n">
        <v>13.0</v>
      </c>
      <c r="AA5" t="n">
        <v>0.0</v>
      </c>
      <c r="AB5" t="n">
        <v>0.0</v>
      </c>
      <c r="AC5" t="n">
        <v>0.0</v>
      </c>
      <c r="AD5" t="n">
        <v>1460.0</v>
      </c>
      <c r="AE5" t="n">
        <v>10.0</v>
      </c>
      <c r="AF5" t="n">
        <v>1.0</v>
      </c>
      <c r="AG5" t="n">
        <v>0.0</v>
      </c>
      <c r="AH5" t="n">
        <v>5.0</v>
      </c>
      <c r="AI5" t="n">
        <v>1.0</v>
      </c>
      <c r="AJ5" t="n">
        <v>0.0</v>
      </c>
      <c r="AK5" t="n">
        <v>18.504109589041096</v>
      </c>
      <c r="AL5" t="inlineStr">
        <is>
          <t>0.06374758531873792</t>
        </is>
      </c>
    </row>
    <row r="6">
      <c r="A6" t="inlineStr">
        <is>
          <t>生蚝一箱也是码头价，运费算我的！</t>
        </is>
      </c>
      <c r="B6" t="inlineStr">
        <is>
          <t>6916f793000000001b0218c5</t>
        </is>
      </c>
      <c r="C6" s="5" t="n">
        <f>HYPERLINK("https://www.xiaohongshu.com/explore/6916f793000000001b0218c5?xsec_token=TBHZiehrAOyLGw_5sWYDTDSWrChgb-eZfgntb9OL-2Tjw=&amp;xsec_source=pc_trdark","https://www.xiaohongshu.com/explore/6916f793000000001b0218c5?xsec_token=TBHZiehrAOyLGw_5sWYDTDSWrChgb-eZfgntb9OL-2Tjw=&amp;xsec_source=pc_trdark")</f>
        <v>0.0</v>
      </c>
      <c r="D6" t="inlineStr">
        <is>
          <t>婉婉上班吃什么</t>
        </is>
      </c>
      <c r="E6" t="inlineStr">
        <is>
          <t>11434449706</t>
        </is>
      </c>
      <c r="F6" t="inlineStr">
        <is>
          <t>2025-11-14 17:34:11</t>
        </is>
      </c>
      <c r="G6" t="inlineStr">
        <is>
          <t>视频</t>
        </is>
      </c>
      <c r="H6" t="inlineStr">
        <is>
          <t>生蚝乳山生蚝海蛎子顺丰包邮</t>
        </is>
      </c>
      <c r="I6" t="inlineStr">
        <is>
          <t>690c70971b787900010866cc</t>
        </is>
      </c>
      <c r="J6" t="n">
        <v>30.0</v>
      </c>
      <c r="K6" t="n">
        <v>479.4</v>
      </c>
      <c r="L6" t="n">
        <v>4.0</v>
      </c>
      <c r="M6" t="n">
        <v>139.0</v>
      </c>
      <c r="N6" t="inlineStr">
        <is>
          <t>0.10311572700296735</t>
        </is>
      </c>
      <c r="O6" t="n">
        <v>121.0</v>
      </c>
      <c r="P6" t="n">
        <v>3.0</v>
      </c>
      <c r="Q6" t="inlineStr">
        <is>
          <t>0.02877697841726619</t>
        </is>
      </c>
      <c r="R6" t="inlineStr">
        <is>
          <t>0.024793388429752067</t>
        </is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16.0</v>
      </c>
      <c r="Z6" t="n">
        <v>21.0</v>
      </c>
      <c r="AA6" t="n">
        <v>0.0</v>
      </c>
      <c r="AB6" t="n">
        <v>0.0</v>
      </c>
      <c r="AC6" t="n">
        <v>0.0</v>
      </c>
      <c r="AD6" t="n">
        <v>1348.0</v>
      </c>
      <c r="AE6" t="n">
        <v>1.0</v>
      </c>
      <c r="AF6" t="n">
        <v>5.0</v>
      </c>
      <c r="AG6" t="n">
        <v>0.0</v>
      </c>
      <c r="AH6" t="n">
        <v>3.0</v>
      </c>
      <c r="AI6" t="n">
        <v>2.0</v>
      </c>
      <c r="AJ6" t="n">
        <v>0.0</v>
      </c>
      <c r="AK6" t="n">
        <v>10.08753709198813</v>
      </c>
      <c r="AL6" t="inlineStr">
        <is>
          <t>0.09838187702265372</t>
        </is>
      </c>
    </row>
    <row r="7">
      <c r="A7" t="inlineStr">
        <is>
          <t>建议男人过了40多吃生蚝，40+一箱的生蚝真肥</t>
        </is>
      </c>
      <c r="B7" t="inlineStr">
        <is>
          <t>69509b7b000000001e0242ce</t>
        </is>
      </c>
      <c r="C7" s="6" t="n">
        <f>HYPERLINK("https://www.xiaohongshu.com/explore/69509b7b000000001e0242ce?xsec_token=TBZlsVk_u522I8N-JhGtRMDt_31dwPsls_8oOedinU-fs=&amp;xsec_source=pc_trdark","https://www.xiaohongshu.com/explore/69509b7b000000001e0242ce?xsec_token=TBZlsVk_u522I8N-JhGtRMDt_31dwPsls_8oOedinU-fs=&amp;xsec_source=pc_trdark")</f>
        <v>0.0</v>
      </c>
      <c r="D7" t="inlineStr">
        <is>
          <t>婉婉上班吃什么</t>
        </is>
      </c>
      <c r="E7" t="inlineStr">
        <is>
          <t>11434449706</t>
        </is>
      </c>
      <c r="F7" t="inlineStr">
        <is>
          <t>2025-12-28 10:52:43</t>
        </is>
      </c>
      <c r="G7" t="inlineStr">
        <is>
          <t>图文</t>
        </is>
      </c>
      <c r="H7" t="inlineStr">
        <is>
          <t>生蚝乳山生蚝海蛎子顺丰包邮</t>
        </is>
      </c>
      <c r="I7" t="inlineStr">
        <is>
          <t>690c70971b787900010866cc</t>
        </is>
      </c>
      <c r="J7" t="inlineStr">
        <is>
          <t/>
        </is>
      </c>
      <c r="K7" t="n">
        <v>169.8</v>
      </c>
      <c r="L7" t="n">
        <v>2.0</v>
      </c>
      <c r="M7" t="n">
        <v>95.0</v>
      </c>
      <c r="N7" t="inlineStr">
        <is>
          <t>0.09350393700787402</t>
        </is>
      </c>
      <c r="O7" t="n">
        <v>87.0</v>
      </c>
      <c r="P7" t="n">
        <v>2.0</v>
      </c>
      <c r="Q7" t="inlineStr">
        <is>
          <t>0.021052631578947368</t>
        </is>
      </c>
      <c r="R7" t="inlineStr">
        <is>
          <t>0.022988505747126436</t>
        </is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9.0</v>
      </c>
      <c r="Z7" t="n">
        <v>25.0</v>
      </c>
      <c r="AA7" t="n">
        <v>0.0</v>
      </c>
      <c r="AB7" t="n">
        <v>0.0</v>
      </c>
      <c r="AC7" t="n">
        <v>0.0</v>
      </c>
      <c r="AD7" t="n">
        <v>1016.0</v>
      </c>
      <c r="AE7" t="n">
        <v>6.0</v>
      </c>
      <c r="AF7" t="n">
        <v>1.0</v>
      </c>
      <c r="AG7" t="n">
        <v>0.0</v>
      </c>
      <c r="AH7" t="n">
        <v>0.0</v>
      </c>
      <c r="AI7" t="n">
        <v>1.0</v>
      </c>
      <c r="AJ7" t="n">
        <v>0.0</v>
      </c>
      <c r="AK7" t="n">
        <v>11.99507874015748</v>
      </c>
      <c r="AL7" t="inlineStr">
        <is>
          <t/>
        </is>
      </c>
    </row>
    <row r="8">
      <c r="A8" t="inlineStr">
        <is>
          <t>爆浆的生蚝能吃吗？</t>
        </is>
      </c>
      <c r="B8" t="inlineStr">
        <is>
          <t>691ed184000000001f008fde</t>
        </is>
      </c>
      <c r="C8" s="7" t="n">
        <f>HYPERLINK("https://www.xiaohongshu.com/explore/691ed184000000001f008fde?xsec_token=TBP5gqTrG7DCZJhae0kWWz8FB-IXxbZH93VjaVQAM6cMc=&amp;xsec_source=pc_trdark","https://www.xiaohongshu.com/explore/691ed184000000001f008fde?xsec_token=TBP5gqTrG7DCZJhae0kWWz8FB-IXxbZH93VjaVQAM6cMc=&amp;xsec_source=pc_trdark")</f>
        <v>0.0</v>
      </c>
      <c r="D8" t="inlineStr">
        <is>
          <t>婉婉上班吃什么</t>
        </is>
      </c>
      <c r="E8" t="inlineStr">
        <is>
          <t>11434449706</t>
        </is>
      </c>
      <c r="F8" t="inlineStr">
        <is>
          <t>2025-11-20 17:29:55</t>
        </is>
      </c>
      <c r="G8" t="inlineStr">
        <is>
          <t>视频</t>
        </is>
      </c>
      <c r="H8" t="inlineStr">
        <is>
          <t>生蚝乳山生蚝海蛎子顺丰包邮</t>
        </is>
      </c>
      <c r="I8" t="inlineStr">
        <is>
          <t>690c70971b787900010866cc</t>
        </is>
      </c>
      <c r="J8" t="n">
        <v>33.0</v>
      </c>
      <c r="K8" t="n">
        <v>0.0</v>
      </c>
      <c r="L8" t="n">
        <v>0.0</v>
      </c>
      <c r="M8" t="n">
        <v>3.0</v>
      </c>
      <c r="N8" t="inlineStr">
        <is>
          <t>0.003171247357293869</t>
        </is>
      </c>
      <c r="O8" t="n">
        <v>3.0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inlineStr">
        <is>
          <t/>
        </is>
      </c>
      <c r="X8" t="n">
        <v>0.0</v>
      </c>
      <c r="Y8" t="n">
        <v>0.0</v>
      </c>
      <c r="Z8" t="n">
        <v>1.0</v>
      </c>
      <c r="AA8" t="n">
        <v>0.0</v>
      </c>
      <c r="AB8" t="n">
        <v>0.0</v>
      </c>
      <c r="AC8" t="n">
        <v>0.0</v>
      </c>
      <c r="AD8" t="n">
        <v>946.0</v>
      </c>
      <c r="AE8" t="n">
        <v>1.0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20.162790697674417</v>
      </c>
      <c r="AL8" t="n">
        <v>0.2825250192455735</v>
      </c>
    </row>
    <row r="9">
      <c r="A9" t="inlineStr">
        <is>
          <t>现在年轻人对60来块，毫无毫无概念！</t>
        </is>
      </c>
      <c r="B9" t="inlineStr">
        <is>
          <t>69397713000000001e032977</t>
        </is>
      </c>
      <c r="C9" s="8" t="n">
        <f>HYPERLINK("https://www.xiaohongshu.com/explore/69397713000000001e032977?xsec_token=TBaopk6NP1Kn3Gui1O5R_ovt-gQJhUCkzFEl628TZuvkA=&amp;xsec_source=pc_trdark","https://www.xiaohongshu.com/explore/69397713000000001e032977?xsec_token=TBaopk6NP1Kn3Gui1O5R_ovt-gQJhUCkzFEl628TZuvkA=&amp;xsec_source=pc_trdark")</f>
        <v>0.0</v>
      </c>
      <c r="D9" t="inlineStr">
        <is>
          <t>鲜水湾</t>
        </is>
      </c>
      <c r="E9" t="inlineStr">
        <is>
          <t>49316638994</t>
        </is>
      </c>
      <c r="F9" t="inlineStr">
        <is>
          <t>2025-12-10 21:35:15</t>
        </is>
      </c>
      <c r="G9" t="inlineStr">
        <is>
          <t>图文</t>
        </is>
      </c>
      <c r="H9" t="inlineStr">
        <is>
          <t>智利三文鱼切块·整条三文鱼·深海鱼一人食健康饮食</t>
        </is>
      </c>
      <c r="I9" t="inlineStr">
        <is>
          <t>691ac562a524ee0001b51d7b</t>
        </is>
      </c>
      <c r="J9" t="inlineStr">
        <is>
          <t/>
        </is>
      </c>
      <c r="K9" t="n">
        <v>0.0</v>
      </c>
      <c r="L9" t="n">
        <v>0.0</v>
      </c>
      <c r="M9" t="n">
        <v>120.0</v>
      </c>
      <c r="N9" t="n">
        <v>0.1444043321299639</v>
      </c>
      <c r="O9" t="n">
        <v>115.0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inlineStr">
        <is>
          <t/>
        </is>
      </c>
      <c r="X9" t="n">
        <v>0.0</v>
      </c>
      <c r="Y9" t="n">
        <v>10.0</v>
      </c>
      <c r="Z9" t="n">
        <v>18.0</v>
      </c>
      <c r="AA9" t="n">
        <v>0.0</v>
      </c>
      <c r="AB9" t="n">
        <v>0.0</v>
      </c>
      <c r="AC9" t="n">
        <v>0.0</v>
      </c>
      <c r="AD9" t="n">
        <v>831.0</v>
      </c>
      <c r="AE9" t="n">
        <v>9.0</v>
      </c>
      <c r="AF9" t="n">
        <v>1.0</v>
      </c>
      <c r="AG9" t="n">
        <v>0.0</v>
      </c>
      <c r="AH9" t="n">
        <v>0.0</v>
      </c>
      <c r="AI9" t="n">
        <v>0.0</v>
      </c>
      <c r="AJ9" t="n">
        <v>0.0</v>
      </c>
      <c r="AK9" t="n">
        <v>8.300842358604092</v>
      </c>
      <c r="AL9" t="inlineStr">
        <is>
          <t/>
        </is>
      </c>
    </row>
    <row r="10">
      <c r="A10" t="inlineStr">
        <is>
          <t>99%的南方人都没吃过的北极甜虾你吃过吗</t>
        </is>
      </c>
      <c r="B10" t="inlineStr">
        <is>
          <t>6969f715000000000b00baef</t>
        </is>
      </c>
      <c r="C10" s="9" t="n">
        <f>HYPERLINK("https://www.xiaohongshu.com/explore/6969f715000000000b00baef?xsec_token=TBrfrRU4wM2w5bDKUviah5T-W9Hq5cH3-Hs-_19CceRQA=&amp;xsec_source=pc_trdark","https://www.xiaohongshu.com/explore/6969f715000000000b00baef?xsec_token=TBrfrRU4wM2w5bDKUviah5T-W9Hq5cH3-Hs-_19CceRQA=&amp;xsec_source=pc_trdark")</f>
        <v>0.0</v>
      </c>
      <c r="D10" t="inlineStr">
        <is>
          <t>鲜水湾甄选</t>
        </is>
      </c>
      <c r="E10" t="inlineStr">
        <is>
          <t>27401929161</t>
        </is>
      </c>
      <c r="F10" t="inlineStr">
        <is>
          <t>2026-01-16 16:30:13</t>
        </is>
      </c>
      <c r="G10" t="inlineStr">
        <is>
          <t>视频</t>
        </is>
      </c>
      <c r="H10" t="inlineStr">
        <is>
          <t>北极甜虾头籽甜虾元宝虾北极熊冰虾孕妈妈宝宝辅食顺丰</t>
        </is>
      </c>
      <c r="I10" t="inlineStr">
        <is>
          <t>6953717eb8f0bb000115158d</t>
        </is>
      </c>
      <c r="J10" t="n">
        <v>46.0</v>
      </c>
      <c r="K10" t="n">
        <v>0.0</v>
      </c>
      <c r="L10" t="n">
        <v>0.0</v>
      </c>
      <c r="M10" t="n">
        <v>48.0</v>
      </c>
      <c r="N10" t="inlineStr">
        <is>
          <t>0.06512890094979647</t>
        </is>
      </c>
      <c r="O10" t="n">
        <v>38.0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inlineStr">
        <is>
          <t/>
        </is>
      </c>
      <c r="X10" t="n">
        <v>0.0</v>
      </c>
      <c r="Y10" t="n">
        <v>2.0</v>
      </c>
      <c r="Z10" t="n">
        <v>8.0</v>
      </c>
      <c r="AA10" t="n">
        <v>0.0</v>
      </c>
      <c r="AB10" t="n">
        <v>0.0</v>
      </c>
      <c r="AC10" t="n">
        <v>0.0</v>
      </c>
      <c r="AD10" t="n">
        <v>737.0</v>
      </c>
      <c r="AE10" t="n">
        <v>5.0</v>
      </c>
      <c r="AF10" t="n">
        <v>2.0</v>
      </c>
      <c r="AG10" t="n">
        <v>3.0</v>
      </c>
      <c r="AH10" t="n">
        <v>3.0</v>
      </c>
      <c r="AI10" t="n">
        <v>1.0</v>
      </c>
      <c r="AJ10" t="n">
        <v>0.0</v>
      </c>
      <c r="AK10" t="n">
        <v>17.131614654002714</v>
      </c>
      <c r="AL10" t="n">
        <v>0.1293833131801693</v>
      </c>
    </row>
    <row r="11">
      <c r="A11" t="inlineStr">
        <is>
          <t>买回来的生蚝你就这样做，巨好吃😋</t>
        </is>
      </c>
      <c r="B11" t="inlineStr">
        <is>
          <t>6953c1ef000000001f00d45c</t>
        </is>
      </c>
      <c r="C11" s="10" t="n">
        <f>HYPERLINK("https://www.xiaohongshu.com/explore/6953c1ef000000001f00d45c?xsec_token=TBmzMOJ_zly84G2ZjeUVNrpfWnor3sDEbGcCZUVnr-0yY=&amp;xsec_source=pc_trdark","https://www.xiaohongshu.com/explore/6953c1ef000000001f00d45c?xsec_token=TBmzMOJ_zly84G2ZjeUVNrpfWnor3sDEbGcCZUVnr-0yY=&amp;xsec_source=pc_trdark")</f>
        <v>0.0</v>
      </c>
      <c r="D11" t="inlineStr">
        <is>
          <t>婉婉上班吃什么</t>
        </is>
      </c>
      <c r="E11" t="inlineStr">
        <is>
          <t>11434449706</t>
        </is>
      </c>
      <c r="F11" t="inlineStr">
        <is>
          <t>2025-12-30 20:13:36</t>
        </is>
      </c>
      <c r="G11" t="inlineStr">
        <is>
          <t>视频</t>
        </is>
      </c>
      <c r="H11" t="inlineStr">
        <is>
          <t>生蚝乳山生蚝海蛎子顺丰包邮</t>
        </is>
      </c>
      <c r="I11" t="inlineStr">
        <is>
          <t>690c70971b787900010866cc</t>
        </is>
      </c>
      <c r="J11" t="n">
        <v>55.0</v>
      </c>
      <c r="K11" t="n">
        <v>0.0</v>
      </c>
      <c r="L11" t="n">
        <v>0.0</v>
      </c>
      <c r="M11" t="n">
        <v>14.0</v>
      </c>
      <c r="N11" t="inlineStr">
        <is>
          <t>0.02040816326530612</t>
        </is>
      </c>
      <c r="O11" t="n">
        <v>14.0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inlineStr">
        <is>
          <t/>
        </is>
      </c>
      <c r="X11" t="n">
        <v>0.0</v>
      </c>
      <c r="Y11" t="n">
        <v>1.0</v>
      </c>
      <c r="Z11" t="n">
        <v>3.0</v>
      </c>
      <c r="AA11" t="n">
        <v>0.0</v>
      </c>
      <c r="AB11" t="n">
        <v>0.0</v>
      </c>
      <c r="AC11" t="n">
        <v>0.0</v>
      </c>
      <c r="AD11" t="n">
        <v>686.0</v>
      </c>
      <c r="AE11" t="n">
        <v>4.0</v>
      </c>
      <c r="AF11" t="n">
        <v>6.0</v>
      </c>
      <c r="AG11" t="n">
        <v>0.0</v>
      </c>
      <c r="AH11" t="n">
        <v>0.0</v>
      </c>
      <c r="AI11" t="n">
        <v>0.0</v>
      </c>
      <c r="AJ11" t="n">
        <v>0.0</v>
      </c>
      <c r="AK11" t="n">
        <v>33.7332361516035</v>
      </c>
      <c r="AL11" t="inlineStr">
        <is>
          <t>0.23278688524590163</t>
        </is>
      </c>
    </row>
    <row r="12">
      <c r="A12" t="inlineStr">
        <is>
          <t>59.9r到手5斤，大小一个价，喜欢的来尝尝</t>
        </is>
      </c>
      <c r="B12" t="inlineStr">
        <is>
          <t>69255a3e000000001e02599d</t>
        </is>
      </c>
      <c r="C12" s="11" t="n">
        <f>HYPERLINK("https://www.xiaohongshu.com/explore/69255a3e000000001e02599d?xsec_token=TBVx22ZAFho_bBgysCIliGP2XtefPNSKlizIM-CsqTrj0=&amp;xsec_source=pc_trdark","https://www.xiaohongshu.com/explore/69255a3e000000001e02599d?xsec_token=TBVx22ZAFho_bBgysCIliGP2XtefPNSKlizIM-CsqTrj0=&amp;xsec_source=pc_trdark")</f>
        <v>0.0</v>
      </c>
      <c r="D12" t="inlineStr">
        <is>
          <t>婉婉上班吃什么</t>
        </is>
      </c>
      <c r="E12" t="inlineStr">
        <is>
          <t>11434449706</t>
        </is>
      </c>
      <c r="F12" t="inlineStr">
        <is>
          <t>2025-11-25 15:26:54</t>
        </is>
      </c>
      <c r="G12" t="inlineStr">
        <is>
          <t>视频</t>
        </is>
      </c>
      <c r="H12" t="inlineStr">
        <is>
          <t>生蚝乳山生蚝海蛎子顺丰包邮</t>
        </is>
      </c>
      <c r="I12" t="inlineStr">
        <is>
          <t>690c70971b787900010866cc</t>
        </is>
      </c>
      <c r="J12" t="n">
        <v>28.0</v>
      </c>
      <c r="K12" t="n">
        <v>189.8</v>
      </c>
      <c r="L12" t="n">
        <v>2.0</v>
      </c>
      <c r="M12" t="n">
        <v>98.0</v>
      </c>
      <c r="N12" t="inlineStr">
        <is>
          <t>0.15053763440860216</t>
        </is>
      </c>
      <c r="O12" t="n">
        <v>81.0</v>
      </c>
      <c r="P12" t="n">
        <v>2.0</v>
      </c>
      <c r="Q12" t="inlineStr">
        <is>
          <t>0.02040816326530612</t>
        </is>
      </c>
      <c r="R12" t="inlineStr">
        <is>
          <t>0.024691358024691357</t>
        </is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9.0</v>
      </c>
      <c r="Z12" t="n">
        <v>24.0</v>
      </c>
      <c r="AA12" t="n">
        <v>0.0</v>
      </c>
      <c r="AB12" t="n">
        <v>0.0</v>
      </c>
      <c r="AC12" t="n">
        <v>0.0</v>
      </c>
      <c r="AD12" t="n">
        <v>651.0</v>
      </c>
      <c r="AE12" t="n">
        <v>3.0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11.721966205837173</v>
      </c>
      <c r="AL12" t="n">
        <v>0.1591203104786546</v>
      </c>
    </row>
    <row r="13">
      <c r="A13" t="inlineStr">
        <is>
          <t>这么大的乳山生蚝你能吃几个？</t>
        </is>
      </c>
      <c r="B13" t="inlineStr">
        <is>
          <t>69226d6e000000001d03ec8c</t>
        </is>
      </c>
      <c r="C13" s="12" t="n">
        <f>HYPERLINK("https://www.xiaohongshu.com/explore/69226d6e000000001d03ec8c?xsec_token=TBE5pHIrkzq8Q5V7PHhpUNB5T5qqIMUi8lG3Wczb5nJ38=&amp;xsec_source=pc_trdark","https://www.xiaohongshu.com/explore/69226d6e000000001d03ec8c?xsec_token=TBE5pHIrkzq8Q5V7PHhpUNB5T5qqIMUi8lG3Wczb5nJ38=&amp;xsec_source=pc_trdark")</f>
        <v>0.0</v>
      </c>
      <c r="D13" t="inlineStr">
        <is>
          <t>婉婉上班吃什么</t>
        </is>
      </c>
      <c r="E13" t="inlineStr">
        <is>
          <t>11434449706</t>
        </is>
      </c>
      <c r="F13" t="inlineStr">
        <is>
          <t>2025-11-23 10:11:58</t>
        </is>
      </c>
      <c r="G13" t="inlineStr">
        <is>
          <t>视频</t>
        </is>
      </c>
      <c r="H13" t="inlineStr">
        <is>
          <t>生蚝乳山生蚝海蛎子顺丰包邮</t>
        </is>
      </c>
      <c r="I13" t="inlineStr">
        <is>
          <t>690c70971b787900010866cc</t>
        </is>
      </c>
      <c r="J13" t="n">
        <v>16.0</v>
      </c>
      <c r="K13" t="n">
        <v>69.9</v>
      </c>
      <c r="L13" t="n">
        <v>1.0</v>
      </c>
      <c r="M13" t="n">
        <v>7.0</v>
      </c>
      <c r="N13" t="inlineStr">
        <is>
          <t>0.011128775834658187</t>
        </is>
      </c>
      <c r="O13" t="n">
        <v>6.0</v>
      </c>
      <c r="P13" t="n">
        <v>1.0</v>
      </c>
      <c r="Q13" t="inlineStr">
        <is>
          <t>0.14285714285714285</t>
        </is>
      </c>
      <c r="R13" t="inlineStr">
        <is>
          <t>0.16666666666666666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1.0</v>
      </c>
      <c r="AA13" t="n">
        <v>0.0</v>
      </c>
      <c r="AB13" t="n">
        <v>0.0</v>
      </c>
      <c r="AC13" t="n">
        <v>0.0</v>
      </c>
      <c r="AD13" t="n">
        <v>629.0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10.166931637519873</v>
      </c>
      <c r="AL13" t="inlineStr">
        <is>
          <t>0.27380952380952384</t>
        </is>
      </c>
    </row>
    <row r="14">
      <c r="A14" t="inlineStr">
        <is>
          <t>我爸让我赶紧宣传一下40多一箱了！包活包肥</t>
        </is>
      </c>
      <c r="B14" t="inlineStr">
        <is>
          <t>693a2988000000001e0221ba</t>
        </is>
      </c>
      <c r="C14" s="13" t="n">
        <f>HYPERLINK("https://www.xiaohongshu.com/explore/693a2988000000001e0221ba?xsec_token=TBSe-eT4tPFhzXSmwZAcjHHzQcaRUI4VGM8y9as0HprmI=&amp;xsec_source=pc_trdark","https://www.xiaohongshu.com/explore/693a2988000000001e0221ba?xsec_token=TBSe-eT4tPFhzXSmwZAcjHHzQcaRUI4VGM8y9as0HprmI=&amp;xsec_source=pc_trdark")</f>
        <v>0.0</v>
      </c>
      <c r="D14" t="inlineStr">
        <is>
          <t>婉婉上班吃什么</t>
        </is>
      </c>
      <c r="E14" t="inlineStr">
        <is>
          <t>11434449706</t>
        </is>
      </c>
      <c r="F14" t="inlineStr">
        <is>
          <t>2025-12-11 10:16:40</t>
        </is>
      </c>
      <c r="G14" t="inlineStr">
        <is>
          <t>视频</t>
        </is>
      </c>
      <c r="H14" t="inlineStr">
        <is>
          <t>生蚝乳山生蚝海蛎子顺丰包邮</t>
        </is>
      </c>
      <c r="I14" t="inlineStr">
        <is>
          <t>690c70971b787900010866cc</t>
        </is>
      </c>
      <c r="J14" t="n">
        <v>21.0</v>
      </c>
      <c r="K14" t="n">
        <v>0.0</v>
      </c>
      <c r="L14" t="n">
        <v>0.0</v>
      </c>
      <c r="M14" t="n">
        <v>9.0</v>
      </c>
      <c r="N14" t="inlineStr">
        <is>
          <t>0.014563106796116505</t>
        </is>
      </c>
      <c r="O14" t="n">
        <v>9.0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inlineStr">
        <is>
          <t/>
        </is>
      </c>
      <c r="X14" t="n">
        <v>0.0</v>
      </c>
      <c r="Y14" t="n">
        <v>1.0</v>
      </c>
      <c r="Z14" t="n">
        <v>2.0</v>
      </c>
      <c r="AA14" t="n">
        <v>0.0</v>
      </c>
      <c r="AB14" t="n">
        <v>0.0</v>
      </c>
      <c r="AC14" t="n">
        <v>0.0</v>
      </c>
      <c r="AD14" t="n">
        <v>618.0</v>
      </c>
      <c r="AE14" t="n">
        <v>7.0</v>
      </c>
      <c r="AF14" t="n">
        <v>3.0</v>
      </c>
      <c r="AG14" t="n">
        <v>0.0</v>
      </c>
      <c r="AH14" t="n">
        <v>0.0</v>
      </c>
      <c r="AI14" t="n">
        <v>1.0</v>
      </c>
      <c r="AJ14" t="n">
        <v>0.0</v>
      </c>
      <c r="AK14" t="n">
        <v>5.1618122977346275</v>
      </c>
      <c r="AL14" t="inlineStr">
        <is>
          <t>0.08395802098950525</t>
        </is>
      </c>
    </row>
    <row r="15">
      <c r="A15" t="inlineStr">
        <is>
          <t>重新定义10多块钱的购买力！</t>
        </is>
      </c>
      <c r="B15" t="inlineStr">
        <is>
          <t>696f47ec000000001a0210c5</t>
        </is>
      </c>
      <c r="C15" s="14" t="n">
        <f>HYPERLINK("https://www.xiaohongshu.com/explore/696f47ec000000001a0210c5?xsec_token=TBhNblbQcUsDvO_PJ-ZmFokkoRIXnWkHX1a6mUqLdCJ5s=&amp;xsec_source=pc_trdark","https://www.xiaohongshu.com/explore/696f47ec000000001a0210c5?xsec_token=TBhNblbQcUsDvO_PJ-ZmFokkoRIXnWkHX1a6mUqLdCJ5s=&amp;xsec_source=pc_trdark")</f>
        <v>0.0</v>
      </c>
      <c r="D15" t="inlineStr">
        <is>
          <t>婉婉上班吃什么</t>
        </is>
      </c>
      <c r="E15" t="inlineStr">
        <is>
          <t>11434449706</t>
        </is>
      </c>
      <c r="F15" t="inlineStr">
        <is>
          <t>2026-01-20 17:16:28</t>
        </is>
      </c>
      <c r="G15" t="inlineStr">
        <is>
          <t>视频</t>
        </is>
      </c>
      <c r="H15" t="inlineStr">
        <is>
          <t>生蚝乳山生蚝海蛎子顺丰包邮</t>
        </is>
      </c>
      <c r="I15" t="inlineStr">
        <is>
          <t>690c70971b787900010866cc</t>
        </is>
      </c>
      <c r="J15" t="n">
        <v>13.0</v>
      </c>
      <c r="K15" t="n">
        <v>0.0</v>
      </c>
      <c r="L15" t="n">
        <v>0.0</v>
      </c>
      <c r="M15" t="n">
        <v>10.0</v>
      </c>
      <c r="N15" t="inlineStr">
        <is>
          <t>0.016778523489932886</t>
        </is>
      </c>
      <c r="O15" t="n">
        <v>8.0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inlineStr">
        <is>
          <t/>
        </is>
      </c>
      <c r="X15" t="n">
        <v>0.0</v>
      </c>
      <c r="Y15" t="n">
        <v>1.0</v>
      </c>
      <c r="Z15" t="n">
        <v>5.0</v>
      </c>
      <c r="AA15" t="n">
        <v>0.0</v>
      </c>
      <c r="AB15" t="n">
        <v>0.0</v>
      </c>
      <c r="AC15" t="n">
        <v>0.0</v>
      </c>
      <c r="AD15" t="n">
        <v>596.0</v>
      </c>
      <c r="AE15" t="n">
        <v>10.0</v>
      </c>
      <c r="AF15" t="n">
        <v>1.0</v>
      </c>
      <c r="AG15" t="n">
        <v>0.0</v>
      </c>
      <c r="AH15" t="n">
        <v>1.0</v>
      </c>
      <c r="AI15" t="n">
        <v>0.0</v>
      </c>
      <c r="AJ15" t="n">
        <v>0.0</v>
      </c>
      <c r="AK15" t="n">
        <v>8.322147651006711</v>
      </c>
      <c r="AL15" t="inlineStr">
        <is>
          <t>0.26217228464419473</t>
        </is>
      </c>
    </row>
    <row r="16">
      <c r="A16" t="inlineStr">
        <is>
          <t>准爸爸吃完这一口又幸福了</t>
        </is>
      </c>
      <c r="B16" t="inlineStr">
        <is>
          <t>6942543a000000001f00d14c</t>
        </is>
      </c>
      <c r="C16" s="15" t="n">
        <f>HYPERLINK("https://www.xiaohongshu.com/explore/6942543a000000001f00d14c?xsec_token=TB0tDM60Z2n8tclFaINyevIV8AAGDWKFpC6kzdoIaSBkY=&amp;xsec_source=pc_trdark","https://www.xiaohongshu.com/explore/6942543a000000001f00d14c?xsec_token=TB0tDM60Z2n8tclFaINyevIV8AAGDWKFpC6kzdoIaSBkY=&amp;xsec_source=pc_trdark")</f>
        <v>0.0</v>
      </c>
      <c r="D16" t="inlineStr">
        <is>
          <t>婉婉上班吃什么</t>
        </is>
      </c>
      <c r="E16" t="inlineStr">
        <is>
          <t>11434449706</t>
        </is>
      </c>
      <c r="F16" t="inlineStr">
        <is>
          <t>2025-12-17 14:56:58</t>
        </is>
      </c>
      <c r="G16" t="inlineStr">
        <is>
          <t>视频</t>
        </is>
      </c>
      <c r="H16" t="inlineStr">
        <is>
          <t>生蚝乳山生蚝海蛎子顺丰包邮</t>
        </is>
      </c>
      <c r="I16" t="inlineStr">
        <is>
          <t>690c70971b787900010866cc</t>
        </is>
      </c>
      <c r="J16" t="n">
        <v>26.0</v>
      </c>
      <c r="K16" t="n">
        <v>44.9</v>
      </c>
      <c r="L16" t="n">
        <v>1.0</v>
      </c>
      <c r="M16" t="n">
        <v>39.0</v>
      </c>
      <c r="N16" t="inlineStr">
        <is>
          <t>0.06854130052724078</t>
        </is>
      </c>
      <c r="O16" t="n">
        <v>32.0</v>
      </c>
      <c r="P16" t="n">
        <v>1.0</v>
      </c>
      <c r="Q16" t="inlineStr">
        <is>
          <t>0.02564102564102564</t>
        </is>
      </c>
      <c r="R16" t="n">
        <v>0.03125</v>
      </c>
      <c r="S16" t="n">
        <v>44.9</v>
      </c>
      <c r="T16" t="n">
        <v>1.0</v>
      </c>
      <c r="U16" t="n">
        <v>1.0</v>
      </c>
      <c r="V16" t="n">
        <v>44.9</v>
      </c>
      <c r="W16" t="n">
        <v>1.0</v>
      </c>
      <c r="X16" t="n">
        <v>1.0</v>
      </c>
      <c r="Y16" t="n">
        <v>4.0</v>
      </c>
      <c r="Z16" t="n">
        <v>10.0</v>
      </c>
      <c r="AA16" t="n">
        <v>0.0</v>
      </c>
      <c r="AB16" t="n">
        <v>0.0</v>
      </c>
      <c r="AC16" t="n">
        <v>0.0</v>
      </c>
      <c r="AD16" t="n">
        <v>569.0</v>
      </c>
      <c r="AE16" t="n">
        <v>3.0</v>
      </c>
      <c r="AF16" t="n">
        <v>0.0</v>
      </c>
      <c r="AG16" t="n">
        <v>0.0</v>
      </c>
      <c r="AH16" t="n">
        <v>2.0</v>
      </c>
      <c r="AI16" t="n">
        <v>0.0</v>
      </c>
      <c r="AJ16" t="n">
        <v>0.0</v>
      </c>
      <c r="AK16" t="n">
        <v>11.121265377855888</v>
      </c>
      <c r="AL16" t="inlineStr">
        <is>
          <t>0.15097159940209268</t>
        </is>
      </c>
    </row>
    <row r="17">
      <c r="A17" t="inlineStr">
        <is>
          <t>生蚝蒸完没开口是坏了吗？</t>
        </is>
      </c>
      <c r="B17" t="inlineStr">
        <is>
          <t>6950f5fb000000001e029ca8</t>
        </is>
      </c>
      <c r="C17" s="16" t="n">
        <f>HYPERLINK("https://www.xiaohongshu.com/explore/6950f5fb000000001e029ca8?xsec_token=TBZlsVk_u522I8N-JhGtRMDvyERrdMkq_S2u1VgJgLtSE=&amp;xsec_source=pc_trdark","https://www.xiaohongshu.com/explore/6950f5fb000000001e029ca8?xsec_token=TBZlsVk_u522I8N-JhGtRMDvyERrdMkq_S2u1VgJgLtSE=&amp;xsec_source=pc_trdark")</f>
        <v>0.0</v>
      </c>
      <c r="D17" t="inlineStr">
        <is>
          <t>鲜水湾</t>
        </is>
      </c>
      <c r="E17" t="inlineStr">
        <is>
          <t>49316638994</t>
        </is>
      </c>
      <c r="F17" t="inlineStr">
        <is>
          <t>2025-12-28 17:18:51</t>
        </is>
      </c>
      <c r="G17" t="inlineStr">
        <is>
          <t>图文</t>
        </is>
      </c>
      <c r="H17" t="inlineStr">
        <is>
          <t>生蚝乳山生蚝海蛎子顺丰包邮</t>
        </is>
      </c>
      <c r="I17" t="inlineStr">
        <is>
          <t>690c70971b787900010866cc</t>
        </is>
      </c>
      <c r="J17" t="inlineStr">
        <is>
          <t/>
        </is>
      </c>
      <c r="K17" t="n">
        <v>0.0</v>
      </c>
      <c r="L17" t="n">
        <v>0.0</v>
      </c>
      <c r="M17" t="n">
        <v>29.0</v>
      </c>
      <c r="N17" t="inlineStr">
        <is>
          <t>0.054613935969868174</t>
        </is>
      </c>
      <c r="O17" t="n">
        <v>25.0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inlineStr">
        <is>
          <t/>
        </is>
      </c>
      <c r="X17" t="n">
        <v>0.0</v>
      </c>
      <c r="Y17" t="n">
        <v>6.0</v>
      </c>
      <c r="Z17" t="n">
        <v>21.0</v>
      </c>
      <c r="AA17" t="n">
        <v>0.0</v>
      </c>
      <c r="AB17" t="n">
        <v>0.0</v>
      </c>
      <c r="AC17" t="n">
        <v>0.0</v>
      </c>
      <c r="AD17" t="n">
        <v>531.0</v>
      </c>
      <c r="AE17" t="n">
        <v>2.0</v>
      </c>
      <c r="AF17" t="n">
        <v>0.0</v>
      </c>
      <c r="AG17" t="n">
        <v>1.0</v>
      </c>
      <c r="AH17" t="n">
        <v>1.0</v>
      </c>
      <c r="AI17" t="n">
        <v>0.0</v>
      </c>
      <c r="AJ17" t="n">
        <v>0.0</v>
      </c>
      <c r="AK17" t="n">
        <v>15.734463276836157</v>
      </c>
      <c r="AL17" t="inlineStr">
        <is>
          <t/>
        </is>
      </c>
    </row>
    <row r="18">
      <c r="A18" t="inlineStr">
        <is>
          <t>山东大生蚝肥了！49.9五斤顺丰包邮到家</t>
        </is>
      </c>
      <c r="B18" t="inlineStr">
        <is>
          <t>6940ef3c000000001e02c2f8</t>
        </is>
      </c>
      <c r="C18" s="17" t="n">
        <f>HYPERLINK("https://www.xiaohongshu.com/explore/6940ef3c000000001e02c2f8?xsec_token=TBzm36tUj4jhogPihZGtakWUx_qiRbauHFRKJ3QaYzcoQ=&amp;xsec_source=pc_trdark","https://www.xiaohongshu.com/explore/6940ef3c000000001e02c2f8?xsec_token=TBzm36tUj4jhogPihZGtakWUx_qiRbauHFRKJ3QaYzcoQ=&amp;xsec_source=pc_trdark")</f>
        <v>0.0</v>
      </c>
      <c r="D18" t="inlineStr">
        <is>
          <t>婉婉上班吃什么</t>
        </is>
      </c>
      <c r="E18" t="inlineStr">
        <is>
          <t>11434449706</t>
        </is>
      </c>
      <c r="F18" t="inlineStr">
        <is>
          <t>2025-12-16 13:33:48</t>
        </is>
      </c>
      <c r="G18" t="inlineStr">
        <is>
          <t>视频</t>
        </is>
      </c>
      <c r="H18" t="inlineStr">
        <is>
          <t>生蚝乳山生蚝海蛎子顺丰包邮</t>
        </is>
      </c>
      <c r="I18" t="inlineStr">
        <is>
          <t>690c70971b787900010866cc</t>
        </is>
      </c>
      <c r="J18" t="n">
        <v>21.0</v>
      </c>
      <c r="K18" t="n">
        <v>89.9</v>
      </c>
      <c r="L18" t="n">
        <v>1.0</v>
      </c>
      <c r="M18" t="n">
        <v>63.0</v>
      </c>
      <c r="N18" t="inlineStr">
        <is>
          <t>0.12162162162162163</t>
        </is>
      </c>
      <c r="O18" t="n">
        <v>56.0</v>
      </c>
      <c r="P18" t="n">
        <v>1.0</v>
      </c>
      <c r="Q18" t="inlineStr">
        <is>
          <t>0.015873015873015872</t>
        </is>
      </c>
      <c r="R18" t="inlineStr">
        <is>
          <t>0.017857142857142856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5.0</v>
      </c>
      <c r="Z18" t="n">
        <v>18.0</v>
      </c>
      <c r="AA18" t="n">
        <v>0.0</v>
      </c>
      <c r="AB18" t="n">
        <v>0.0</v>
      </c>
      <c r="AC18" t="n">
        <v>0.0</v>
      </c>
      <c r="AD18" t="n">
        <v>518.0</v>
      </c>
      <c r="AE18" t="n">
        <v>0.0</v>
      </c>
      <c r="AF18" t="n">
        <v>1.0</v>
      </c>
      <c r="AG18" t="n">
        <v>0.0</v>
      </c>
      <c r="AH18" t="n">
        <v>2.0</v>
      </c>
      <c r="AI18" t="n">
        <v>0.0</v>
      </c>
      <c r="AJ18" t="n">
        <v>0.0</v>
      </c>
      <c r="AK18" t="n">
        <v>9.27992277992278</v>
      </c>
      <c r="AL18" t="n">
        <v>0.1622464898595944</v>
      </c>
    </row>
    <row r="19">
      <c r="A19" t="inlineStr">
        <is>
          <t>备孕姐妹冲！我家冷水蚝 59.9 元 5 斤</t>
        </is>
      </c>
      <c r="B19" t="inlineStr">
        <is>
          <t>6915949e000000000703b57a</t>
        </is>
      </c>
      <c r="C19" s="18" t="n">
        <f>HYPERLINK("https://www.xiaohongshu.com/explore/6915949e000000000703b57a?xsec_token=TBAg-veJq-9HvX6LdnoJFXah9og5KD9gcwieVsF90eyPI=&amp;xsec_source=pc_trdark","https://www.xiaohongshu.com/explore/6915949e000000000703b57a?xsec_token=TBAg-veJq-9HvX6LdnoJFXah9og5KD9gcwieVsF90eyPI=&amp;xsec_source=pc_trdark")</f>
        <v>0.0</v>
      </c>
      <c r="D19" t="inlineStr">
        <is>
          <t>婉婉上班吃什么</t>
        </is>
      </c>
      <c r="E19" t="inlineStr">
        <is>
          <t>11434449706</t>
        </is>
      </c>
      <c r="F19" t="inlineStr">
        <is>
          <t>2025-11-13 16:19:42</t>
        </is>
      </c>
      <c r="G19" t="inlineStr">
        <is>
          <t>视频</t>
        </is>
      </c>
      <c r="H19" t="inlineStr">
        <is>
          <t>生蚝乳山生蚝海蛎子顺丰包邮</t>
        </is>
      </c>
      <c r="I19" t="inlineStr">
        <is>
          <t>690c70971b787900010866cc</t>
        </is>
      </c>
      <c r="J19" t="n">
        <v>14.0</v>
      </c>
      <c r="K19" t="n">
        <v>299.70000000000005</v>
      </c>
      <c r="L19" t="n">
        <v>3.0</v>
      </c>
      <c r="M19" t="n">
        <v>39.0</v>
      </c>
      <c r="N19" t="inlineStr">
        <is>
          <t>0.08108108108108109</t>
        </is>
      </c>
      <c r="O19" t="n">
        <v>35.0</v>
      </c>
      <c r="P19" t="n">
        <v>3.0</v>
      </c>
      <c r="Q19" t="inlineStr">
        <is>
          <t>0.07692307692307693</t>
        </is>
      </c>
      <c r="R19" t="inlineStr">
        <is>
          <t>0.08571428571428572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6.0</v>
      </c>
      <c r="Z19" t="n">
        <v>10.0</v>
      </c>
      <c r="AA19" t="n">
        <v>0.0</v>
      </c>
      <c r="AB19" t="n">
        <v>0.0</v>
      </c>
      <c r="AC19" t="n">
        <v>0.0</v>
      </c>
      <c r="AD19" t="n">
        <v>481.0</v>
      </c>
      <c r="AE19" t="n">
        <v>4.0</v>
      </c>
      <c r="AF19" t="n">
        <v>1.0</v>
      </c>
      <c r="AG19" t="n">
        <v>0.0</v>
      </c>
      <c r="AH19" t="n">
        <v>0.0</v>
      </c>
      <c r="AI19" t="n">
        <v>0.0</v>
      </c>
      <c r="AJ19" t="n">
        <v>0.0</v>
      </c>
      <c r="AK19" t="n">
        <v>12.503118503118504</v>
      </c>
      <c r="AL19" t="n">
        <v>0.3513870541611625</v>
      </c>
    </row>
    <row r="20">
      <c r="A20" t="inlineStr">
        <is>
          <t>不要低估40多的购买力，敞开吃吧……</t>
        </is>
      </c>
      <c r="B20" t="inlineStr">
        <is>
          <t>693bcf26000000001e0313a0</t>
        </is>
      </c>
      <c r="C20" s="19" t="n">
        <f>HYPERLINK("https://www.xiaohongshu.com/explore/693bcf26000000001e0313a0?xsec_token=TBehUwc4QxLaaQbLqKc-ieHlcU-HjcnOsH6QsqzwjUCYk=&amp;xsec_source=pc_trdark","https://www.xiaohongshu.com/explore/693bcf26000000001e0313a0?xsec_token=TBehUwc4QxLaaQbLqKc-ieHlcU-HjcnOsH6QsqzwjUCYk=&amp;xsec_source=pc_trdark")</f>
        <v>0.0</v>
      </c>
      <c r="D20" t="inlineStr">
        <is>
          <t>婉婉上班吃什么</t>
        </is>
      </c>
      <c r="E20" t="inlineStr">
        <is>
          <t>11434449706</t>
        </is>
      </c>
      <c r="F20" t="inlineStr">
        <is>
          <t>2025-12-12 16:15:34</t>
        </is>
      </c>
      <c r="G20" t="inlineStr">
        <is>
          <t>视频</t>
        </is>
      </c>
      <c r="H20" t="inlineStr">
        <is>
          <t>生蚝乳山生蚝海蛎子顺丰包邮</t>
        </is>
      </c>
      <c r="I20" t="inlineStr">
        <is>
          <t>690c70971b787900010866cc</t>
        </is>
      </c>
      <c r="J20" t="n">
        <v>25.0</v>
      </c>
      <c r="K20" t="n">
        <v>0.0</v>
      </c>
      <c r="L20" t="n">
        <v>0.0</v>
      </c>
      <c r="M20" t="n">
        <v>10.0</v>
      </c>
      <c r="N20" t="inlineStr">
        <is>
          <t>0.021367521367521368</t>
        </is>
      </c>
      <c r="O20" t="n">
        <v>9.0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inlineStr">
        <is>
          <t/>
        </is>
      </c>
      <c r="X20" t="n">
        <v>0.0</v>
      </c>
      <c r="Y20" t="n">
        <v>1.0</v>
      </c>
      <c r="Z20" t="n">
        <v>2.0</v>
      </c>
      <c r="AA20" t="n">
        <v>0.0</v>
      </c>
      <c r="AB20" t="n">
        <v>0.0</v>
      </c>
      <c r="AC20" t="n">
        <v>0.0</v>
      </c>
      <c r="AD20" t="n">
        <v>468.0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6.44017094017094</v>
      </c>
      <c r="AL20" t="inlineStr">
        <is>
          <t>0.07436399217221135</t>
        </is>
      </c>
    </row>
    <row r="21">
      <c r="A21" t="inlineStr">
        <is>
          <t>不愧是10w网友认证过的乳山生蚝 ?太绝了！</t>
        </is>
      </c>
      <c r="B21" t="inlineStr">
        <is>
          <t>691a79eb0000000007021690</t>
        </is>
      </c>
      <c r="C21" s="20" t="n">
        <f>HYPERLINK("https://www.xiaohongshu.com/explore/691a79eb0000000007021690?xsec_token=TB7_xX17zVvyJQL8hbcdzoIH0Hg5sHUedXiVWPK2J0n74=&amp;xsec_source=pc_trdark","https://www.xiaohongshu.com/explore/691a79eb0000000007021690?xsec_token=TB7_xX17zVvyJQL8hbcdzoIH0Hg5sHUedXiVWPK2J0n74=&amp;xsec_source=pc_trdark")</f>
        <v>0.0</v>
      </c>
      <c r="D21" t="inlineStr">
        <is>
          <t>婉婉上班吃什么</t>
        </is>
      </c>
      <c r="E21" t="inlineStr">
        <is>
          <t>11434449706</t>
        </is>
      </c>
      <c r="F21" t="inlineStr">
        <is>
          <t>2025-11-17 09:27:07</t>
        </is>
      </c>
      <c r="G21" t="inlineStr">
        <is>
          <t>视频</t>
        </is>
      </c>
      <c r="H21" t="inlineStr">
        <is>
          <t>生蚝乳山生蚝海蛎子顺丰包邮</t>
        </is>
      </c>
      <c r="I21" t="inlineStr">
        <is>
          <t>690c70971b787900010866cc</t>
        </is>
      </c>
      <c r="J21" t="n">
        <v>25.0</v>
      </c>
      <c r="K21" t="n">
        <v>0.0</v>
      </c>
      <c r="L21" t="n">
        <v>0.0</v>
      </c>
      <c r="M21" t="n">
        <v>19.0</v>
      </c>
      <c r="N21" t="inlineStr">
        <is>
          <t>0.04103671706263499</t>
        </is>
      </c>
      <c r="O21" t="n">
        <v>17.0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inlineStr">
        <is>
          <t/>
        </is>
      </c>
      <c r="X21" t="n">
        <v>0.0</v>
      </c>
      <c r="Y21" t="n">
        <v>0.0</v>
      </c>
      <c r="Z21" t="n">
        <v>8.0</v>
      </c>
      <c r="AA21" t="n">
        <v>0.0</v>
      </c>
      <c r="AB21" t="n">
        <v>0.0</v>
      </c>
      <c r="AC21" t="n">
        <v>0.0</v>
      </c>
      <c r="AD21" t="n">
        <v>463.0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7.546436285097192</v>
      </c>
      <c r="AL21" t="inlineStr">
        <is>
          <t>0.06896551724137931</t>
        </is>
      </c>
    </row>
    <row r="22">
      <c r="A22" t="inlineStr">
        <is>
          <t>建议十二月狠狠吃生蚝，40+一箱的生蚝真嫩~</t>
        </is>
      </c>
      <c r="B22" t="inlineStr">
        <is>
          <t>693a3eff000000001d03cdbe</t>
        </is>
      </c>
      <c r="C22" s="21" t="n">
        <f>HYPERLINK("https://www.xiaohongshu.com/explore/693a3eff000000001d03cdbe?xsec_token=TBSe-eT4tPFhzXSmwZAcjHHzmieHTnjkTL_S03ZMh_jG0=&amp;xsec_source=pc_trdark","https://www.xiaohongshu.com/explore/693a3eff000000001d03cdbe?xsec_token=TBSe-eT4tPFhzXSmwZAcjHHzmieHTnjkTL_S03ZMh_jG0=&amp;xsec_source=pc_trdark")</f>
        <v>0.0</v>
      </c>
      <c r="D22" t="inlineStr">
        <is>
          <t>婉婉上班吃什么</t>
        </is>
      </c>
      <c r="E22" t="inlineStr">
        <is>
          <t>11434449706</t>
        </is>
      </c>
      <c r="F22" t="inlineStr">
        <is>
          <t>2025-12-11 11:48:15</t>
        </is>
      </c>
      <c r="G22" t="inlineStr">
        <is>
          <t>视频</t>
        </is>
      </c>
      <c r="H22" t="inlineStr">
        <is>
          <t>生蚝乳山生蚝海蛎子顺丰包邮</t>
        </is>
      </c>
      <c r="I22" t="inlineStr">
        <is>
          <t>690c70971b787900010866cc</t>
        </is>
      </c>
      <c r="J22" t="n">
        <v>25.0</v>
      </c>
      <c r="K22" t="n">
        <v>59.9</v>
      </c>
      <c r="L22" t="n">
        <v>1.0</v>
      </c>
      <c r="M22" t="n">
        <v>39.0</v>
      </c>
      <c r="N22" t="n">
        <v>0.0888382687927107</v>
      </c>
      <c r="O22" t="n">
        <v>34.0</v>
      </c>
      <c r="P22" t="n">
        <v>1.0</v>
      </c>
      <c r="Q22" t="inlineStr">
        <is>
          <t>0.02564102564102564</t>
        </is>
      </c>
      <c r="R22" t="inlineStr">
        <is>
          <t>0.029411764705882353</t>
        </is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3.0</v>
      </c>
      <c r="Z22" t="n">
        <v>13.0</v>
      </c>
      <c r="AA22" t="n">
        <v>0.0</v>
      </c>
      <c r="AB22" t="n">
        <v>0.0</v>
      </c>
      <c r="AC22" t="n">
        <v>0.0</v>
      </c>
      <c r="AD22" t="n">
        <v>439.0</v>
      </c>
      <c r="AE22" t="n">
        <v>2.0</v>
      </c>
      <c r="AF22" t="n">
        <v>1.0</v>
      </c>
      <c r="AG22" t="n">
        <v>0.0</v>
      </c>
      <c r="AH22" t="n">
        <v>0.0</v>
      </c>
      <c r="AI22" t="n">
        <v>0.0</v>
      </c>
      <c r="AJ22" t="n">
        <v>0.0</v>
      </c>
      <c r="AK22" t="n">
        <v>9.009111617312072</v>
      </c>
      <c r="AL22" t="inlineStr">
        <is>
          <t>0.13714285714285715</t>
        </is>
      </c>
    </row>
    <row r="23">
      <c r="A23" t="inlineStr">
        <is>
          <t>我妈：你就卖点好的，贵点没关系</t>
        </is>
      </c>
      <c r="B23" t="inlineStr">
        <is>
          <t>69733ba5000000000b012ea6</t>
        </is>
      </c>
      <c r="C23" s="22" t="n">
        <f>HYPERLINK("https://www.xiaohongshu.com/explore/69733ba5000000000b012ea6?xsec_token=TBK07qywxRjCZuuyJUweFeXzWpMfGOIYuVR7tfyDWyPPY=&amp;xsec_source=pc_trdark","https://www.xiaohongshu.com/explore/69733ba5000000000b012ea6?xsec_token=TBK07qywxRjCZuuyJUweFeXzWpMfGOIYuVR7tfyDWyPPY=&amp;xsec_source=pc_trdark")</f>
        <v>0.0</v>
      </c>
      <c r="D23" t="inlineStr">
        <is>
          <t>鲜水湾甄选</t>
        </is>
      </c>
      <c r="E23" t="inlineStr">
        <is>
          <t>27401929161</t>
        </is>
      </c>
      <c r="F23" t="inlineStr">
        <is>
          <t>2026-01-23 17:13:09</t>
        </is>
      </c>
      <c r="G23" t="inlineStr">
        <is>
          <t>图文</t>
        </is>
      </c>
      <c r="H23" t="inlineStr">
        <is>
          <t>北极甜虾头籽甜虾元宝虾北极熊冰虾孕妈妈宝宝辅食顺丰</t>
        </is>
      </c>
      <c r="I23" t="inlineStr">
        <is>
          <t>6953717eb8f0bb000115158d</t>
        </is>
      </c>
      <c r="J23" t="inlineStr">
        <is>
          <t/>
        </is>
      </c>
      <c r="K23" t="n">
        <v>0.0</v>
      </c>
      <c r="L23" t="n">
        <v>0.0</v>
      </c>
      <c r="M23" t="n">
        <v>131.0</v>
      </c>
      <c r="N23" t="inlineStr">
        <is>
          <t>0.31873479318734793</t>
        </is>
      </c>
      <c r="O23" t="n">
        <v>118.0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inlineStr">
        <is>
          <t/>
        </is>
      </c>
      <c r="X23" t="n">
        <v>0.0</v>
      </c>
      <c r="Y23" t="n">
        <v>13.0</v>
      </c>
      <c r="Z23" t="n">
        <v>3.0</v>
      </c>
      <c r="AA23" t="n">
        <v>0.0</v>
      </c>
      <c r="AB23" t="n">
        <v>0.0</v>
      </c>
      <c r="AC23" t="n">
        <v>0.0</v>
      </c>
      <c r="AD23" t="n">
        <v>411.0</v>
      </c>
      <c r="AE23" t="n">
        <v>2.0</v>
      </c>
      <c r="AF23" t="n">
        <v>0.0</v>
      </c>
      <c r="AG23" t="n">
        <v>1.0</v>
      </c>
      <c r="AH23" t="n">
        <v>4.0</v>
      </c>
      <c r="AI23" t="n">
        <v>0.0</v>
      </c>
      <c r="AJ23" t="n">
        <v>0.0</v>
      </c>
      <c r="AK23" t="n">
        <v>9.535279805352799</v>
      </c>
      <c r="AL23" t="inlineStr">
        <is>
          <t/>
        </is>
      </c>
    </row>
    <row r="24">
      <c r="A24" t="inlineStr">
        <is>
          <t>小月龄宝宝也可以放心吃的甜虾</t>
        </is>
      </c>
      <c r="B24" t="inlineStr">
        <is>
          <t>696d934e000000000c03739d</t>
        </is>
      </c>
      <c r="C24" s="23" t="n">
        <f>HYPERLINK("https://www.xiaohongshu.com/explore/696d934e000000000c03739d?xsec_token=TBhBdCGGh1NnVPomuS6-J4HwnPfzoQjjmMIF8f8-czTKA=&amp;xsec_source=pc_trdark","https://www.xiaohongshu.com/explore/696d934e000000000c03739d?xsec_token=TBhBdCGGh1NnVPomuS6-J4HwnPfzoQjjmMIF8f8-czTKA=&amp;xsec_source=pc_trdark")</f>
        <v>0.0</v>
      </c>
      <c r="D24" t="inlineStr">
        <is>
          <t>鲜水湾甄选</t>
        </is>
      </c>
      <c r="E24" t="inlineStr">
        <is>
          <t>27401929161</t>
        </is>
      </c>
      <c r="F24" t="inlineStr">
        <is>
          <t>2026-01-19 15:23:00</t>
        </is>
      </c>
      <c r="G24" t="inlineStr">
        <is>
          <t>视频</t>
        </is>
      </c>
      <c r="H24" t="inlineStr">
        <is>
          <t>北极甜虾头籽甜虾元宝虾北极熊冰虾孕妈妈宝宝辅食顺丰</t>
        </is>
      </c>
      <c r="I24" t="inlineStr">
        <is>
          <t>6953717eb8f0bb000115158d</t>
        </is>
      </c>
      <c r="J24" t="n">
        <v>35.0</v>
      </c>
      <c r="K24" t="n">
        <v>0.0</v>
      </c>
      <c r="L24" t="n">
        <v>0.0</v>
      </c>
      <c r="M24" t="n">
        <v>27.0</v>
      </c>
      <c r="N24" t="inlineStr">
        <is>
          <t>0.07049608355091384</t>
        </is>
      </c>
      <c r="O24" t="n">
        <v>27.0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inlineStr">
        <is>
          <t/>
        </is>
      </c>
      <c r="X24" t="n">
        <v>0.0</v>
      </c>
      <c r="Y24" t="n">
        <v>2.0</v>
      </c>
      <c r="Z24" t="n">
        <v>1.0</v>
      </c>
      <c r="AA24" t="n">
        <v>0.0</v>
      </c>
      <c r="AB24" t="n">
        <v>0.0</v>
      </c>
      <c r="AC24" t="n">
        <v>0.0</v>
      </c>
      <c r="AD24" t="n">
        <v>383.0</v>
      </c>
      <c r="AE24" t="n">
        <v>0.0</v>
      </c>
      <c r="AF24" t="n">
        <v>0.0</v>
      </c>
      <c r="AG24" t="n">
        <v>3.0</v>
      </c>
      <c r="AH24" t="n">
        <v>2.0</v>
      </c>
      <c r="AI24" t="n">
        <v>0.0</v>
      </c>
      <c r="AJ24" t="n">
        <v>0.0</v>
      </c>
      <c r="AK24" t="n">
        <v>13.255874673629243</v>
      </c>
      <c r="AL24" t="inlineStr">
        <is>
          <t>0.11335012594458438</t>
        </is>
      </c>
    </row>
    <row r="25">
      <c r="A25" t="inlineStr">
        <is>
          <t>快递半个月就停运了😭错过只能明年再吃了</t>
        </is>
      </c>
      <c r="B25" t="inlineStr">
        <is>
          <t>696d9286000000000a02ae67</t>
        </is>
      </c>
      <c r="C25" s="24" t="n">
        <f>HYPERLINK("https://www.xiaohongshu.com/explore/696d9286000000000a02ae67?xsec_token=TBhBdCGGh1NnVPomuS6-J4HwqZdNVzfvYi4-dz_chPrGM=&amp;xsec_source=pc_trdark","https://www.xiaohongshu.com/explore/696d9286000000000a02ae67?xsec_token=TBhBdCGGh1NnVPomuS6-J4HwqZdNVzfvYi4-dz_chPrGM=&amp;xsec_source=pc_trdark")</f>
        <v>0.0</v>
      </c>
      <c r="D25" t="inlineStr">
        <is>
          <t>鲜水湾甄选</t>
        </is>
      </c>
      <c r="E25" t="inlineStr">
        <is>
          <t>27401929161</t>
        </is>
      </c>
      <c r="F25" t="inlineStr">
        <is>
          <t>2026-01-19 12:10:00</t>
        </is>
      </c>
      <c r="G25" t="inlineStr">
        <is>
          <t>视频</t>
        </is>
      </c>
      <c r="H25" t="inlineStr">
        <is>
          <t>北极甜虾头籽甜虾元宝虾北极熊冰虾孕妈妈宝宝辅食顺丰</t>
        </is>
      </c>
      <c r="I25" t="inlineStr">
        <is>
          <t>6953717eb8f0bb000115158d</t>
        </is>
      </c>
      <c r="J25" t="n">
        <v>39.0</v>
      </c>
      <c r="K25" t="n">
        <v>158.0</v>
      </c>
      <c r="L25" t="n">
        <v>1.0</v>
      </c>
      <c r="M25" t="n">
        <v>23.0</v>
      </c>
      <c r="N25" t="inlineStr">
        <is>
          <t>0.06005221932114883</t>
        </is>
      </c>
      <c r="O25" t="n">
        <v>22.0</v>
      </c>
      <c r="P25" t="n">
        <v>1.0</v>
      </c>
      <c r="Q25" t="inlineStr">
        <is>
          <t>0.043478260869565216</t>
        </is>
      </c>
      <c r="R25" t="inlineStr">
        <is>
          <t>0.045454545454545456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1.0</v>
      </c>
      <c r="Z25" t="n">
        <v>2.0</v>
      </c>
      <c r="AA25" t="n">
        <v>0.0</v>
      </c>
      <c r="AB25" t="n">
        <v>0.0</v>
      </c>
      <c r="AC25" t="n">
        <v>0.0</v>
      </c>
      <c r="AD25" t="n">
        <v>383.0</v>
      </c>
      <c r="AE25" t="n">
        <v>2.0</v>
      </c>
      <c r="AF25" t="n">
        <v>1.0</v>
      </c>
      <c r="AG25" t="n">
        <v>2.0</v>
      </c>
      <c r="AH25" t="n">
        <v>1.0</v>
      </c>
      <c r="AI25" t="n">
        <v>0.0</v>
      </c>
      <c r="AJ25" t="n">
        <v>0.0</v>
      </c>
      <c r="AK25" t="n">
        <v>13.56135770234987</v>
      </c>
      <c r="AL25" t="inlineStr">
        <is>
          <t>0.08958837772397095</t>
        </is>
      </c>
    </row>
    <row r="26">
      <c r="A26" t="inlineStr">
        <is>
          <t>这么大的生蚝你能吃几个？</t>
        </is>
      </c>
      <c r="B26" t="inlineStr">
        <is>
          <t>6925754f000000001e02c06b</t>
        </is>
      </c>
      <c r="C26" s="25" t="n">
        <f>HYPERLINK("https://www.xiaohongshu.com/explore/6925754f000000001e02c06b?xsec_token=TBVx22ZAFho_bBgysCIliGP3vqKLftKs_THH_Wnmk1JDk=&amp;xsec_source=pc_trdark","https://www.xiaohongshu.com/explore/6925754f000000001e02c06b?xsec_token=TBVx22ZAFho_bBgysCIliGP3vqKLftKs_THH_Wnmk1JDk=&amp;xsec_source=pc_trdark")</f>
        <v>0.0</v>
      </c>
      <c r="D26" t="inlineStr">
        <is>
          <t>婉婉上班吃什么</t>
        </is>
      </c>
      <c r="E26" t="inlineStr">
        <is>
          <t>11434449706</t>
        </is>
      </c>
      <c r="F26" t="inlineStr">
        <is>
          <t>2025-11-25 17:22:23</t>
        </is>
      </c>
      <c r="G26" t="inlineStr">
        <is>
          <t>视频</t>
        </is>
      </c>
      <c r="H26" t="inlineStr">
        <is>
          <t>生蚝乳山生蚝海蛎子顺丰包邮</t>
        </is>
      </c>
      <c r="I26" t="inlineStr">
        <is>
          <t>690c70971b787900010866cc</t>
        </is>
      </c>
      <c r="J26" t="n">
        <v>15.0</v>
      </c>
      <c r="K26" t="n">
        <v>0.0</v>
      </c>
      <c r="L26" t="n">
        <v>0.0</v>
      </c>
      <c r="M26" t="n">
        <v>4.0</v>
      </c>
      <c r="N26" t="inlineStr">
        <is>
          <t>0.01098901098901099</t>
        </is>
      </c>
      <c r="O26" t="n">
        <v>4.0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inlineStr">
        <is>
          <t/>
        </is>
      </c>
      <c r="X26" t="n">
        <v>0.0</v>
      </c>
      <c r="Y26" t="n">
        <v>1.0</v>
      </c>
      <c r="Z26" t="n">
        <v>1.0</v>
      </c>
      <c r="AA26" t="n">
        <v>0.0</v>
      </c>
      <c r="AB26" t="n">
        <v>0.0</v>
      </c>
      <c r="AC26" t="n">
        <v>0.0</v>
      </c>
      <c r="AD26" t="n">
        <v>364.0</v>
      </c>
      <c r="AE26" t="n">
        <v>0.0</v>
      </c>
      <c r="AF26" t="n">
        <v>1.0</v>
      </c>
      <c r="AG26" t="n">
        <v>0.0</v>
      </c>
      <c r="AH26" t="n">
        <v>0.0</v>
      </c>
      <c r="AI26" t="n">
        <v>0.0</v>
      </c>
      <c r="AJ26" t="n">
        <v>0.0</v>
      </c>
      <c r="AK26" t="n">
        <v>6.931318681318682</v>
      </c>
      <c r="AL26" t="inlineStr">
        <is>
          <t>0.21521739130434783</t>
        </is>
      </c>
    </row>
    <row r="27">
      <c r="A27" t="inlineStr">
        <is>
          <t>误以为很贵，实际40多五斤生蚝真的过瘾！</t>
        </is>
      </c>
      <c r="B27" t="inlineStr">
        <is>
          <t>6930088b000000001f006225</t>
        </is>
      </c>
      <c r="C27" s="26" t="n">
        <f>HYPERLINK("https://www.xiaohongshu.com/explore/6930088b000000001f006225?xsec_token=TBXTxn9EZjzobZQSnyFe1Ge_xt-0aEw_uXRIkU64CkQBc=&amp;xsec_source=pc_trdark","https://www.xiaohongshu.com/explore/6930088b000000001f006225?xsec_token=TBXTxn9EZjzobZQSnyFe1Ge_xt-0aEw_uXRIkU64CkQBc=&amp;xsec_source=pc_trdark")</f>
        <v>0.0</v>
      </c>
      <c r="D27" t="inlineStr">
        <is>
          <t>婉婉上班吃什么</t>
        </is>
      </c>
      <c r="E27" t="inlineStr">
        <is>
          <t>11434449706</t>
        </is>
      </c>
      <c r="F27" t="inlineStr">
        <is>
          <t>2025-12-03 17:53:15</t>
        </is>
      </c>
      <c r="G27" t="inlineStr">
        <is>
          <t>视频</t>
        </is>
      </c>
      <c r="H27" t="inlineStr">
        <is>
          <t>生蚝乳山生蚝海蛎子顺丰包邮</t>
        </is>
      </c>
      <c r="I27" t="inlineStr">
        <is>
          <t>690c70971b787900010866cc</t>
        </is>
      </c>
      <c r="J27" t="n">
        <v>30.0</v>
      </c>
      <c r="K27" t="n">
        <v>0.0</v>
      </c>
      <c r="L27" t="n">
        <v>0.0</v>
      </c>
      <c r="M27" t="n">
        <v>9.0</v>
      </c>
      <c r="N27" t="inlineStr">
        <is>
          <t>0.02586206896551724</t>
        </is>
      </c>
      <c r="O27" t="n">
        <v>9.0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inlineStr">
        <is>
          <t/>
        </is>
      </c>
      <c r="X27" t="n">
        <v>0.0</v>
      </c>
      <c r="Y27" t="n">
        <v>2.0</v>
      </c>
      <c r="Z27" t="n">
        <v>5.0</v>
      </c>
      <c r="AA27" t="n">
        <v>0.0</v>
      </c>
      <c r="AB27" t="n">
        <v>0.0</v>
      </c>
      <c r="AC27" t="n">
        <v>0.0</v>
      </c>
      <c r="AD27" t="n">
        <v>348.0</v>
      </c>
      <c r="AE27" t="n">
        <v>0.0</v>
      </c>
      <c r="AF27" t="n">
        <v>2.0</v>
      </c>
      <c r="AG27" t="n">
        <v>0.0</v>
      </c>
      <c r="AH27" t="n">
        <v>0.0</v>
      </c>
      <c r="AI27" t="n">
        <v>0.0</v>
      </c>
      <c r="AJ27" t="n">
        <v>0.0</v>
      </c>
      <c r="AK27" t="n">
        <v>7.293103448275862</v>
      </c>
      <c r="AL27" t="inlineStr">
        <is>
          <t>0.09414758269720101</t>
        </is>
      </c>
    </row>
    <row r="28">
      <c r="A28" t="inlineStr">
        <is>
          <t>感谢小红书🙏让乳山生蚝卖到了广东</t>
        </is>
      </c>
      <c r="B28" t="inlineStr">
        <is>
          <t>69520efc000000001e0373ae</t>
        </is>
      </c>
      <c r="C28" s="27" t="n">
        <f>HYPERLINK("https://www.xiaohongshu.com/explore/69520efc000000001e0373ae?xsec_token=TBD_qpfRw_GekiL1YWy-5sXpnIJrOzpxvipTOy3jWPWwE=&amp;xsec_source=pc_trdark","https://www.xiaohongshu.com/explore/69520efc000000001e0373ae?xsec_token=TBD_qpfRw_GekiL1YWy-5sXpnIJrOzpxvipTOy3jWPWwE=&amp;xsec_source=pc_trdark")</f>
        <v>0.0</v>
      </c>
      <c r="D28" t="inlineStr">
        <is>
          <t>鲜水湾</t>
        </is>
      </c>
      <c r="E28" t="inlineStr">
        <is>
          <t>49316638994</t>
        </is>
      </c>
      <c r="F28" t="inlineStr">
        <is>
          <t>2025-12-29 13:17:48</t>
        </is>
      </c>
      <c r="G28" t="inlineStr">
        <is>
          <t>图文</t>
        </is>
      </c>
      <c r="H28" t="inlineStr">
        <is>
          <t>生蚝乳山生蚝海蛎子顺丰包邮</t>
        </is>
      </c>
      <c r="I28" t="inlineStr">
        <is>
          <t>690c70971b787900010866cc</t>
        </is>
      </c>
      <c r="J28" t="inlineStr">
        <is>
          <t/>
        </is>
      </c>
      <c r="K28" t="n">
        <v>289.70000000000005</v>
      </c>
      <c r="L28" t="n">
        <v>3.0</v>
      </c>
      <c r="M28" t="n">
        <v>33.0</v>
      </c>
      <c r="N28" t="inlineStr">
        <is>
          <t>0.10122699386503067</t>
        </is>
      </c>
      <c r="O28" t="n">
        <v>30.0</v>
      </c>
      <c r="P28" t="n">
        <v>3.0</v>
      </c>
      <c r="Q28" t="inlineStr">
        <is>
          <t>0.09090909090909091</t>
        </is>
      </c>
      <c r="R28" t="n">
        <v>0.1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6.0</v>
      </c>
      <c r="Z28" t="n">
        <v>11.0</v>
      </c>
      <c r="AA28" t="n">
        <v>0.0</v>
      </c>
      <c r="AB28" t="n">
        <v>0.0</v>
      </c>
      <c r="AC28" t="n">
        <v>0.0</v>
      </c>
      <c r="AD28" t="n">
        <v>326.0</v>
      </c>
      <c r="AE28" t="n">
        <v>1.0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8.957055214723926</v>
      </c>
      <c r="AL28" t="inlineStr">
        <is>
          <t/>
        </is>
      </c>
    </row>
    <row r="29">
      <c r="A29" t="inlineStr">
        <is>
          <t>这么大的生蚝你能吃几个？</t>
        </is>
      </c>
      <c r="B29" t="inlineStr">
        <is>
          <t>691fc5ba000000000d00dc1c</t>
        </is>
      </c>
      <c r="C29" s="28" t="n">
        <f>HYPERLINK("https://www.xiaohongshu.com/explore/691fc5ba000000000d00dc1c?xsec_token=TB9t7o6BDguR_qahx6dS5pPXFWnUerXqHlE57ibpG65j0=&amp;xsec_source=pc_trdark","https://www.xiaohongshu.com/explore/691fc5ba000000000d00dc1c?xsec_token=TB9t7o6BDguR_qahx6dS5pPXFWnUerXqHlE57ibpG65j0=&amp;xsec_source=pc_trdark")</f>
        <v>0.0</v>
      </c>
      <c r="D29" t="inlineStr">
        <is>
          <t>婉婉上班吃什么</t>
        </is>
      </c>
      <c r="E29" t="inlineStr">
        <is>
          <t>11434449706</t>
        </is>
      </c>
      <c r="F29" t="inlineStr">
        <is>
          <t>2025-11-21 09:51:54</t>
        </is>
      </c>
      <c r="G29" t="inlineStr">
        <is>
          <t>视频</t>
        </is>
      </c>
      <c r="H29" t="inlineStr">
        <is>
          <t>生蚝乳山生蚝海蛎子顺丰包邮</t>
        </is>
      </c>
      <c r="I29" t="inlineStr">
        <is>
          <t>690c70971b787900010866cc</t>
        </is>
      </c>
      <c r="J29" t="n">
        <v>16.0</v>
      </c>
      <c r="K29" t="n">
        <v>0.0</v>
      </c>
      <c r="L29" t="n">
        <v>0.0</v>
      </c>
      <c r="M29" t="n">
        <v>1.0</v>
      </c>
      <c r="N29" t="inlineStr">
        <is>
          <t>0.0031545741324921135</t>
        </is>
      </c>
      <c r="O29" t="n">
        <v>1.0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inlineStr">
        <is>
          <t/>
        </is>
      </c>
      <c r="X29" t="n">
        <v>0.0</v>
      </c>
      <c r="Y29" t="n">
        <v>0.0</v>
      </c>
      <c r="Z29" t="n">
        <v>1.0</v>
      </c>
      <c r="AA29" t="n">
        <v>0.0</v>
      </c>
      <c r="AB29" t="n">
        <v>0.0</v>
      </c>
      <c r="AC29" t="n">
        <v>0.0</v>
      </c>
      <c r="AD29" t="n">
        <v>317.0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6.621451104100946</v>
      </c>
      <c r="AL29" t="inlineStr">
        <is>
          <t>0.17894736842105263</t>
        </is>
      </c>
    </row>
    <row r="30">
      <c r="A30" t="inlineStr">
        <is>
          <t>我爸让我通知各位，乳山超大生蚝59.9r5斤</t>
        </is>
      </c>
      <c r="B30" t="inlineStr">
        <is>
          <t>691aeb55000000000503963f</t>
        </is>
      </c>
      <c r="C30" s="29" t="n">
        <f>HYPERLINK("https://www.xiaohongshu.com/explore/691aeb55000000000503963f?xsec_token=TB7_xX17zVvyJQL8hbcdzoIIZGDpO49cFO6D2BJLllgv0=&amp;xsec_source=pc_trdark","https://www.xiaohongshu.com/explore/691aeb55000000000503963f?xsec_token=TB7_xX17zVvyJQL8hbcdzoIIZGDpO49cFO6D2BJLllgv0=&amp;xsec_source=pc_trdark")</f>
        <v>0.0</v>
      </c>
      <c r="D30" t="inlineStr">
        <is>
          <t>婉婉上班吃什么</t>
        </is>
      </c>
      <c r="E30" t="inlineStr">
        <is>
          <t>11434449706</t>
        </is>
      </c>
      <c r="F30" t="inlineStr">
        <is>
          <t>2025-11-17 17:31:01</t>
        </is>
      </c>
      <c r="G30" t="inlineStr">
        <is>
          <t>视频</t>
        </is>
      </c>
      <c r="H30" t="inlineStr">
        <is>
          <t>生蚝乳山生蚝海蛎子顺丰包邮</t>
        </is>
      </c>
      <c r="I30" t="inlineStr">
        <is>
          <t>690c70971b787900010866cc</t>
        </is>
      </c>
      <c r="J30" t="n">
        <v>33.0</v>
      </c>
      <c r="K30" t="n">
        <v>0.0</v>
      </c>
      <c r="L30" t="n">
        <v>0.0</v>
      </c>
      <c r="M30" t="n">
        <v>11.0</v>
      </c>
      <c r="N30" t="inlineStr">
        <is>
          <t>0.03470031545741325</t>
        </is>
      </c>
      <c r="O30" t="n">
        <v>9.0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inlineStr">
        <is>
          <t/>
        </is>
      </c>
      <c r="X30" t="n">
        <v>0.0</v>
      </c>
      <c r="Y30" t="n">
        <v>2.0</v>
      </c>
      <c r="Z30" t="n">
        <v>3.0</v>
      </c>
      <c r="AA30" t="n">
        <v>0.0</v>
      </c>
      <c r="AB30" t="n">
        <v>0.0</v>
      </c>
      <c r="AC30" t="n">
        <v>0.0</v>
      </c>
      <c r="AD30" t="n">
        <v>317.0</v>
      </c>
      <c r="AE30" t="n">
        <v>0.0</v>
      </c>
      <c r="AF30" t="n">
        <v>1.0</v>
      </c>
      <c r="AG30" t="n">
        <v>0.0</v>
      </c>
      <c r="AH30" t="n">
        <v>1.0</v>
      </c>
      <c r="AI30" t="n">
        <v>0.0</v>
      </c>
      <c r="AJ30" t="n">
        <v>0.0</v>
      </c>
      <c r="AK30" t="n">
        <v>6.384858044164038</v>
      </c>
      <c r="AL30" t="inlineStr">
        <is>
          <t>0.061946902654867256</t>
        </is>
      </c>
    </row>
    <row r="31">
      <c r="A31" t="inlineStr">
        <is>
          <t>刚下完大雪，生蚝一下子全肥了，不可控……</t>
        </is>
      </c>
      <c r="B31" t="inlineStr">
        <is>
          <t>6948f647000000001e02af55</t>
        </is>
      </c>
      <c r="C31" s="30" t="n">
        <f>HYPERLINK("https://www.xiaohongshu.com/explore/6948f647000000001e02af55?xsec_token=TBmTqutVtP5Tww83padVl32Pgrvygq-kpw2iEJbtDdN4I=&amp;xsec_source=pc_trdark","https://www.xiaohongshu.com/explore/6948f647000000001e02af55?xsec_token=TBmTqutVtP5Tww83padVl32Pgrvygq-kpw2iEJbtDdN4I=&amp;xsec_source=pc_trdark")</f>
        <v>0.0</v>
      </c>
      <c r="D31" t="inlineStr">
        <is>
          <t>鲜水湾</t>
        </is>
      </c>
      <c r="E31" t="inlineStr">
        <is>
          <t>49316638994</t>
        </is>
      </c>
      <c r="F31" t="inlineStr">
        <is>
          <t>2025-12-22 15:41:59</t>
        </is>
      </c>
      <c r="G31" t="inlineStr">
        <is>
          <t>图文</t>
        </is>
      </c>
      <c r="H31" t="inlineStr">
        <is>
          <t>生蚝乳山生蚝海蛎子顺丰包邮</t>
        </is>
      </c>
      <c r="I31" t="inlineStr">
        <is>
          <t>690c70971b787900010866cc</t>
        </is>
      </c>
      <c r="J31" t="inlineStr">
        <is>
          <t/>
        </is>
      </c>
      <c r="K31" t="n">
        <v>219.7</v>
      </c>
      <c r="L31" t="n">
        <v>3.0</v>
      </c>
      <c r="M31" t="n">
        <v>60.0</v>
      </c>
      <c r="N31" t="inlineStr">
        <is>
          <t>0.19047619047619047</t>
        </is>
      </c>
      <c r="O31" t="n">
        <v>53.0</v>
      </c>
      <c r="P31" t="n">
        <v>3.0</v>
      </c>
      <c r="Q31" t="n">
        <v>0.05</v>
      </c>
      <c r="R31" t="inlineStr">
        <is>
          <t>0.05660377358490566</t>
        </is>
      </c>
      <c r="S31" t="n">
        <v>159.8</v>
      </c>
      <c r="T31" t="n">
        <v>2.0</v>
      </c>
      <c r="U31" t="n">
        <v>2.0</v>
      </c>
      <c r="V31" t="n">
        <v>159.8</v>
      </c>
      <c r="W31" t="n">
        <v>0.7273554847519346</v>
      </c>
      <c r="X31" t="n">
        <v>2.0</v>
      </c>
      <c r="Y31" t="n">
        <v>4.0</v>
      </c>
      <c r="Z31" t="n">
        <v>21.0</v>
      </c>
      <c r="AA31" t="n">
        <v>0.0</v>
      </c>
      <c r="AB31" t="n">
        <v>0.0</v>
      </c>
      <c r="AC31" t="n">
        <v>0.0</v>
      </c>
      <c r="AD31" t="n">
        <v>315.0</v>
      </c>
      <c r="AE31" t="n">
        <v>0.0</v>
      </c>
      <c r="AF31" t="n">
        <v>1.0</v>
      </c>
      <c r="AG31" t="n">
        <v>1.0</v>
      </c>
      <c r="AH31" t="n">
        <v>0.0</v>
      </c>
      <c r="AI31" t="n">
        <v>0.0</v>
      </c>
      <c r="AJ31" t="n">
        <v>0.0</v>
      </c>
      <c r="AK31" t="n">
        <v>11.64126984126984</v>
      </c>
      <c r="AL31" t="inlineStr">
        <is>
          <t/>
        </is>
      </c>
    </row>
    <row r="32">
      <c r="A32" t="inlineStr">
        <is>
          <t>头籽北极甜虾你真的会吃吗？</t>
        </is>
      </c>
      <c r="B32" t="inlineStr">
        <is>
          <t>696d8eb3000000000c035e5e</t>
        </is>
      </c>
      <c r="C32" s="31" t="n">
        <f>HYPERLINK("https://www.xiaohongshu.com/explore/696d8eb3000000000c035e5e?xsec_token=TBhBdCGGh1NnVPomuS6-J4H6RT9tyPrUpjWMHTUUrQzKY=&amp;xsec_source=pc_trdark","https://www.xiaohongshu.com/explore/696d8eb3000000000c035e5e?xsec_token=TBhBdCGGh1NnVPomuS6-J4H6RT9tyPrUpjWMHTUUrQzKY=&amp;xsec_source=pc_trdark")</f>
        <v>0.0</v>
      </c>
      <c r="D32" t="inlineStr">
        <is>
          <t>鲜水湾甄选</t>
        </is>
      </c>
      <c r="E32" t="inlineStr">
        <is>
          <t>27401929161</t>
        </is>
      </c>
      <c r="F32" t="inlineStr">
        <is>
          <t>2026-01-19 09:53:55</t>
        </is>
      </c>
      <c r="G32" t="inlineStr">
        <is>
          <t>视频</t>
        </is>
      </c>
      <c r="H32" t="inlineStr">
        <is>
          <t>北极甜虾头籽甜虾元宝虾北极熊冰虾孕妈妈宝宝辅食顺丰</t>
        </is>
      </c>
      <c r="I32" t="inlineStr">
        <is>
          <t>6953717eb8f0bb000115158d</t>
        </is>
      </c>
      <c r="J32" t="n">
        <v>42.0</v>
      </c>
      <c r="K32" t="n">
        <v>0.0</v>
      </c>
      <c r="L32" t="n">
        <v>0.0</v>
      </c>
      <c r="M32" t="n">
        <v>8.0</v>
      </c>
      <c r="N32" t="inlineStr">
        <is>
          <t>0.027491408934707903</t>
        </is>
      </c>
      <c r="O32" t="n">
        <v>5.0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inlineStr">
        <is>
          <t/>
        </is>
      </c>
      <c r="X32" t="n">
        <v>0.0</v>
      </c>
      <c r="Y32" t="n">
        <v>1.0</v>
      </c>
      <c r="Z32" t="n">
        <v>5.0</v>
      </c>
      <c r="AA32" t="n">
        <v>0.0</v>
      </c>
      <c r="AB32" t="n">
        <v>0.0</v>
      </c>
      <c r="AC32" t="n">
        <v>0.0</v>
      </c>
      <c r="AD32" t="n">
        <v>291.0</v>
      </c>
      <c r="AE32" t="n">
        <v>2.0</v>
      </c>
      <c r="AF32" t="n">
        <v>0.0</v>
      </c>
      <c r="AG32" t="n">
        <v>2.0</v>
      </c>
      <c r="AH32" t="n">
        <v>1.0</v>
      </c>
      <c r="AI32" t="n">
        <v>0.0</v>
      </c>
      <c r="AJ32" t="n">
        <v>0.0</v>
      </c>
      <c r="AK32" t="n">
        <v>14.570446735395189</v>
      </c>
      <c r="AL32" t="inlineStr">
        <is>
          <t>0.09034267912772585</t>
        </is>
      </c>
    </row>
    <row r="33">
      <c r="A33" t="inlineStr">
        <is>
          <t>这乳山生蚝49.9一箱光是口感就赢麻了</t>
        </is>
      </c>
      <c r="B33" t="inlineStr">
        <is>
          <t>696a474d000000001a02c985</t>
        </is>
      </c>
      <c r="C33" s="32" t="n">
        <f>HYPERLINK("https://www.xiaohongshu.com/explore/696a474d000000001a02c985?xsec_token=TB0eXhepDH8HSHhoc_PkmgA4xaPxro562b0unkESVDxtg=&amp;xsec_source=pc_trdark","https://www.xiaohongshu.com/explore/696a474d000000001a02c985?xsec_token=TB0eXhepDH8HSHhoc_PkmgA4xaPxro562b0unkESVDxtg=&amp;xsec_source=pc_trdark")</f>
        <v>0.0</v>
      </c>
      <c r="D33" t="inlineStr">
        <is>
          <t>婉婉上班吃什么</t>
        </is>
      </c>
      <c r="E33" t="inlineStr">
        <is>
          <t>11434449706</t>
        </is>
      </c>
      <c r="F33" t="inlineStr">
        <is>
          <t>2026-01-16 22:12:29</t>
        </is>
      </c>
      <c r="G33" t="inlineStr">
        <is>
          <t>视频</t>
        </is>
      </c>
      <c r="H33" t="inlineStr">
        <is>
          <t>生蚝乳山生蚝海蛎子顺丰包邮</t>
        </is>
      </c>
      <c r="I33" t="inlineStr">
        <is>
          <t>690c70971b787900010866cc</t>
        </is>
      </c>
      <c r="J33" t="n">
        <v>13.0</v>
      </c>
      <c r="K33" t="n">
        <v>0.0</v>
      </c>
      <c r="L33" t="n">
        <v>0.0</v>
      </c>
      <c r="M33" t="n">
        <v>7.0</v>
      </c>
      <c r="N33" t="inlineStr">
        <is>
          <t>0.02491103202846975</t>
        </is>
      </c>
      <c r="O33" t="n">
        <v>7.0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inlineStr">
        <is>
          <t/>
        </is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281.0</v>
      </c>
      <c r="AE33" t="n">
        <v>1.0</v>
      </c>
      <c r="AF33" t="n">
        <v>0.0</v>
      </c>
      <c r="AG33" t="n">
        <v>0.0</v>
      </c>
      <c r="AH33" t="n">
        <v>1.0</v>
      </c>
      <c r="AI33" t="n">
        <v>0.0</v>
      </c>
      <c r="AJ33" t="n">
        <v>0.0</v>
      </c>
      <c r="AK33" t="n">
        <v>7.850533807829182</v>
      </c>
      <c r="AL33" t="n">
        <v>0.2768361581920904</v>
      </c>
    </row>
    <row r="34">
      <c r="A34" t="inlineStr">
        <is>
          <t>49.9我微微心动，你说顺丰包邮我直接冲</t>
        </is>
      </c>
      <c r="B34" t="inlineStr">
        <is>
          <t>69311c76000000001e036021</t>
        </is>
      </c>
      <c r="C34" s="33" t="n">
        <f>HYPERLINK("https://www.xiaohongshu.com/explore/69311c76000000001e036021?xsec_token=TBE4JBHwTJxKVcqB99kbkXOHJ5namYD_XyUi-aVpw-TJ0=&amp;xsec_source=pc_trdark","https://www.xiaohongshu.com/explore/69311c76000000001e036021?xsec_token=TBE4JBHwTJxKVcqB99kbkXOHJ5namYD_XyUi-aVpw-TJ0=&amp;xsec_source=pc_trdark")</f>
        <v>0.0</v>
      </c>
      <c r="D34" t="inlineStr">
        <is>
          <t>婉婉上班吃什么</t>
        </is>
      </c>
      <c r="E34" t="inlineStr">
        <is>
          <t>11434449706</t>
        </is>
      </c>
      <c r="F34" t="inlineStr">
        <is>
          <t>2025-12-04 13:30:30</t>
        </is>
      </c>
      <c r="G34" t="inlineStr">
        <is>
          <t>视频</t>
        </is>
      </c>
      <c r="H34" t="inlineStr">
        <is>
          <t>生蚝乳山生蚝海蛎子顺丰包邮</t>
        </is>
      </c>
      <c r="I34" t="inlineStr">
        <is>
          <t>690c70971b787900010866cc</t>
        </is>
      </c>
      <c r="J34" t="n">
        <v>37.0</v>
      </c>
      <c r="K34" t="n">
        <v>49.9</v>
      </c>
      <c r="L34" t="n">
        <v>1.0</v>
      </c>
      <c r="M34" t="n">
        <v>7.0</v>
      </c>
      <c r="N34" t="inlineStr">
        <is>
          <t>0.025089605734767026</t>
        </is>
      </c>
      <c r="O34" t="n">
        <v>6.0</v>
      </c>
      <c r="P34" t="n">
        <v>1.0</v>
      </c>
      <c r="Q34" t="inlineStr">
        <is>
          <t>0.14285714285714285</t>
        </is>
      </c>
      <c r="R34" t="inlineStr">
        <is>
          <t>0.16666666666666666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1.0</v>
      </c>
      <c r="Z34" t="n">
        <v>1.0</v>
      </c>
      <c r="AA34" t="n">
        <v>0.0</v>
      </c>
      <c r="AB34" t="n">
        <v>0.0</v>
      </c>
      <c r="AC34" t="n">
        <v>0.0</v>
      </c>
      <c r="AD34" t="n">
        <v>279.0</v>
      </c>
      <c r="AE34" t="n">
        <v>0.0</v>
      </c>
      <c r="AF34" t="n">
        <v>2.0</v>
      </c>
      <c r="AG34" t="n">
        <v>0.0</v>
      </c>
      <c r="AH34" t="n">
        <v>1.0</v>
      </c>
      <c r="AI34" t="n">
        <v>1.0</v>
      </c>
      <c r="AJ34" t="n">
        <v>0.0</v>
      </c>
      <c r="AK34" t="n">
        <v>8.652329749103943</v>
      </c>
      <c r="AL34" t="inlineStr">
        <is>
          <t>0.07333333333333333</t>
        </is>
      </c>
    </row>
    <row r="35">
      <c r="A35" t="inlineStr">
        <is>
          <t>建议冬至后狠狠吃生蚝，40+一箱的生蚝真肥</t>
        </is>
      </c>
      <c r="B35" t="inlineStr">
        <is>
          <t>6943d39b000000000d034d4f</t>
        </is>
      </c>
      <c r="C35" s="34" t="n">
        <f>HYPERLINK("https://www.xiaohongshu.com/explore/6943d39b000000000d034d4f?xsec_token=TB3ISCGERC3xZFl0ewfdTFyId3-4629b3-nxVDswtkamo=&amp;xsec_source=pc_trdark","https://www.xiaohongshu.com/explore/6943d39b000000000d034d4f?xsec_token=TB3ISCGERC3xZFl0ewfdTFyId3-4629b3-nxVDswtkamo=&amp;xsec_source=pc_trdark")</f>
        <v>0.0</v>
      </c>
      <c r="D35" t="inlineStr">
        <is>
          <t>婉婉上班吃什么</t>
        </is>
      </c>
      <c r="E35" t="inlineStr">
        <is>
          <t>11434449706</t>
        </is>
      </c>
      <c r="F35" t="inlineStr">
        <is>
          <t>2025-12-18 18:12:43</t>
        </is>
      </c>
      <c r="G35" t="inlineStr">
        <is>
          <t>视频</t>
        </is>
      </c>
      <c r="H35" t="inlineStr">
        <is>
          <t>生蚝乳山生蚝海蛎子顺丰包邮</t>
        </is>
      </c>
      <c r="I35" t="inlineStr">
        <is>
          <t>690c70971b787900010866cc</t>
        </is>
      </c>
      <c r="J35" t="n">
        <v>37.0</v>
      </c>
      <c r="K35" t="n">
        <v>0.0</v>
      </c>
      <c r="L35" t="n">
        <v>0.0</v>
      </c>
      <c r="M35" t="n">
        <v>18.0</v>
      </c>
      <c r="N35" t="n">
        <v>0.0661764705882353</v>
      </c>
      <c r="O35" t="n">
        <v>16.0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inlineStr">
        <is>
          <t/>
        </is>
      </c>
      <c r="X35" t="n">
        <v>0.0</v>
      </c>
      <c r="Y35" t="n">
        <v>2.0</v>
      </c>
      <c r="Z35" t="n">
        <v>1.0</v>
      </c>
      <c r="AA35" t="n">
        <v>0.0</v>
      </c>
      <c r="AB35" t="n">
        <v>0.0</v>
      </c>
      <c r="AC35" t="n">
        <v>0.0</v>
      </c>
      <c r="AD35" t="n">
        <v>272.0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13.029411764705882</v>
      </c>
      <c r="AL35" t="n">
        <v>0.1437125748502994</v>
      </c>
    </row>
    <row r="36">
      <c r="A36" t="inlineStr">
        <is>
          <t>替大家试过了49.9💰五斤的生蚝是真的肥</t>
        </is>
      </c>
      <c r="B36" t="inlineStr">
        <is>
          <t>69479860000000001f006d2a</t>
        </is>
      </c>
      <c r="C36" s="35" t="n">
        <f>HYPERLINK("https://www.xiaohongshu.com/explore/69479860000000001f006d2a?xsec_token=TBnuuEENMsYpnBa1PDFqnFZMzS_oJZW4bj7QL8P7pGbTA=&amp;xsec_source=pc_trdark","https://www.xiaohongshu.com/explore/69479860000000001f006d2a?xsec_token=TBnuuEENMsYpnBa1PDFqnFZMzS_oJZW4bj7QL8P7pGbTA=&amp;xsec_source=pc_trdark")</f>
        <v>0.0</v>
      </c>
      <c r="D36" t="inlineStr">
        <is>
          <t>鲜水湾</t>
        </is>
      </c>
      <c r="E36" t="inlineStr">
        <is>
          <t>49316638994</t>
        </is>
      </c>
      <c r="F36" t="inlineStr">
        <is>
          <t>2025-12-21 14:49:04</t>
        </is>
      </c>
      <c r="G36" t="inlineStr">
        <is>
          <t>图文</t>
        </is>
      </c>
      <c r="H36" t="inlineStr">
        <is>
          <t>生蚝乳山生蚝海蛎子顺丰包邮</t>
        </is>
      </c>
      <c r="I36" t="inlineStr">
        <is>
          <t>690c70971b787900010866cc</t>
        </is>
      </c>
      <c r="J36" t="inlineStr">
        <is>
          <t/>
        </is>
      </c>
      <c r="K36" t="n">
        <v>119.80000000000001</v>
      </c>
      <c r="L36" t="n">
        <v>2.0</v>
      </c>
      <c r="M36" t="n">
        <v>47.0</v>
      </c>
      <c r="N36" t="inlineStr">
        <is>
          <t>0.17938931297709923</t>
        </is>
      </c>
      <c r="O36" t="n">
        <v>40.0</v>
      </c>
      <c r="P36" t="n">
        <v>2.0</v>
      </c>
      <c r="Q36" t="n">
        <v>0.0425531914893617</v>
      </c>
      <c r="R36" t="n">
        <v>0.05</v>
      </c>
      <c r="S36" t="n">
        <v>49.9</v>
      </c>
      <c r="T36" t="n">
        <v>1.0</v>
      </c>
      <c r="U36" t="n">
        <v>1.0</v>
      </c>
      <c r="V36" t="n">
        <v>49.9</v>
      </c>
      <c r="W36" t="n">
        <v>0.4165275459098497</v>
      </c>
      <c r="X36" t="n">
        <v>1.0</v>
      </c>
      <c r="Y36" t="n">
        <v>7.0</v>
      </c>
      <c r="Z36" t="n">
        <v>22.0</v>
      </c>
      <c r="AA36" t="n">
        <v>0.0</v>
      </c>
      <c r="AB36" t="n">
        <v>0.0</v>
      </c>
      <c r="AC36" t="n">
        <v>0.0</v>
      </c>
      <c r="AD36" t="n">
        <v>262.0</v>
      </c>
      <c r="AE36" t="n">
        <v>1.0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13.232824427480915</v>
      </c>
      <c r="AL36" t="inlineStr">
        <is>
          <t/>
        </is>
      </c>
    </row>
    <row r="37">
      <c r="A37" t="inlineStr">
        <is>
          <t>真心建议男人过了30，多吃生蚝🦪</t>
        </is>
      </c>
      <c r="B37" t="inlineStr">
        <is>
          <t>6958d1f4000000001f005398</t>
        </is>
      </c>
      <c r="C37" s="36" t="n">
        <f>HYPERLINK("https://www.xiaohongshu.com/explore/6958d1f4000000001f005398?xsec_token=TBVWL7hy7ogZOv9P5VB1V6xwFILWsG_UatsLFAOiwl6-4=&amp;xsec_source=pc_trdark","https://www.xiaohongshu.com/explore/6958d1f4000000001f005398?xsec_token=TBVWL7hy7ogZOv9P5VB1V6xwFILWsG_UatsLFAOiwl6-4=&amp;xsec_source=pc_trdark")</f>
        <v>0.0</v>
      </c>
      <c r="D37" t="inlineStr">
        <is>
          <t>鲜水湾</t>
        </is>
      </c>
      <c r="E37" t="inlineStr">
        <is>
          <t>49316638994</t>
        </is>
      </c>
      <c r="F37" t="inlineStr">
        <is>
          <t>2026-01-03 16:23:16</t>
        </is>
      </c>
      <c r="G37" t="inlineStr">
        <is>
          <t>图文</t>
        </is>
      </c>
      <c r="H37" t="inlineStr">
        <is>
          <t>生蚝乳山生蚝海蛎子顺丰包邮</t>
        </is>
      </c>
      <c r="I37" t="inlineStr">
        <is>
          <t>690c70971b787900010866cc</t>
        </is>
      </c>
      <c r="J37" t="inlineStr">
        <is>
          <t/>
        </is>
      </c>
      <c r="K37" t="n">
        <v>49.9</v>
      </c>
      <c r="L37" t="n">
        <v>1.0</v>
      </c>
      <c r="M37" t="n">
        <v>20.0</v>
      </c>
      <c r="N37" t="inlineStr">
        <is>
          <t>0.07874015748031496</t>
        </is>
      </c>
      <c r="O37" t="n">
        <v>16.0</v>
      </c>
      <c r="P37" t="n">
        <v>1.0</v>
      </c>
      <c r="Q37" t="n">
        <v>0.05</v>
      </c>
      <c r="R37" t="n">
        <v>0.0625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1.0</v>
      </c>
      <c r="Z37" t="n">
        <v>5.0</v>
      </c>
      <c r="AA37" t="n">
        <v>0.0</v>
      </c>
      <c r="AB37" t="n">
        <v>0.0</v>
      </c>
      <c r="AC37" t="n">
        <v>0.0</v>
      </c>
      <c r="AD37" t="n">
        <v>254.0</v>
      </c>
      <c r="AE37" t="n">
        <v>3.0</v>
      </c>
      <c r="AF37" t="n">
        <v>0.0</v>
      </c>
      <c r="AG37" t="n">
        <v>3.0</v>
      </c>
      <c r="AH37" t="n">
        <v>2.0</v>
      </c>
      <c r="AI37" t="n">
        <v>0.0</v>
      </c>
      <c r="AJ37" t="n">
        <v>0.0</v>
      </c>
      <c r="AK37" t="n">
        <v>12.964566929133857</v>
      </c>
      <c r="AL37" t="inlineStr">
        <is>
          <t/>
        </is>
      </c>
    </row>
    <row r="38">
      <c r="A38" t="inlineStr">
        <is>
          <t>孕妈妈可以放心吃的野生深海虾🦐</t>
        </is>
      </c>
      <c r="B38" t="inlineStr">
        <is>
          <t>696d8f8c000000000b008465</t>
        </is>
      </c>
      <c r="C38" s="37" t="n">
        <f>HYPERLINK("https://www.xiaohongshu.com/explore/696d8f8c000000000b008465?xsec_token=TBhBdCGGh1NnVPomuS6-J4Hz1XU76oCrEKAxts5lHzLJg=&amp;xsec_source=pc_trdark","https://www.xiaohongshu.com/explore/696d8f8c000000000b008465?xsec_token=TBhBdCGGh1NnVPomuS6-J4Hz1XU76oCrEKAxts5lHzLJg=&amp;xsec_source=pc_trdark")</f>
        <v>0.0</v>
      </c>
      <c r="D38" t="inlineStr">
        <is>
          <t>鲜水湾甄选</t>
        </is>
      </c>
      <c r="E38" t="inlineStr">
        <is>
          <t>27401929161</t>
        </is>
      </c>
      <c r="F38" t="inlineStr">
        <is>
          <t>2026-01-19 09:57:32</t>
        </is>
      </c>
      <c r="G38" t="inlineStr">
        <is>
          <t>视频</t>
        </is>
      </c>
      <c r="H38" t="inlineStr">
        <is>
          <t>北极甜虾头籽甜虾元宝虾北极熊冰虾孕妈妈宝宝辅食顺丰</t>
        </is>
      </c>
      <c r="I38" t="inlineStr">
        <is>
          <t>6953717eb8f0bb000115158d</t>
        </is>
      </c>
      <c r="J38" t="n">
        <v>38.0</v>
      </c>
      <c r="K38" t="n">
        <v>0.0</v>
      </c>
      <c r="L38" t="n">
        <v>0.0</v>
      </c>
      <c r="M38" t="n">
        <v>18.0</v>
      </c>
      <c r="N38" t="n">
        <v>0.0743801652892562</v>
      </c>
      <c r="O38" t="n">
        <v>17.0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inlineStr">
        <is>
          <t/>
        </is>
      </c>
      <c r="X38" t="n">
        <v>0.0</v>
      </c>
      <c r="Y38" t="n">
        <v>3.0</v>
      </c>
      <c r="Z38" t="n">
        <v>3.0</v>
      </c>
      <c r="AA38" t="n">
        <v>0.0</v>
      </c>
      <c r="AB38" t="n">
        <v>0.0</v>
      </c>
      <c r="AC38" t="n">
        <v>0.0</v>
      </c>
      <c r="AD38" t="n">
        <v>242.0</v>
      </c>
      <c r="AE38" t="n">
        <v>2.0</v>
      </c>
      <c r="AF38" t="n">
        <v>0.0</v>
      </c>
      <c r="AG38" t="n">
        <v>2.0</v>
      </c>
      <c r="AH38" t="n">
        <v>1.0</v>
      </c>
      <c r="AI38" t="n">
        <v>0.0</v>
      </c>
      <c r="AJ38" t="n">
        <v>0.0</v>
      </c>
      <c r="AK38" t="n">
        <v>12.694214876033058</v>
      </c>
      <c r="AL38" t="inlineStr">
        <is>
          <t>0.09056603773584905</t>
        </is>
      </c>
    </row>
    <row r="39">
      <c r="A39" t="inlineStr">
        <is>
          <t>40+一箱的乳山生蚝太鲜了，好好吃🤤</t>
        </is>
      </c>
      <c r="B39" t="inlineStr">
        <is>
          <t>69609677000000001a023d13</t>
        </is>
      </c>
      <c r="C39" s="38" t="n">
        <f>HYPERLINK("https://www.xiaohongshu.com/explore/69609677000000001a023d13?xsec_token=TBYg-Zp66x4R1hUeuB0jKgE4bQY0Kwsr_n7NqbssxncXg=&amp;xsec_source=pc_trdark","https://www.xiaohongshu.com/explore/69609677000000001a023d13?xsec_token=TBYg-Zp66x4R1hUeuB0jKgE4bQY0Kwsr_n7NqbssxncXg=&amp;xsec_source=pc_trdark")</f>
        <v>0.0</v>
      </c>
      <c r="D39" t="inlineStr">
        <is>
          <t>婉婉上班吃什么</t>
        </is>
      </c>
      <c r="E39" t="inlineStr">
        <is>
          <t>11434449706</t>
        </is>
      </c>
      <c r="F39" t="inlineStr">
        <is>
          <t>2026-01-09 13:47:35</t>
        </is>
      </c>
      <c r="G39" t="inlineStr">
        <is>
          <t>视频</t>
        </is>
      </c>
      <c r="H39" t="inlineStr">
        <is>
          <t>生蚝乳山生蚝海蛎子顺丰包邮</t>
        </is>
      </c>
      <c r="I39" t="inlineStr">
        <is>
          <t>690c70971b787900010866cc</t>
        </is>
      </c>
      <c r="J39" t="n">
        <v>27.0</v>
      </c>
      <c r="K39" t="n">
        <v>0.0</v>
      </c>
      <c r="L39" t="n">
        <v>0.0</v>
      </c>
      <c r="M39" t="n">
        <v>38.0</v>
      </c>
      <c r="N39" t="inlineStr">
        <is>
          <t>0.15702479338842976</t>
        </is>
      </c>
      <c r="O39" t="n">
        <v>34.0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inlineStr">
        <is>
          <t/>
        </is>
      </c>
      <c r="X39" t="n">
        <v>0.0</v>
      </c>
      <c r="Y39" t="n">
        <v>5.0</v>
      </c>
      <c r="Z39" t="n">
        <v>7.0</v>
      </c>
      <c r="AA39" t="n">
        <v>0.0</v>
      </c>
      <c r="AB39" t="n">
        <v>0.0</v>
      </c>
      <c r="AC39" t="n">
        <v>0.0</v>
      </c>
      <c r="AD39" t="n">
        <v>242.0</v>
      </c>
      <c r="AE39" t="n">
        <v>3.0</v>
      </c>
      <c r="AF39" t="n">
        <v>0.0</v>
      </c>
      <c r="AG39" t="n">
        <v>0.0</v>
      </c>
      <c r="AH39" t="n">
        <v>2.0</v>
      </c>
      <c r="AI39" t="n">
        <v>1.0</v>
      </c>
      <c r="AJ39" t="n">
        <v>0.0</v>
      </c>
      <c r="AK39" t="n">
        <v>10.760330578512397</v>
      </c>
      <c r="AL39" t="inlineStr">
        <is>
          <t>0.16785714285714284</t>
        </is>
      </c>
    </row>
    <row r="40">
      <c r="A40" t="inlineStr">
        <is>
          <t>爱你老己 又给老己买到好吃的大生蚝了🥹</t>
        </is>
      </c>
      <c r="B40" t="inlineStr">
        <is>
          <t>696b31e6000000001a0368ed</t>
        </is>
      </c>
      <c r="C40" s="39" t="n">
        <f>HYPERLINK("https://www.xiaohongshu.com/explore/696b31e6000000001a0368ed?xsec_token=TByNwaULKQbwsz_w7rWk61uPHiiktQq8xclHCWQOqg6YU=&amp;xsec_source=pc_trdark","https://www.xiaohongshu.com/explore/696b31e6000000001a0368ed?xsec_token=TByNwaULKQbwsz_w7rWk61uPHiiktQq8xclHCWQOqg6YU=&amp;xsec_source=pc_trdark")</f>
        <v>0.0</v>
      </c>
      <c r="D40" t="inlineStr">
        <is>
          <t>婉婉上班吃什么</t>
        </is>
      </c>
      <c r="E40" t="inlineStr">
        <is>
          <t>11434449706</t>
        </is>
      </c>
      <c r="F40" t="inlineStr">
        <is>
          <t>2026-01-17 14:53:26</t>
        </is>
      </c>
      <c r="G40" t="inlineStr">
        <is>
          <t>视频</t>
        </is>
      </c>
      <c r="H40" t="inlineStr">
        <is>
          <t>生蚝乳山生蚝海蛎子顺丰包邮</t>
        </is>
      </c>
      <c r="I40" t="inlineStr">
        <is>
          <t>690c70971b787900010866cc</t>
        </is>
      </c>
      <c r="J40" t="n">
        <v>22.0</v>
      </c>
      <c r="K40" t="n">
        <v>109.9</v>
      </c>
      <c r="L40" t="n">
        <v>1.0</v>
      </c>
      <c r="M40" t="n">
        <v>10.0</v>
      </c>
      <c r="N40" t="inlineStr">
        <is>
          <t>0.043859649122807015</t>
        </is>
      </c>
      <c r="O40" t="n">
        <v>9.0</v>
      </c>
      <c r="P40" t="n">
        <v>1.0</v>
      </c>
      <c r="Q40" t="n">
        <v>0.1</v>
      </c>
      <c r="R40" t="n">
        <v>0.1111111111111111</v>
      </c>
      <c r="S40" t="n">
        <v>109.9</v>
      </c>
      <c r="T40" t="n">
        <v>1.0</v>
      </c>
      <c r="U40" t="n">
        <v>1.0</v>
      </c>
      <c r="V40" t="n">
        <v>109.9</v>
      </c>
      <c r="W40" t="n">
        <v>1.0</v>
      </c>
      <c r="X40" t="n">
        <v>1.0</v>
      </c>
      <c r="Y40" t="n">
        <v>1.0</v>
      </c>
      <c r="Z40" t="n">
        <v>0.0</v>
      </c>
      <c r="AA40" t="n">
        <v>0.0</v>
      </c>
      <c r="AB40" t="n">
        <v>0.0</v>
      </c>
      <c r="AC40" t="n">
        <v>0.0</v>
      </c>
      <c r="AD40" t="n">
        <v>228.0</v>
      </c>
      <c r="AE40" t="n">
        <v>1.0</v>
      </c>
      <c r="AF40" t="n">
        <v>0.0</v>
      </c>
      <c r="AG40" t="n">
        <v>0.0</v>
      </c>
      <c r="AH40" t="n">
        <v>1.0</v>
      </c>
      <c r="AI40" t="n">
        <v>0.0</v>
      </c>
      <c r="AJ40" t="n">
        <v>0.0</v>
      </c>
      <c r="AK40" t="n">
        <v>8.583333333333334</v>
      </c>
      <c r="AL40" t="inlineStr">
        <is>
          <t>0.15613382899628253</t>
        </is>
      </c>
    </row>
    <row r="41">
      <c r="A41" t="inlineStr">
        <is>
          <t>爸妈愁的睡不着觉，49.9r一箱五斤包邮了</t>
        </is>
      </c>
      <c r="B41" t="inlineStr">
        <is>
          <t>69327b24000000001b0327c8</t>
        </is>
      </c>
      <c r="C41" s="40" t="n">
        <f>HYPERLINK("https://www.xiaohongshu.com/explore/69327b24000000001b0327c8?xsec_token=TBpgGkEYDo_gVOMrYT9wIn9-DahFoYsOH1I4Xr9al5eZM=&amp;xsec_source=pc_trdark","https://www.xiaohongshu.com/explore/69327b24000000001b0327c8?xsec_token=TBpgGkEYDo_gVOMrYT9wIn9-DahFoYsOH1I4Xr9al5eZM=&amp;xsec_source=pc_trdark")</f>
        <v>0.0</v>
      </c>
      <c r="D41" t="inlineStr">
        <is>
          <t>婉婉上班吃什么</t>
        </is>
      </c>
      <c r="E41" t="inlineStr">
        <is>
          <t>11434449706</t>
        </is>
      </c>
      <c r="F41" t="inlineStr">
        <is>
          <t>2025-12-05 14:26:44</t>
        </is>
      </c>
      <c r="G41" t="inlineStr">
        <is>
          <t>视频</t>
        </is>
      </c>
      <c r="H41" t="inlineStr">
        <is>
          <t>生蚝乳山生蚝海蛎子顺丰包邮</t>
        </is>
      </c>
      <c r="I41" t="inlineStr">
        <is>
          <t>690c70971b787900010866cc</t>
        </is>
      </c>
      <c r="J41" t="n">
        <v>37.0</v>
      </c>
      <c r="K41" t="n">
        <v>0.0</v>
      </c>
      <c r="L41" t="n">
        <v>0.0</v>
      </c>
      <c r="M41" t="n">
        <v>7.0</v>
      </c>
      <c r="N41" t="inlineStr">
        <is>
          <t>0.03317535545023697</t>
        </is>
      </c>
      <c r="O41" t="n">
        <v>7.0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inlineStr">
        <is>
          <t/>
        </is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211.0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3.914691943127962</v>
      </c>
      <c r="AL41" t="inlineStr">
        <is>
          <t>0.027522935779816515</t>
        </is>
      </c>
    </row>
    <row r="42">
      <c r="A42" t="inlineStr">
        <is>
          <t>不愧是山东网友推荐的🥹好好吃</t>
        </is>
      </c>
      <c r="B42" t="inlineStr">
        <is>
          <t>6968b1ae000000000e03ffe8</t>
        </is>
      </c>
      <c r="C42" s="41" t="n">
        <f>HYPERLINK("https://www.xiaohongshu.com/explore/6968b1ae000000000e03ffe8?xsec_token=TBt4r6uOUj4MiyxIfh9PpR4G5rZMOyvDGuB3IOlwRartU=&amp;xsec_source=pc_trdark","https://www.xiaohongshu.com/explore/6968b1ae000000000e03ffe8?xsec_token=TBt4r6uOUj4MiyxIfh9PpR4G5rZMOyvDGuB3IOlwRartU=&amp;xsec_source=pc_trdark")</f>
        <v>0.0</v>
      </c>
      <c r="D42" t="inlineStr">
        <is>
          <t>婉婉上班吃什么</t>
        </is>
      </c>
      <c r="E42" t="inlineStr">
        <is>
          <t>11434449706</t>
        </is>
      </c>
      <c r="F42" t="inlineStr">
        <is>
          <t>2026-01-15 17:21:50</t>
        </is>
      </c>
      <c r="G42" t="inlineStr">
        <is>
          <t>视频</t>
        </is>
      </c>
      <c r="H42" t="inlineStr">
        <is>
          <t>生蚝乳山生蚝海蛎子顺丰包邮</t>
        </is>
      </c>
      <c r="I42" t="inlineStr">
        <is>
          <t>690c70971b787900010866cc</t>
        </is>
      </c>
      <c r="J42" t="n">
        <v>27.0</v>
      </c>
      <c r="K42" t="n">
        <v>0.0</v>
      </c>
      <c r="L42" t="n">
        <v>0.0</v>
      </c>
      <c r="M42" t="n">
        <v>20.0</v>
      </c>
      <c r="N42" t="n">
        <v>0.0975609756097561</v>
      </c>
      <c r="O42" t="n">
        <v>14.0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inlineStr">
        <is>
          <t/>
        </is>
      </c>
      <c r="X42" t="n">
        <v>0.0</v>
      </c>
      <c r="Y42" t="n">
        <v>2.0</v>
      </c>
      <c r="Z42" t="n">
        <v>2.0</v>
      </c>
      <c r="AA42" t="n">
        <v>0.0</v>
      </c>
      <c r="AB42" t="n">
        <v>0.0</v>
      </c>
      <c r="AC42" t="n">
        <v>0.0</v>
      </c>
      <c r="AD42" t="n">
        <v>205.0</v>
      </c>
      <c r="AE42" t="n">
        <v>1.0</v>
      </c>
      <c r="AF42" t="n">
        <v>0.0</v>
      </c>
      <c r="AG42" t="n">
        <v>0.0</v>
      </c>
      <c r="AH42" t="n">
        <v>1.0</v>
      </c>
      <c r="AI42" t="n">
        <v>0.0</v>
      </c>
      <c r="AJ42" t="n">
        <v>0.0</v>
      </c>
      <c r="AK42" t="n">
        <v>8.273170731707317</v>
      </c>
      <c r="AL42" t="n">
        <v>0.1111111111111111</v>
      </c>
    </row>
    <row r="43">
      <c r="A43" t="inlineStr">
        <is>
          <t>老爸：你就49.9五斤总会出单的</t>
        </is>
      </c>
      <c r="B43" t="inlineStr">
        <is>
          <t>69699d9a000000001a01c003</t>
        </is>
      </c>
      <c r="C43" s="42" t="n">
        <f>HYPERLINK("https://www.xiaohongshu.com/explore/69699d9a000000001a01c003?xsec_token=TBrfrRU4wM2w5bDKUviah5T2PhBAVzaWRQTOplttkH1Jk=&amp;xsec_source=pc_trdark","https://www.xiaohongshu.com/explore/69699d9a000000001a01c003?xsec_token=TBrfrRU4wM2w5bDKUviah5T2PhBAVzaWRQTOplttkH1Jk=&amp;xsec_source=pc_trdark")</f>
        <v>0.0</v>
      </c>
      <c r="D43" t="inlineStr">
        <is>
          <t>婉婉上班吃什么</t>
        </is>
      </c>
      <c r="E43" t="inlineStr">
        <is>
          <t>11434449706</t>
        </is>
      </c>
      <c r="F43" t="inlineStr">
        <is>
          <t>2026-01-16 10:08:26</t>
        </is>
      </c>
      <c r="G43" t="inlineStr">
        <is>
          <t>视频</t>
        </is>
      </c>
      <c r="H43" t="inlineStr">
        <is>
          <t>生蚝乳山生蚝海蛎子顺丰包邮</t>
        </is>
      </c>
      <c r="I43" t="inlineStr">
        <is>
          <t>690c70971b787900010866cc</t>
        </is>
      </c>
      <c r="J43" t="n">
        <v>22.0</v>
      </c>
      <c r="K43" t="n">
        <v>0.0</v>
      </c>
      <c r="L43" t="n">
        <v>0.0</v>
      </c>
      <c r="M43" t="n">
        <v>14.0</v>
      </c>
      <c r="N43" t="inlineStr">
        <is>
          <t>0.07179487179487179</t>
        </is>
      </c>
      <c r="O43" t="n">
        <v>12.0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inlineStr">
        <is>
          <t/>
        </is>
      </c>
      <c r="X43" t="n">
        <v>0.0</v>
      </c>
      <c r="Y43" t="n">
        <v>0.0</v>
      </c>
      <c r="Z43" t="n">
        <v>3.0</v>
      </c>
      <c r="AA43" t="n">
        <v>0.0</v>
      </c>
      <c r="AB43" t="n">
        <v>0.0</v>
      </c>
      <c r="AC43" t="n">
        <v>0.0</v>
      </c>
      <c r="AD43" t="n">
        <v>195.0</v>
      </c>
      <c r="AE43" t="n">
        <v>0.0</v>
      </c>
      <c r="AF43" t="n">
        <v>0.0</v>
      </c>
      <c r="AG43" t="n">
        <v>0.0</v>
      </c>
      <c r="AH43" t="n">
        <v>1.0</v>
      </c>
      <c r="AI43" t="n">
        <v>0.0</v>
      </c>
      <c r="AJ43" t="n">
        <v>0.0</v>
      </c>
      <c r="AK43" t="n">
        <v>8.702564102564102</v>
      </c>
      <c r="AL43" t="inlineStr">
        <is>
          <t>0.16455696202531644</t>
        </is>
      </c>
    </row>
    <row r="44">
      <c r="A44" t="inlineStr">
        <is>
          <t>山东朋友推荐的，好好吃🥺忍不住……</t>
        </is>
      </c>
      <c r="B44" t="inlineStr">
        <is>
          <t>693f7f41000000001e026e27</t>
        </is>
      </c>
      <c r="C44" s="43" t="n">
        <f>HYPERLINK("https://www.xiaohongshu.com/explore/693f7f41000000001e026e27?xsec_token=TB1R2yju8ccr97WVPo1goJUOYgkTPvu0HR9X0r4UiwnvA=&amp;xsec_source=pc_trdark","https://www.xiaohongshu.com/explore/693f7f41000000001e026e27?xsec_token=TB1R2yju8ccr97WVPo1goJUOYgkTPvu0HR9X0r4UiwnvA=&amp;xsec_source=pc_trdark")</f>
        <v>0.0</v>
      </c>
      <c r="D44" t="inlineStr">
        <is>
          <t>鲜水湾</t>
        </is>
      </c>
      <c r="E44" t="inlineStr">
        <is>
          <t>49316638994</t>
        </is>
      </c>
      <c r="F44" t="inlineStr">
        <is>
          <t>2025-12-15 11:23:45</t>
        </is>
      </c>
      <c r="G44" t="inlineStr">
        <is>
          <t>图文</t>
        </is>
      </c>
      <c r="H44" t="inlineStr">
        <is>
          <t>生蚝乳山生蚝海蛎子顺丰包邮</t>
        </is>
      </c>
      <c r="I44" t="inlineStr">
        <is>
          <t>690c70971b787900010866cc</t>
        </is>
      </c>
      <c r="J44" t="inlineStr">
        <is>
          <t/>
        </is>
      </c>
      <c r="K44" t="n">
        <v>109.9</v>
      </c>
      <c r="L44" t="n">
        <v>1.0</v>
      </c>
      <c r="M44" t="n">
        <v>27.0</v>
      </c>
      <c r="N44" t="inlineStr">
        <is>
          <t>0.13917525773195877</t>
        </is>
      </c>
      <c r="O44" t="n">
        <v>23.0</v>
      </c>
      <c r="P44" t="n">
        <v>1.0</v>
      </c>
      <c r="Q44" t="inlineStr">
        <is>
          <t>0.037037037037037035</t>
        </is>
      </c>
      <c r="R44" t="inlineStr">
        <is>
          <t>0.043478260869565216</t>
        </is>
      </c>
      <c r="S44" t="n">
        <v>109.9</v>
      </c>
      <c r="T44" t="n">
        <v>1.0</v>
      </c>
      <c r="U44" t="n">
        <v>1.0</v>
      </c>
      <c r="V44" t="n">
        <v>109.9</v>
      </c>
      <c r="W44" t="n">
        <v>1.0</v>
      </c>
      <c r="X44" t="n">
        <v>1.0</v>
      </c>
      <c r="Y44" t="n">
        <v>2.0</v>
      </c>
      <c r="Z44" t="n">
        <v>10.0</v>
      </c>
      <c r="AA44" t="n">
        <v>0.0</v>
      </c>
      <c r="AB44" t="n">
        <v>0.0</v>
      </c>
      <c r="AC44" t="n">
        <v>0.0</v>
      </c>
      <c r="AD44" t="n">
        <v>194.0</v>
      </c>
      <c r="AE44" t="n">
        <v>3.0</v>
      </c>
      <c r="AF44" t="n">
        <v>1.0</v>
      </c>
      <c r="AG44" t="n">
        <v>0.0</v>
      </c>
      <c r="AH44" t="n">
        <v>0.0</v>
      </c>
      <c r="AI44" t="n">
        <v>1.0</v>
      </c>
      <c r="AJ44" t="n">
        <v>0.0</v>
      </c>
      <c r="AK44" t="n">
        <v>12.922680412371134</v>
      </c>
      <c r="AL44" t="inlineStr">
        <is>
          <t/>
        </is>
      </c>
    </row>
    <row r="45">
      <c r="A45" t="inlineStr">
        <is>
          <t>唯一缺点：每年冬天才能吃到巅峰状态！</t>
        </is>
      </c>
      <c r="B45" t="inlineStr">
        <is>
          <t>6965fec9000000001a02b1ff</t>
        </is>
      </c>
      <c r="C45" s="44" t="n">
        <f>HYPERLINK("https://www.xiaohongshu.com/explore/6965fec9000000001a02b1ff?xsec_token=TBE9WU_urHEsXnQ8_LNO6gIQDV7v5DHA9yxliHE0F7npA=&amp;xsec_source=pc_trdark","https://www.xiaohongshu.com/explore/6965fec9000000001a02b1ff?xsec_token=TBE9WU_urHEsXnQ8_LNO6gIQDV7v5DHA9yxliHE0F7npA=&amp;xsec_source=pc_trdark")</f>
        <v>0.0</v>
      </c>
      <c r="D45" t="inlineStr">
        <is>
          <t>婉婉上班吃什么</t>
        </is>
      </c>
      <c r="E45" t="inlineStr">
        <is>
          <t>11434449706</t>
        </is>
      </c>
      <c r="F45" t="inlineStr">
        <is>
          <t>2026-01-13 16:14:01</t>
        </is>
      </c>
      <c r="G45" t="inlineStr">
        <is>
          <t>视频</t>
        </is>
      </c>
      <c r="H45" t="inlineStr">
        <is>
          <t>生蚝乳山生蚝海蛎子顺丰包邮</t>
        </is>
      </c>
      <c r="I45" t="inlineStr">
        <is>
          <t>690c70971b787900010866cc</t>
        </is>
      </c>
      <c r="J45" t="n">
        <v>23.0</v>
      </c>
      <c r="K45" t="n">
        <v>99.9</v>
      </c>
      <c r="L45" t="n">
        <v>1.0</v>
      </c>
      <c r="M45" t="n">
        <v>15.0</v>
      </c>
      <c r="N45" t="inlineStr">
        <is>
          <t>0.08064516129032258</t>
        </is>
      </c>
      <c r="O45" t="n">
        <v>15.0</v>
      </c>
      <c r="P45" t="n">
        <v>1.0</v>
      </c>
      <c r="Q45" t="inlineStr">
        <is>
          <t>0.06666666666666667</t>
        </is>
      </c>
      <c r="R45" t="inlineStr">
        <is>
          <t>0.06666666666666667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5.0</v>
      </c>
      <c r="Z45" t="n">
        <v>5.0</v>
      </c>
      <c r="AA45" t="n">
        <v>0.0</v>
      </c>
      <c r="AB45" t="n">
        <v>0.0</v>
      </c>
      <c r="AC45" t="n">
        <v>0.0</v>
      </c>
      <c r="AD45" t="n">
        <v>186.0</v>
      </c>
      <c r="AE45" t="n">
        <v>3.0</v>
      </c>
      <c r="AF45" t="n">
        <v>0.0</v>
      </c>
      <c r="AG45" t="n">
        <v>0.0</v>
      </c>
      <c r="AH45" t="n">
        <v>2.0</v>
      </c>
      <c r="AI45" t="n">
        <v>0.0</v>
      </c>
      <c r="AJ45" t="n">
        <v>0.0</v>
      </c>
      <c r="AK45" t="n">
        <v>8.60752688172043</v>
      </c>
      <c r="AL45" t="inlineStr">
        <is>
          <t>0.12442396313364056</t>
        </is>
      </c>
    </row>
    <row r="46">
      <c r="A46" t="inlineStr">
        <is>
          <t>这么大的生蚝你能吃几只？</t>
        </is>
      </c>
      <c r="B46" t="inlineStr">
        <is>
          <t>6925cf4b000000001e03bc4d</t>
        </is>
      </c>
      <c r="C46" s="45" t="n">
        <f>HYPERLINK("https://www.xiaohongshu.com/explore/6925cf4b000000001e03bc4d?xsec_token=TBVx22ZAFho_bBgysCIliGP2k3jP77PzJI8Ic3cm6L0jk=&amp;xsec_source=pc_trdark","https://www.xiaohongshu.com/explore/6925cf4b000000001e03bc4d?xsec_token=TBVx22ZAFho_bBgysCIliGP2k3jP77PzJI8Ic3cm6L0jk=&amp;xsec_source=pc_trdark")</f>
        <v>0.0</v>
      </c>
      <c r="D46" t="inlineStr">
        <is>
          <t>婉婉上班吃什么</t>
        </is>
      </c>
      <c r="E46" t="inlineStr">
        <is>
          <t>11434449706</t>
        </is>
      </c>
      <c r="F46" t="inlineStr">
        <is>
          <t>2025-11-25 23:46:19</t>
        </is>
      </c>
      <c r="G46" t="inlineStr">
        <is>
          <t>视频</t>
        </is>
      </c>
      <c r="H46" t="inlineStr">
        <is>
          <t>生蚝乳山生蚝海蛎子顺丰包邮</t>
        </is>
      </c>
      <c r="I46" t="inlineStr">
        <is>
          <t>690c70971b787900010866cc</t>
        </is>
      </c>
      <c r="J46" t="n">
        <v>16.0</v>
      </c>
      <c r="K46" t="n">
        <v>0.0</v>
      </c>
      <c r="L46" t="n">
        <v>0.0</v>
      </c>
      <c r="M46" t="n">
        <v>1.0</v>
      </c>
      <c r="N46" t="inlineStr">
        <is>
          <t>0.005681818181818182</t>
        </is>
      </c>
      <c r="O46" t="n">
        <v>1.0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inlineStr">
        <is>
          <t/>
        </is>
      </c>
      <c r="X46" t="n">
        <v>0.0</v>
      </c>
      <c r="Y46" t="n">
        <v>1.0</v>
      </c>
      <c r="Z46" t="n">
        <v>0.0</v>
      </c>
      <c r="AA46" t="n">
        <v>0.0</v>
      </c>
      <c r="AB46" t="n">
        <v>0.0</v>
      </c>
      <c r="AC46" t="n">
        <v>0.0</v>
      </c>
      <c r="AD46" t="n">
        <v>176.0</v>
      </c>
      <c r="AE46" t="n">
        <v>1.0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4.670454545454546</v>
      </c>
      <c r="AL46" t="n">
        <v>0.125</v>
      </c>
    </row>
    <row r="47">
      <c r="A47" t="inlineStr">
        <is>
          <t>建议12月狠狠吃生蚝，40+一箱的生蚝真好吃</t>
        </is>
      </c>
      <c r="B47" t="inlineStr">
        <is>
          <t>693cce7e000000001e03b55b</t>
        </is>
      </c>
      <c r="C47" s="46" t="n">
        <f>HYPERLINK("https://www.xiaohongshu.com/explore/693cce7e000000001e03b55b?xsec_token=TBby_8TUlAJfj-jHsmZvLUDY0L7dhLBoa4eNU39m3lyug=&amp;xsec_source=pc_trdark","https://www.xiaohongshu.com/explore/693cce7e000000001e03b55b?xsec_token=TBby_8TUlAJfj-jHsmZvLUDY0L7dhLBoa4eNU39m3lyug=&amp;xsec_source=pc_trdark")</f>
        <v>0.0</v>
      </c>
      <c r="D47" t="inlineStr">
        <is>
          <t>婉婉上班吃什么</t>
        </is>
      </c>
      <c r="E47" t="inlineStr">
        <is>
          <t>11434449706</t>
        </is>
      </c>
      <c r="F47" t="inlineStr">
        <is>
          <t>2025-12-13 10:25:02</t>
        </is>
      </c>
      <c r="G47" t="inlineStr">
        <is>
          <t>视频</t>
        </is>
      </c>
      <c r="H47" t="inlineStr">
        <is>
          <t>生蚝乳山生蚝海蛎子顺丰包邮</t>
        </is>
      </c>
      <c r="I47" t="inlineStr">
        <is>
          <t>690c70971b787900010866cc</t>
        </is>
      </c>
      <c r="J47" t="n">
        <v>26.0</v>
      </c>
      <c r="K47" t="n">
        <v>0.0</v>
      </c>
      <c r="L47" t="n">
        <v>0.0</v>
      </c>
      <c r="M47" t="n">
        <v>13.0</v>
      </c>
      <c r="N47" t="inlineStr">
        <is>
          <t>0.07471264367816093</t>
        </is>
      </c>
      <c r="O47" t="n">
        <v>11.0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inlineStr">
        <is>
          <t/>
        </is>
      </c>
      <c r="X47" t="n">
        <v>0.0</v>
      </c>
      <c r="Y47" t="n">
        <v>2.0</v>
      </c>
      <c r="Z47" t="n">
        <v>1.0</v>
      </c>
      <c r="AA47" t="n">
        <v>0.0</v>
      </c>
      <c r="AB47" t="n">
        <v>0.0</v>
      </c>
      <c r="AC47" t="n">
        <v>0.0</v>
      </c>
      <c r="AD47" t="n">
        <v>174.0</v>
      </c>
      <c r="AE47" t="n">
        <v>1.0</v>
      </c>
      <c r="AF47" t="n">
        <v>0.0</v>
      </c>
      <c r="AG47" t="n">
        <v>0.0</v>
      </c>
      <c r="AH47" t="n">
        <v>1.0</v>
      </c>
      <c r="AI47" t="n">
        <v>0.0</v>
      </c>
      <c r="AJ47" t="n">
        <v>0.0</v>
      </c>
      <c r="AK47" t="n">
        <v>8.126436781609195</v>
      </c>
      <c r="AL47" t="n">
        <v>0.1306532663316583</v>
      </c>
    </row>
    <row r="48">
      <c r="A48" t="inlineStr">
        <is>
          <t>40+一箱的乳山生蚝，真的太好吃了</t>
        </is>
      </c>
      <c r="B48" t="inlineStr">
        <is>
          <t>6950fd77000000001e006b0f</t>
        </is>
      </c>
      <c r="C48" s="47" t="n">
        <f>HYPERLINK("https://www.xiaohongshu.com/explore/6950fd77000000001e006b0f?xsec_token=TBZlsVk_u522I8N-JhGtRMDlspmLxc7mxjuSVFWQkqHe0=&amp;xsec_source=pc_trdark","https://www.xiaohongshu.com/explore/6950fd77000000001e006b0f?xsec_token=TBZlsVk_u522I8N-JhGtRMDlspmLxc7mxjuSVFWQkqHe0=&amp;xsec_source=pc_trdark")</f>
        <v>0.0</v>
      </c>
      <c r="D48" t="inlineStr">
        <is>
          <t>婉婉上班吃什么</t>
        </is>
      </c>
      <c r="E48" t="inlineStr">
        <is>
          <t>11434449706</t>
        </is>
      </c>
      <c r="F48" t="inlineStr">
        <is>
          <t>2025-12-28 18:50:46</t>
        </is>
      </c>
      <c r="G48" t="inlineStr">
        <is>
          <t>视频</t>
        </is>
      </c>
      <c r="H48" t="inlineStr">
        <is>
          <t>生蚝乳山生蚝海蛎子顺丰包邮</t>
        </is>
      </c>
      <c r="I48" t="inlineStr">
        <is>
          <t>690c70971b787900010866cc</t>
        </is>
      </c>
      <c r="J48" t="n">
        <v>24.0</v>
      </c>
      <c r="K48" t="n">
        <v>0.0</v>
      </c>
      <c r="L48" t="n">
        <v>0.0</v>
      </c>
      <c r="M48" t="n">
        <v>3.0</v>
      </c>
      <c r="N48" t="inlineStr">
        <is>
          <t>0.017543859649122806</t>
        </is>
      </c>
      <c r="O48" t="n">
        <v>3.0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inlineStr">
        <is>
          <t/>
        </is>
      </c>
      <c r="X48" t="n">
        <v>0.0</v>
      </c>
      <c r="Y48" t="n">
        <v>1.0</v>
      </c>
      <c r="Z48" t="n">
        <v>0.0</v>
      </c>
      <c r="AA48" t="n">
        <v>0.0</v>
      </c>
      <c r="AB48" t="n">
        <v>0.0</v>
      </c>
      <c r="AC48" t="n">
        <v>0.0</v>
      </c>
      <c r="AD48" t="n">
        <v>171.0</v>
      </c>
      <c r="AE48" t="n">
        <v>5.0</v>
      </c>
      <c r="AF48" t="n">
        <v>0.0</v>
      </c>
      <c r="AG48" t="n">
        <v>0.0</v>
      </c>
      <c r="AH48" t="n">
        <v>1.0</v>
      </c>
      <c r="AI48" t="n">
        <v>0.0</v>
      </c>
      <c r="AJ48" t="n">
        <v>0.0</v>
      </c>
      <c r="AK48" t="n">
        <v>9.251461988304094</v>
      </c>
      <c r="AL48" t="inlineStr">
        <is>
          <t>0.12299465240641712</t>
        </is>
      </c>
    </row>
    <row r="49">
      <c r="A49" t="inlineStr">
        <is>
          <t>我的老天奶！40多买的乳山生蚝太好吃了！</t>
        </is>
      </c>
      <c r="B49" t="inlineStr">
        <is>
          <t>69367592000000001f00b9d5</t>
        </is>
      </c>
      <c r="C49" s="48" t="n">
        <f>HYPERLINK("https://www.xiaohongshu.com/explore/69367592000000001f00b9d5?xsec_token=TBlR01uRP0dY963Q_AxX8vHHkdu4G-K6XHvFrldCgAvmE=&amp;xsec_source=pc_trdark","https://www.xiaohongshu.com/explore/69367592000000001f00b9d5?xsec_token=TBlR01uRP0dY963Q_AxX8vHHkdu4G-K6XHvFrldCgAvmE=&amp;xsec_source=pc_trdark")</f>
        <v>0.0</v>
      </c>
      <c r="D49" t="inlineStr">
        <is>
          <t>婉婉上班吃什么</t>
        </is>
      </c>
      <c r="E49" t="inlineStr">
        <is>
          <t>11434449706</t>
        </is>
      </c>
      <c r="F49" t="inlineStr">
        <is>
          <t>2025-12-08 14:52:02</t>
        </is>
      </c>
      <c r="G49" t="inlineStr">
        <is>
          <t>视频</t>
        </is>
      </c>
      <c r="H49" t="inlineStr">
        <is>
          <t>生蚝乳山生蚝海蛎子顺丰包邮</t>
        </is>
      </c>
      <c r="I49" t="inlineStr">
        <is>
          <t>690c70971b787900010866cc</t>
        </is>
      </c>
      <c r="J49" t="n">
        <v>37.0</v>
      </c>
      <c r="K49" t="n">
        <v>0.0</v>
      </c>
      <c r="L49" t="n">
        <v>0.0</v>
      </c>
      <c r="M49" t="n">
        <v>4.0</v>
      </c>
      <c r="N49" t="n">
        <v>0.025</v>
      </c>
      <c r="O49" t="n">
        <v>4.0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inlineStr">
        <is>
          <t/>
        </is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160.0</v>
      </c>
      <c r="AE49" t="n">
        <v>1.0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9.29375</v>
      </c>
      <c r="AL49" t="inlineStr">
        <is>
          <t>0.09574468085106383</t>
        </is>
      </c>
    </row>
    <row r="50">
      <c r="A50" t="inlineStr">
        <is>
          <t>这么大的生蚝你能吃几个？</t>
        </is>
      </c>
      <c r="B50" t="inlineStr">
        <is>
          <t>69267780000000001e00ebe8</t>
        </is>
      </c>
      <c r="C50" s="49" t="n">
        <f>HYPERLINK("https://www.xiaohongshu.com/explore/69267780000000001e00ebe8?xsec_token=TBFGqkDRGUjajy3y4pB3XfUk7gFCFbQ7a9uJhZbleSDnM=&amp;xsec_source=pc_trdark","https://www.xiaohongshu.com/explore/69267780000000001e00ebe8?xsec_token=TBFGqkDRGUjajy3y4pB3XfUk7gFCFbQ7a9uJhZbleSDnM=&amp;xsec_source=pc_trdark")</f>
        <v>0.0</v>
      </c>
      <c r="D50" t="inlineStr">
        <is>
          <t>婉婉上班吃什么</t>
        </is>
      </c>
      <c r="E50" t="inlineStr">
        <is>
          <t>11434449706</t>
        </is>
      </c>
      <c r="F50" t="inlineStr">
        <is>
          <t>2025-11-26 11:44:00</t>
        </is>
      </c>
      <c r="G50" t="inlineStr">
        <is>
          <t>视频</t>
        </is>
      </c>
      <c r="H50" t="inlineStr">
        <is>
          <t>生蚝乳山生蚝海蛎子顺丰包邮</t>
        </is>
      </c>
      <c r="I50" t="inlineStr">
        <is>
          <t>690c70971b787900010866cc</t>
        </is>
      </c>
      <c r="J50" t="n">
        <v>16.0</v>
      </c>
      <c r="K50" t="n">
        <v>0.0</v>
      </c>
      <c r="L50" t="n">
        <v>0.0</v>
      </c>
      <c r="M50" t="n">
        <v>3.0</v>
      </c>
      <c r="N50" t="inlineStr">
        <is>
          <t>0.018867924528301886</t>
        </is>
      </c>
      <c r="O50" t="n">
        <v>3.0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inlineStr">
        <is>
          <t/>
        </is>
      </c>
      <c r="X50" t="n">
        <v>0.0</v>
      </c>
      <c r="Y50" t="n">
        <v>0.0</v>
      </c>
      <c r="Z50" t="n">
        <v>1.0</v>
      </c>
      <c r="AA50" t="n">
        <v>0.0</v>
      </c>
      <c r="AB50" t="n">
        <v>0.0</v>
      </c>
      <c r="AC50" t="n">
        <v>0.0</v>
      </c>
      <c r="AD50" t="n">
        <v>159.0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6.9937106918239</v>
      </c>
      <c r="AL50" t="inlineStr">
        <is>
          <t>0.21568627450980393</t>
        </is>
      </c>
    </row>
    <row r="51">
      <c r="A51" t="inlineStr">
        <is>
          <t>没招了，我爸让我在网上卖生蚝，谁买啊🥲</t>
        </is>
      </c>
      <c r="B51" t="inlineStr">
        <is>
          <t>691c462f000000001e007a24</t>
        </is>
      </c>
      <c r="C51" s="50" t="n">
        <f>HYPERLINK("https://www.xiaohongshu.com/explore/691c462f000000001e007a24?xsec_token=TBIS8v-01Optb7rxCGgHk_CUD45soF8KRG4e2bLv4cw1c=&amp;xsec_source=pc_trdark","https://www.xiaohongshu.com/explore/691c462f000000001e007a24?xsec_token=TBIS8v-01Optb7rxCGgHk_CUD45soF8KRG4e2bLv4cw1c=&amp;xsec_source=pc_trdark")</f>
        <v>0.0</v>
      </c>
      <c r="D51" t="inlineStr">
        <is>
          <t>婉婉上班吃什么</t>
        </is>
      </c>
      <c r="E51" t="inlineStr">
        <is>
          <t>11434449706</t>
        </is>
      </c>
      <c r="F51" t="inlineStr">
        <is>
          <t>2025-11-18 19:10:50</t>
        </is>
      </c>
      <c r="G51" t="inlineStr">
        <is>
          <t>视频</t>
        </is>
      </c>
      <c r="H51" t="inlineStr">
        <is>
          <t>生蚝乳山生蚝海蛎子顺丰包邮</t>
        </is>
      </c>
      <c r="I51" t="inlineStr">
        <is>
          <t>690c70971b787900010866cc</t>
        </is>
      </c>
      <c r="J51" t="n">
        <v>28.0</v>
      </c>
      <c r="K51" t="n">
        <v>129.8</v>
      </c>
      <c r="L51" t="n">
        <v>2.0</v>
      </c>
      <c r="M51" t="n">
        <v>8.0</v>
      </c>
      <c r="N51" t="inlineStr">
        <is>
          <t>0.05517241379310345</t>
        </is>
      </c>
      <c r="O51" t="n">
        <v>7.0</v>
      </c>
      <c r="P51" t="n">
        <v>2.0</v>
      </c>
      <c r="Q51" t="n">
        <v>0.25</v>
      </c>
      <c r="R51" t="n">
        <v>0.2857142857142857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2.0</v>
      </c>
      <c r="Z51" t="n">
        <v>2.0</v>
      </c>
      <c r="AA51" t="n">
        <v>0.0</v>
      </c>
      <c r="AB51" t="n">
        <v>0.0</v>
      </c>
      <c r="AC51" t="n">
        <v>0.0</v>
      </c>
      <c r="AD51" t="n">
        <v>145.0</v>
      </c>
      <c r="AE51" t="n">
        <v>1.0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7.558620689655172</v>
      </c>
      <c r="AL51" t="inlineStr">
        <is>
          <t>0.09316770186335403</t>
        </is>
      </c>
    </row>
    <row r="52">
      <c r="A52" t="inlineStr">
        <is>
          <t>冬天的生蚝最肥了，40来块就能买到5斤生蚝</t>
        </is>
      </c>
      <c r="B52" t="inlineStr">
        <is>
          <t>6971eb71000000001a02cb37</t>
        </is>
      </c>
      <c r="C52" s="51" t="n">
        <f>HYPERLINK("https://www.xiaohongshu.com/explore/6971eb71000000001a02cb37?xsec_token=TBzmPvyXtzq1znB7VIOlNhUVitPuw4hRaGEZjQ7Y527pE=&amp;xsec_source=pc_trdark","https://www.xiaohongshu.com/explore/6971eb71000000001a02cb37?xsec_token=TBzmPvyXtzq1znB7VIOlNhUVitPuw4hRaGEZjQ7Y527pE=&amp;xsec_source=pc_trdark")</f>
        <v>0.0</v>
      </c>
      <c r="D52" t="inlineStr">
        <is>
          <t>婉婉上班吃什么</t>
        </is>
      </c>
      <c r="E52" t="inlineStr">
        <is>
          <t>11434449706</t>
        </is>
      </c>
      <c r="F52" t="inlineStr">
        <is>
          <t>2026-01-22 17:18:41</t>
        </is>
      </c>
      <c r="G52" t="inlineStr">
        <is>
          <t>视频</t>
        </is>
      </c>
      <c r="H52" t="inlineStr">
        <is>
          <t>生蚝乳山生蚝海蛎子顺丰包邮</t>
        </is>
      </c>
      <c r="I52" t="inlineStr">
        <is>
          <t>690c70971b787900010866cc</t>
        </is>
      </c>
      <c r="J52" t="n">
        <v>12.0</v>
      </c>
      <c r="K52" t="n">
        <v>0.0</v>
      </c>
      <c r="L52" t="n">
        <v>0.0</v>
      </c>
      <c r="M52" t="n">
        <v>8.0</v>
      </c>
      <c r="N52" t="n">
        <v>0.064</v>
      </c>
      <c r="O52" t="n">
        <v>5.0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inlineStr">
        <is>
          <t/>
        </is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125.0</v>
      </c>
      <c r="AE52" t="n">
        <v>0.0</v>
      </c>
      <c r="AF52" t="n">
        <v>0.0</v>
      </c>
      <c r="AG52" t="n">
        <v>0.0</v>
      </c>
      <c r="AH52" t="n">
        <v>1.0</v>
      </c>
      <c r="AI52" t="n">
        <v>1.0</v>
      </c>
      <c r="AJ52" t="n">
        <v>0.0</v>
      </c>
      <c r="AK52" t="n">
        <v>8.12</v>
      </c>
      <c r="AL52" t="inlineStr">
        <is>
          <t>0.30952380952380953</t>
        </is>
      </c>
    </row>
    <row r="53">
      <c r="A53" t="inlineStr">
        <is>
          <t>男朋友过了30，一定要多吃这个乳山生蚝</t>
        </is>
      </c>
      <c r="B53" t="inlineStr">
        <is>
          <t>694c99e0000000001f00e958</t>
        </is>
      </c>
      <c r="C53" s="52" t="n">
        <f>HYPERLINK("https://www.xiaohongshu.com/explore/694c99e0000000001f00e958?xsec_token=TBxptwG9J_WafnJLanMiOzJBcoP6xceBzUm8ylc3RpDV8=&amp;xsec_source=pc_trdark","https://www.xiaohongshu.com/explore/694c99e0000000001f00e958?xsec_token=TBxptwG9J_WafnJLanMiOzJBcoP6xceBzUm8ylc3RpDV8=&amp;xsec_source=pc_trdark")</f>
        <v>0.0</v>
      </c>
      <c r="D53" t="inlineStr">
        <is>
          <t>婉婉上班吃什么</t>
        </is>
      </c>
      <c r="E53" t="inlineStr">
        <is>
          <t>11434449706</t>
        </is>
      </c>
      <c r="F53" t="inlineStr">
        <is>
          <t>2025-12-25 09:56:48</t>
        </is>
      </c>
      <c r="G53" t="inlineStr">
        <is>
          <t>图文</t>
        </is>
      </c>
      <c r="H53" t="inlineStr">
        <is>
          <t>生蚝乳山生蚝海蛎子顺丰包邮</t>
        </is>
      </c>
      <c r="I53" t="inlineStr">
        <is>
          <t>690c70971b787900010866cc</t>
        </is>
      </c>
      <c r="J53" t="inlineStr">
        <is>
          <t/>
        </is>
      </c>
      <c r="K53" t="n">
        <v>0.0</v>
      </c>
      <c r="L53" t="n">
        <v>0.0</v>
      </c>
      <c r="M53" t="n">
        <v>1.0</v>
      </c>
      <c r="N53" t="inlineStr">
        <is>
          <t>0.00819672131147541</t>
        </is>
      </c>
      <c r="O53" t="n">
        <v>1.0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inlineStr">
        <is>
          <t/>
        </is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122.0</v>
      </c>
      <c r="AE53" t="n">
        <v>1.0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10.319672131147541</v>
      </c>
      <c r="AL53" t="inlineStr">
        <is>
          <t/>
        </is>
      </c>
    </row>
    <row r="54">
      <c r="A54" t="inlineStr">
        <is>
          <t>冬天限定！再过几天就没有头籽甜虾了</t>
        </is>
      </c>
      <c r="B54" t="inlineStr">
        <is>
          <t>697c62c2000000000a02a1c5</t>
        </is>
      </c>
      <c r="C54" s="53" t="n">
        <f>HYPERLINK("https://www.xiaohongshu.com/explore/697c62c2000000000a02a1c5?xsec_token=TBV-62_c6Sms9X18ENcOcpiOVbebQibHJCA9_5tI9Ghlw=&amp;xsec_source=pc_trdark","https://www.xiaohongshu.com/explore/697c62c2000000000a02a1c5?xsec_token=TBV-62_c6Sms9X18ENcOcpiOVbebQibHJCA9_5tI9Ghlw=&amp;xsec_source=pc_trdark")</f>
        <v>0.0</v>
      </c>
      <c r="D54" t="inlineStr">
        <is>
          <t>鲜水湾甄选</t>
        </is>
      </c>
      <c r="E54" t="inlineStr">
        <is>
          <t>27401929161</t>
        </is>
      </c>
      <c r="F54" t="inlineStr">
        <is>
          <t>2026-01-30 15:50:27</t>
        </is>
      </c>
      <c r="G54" t="inlineStr">
        <is>
          <t>视频</t>
        </is>
      </c>
      <c r="H54" t="inlineStr">
        <is>
          <t>北极甜虾头籽甜虾元宝虾北极熊冰虾孕妈妈宝宝辅食顺丰</t>
        </is>
      </c>
      <c r="I54" t="inlineStr">
        <is>
          <t>6953717eb8f0bb000115158d</t>
        </is>
      </c>
      <c r="J54" t="n">
        <v>60.0</v>
      </c>
      <c r="K54" t="n">
        <v>0.0</v>
      </c>
      <c r="L54" t="n">
        <v>0.0</v>
      </c>
      <c r="M54" t="n">
        <v>7.0</v>
      </c>
      <c r="N54" t="inlineStr">
        <is>
          <t>0.059322033898305086</t>
        </is>
      </c>
      <c r="O54" t="n">
        <v>6.0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inlineStr">
        <is>
          <t/>
        </is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118.0</v>
      </c>
      <c r="AE54" t="n">
        <v>3.0</v>
      </c>
      <c r="AF54" t="n">
        <v>0.0</v>
      </c>
      <c r="AG54" t="n">
        <v>1.0</v>
      </c>
      <c r="AH54" t="n">
        <v>2.0</v>
      </c>
      <c r="AI54" t="n">
        <v>0.0</v>
      </c>
      <c r="AJ54" t="n">
        <v>0.0</v>
      </c>
      <c r="AK54" t="n">
        <v>17.28813559322034</v>
      </c>
      <c r="AL54" t="inlineStr">
        <is>
          <t>0.058333333333333334</t>
        </is>
      </c>
    </row>
    <row r="55">
      <c r="A55" t="inlineStr">
        <is>
          <t>买不到好的生蚝就来找我！包肥的</t>
        </is>
      </c>
      <c r="B55" t="inlineStr">
        <is>
          <t>697b140a000000002801f272</t>
        </is>
      </c>
      <c r="C55" s="54" t="n">
        <f>HYPERLINK("https://www.xiaohongshu.com/explore/697b140a000000002801f272?xsec_token=TBx0gf9xFBuo-Uf0_oTJMkRAe5zNebA4cCCzNoT7itunA=&amp;xsec_source=pc_trdark","https://www.xiaohongshu.com/explore/697b140a000000002801f272?xsec_token=TBx0gf9xFBuo-Uf0_oTJMkRAe5zNebA4cCCzNoT7itunA=&amp;xsec_source=pc_trdark")</f>
        <v>0.0</v>
      </c>
      <c r="D55" t="inlineStr">
        <is>
          <t>鲜水湾</t>
        </is>
      </c>
      <c r="E55" t="inlineStr">
        <is>
          <t>49316638994</t>
        </is>
      </c>
      <c r="F55" t="inlineStr">
        <is>
          <t>2026-01-29 16:02:18</t>
        </is>
      </c>
      <c r="G55" t="inlineStr">
        <is>
          <t>图文</t>
        </is>
      </c>
      <c r="H55" t="inlineStr">
        <is>
          <t>生蚝乳山生蚝海蛎子顺丰包邮</t>
        </is>
      </c>
      <c r="I55" t="inlineStr">
        <is>
          <t>690c70971b787900010866cc</t>
        </is>
      </c>
      <c r="J55" t="inlineStr">
        <is>
          <t/>
        </is>
      </c>
      <c r="K55" t="n">
        <v>49.9</v>
      </c>
      <c r="L55" t="n">
        <v>1.0</v>
      </c>
      <c r="M55" t="n">
        <v>33.0</v>
      </c>
      <c r="N55" t="n">
        <v>0.2796610169491525</v>
      </c>
      <c r="O55" t="n">
        <v>23.0</v>
      </c>
      <c r="P55" t="n">
        <v>1.0</v>
      </c>
      <c r="Q55" t="inlineStr">
        <is>
          <t>0.030303030303030304</t>
        </is>
      </c>
      <c r="R55" t="inlineStr">
        <is>
          <t>0.043478260869565216</t>
        </is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11.0</v>
      </c>
      <c r="Z55" t="n">
        <v>12.0</v>
      </c>
      <c r="AA55" t="n">
        <v>0.0</v>
      </c>
      <c r="AB55" t="n">
        <v>0.0</v>
      </c>
      <c r="AC55" t="n">
        <v>0.0</v>
      </c>
      <c r="AD55" t="n">
        <v>118.0</v>
      </c>
      <c r="AE55" t="n">
        <v>0.0</v>
      </c>
      <c r="AF55" t="n">
        <v>1.0</v>
      </c>
      <c r="AG55" t="n">
        <v>0.0</v>
      </c>
      <c r="AH55" t="n">
        <v>0.0</v>
      </c>
      <c r="AI55" t="n">
        <v>0.0</v>
      </c>
      <c r="AJ55" t="n">
        <v>0.0</v>
      </c>
      <c r="AK55" t="n">
        <v>15.567796610169491</v>
      </c>
      <c r="AL55" t="inlineStr">
        <is>
          <t/>
        </is>
      </c>
    </row>
    <row r="56">
      <c r="A56" t="inlineStr">
        <is>
          <t>有人爱吃生蚝吗？</t>
        </is>
      </c>
      <c r="B56" t="inlineStr">
        <is>
          <t>691e96e5000000001b0336b0</t>
        </is>
      </c>
      <c r="C56" s="55" t="n">
        <f>HYPERLINK("https://www.xiaohongshu.com/explore/691e96e5000000001b0336b0?xsec_token=TBP5gqTrG7DCZJhae0kWWz8E3gK_-i3XaMhK6pJ0ZsMR0=&amp;xsec_source=pc_trdark","https://www.xiaohongshu.com/explore/691e96e5000000001b0336b0?xsec_token=TBP5gqTrG7DCZJhae0kWWz8E3gK_-i3XaMhK6pJ0ZsMR0=&amp;xsec_source=pc_trdark")</f>
        <v>0.0</v>
      </c>
      <c r="D56" t="inlineStr">
        <is>
          <t>婉婉上班吃什么</t>
        </is>
      </c>
      <c r="E56" t="inlineStr">
        <is>
          <t>11434449706</t>
        </is>
      </c>
      <c r="F56" t="inlineStr">
        <is>
          <t>2025-11-20 12:19:49</t>
        </is>
      </c>
      <c r="G56" t="inlineStr">
        <is>
          <t>视频</t>
        </is>
      </c>
      <c r="H56" t="inlineStr">
        <is>
          <t>生蚝乳山生蚝海蛎子顺丰包邮</t>
        </is>
      </c>
      <c r="I56" t="inlineStr">
        <is>
          <t>690c70971b787900010866cc</t>
        </is>
      </c>
      <c r="J56" t="n">
        <v>26.0</v>
      </c>
      <c r="K56" t="n">
        <v>0.0</v>
      </c>
      <c r="L56" t="n">
        <v>0.0</v>
      </c>
      <c r="M56" t="n">
        <v>6.0</v>
      </c>
      <c r="N56" t="inlineStr">
        <is>
          <t>0.05217391304347826</t>
        </is>
      </c>
      <c r="O56" t="n">
        <v>6.0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inlineStr">
        <is>
          <t/>
        </is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115.0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5.052173913043478</v>
      </c>
      <c r="AL56" t="n">
        <v>0.04</v>
      </c>
    </row>
    <row r="57">
      <c r="A57" t="inlineStr">
        <is>
          <t>我也不想买啊，关键40多的乳山生蚝太鲜了</t>
        </is>
      </c>
      <c r="B57" t="inlineStr">
        <is>
          <t>694a6f62000000001e003acc</t>
        </is>
      </c>
      <c r="C57" s="56" t="n">
        <f>HYPERLINK("https://www.xiaohongshu.com/explore/694a6f62000000001e003acc?xsec_token=TBdeZ0Rm1wYmDrNYnjdb_05r02xYX8TSwhX-stYcSr3vM=&amp;xsec_source=pc_trdark","https://www.xiaohongshu.com/explore/694a6f62000000001e003acc?xsec_token=TBdeZ0Rm1wYmDrNYnjdb_05r02xYX8TSwhX-stYcSr3vM=&amp;xsec_source=pc_trdark")</f>
        <v>0.0</v>
      </c>
      <c r="D57" t="inlineStr">
        <is>
          <t>婉婉上班吃什么</t>
        </is>
      </c>
      <c r="E57" t="inlineStr">
        <is>
          <t>11434449706</t>
        </is>
      </c>
      <c r="F57" t="inlineStr">
        <is>
          <t>2025-12-23 18:30:58</t>
        </is>
      </c>
      <c r="G57" t="inlineStr">
        <is>
          <t>视频</t>
        </is>
      </c>
      <c r="H57" t="inlineStr">
        <is>
          <t>生蚝乳山生蚝海蛎子顺丰包邮</t>
        </is>
      </c>
      <c r="I57" t="inlineStr">
        <is>
          <t>690c70971b787900010866cc</t>
        </is>
      </c>
      <c r="J57" t="n">
        <v>37.0</v>
      </c>
      <c r="K57" t="n">
        <v>0.0</v>
      </c>
      <c r="L57" t="n">
        <v>0.0</v>
      </c>
      <c r="M57" t="n">
        <v>8.0</v>
      </c>
      <c r="N57" t="inlineStr">
        <is>
          <t>0.07142857142857142</t>
        </is>
      </c>
      <c r="O57" t="n">
        <v>8.0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inlineStr">
        <is>
          <t/>
        </is>
      </c>
      <c r="X57" t="n">
        <v>0.0</v>
      </c>
      <c r="Y57" t="n">
        <v>1.0</v>
      </c>
      <c r="Z57" t="n">
        <v>2.0</v>
      </c>
      <c r="AA57" t="n">
        <v>0.0</v>
      </c>
      <c r="AB57" t="n">
        <v>0.0</v>
      </c>
      <c r="AC57" t="n">
        <v>0.0</v>
      </c>
      <c r="AD57" t="n">
        <v>112.0</v>
      </c>
      <c r="AE57" t="n">
        <v>1.0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9.392857142857142</v>
      </c>
      <c r="AL57" t="inlineStr">
        <is>
          <t>0.08661417322834646</t>
        </is>
      </c>
    </row>
    <row r="58">
      <c r="A58" t="inlineStr">
        <is>
          <t>我妈：你就卖49.9五斤，保准能卖出去</t>
        </is>
      </c>
      <c r="B58" t="inlineStr">
        <is>
          <t>69524c4b000000001e030320</t>
        </is>
      </c>
      <c r="C58" s="57" t="n">
        <f>HYPERLINK("https://www.xiaohongshu.com/explore/69524c4b000000001e030320?xsec_token=TBD_qpfRw_GekiL1YWy-5sXsIqVD42SZY9a4Pgp-lfamM=&amp;xsec_source=pc_trdark","https://www.xiaohongshu.com/explore/69524c4b000000001e030320?xsec_token=TBD_qpfRw_GekiL1YWy-5sXsIqVD42SZY9a4Pgp-lfamM=&amp;xsec_source=pc_trdark")</f>
        <v>0.0</v>
      </c>
      <c r="D58" t="inlineStr">
        <is>
          <t>鲜水湾</t>
        </is>
      </c>
      <c r="E58" t="inlineStr">
        <is>
          <t>49316638994</t>
        </is>
      </c>
      <c r="F58" t="inlineStr">
        <is>
          <t>2025-12-29 17:39:23</t>
        </is>
      </c>
      <c r="G58" t="inlineStr">
        <is>
          <t>图文</t>
        </is>
      </c>
      <c r="H58" t="inlineStr">
        <is>
          <t>生蚝乳山生蚝海蛎子顺丰包邮</t>
        </is>
      </c>
      <c r="I58" t="inlineStr">
        <is>
          <t>690c70971b787900010866cc</t>
        </is>
      </c>
      <c r="J58" t="inlineStr">
        <is>
          <t/>
        </is>
      </c>
      <c r="K58" t="n">
        <v>59.9</v>
      </c>
      <c r="L58" t="n">
        <v>1.0</v>
      </c>
      <c r="M58" t="n">
        <v>18.0</v>
      </c>
      <c r="N58" t="inlineStr">
        <is>
          <t>0.16363636363636364</t>
        </is>
      </c>
      <c r="O58" t="n">
        <v>16.0</v>
      </c>
      <c r="P58" t="n">
        <v>1.0</v>
      </c>
      <c r="Q58" t="inlineStr">
        <is>
          <t>0.05555555555555555</t>
        </is>
      </c>
      <c r="R58" t="n">
        <v>0.0625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2.0</v>
      </c>
      <c r="Z58" t="n">
        <v>6.0</v>
      </c>
      <c r="AA58" t="n">
        <v>0.0</v>
      </c>
      <c r="AB58" t="n">
        <v>0.0</v>
      </c>
      <c r="AC58" t="n">
        <v>0.0</v>
      </c>
      <c r="AD58" t="n">
        <v>110.0</v>
      </c>
      <c r="AE58" t="n">
        <v>1.0</v>
      </c>
      <c r="AF58" t="n">
        <v>1.0</v>
      </c>
      <c r="AG58" t="n">
        <v>2.0</v>
      </c>
      <c r="AH58" t="n">
        <v>0.0</v>
      </c>
      <c r="AI58" t="n">
        <v>0.0</v>
      </c>
      <c r="AJ58" t="n">
        <v>0.0</v>
      </c>
      <c r="AK58" t="n">
        <v>9.636363636363637</v>
      </c>
      <c r="AL58" t="inlineStr">
        <is>
          <t/>
        </is>
      </c>
    </row>
    <row r="59">
      <c r="A59" t="inlineStr">
        <is>
          <t>跟风买的！50+一箱的生蚝是真的肥！</t>
        </is>
      </c>
      <c r="B59" t="inlineStr">
        <is>
          <t>69153e6b0000000005002992</t>
        </is>
      </c>
      <c r="C59" s="58" t="n">
        <f>HYPERLINK("https://www.xiaohongshu.com/explore/69153e6b0000000005002992?xsec_token=TBAg-veJq-9HvX6LdnoJFXatoMwJKXk0eA6yFWEwD8dLc=&amp;xsec_source=pc_trdark","https://www.xiaohongshu.com/explore/69153e6b0000000005002992?xsec_token=TBAg-veJq-9HvX6LdnoJFXatoMwJKXk0eA6yFWEwD8dLc=&amp;xsec_source=pc_trdark")</f>
        <v>0.0</v>
      </c>
      <c r="D59" t="inlineStr">
        <is>
          <t>婉婉上班吃什么</t>
        </is>
      </c>
      <c r="E59" t="inlineStr">
        <is>
          <t>11434449706</t>
        </is>
      </c>
      <c r="F59" t="inlineStr">
        <is>
          <t>2025-11-13 10:11:56</t>
        </is>
      </c>
      <c r="G59" t="inlineStr">
        <is>
          <t>视频</t>
        </is>
      </c>
      <c r="H59" t="inlineStr">
        <is>
          <t>生蚝乳山生蚝海蛎子顺丰包邮</t>
        </is>
      </c>
      <c r="I59" t="inlineStr">
        <is>
          <t>690c70971b787900010866cc</t>
        </is>
      </c>
      <c r="J59" t="n">
        <v>29.0</v>
      </c>
      <c r="K59" t="n">
        <v>0.0</v>
      </c>
      <c r="L59" t="n">
        <v>0.0</v>
      </c>
      <c r="M59" t="n">
        <v>3.0</v>
      </c>
      <c r="N59" t="inlineStr">
        <is>
          <t>0.027522935779816515</t>
        </is>
      </c>
      <c r="O59" t="n">
        <v>3.0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inlineStr">
        <is>
          <t/>
        </is>
      </c>
      <c r="X59" t="n">
        <v>0.0</v>
      </c>
      <c r="Y59" t="n">
        <v>0.0</v>
      </c>
      <c r="Z59" t="n">
        <v>1.0</v>
      </c>
      <c r="AA59" t="n">
        <v>0.0</v>
      </c>
      <c r="AB59" t="n">
        <v>0.0</v>
      </c>
      <c r="AC59" t="n">
        <v>0.0</v>
      </c>
      <c r="AD59" t="n">
        <v>109.0</v>
      </c>
      <c r="AE59" t="n">
        <v>1.0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9.431192660550458</v>
      </c>
      <c r="AL59" t="inlineStr">
        <is>
          <t>0.08130081300813008</t>
        </is>
      </c>
    </row>
    <row r="60">
      <c r="A60" t="inlineStr">
        <is>
          <t>男朋友过了30岁一定要狠狠吃生蚝🦪</t>
        </is>
      </c>
      <c r="B60" t="inlineStr">
        <is>
          <t>694df88b000000001e0268bb</t>
        </is>
      </c>
      <c r="C60" s="59" t="n">
        <f>HYPERLINK("https://www.xiaohongshu.com/explore/694df88b000000001e0268bb?xsec_token=TBtwDoStOWWrqIzqfvN9e2OYyToUoER25h8rN7gSce8D8=&amp;xsec_source=pc_trdark","https://www.xiaohongshu.com/explore/694df88b000000001e0268bb?xsec_token=TBtwDoStOWWrqIzqfvN9e2OYyToUoER25h8rN7gSce8D8=&amp;xsec_source=pc_trdark")</f>
        <v>0.0</v>
      </c>
      <c r="D60" t="inlineStr">
        <is>
          <t>鲜水湾</t>
        </is>
      </c>
      <c r="E60" t="inlineStr">
        <is>
          <t>49316638994</t>
        </is>
      </c>
      <c r="F60" t="inlineStr">
        <is>
          <t>2025-12-26 10:52:59</t>
        </is>
      </c>
      <c r="G60" t="inlineStr">
        <is>
          <t>图文</t>
        </is>
      </c>
      <c r="H60" t="inlineStr">
        <is>
          <t>生蚝乳山生蚝海蛎子顺丰包邮</t>
        </is>
      </c>
      <c r="I60" t="inlineStr">
        <is>
          <t>690c70971b787900010866cc</t>
        </is>
      </c>
      <c r="J60" t="inlineStr">
        <is>
          <t/>
        </is>
      </c>
      <c r="K60" t="n">
        <v>79.9</v>
      </c>
      <c r="L60" t="n">
        <v>1.0</v>
      </c>
      <c r="M60" t="n">
        <v>5.0</v>
      </c>
      <c r="N60" t="inlineStr">
        <is>
          <t>0.049019607843137254</t>
        </is>
      </c>
      <c r="O60" t="n">
        <v>5.0</v>
      </c>
      <c r="P60" t="n">
        <v>1.0</v>
      </c>
      <c r="Q60" t="n">
        <v>0.2</v>
      </c>
      <c r="R60" t="n">
        <v>0.2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1.0</v>
      </c>
      <c r="AA60" t="n">
        <v>0.0</v>
      </c>
      <c r="AB60" t="n">
        <v>0.0</v>
      </c>
      <c r="AC60" t="n">
        <v>0.0</v>
      </c>
      <c r="AD60" t="n">
        <v>102.0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10.735294117647058</v>
      </c>
      <c r="AL60" t="inlineStr">
        <is>
          <t/>
        </is>
      </c>
    </row>
    <row r="61">
      <c r="A61" t="inlineStr">
        <is>
          <t>用生蚝下个面，也太过瘾了吧！涮锅也好吃！</t>
        </is>
      </c>
      <c r="B61" t="inlineStr">
        <is>
          <t>691a7b380000000007021be5</t>
        </is>
      </c>
      <c r="C61" s="60" t="n">
        <f>HYPERLINK("https://www.xiaohongshu.com/explore/691a7b380000000007021be5?xsec_token=TB7_xX17zVvyJQL8hbcdzoILpsC0BUfoexbMLpoY2g7Gk=&amp;xsec_source=pc_trdark","https://www.xiaohongshu.com/explore/691a7b380000000007021be5?xsec_token=TB7_xX17zVvyJQL8hbcdzoILpsC0BUfoexbMLpoY2g7Gk=&amp;xsec_source=pc_trdark")</f>
        <v>0.0</v>
      </c>
      <c r="D61" t="inlineStr">
        <is>
          <t>婉婉上班吃什么</t>
        </is>
      </c>
      <c r="E61" t="inlineStr">
        <is>
          <t>11434449706</t>
        </is>
      </c>
      <c r="F61" t="inlineStr">
        <is>
          <t>2025-11-17 10:32:41</t>
        </is>
      </c>
      <c r="G61" t="inlineStr">
        <is>
          <t>视频</t>
        </is>
      </c>
      <c r="H61" t="inlineStr">
        <is>
          <t>生蚝乳山生蚝海蛎子顺丰包邮</t>
        </is>
      </c>
      <c r="I61" t="inlineStr">
        <is>
          <t>690c70971b787900010866cc</t>
        </is>
      </c>
      <c r="J61" t="n">
        <v>60.0</v>
      </c>
      <c r="K61" t="n">
        <v>0.0</v>
      </c>
      <c r="L61" t="n">
        <v>0.0</v>
      </c>
      <c r="M61" t="n">
        <v>4.0</v>
      </c>
      <c r="N61" t="inlineStr">
        <is>
          <t>0.04081632653061224</t>
        </is>
      </c>
      <c r="O61" t="n">
        <v>4.0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inlineStr">
        <is>
          <t/>
        </is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98.0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11.96938775510204</v>
      </c>
      <c r="AL61" t="inlineStr">
        <is>
          <t>0.05660377358490566</t>
        </is>
      </c>
    </row>
    <row r="62">
      <c r="A62" t="inlineStr">
        <is>
          <t>建议12月份狠狠吃生蚝</t>
        </is>
      </c>
      <c r="B62" t="inlineStr">
        <is>
          <t>6950fcf3000000001e02024c</t>
        </is>
      </c>
      <c r="C62" s="61" t="n">
        <f>HYPERLINK("https://www.xiaohongshu.com/explore/6950fcf3000000001e02024c?xsec_token=TBZlsVk_u522I8N-JhGtRMDi3af6HM4e_Vff8HFWibHfQ=&amp;xsec_source=pc_trdark","https://www.xiaohongshu.com/explore/6950fcf3000000001e02024c?xsec_token=TBZlsVk_u522I8N-JhGtRMDi3af6HM4e_Vff8HFWibHfQ=&amp;xsec_source=pc_trdark")</f>
        <v>0.0</v>
      </c>
      <c r="D62" t="inlineStr">
        <is>
          <t>婉婉上班吃什么</t>
        </is>
      </c>
      <c r="E62" t="inlineStr">
        <is>
          <t>11434449706</t>
        </is>
      </c>
      <c r="F62" t="inlineStr">
        <is>
          <t>2025-12-28 17:48:35</t>
        </is>
      </c>
      <c r="G62" t="inlineStr">
        <is>
          <t>视频</t>
        </is>
      </c>
      <c r="H62" t="inlineStr">
        <is>
          <t>生蚝乳山生蚝海蛎子顺丰包邮</t>
        </is>
      </c>
      <c r="I62" t="inlineStr">
        <is>
          <t>690c70971b787900010866cc</t>
        </is>
      </c>
      <c r="J62" t="n">
        <v>20.0</v>
      </c>
      <c r="K62" t="n">
        <v>0.0</v>
      </c>
      <c r="L62" t="n">
        <v>0.0</v>
      </c>
      <c r="M62" t="n">
        <v>5.0</v>
      </c>
      <c r="N62" t="inlineStr">
        <is>
          <t>0.05434782608695652</t>
        </is>
      </c>
      <c r="O62" t="n">
        <v>5.0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inlineStr">
        <is>
          <t/>
        </is>
      </c>
      <c r="X62" t="n">
        <v>0.0</v>
      </c>
      <c r="Y62" t="n">
        <v>1.0</v>
      </c>
      <c r="Z62" t="n">
        <v>2.0</v>
      </c>
      <c r="AA62" t="n">
        <v>0.0</v>
      </c>
      <c r="AB62" t="n">
        <v>0.0</v>
      </c>
      <c r="AC62" t="n">
        <v>0.0</v>
      </c>
      <c r="AD62" t="n">
        <v>92.0</v>
      </c>
      <c r="AE62" t="n">
        <v>1.0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7.804347826086956</v>
      </c>
      <c r="AL62" t="inlineStr">
        <is>
          <t>0.17307692307692307</t>
        </is>
      </c>
    </row>
    <row r="63">
      <c r="A63" t="inlineStr">
        <is>
          <t>不要低估50💰的购买力，敞开吃吧……</t>
        </is>
      </c>
      <c r="B63" t="inlineStr">
        <is>
          <t>6916f37a00000000050114f9</t>
        </is>
      </c>
      <c r="C63" s="62" t="n">
        <f>HYPERLINK("https://www.xiaohongshu.com/explore/6916f37a00000000050114f9?xsec_token=TBHZiehrAOyLGw_5sWYDTDSTqbGta5UKl_XO9bysarN8A=&amp;xsec_source=pc_trdark","https://www.xiaohongshu.com/explore/6916f37a00000000050114f9?xsec_token=TBHZiehrAOyLGw_5sWYDTDSTqbGta5UKl_XO9bysarN8A=&amp;xsec_source=pc_trdark")</f>
        <v>0.0</v>
      </c>
      <c r="D63" t="inlineStr">
        <is>
          <t>婉婉上班吃什么</t>
        </is>
      </c>
      <c r="E63" t="inlineStr">
        <is>
          <t>11434449706</t>
        </is>
      </c>
      <c r="F63" t="inlineStr">
        <is>
          <t>2025-11-14 18:16:26</t>
        </is>
      </c>
      <c r="G63" t="inlineStr">
        <is>
          <t>视频</t>
        </is>
      </c>
      <c r="H63" t="inlineStr">
        <is>
          <t>生蚝乳山生蚝海蛎子顺丰包邮</t>
        </is>
      </c>
      <c r="I63" t="inlineStr">
        <is>
          <t>690c70971b787900010866cc</t>
        </is>
      </c>
      <c r="J63" t="n">
        <v>23.0</v>
      </c>
      <c r="K63" t="n">
        <v>0.0</v>
      </c>
      <c r="L63" t="n">
        <v>0.0</v>
      </c>
      <c r="M63" t="n">
        <v>12.0</v>
      </c>
      <c r="N63" t="inlineStr">
        <is>
          <t>0.13186813186813187</t>
        </is>
      </c>
      <c r="O63" t="n">
        <v>10.0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inlineStr">
        <is>
          <t/>
        </is>
      </c>
      <c r="X63" t="n">
        <v>0.0</v>
      </c>
      <c r="Y63" t="n">
        <v>1.0</v>
      </c>
      <c r="Z63" t="n">
        <v>1.0</v>
      </c>
      <c r="AA63" t="n">
        <v>0.0</v>
      </c>
      <c r="AB63" t="n">
        <v>0.0</v>
      </c>
      <c r="AC63" t="n">
        <v>0.0</v>
      </c>
      <c r="AD63" t="n">
        <v>91.0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10.802197802197803</v>
      </c>
      <c r="AL63" t="inlineStr">
        <is>
          <t>0.17272727272727273</t>
        </is>
      </c>
    </row>
    <row r="64">
      <c r="A64" t="inlineStr">
        <is>
          <t>真心建议姐妹们尝尝这个三倍体生蚝！</t>
        </is>
      </c>
      <c r="B64" t="inlineStr">
        <is>
          <t>6916983e00000000070142da</t>
        </is>
      </c>
      <c r="C64" s="63" t="n">
        <f>HYPERLINK("https://www.xiaohongshu.com/explore/6916983e00000000070142da?xsec_token=TBHZiehrAOyLGw_5sWYDTDSe4rKUHPLiLaUlfZ0sWdDd0=&amp;xsec_source=pc_trdark","https://www.xiaohongshu.com/explore/6916983e00000000070142da?xsec_token=TBHZiehrAOyLGw_5sWYDTDSe4rKUHPLiLaUlfZ0sWdDd0=&amp;xsec_source=pc_trdark")</f>
        <v>0.0</v>
      </c>
      <c r="D64" t="inlineStr">
        <is>
          <t>婉婉上班吃什么</t>
        </is>
      </c>
      <c r="E64" t="inlineStr">
        <is>
          <t>11434449706</t>
        </is>
      </c>
      <c r="F64" t="inlineStr">
        <is>
          <t>2025-11-14 10:47:26</t>
        </is>
      </c>
      <c r="G64" t="inlineStr">
        <is>
          <t>视频</t>
        </is>
      </c>
      <c r="H64" t="inlineStr">
        <is>
          <t>生蚝乳山生蚝海蛎子顺丰包邮</t>
        </is>
      </c>
      <c r="I64" t="inlineStr">
        <is>
          <t>690c70971b787900010866cc</t>
        </is>
      </c>
      <c r="J64" t="n">
        <v>41.0</v>
      </c>
      <c r="K64" t="n">
        <v>0.0</v>
      </c>
      <c r="L64" t="n">
        <v>0.0</v>
      </c>
      <c r="M64" t="n">
        <v>5.0</v>
      </c>
      <c r="N64" t="inlineStr">
        <is>
          <t>0.058823529411764705</t>
        </is>
      </c>
      <c r="O64" t="n">
        <v>4.0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inlineStr">
        <is>
          <t/>
        </is>
      </c>
      <c r="X64" t="n">
        <v>0.0</v>
      </c>
      <c r="Y64" t="n">
        <v>0.0</v>
      </c>
      <c r="Z64" t="n">
        <v>2.0</v>
      </c>
      <c r="AA64" t="n">
        <v>0.0</v>
      </c>
      <c r="AB64" t="n">
        <v>0.0</v>
      </c>
      <c r="AC64" t="n">
        <v>0.0</v>
      </c>
      <c r="AD64" t="n">
        <v>85.0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9.823529411764707</v>
      </c>
      <c r="AL64" t="inlineStr">
        <is>
          <t>0.043478260869565216</t>
        </is>
      </c>
    </row>
    <row r="65">
      <c r="A65" t="inlineStr">
        <is>
          <t>一定要尝尝这个49.9r五斤的乳山生蚝！</t>
        </is>
      </c>
      <c r="B65" t="inlineStr">
        <is>
          <t>693fbc0f000000001e0388c5</t>
        </is>
      </c>
      <c r="C65" s="64" t="n">
        <f>HYPERLINK("https://www.xiaohongshu.com/explore/693fbc0f000000001e0388c5?xsec_token=TB1R2yju8ccr97WVPo1goJUAHzI_Uw9P_WDQyZH2LtLn8=&amp;xsec_source=pc_trdark","https://www.xiaohongshu.com/explore/693fbc0f000000001e0388c5?xsec_token=TB1R2yju8ccr97WVPo1goJUAHzI_Uw9P_WDQyZH2LtLn8=&amp;xsec_source=pc_trdark")</f>
        <v>0.0</v>
      </c>
      <c r="D65" t="inlineStr">
        <is>
          <t>婉婉上班吃什么</t>
        </is>
      </c>
      <c r="E65" t="inlineStr">
        <is>
          <t>11434449706</t>
        </is>
      </c>
      <c r="F65" t="inlineStr">
        <is>
          <t>2025-12-15 15:43:11</t>
        </is>
      </c>
      <c r="G65" t="inlineStr">
        <is>
          <t>视频</t>
        </is>
      </c>
      <c r="H65" t="inlineStr">
        <is>
          <t>生蚝乳山生蚝海蛎子顺丰包邮</t>
        </is>
      </c>
      <c r="I65" t="inlineStr">
        <is>
          <t>690c70971b787900010866cc</t>
        </is>
      </c>
      <c r="J65" t="n">
        <v>26.0</v>
      </c>
      <c r="K65" t="n">
        <v>0.0</v>
      </c>
      <c r="L65" t="n">
        <v>0.0</v>
      </c>
      <c r="M65" t="n">
        <v>6.0</v>
      </c>
      <c r="N65" t="inlineStr">
        <is>
          <t>0.07317073170731707</t>
        </is>
      </c>
      <c r="O65" t="n">
        <v>6.0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inlineStr">
        <is>
          <t/>
        </is>
      </c>
      <c r="X65" t="n">
        <v>0.0</v>
      </c>
      <c r="Y65" t="n">
        <v>0.0</v>
      </c>
      <c r="Z65" t="n">
        <v>1.0</v>
      </c>
      <c r="AA65" t="n">
        <v>0.0</v>
      </c>
      <c r="AB65" t="n">
        <v>0.0</v>
      </c>
      <c r="AC65" t="n">
        <v>0.0</v>
      </c>
      <c r="AD65" t="n">
        <v>82.0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5.365853658536586</v>
      </c>
      <c r="AL65" t="inlineStr">
        <is>
          <t>0.06451612903225806</t>
        </is>
      </c>
    </row>
    <row r="66">
      <c r="A66" t="inlineStr">
        <is>
          <t>和老爸商量好了，49.9一箱先给你们都尝尝</t>
        </is>
      </c>
      <c r="B66" t="inlineStr">
        <is>
          <t>69699aeb000000000e03dd8f</t>
        </is>
      </c>
      <c r="C66" s="65" t="n">
        <f>HYPERLINK("https://www.xiaohongshu.com/explore/69699aeb000000000e03dd8f?xsec_token=TBrfrRU4wM2w5bDKUviah5Tz1joafWrrSlCKGYqUnyWSs=&amp;xsec_source=pc_trdark","https://www.xiaohongshu.com/explore/69699aeb000000000e03dd8f?xsec_token=TBrfrRU4wM2w5bDKUviah5Tz1joafWrrSlCKGYqUnyWSs=&amp;xsec_source=pc_trdark")</f>
        <v>0.0</v>
      </c>
      <c r="D66" t="inlineStr">
        <is>
          <t>婉婉上班吃什么</t>
        </is>
      </c>
      <c r="E66" t="inlineStr">
        <is>
          <t>11434449706</t>
        </is>
      </c>
      <c r="F66" t="inlineStr">
        <is>
          <t>2026-01-16 09:56:59</t>
        </is>
      </c>
      <c r="G66" t="inlineStr">
        <is>
          <t>视频</t>
        </is>
      </c>
      <c r="H66" t="inlineStr">
        <is>
          <t>生蚝乳山生蚝海蛎子顺丰包邮</t>
        </is>
      </c>
      <c r="I66" t="inlineStr">
        <is>
          <t>690c70971b787900010866cc</t>
        </is>
      </c>
      <c r="J66" t="n">
        <v>20.0</v>
      </c>
      <c r="K66" t="n">
        <v>0.0</v>
      </c>
      <c r="L66" t="n">
        <v>0.0</v>
      </c>
      <c r="M66" t="n">
        <v>3.0</v>
      </c>
      <c r="N66" t="n">
        <v>0.0379746835443038</v>
      </c>
      <c r="O66" t="n">
        <v>3.0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inlineStr">
        <is>
          <t/>
        </is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79.0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5.518987341772152</v>
      </c>
      <c r="AL66" t="inlineStr">
        <is>
          <t>0.12903225806451613</t>
        </is>
      </c>
    </row>
    <row r="67">
      <c r="A67" t="inlineStr">
        <is>
          <t>好吃我已经说累了，没看到就随缘吧</t>
        </is>
      </c>
      <c r="B67" t="inlineStr">
        <is>
          <t>69141ff30000000004004dac</t>
        </is>
      </c>
      <c r="C67" s="66" t="n">
        <f>HYPERLINK("https://www.xiaohongshu.com/explore/69141ff30000000004004dac?xsec_token=TBaXvlcWwd_4ttBIqZOUWAk2BjKO4Cr5CifWDaQ8pvdtM=&amp;xsec_source=pc_trdark","https://www.xiaohongshu.com/explore/69141ff30000000004004dac?xsec_token=TBaXvlcWwd_4ttBIqZOUWAk2BjKO4Cr5CifWDaQ8pvdtM=&amp;xsec_source=pc_trdark")</f>
        <v>0.0</v>
      </c>
      <c r="D67" t="inlineStr">
        <is>
          <t>婉婉上班吃什么</t>
        </is>
      </c>
      <c r="E67" t="inlineStr">
        <is>
          <t>11434449706</t>
        </is>
      </c>
      <c r="F67" t="inlineStr">
        <is>
          <t>2025-11-12 13:49:39</t>
        </is>
      </c>
      <c r="G67" t="inlineStr">
        <is>
          <t>视频</t>
        </is>
      </c>
      <c r="H67" t="inlineStr">
        <is>
          <t>生蚝乳山生蚝海蛎子顺丰包邮</t>
        </is>
      </c>
      <c r="I67" t="inlineStr">
        <is>
          <t>690c70971b787900010866cc</t>
        </is>
      </c>
      <c r="J67" t="n">
        <v>17.0</v>
      </c>
      <c r="K67" t="n">
        <v>109.9</v>
      </c>
      <c r="L67" t="n">
        <v>1.0</v>
      </c>
      <c r="M67" t="n">
        <v>3.0</v>
      </c>
      <c r="N67" t="inlineStr">
        <is>
          <t>0.038461538461538464</t>
        </is>
      </c>
      <c r="O67" t="n">
        <v>3.0</v>
      </c>
      <c r="P67" t="n">
        <v>1.0</v>
      </c>
      <c r="Q67" t="n">
        <v>0.3333333333333333</v>
      </c>
      <c r="R67" t="n">
        <v>0.3333333333333333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1.0</v>
      </c>
      <c r="Z67" t="n">
        <v>1.0</v>
      </c>
      <c r="AA67" t="n">
        <v>0.0</v>
      </c>
      <c r="AB67" t="n">
        <v>0.0</v>
      </c>
      <c r="AC67" t="n">
        <v>0.0</v>
      </c>
      <c r="AD67" t="n">
        <v>78.0</v>
      </c>
      <c r="AE67" t="n">
        <v>0.0</v>
      </c>
      <c r="AF67" t="n">
        <v>0.0</v>
      </c>
      <c r="AG67" t="n">
        <v>1.0</v>
      </c>
      <c r="AH67" t="n">
        <v>0.0</v>
      </c>
      <c r="AI67" t="n">
        <v>0.0</v>
      </c>
      <c r="AJ67" t="n">
        <v>0.0</v>
      </c>
      <c r="AK67" t="n">
        <v>5.948717948717949</v>
      </c>
      <c r="AL67" t="inlineStr">
        <is>
          <t>0.11235955056179775</t>
        </is>
      </c>
    </row>
    <row r="68">
      <c r="A68" t="inlineStr">
        <is>
          <t>山东连续大雪❄️，一下子全肥了</t>
        </is>
      </c>
      <c r="B68" t="inlineStr">
        <is>
          <t>6950de41000000001f00f0a5</t>
        </is>
      </c>
      <c r="C68" s="67" t="n">
        <f>HYPERLINK("https://www.xiaohongshu.com/explore/6950de41000000001f00f0a5?xsec_token=TBZlsVk_u522I8N-JhGtRMDoiLYtzCpe-GfAeAmuwvi8g=&amp;xsec_source=pc_trdark","https://www.xiaohongshu.com/explore/6950de41000000001f00f0a5?xsec_token=TBZlsVk_u522I8N-JhGtRMDoiLYtzCpe-GfAeAmuwvi8g=&amp;xsec_source=pc_trdark")</f>
        <v>0.0</v>
      </c>
      <c r="D68" t="inlineStr">
        <is>
          <t>鲜水湾</t>
        </is>
      </c>
      <c r="E68" t="inlineStr">
        <is>
          <t>49316638994</t>
        </is>
      </c>
      <c r="F68" t="inlineStr">
        <is>
          <t>2025-12-28 15:37:37</t>
        </is>
      </c>
      <c r="G68" t="inlineStr">
        <is>
          <t>图文</t>
        </is>
      </c>
      <c r="H68" t="inlineStr">
        <is>
          <t>生蚝乳山生蚝海蛎子顺丰包邮</t>
        </is>
      </c>
      <c r="I68" t="inlineStr">
        <is>
          <t>690c70971b787900010866cc</t>
        </is>
      </c>
      <c r="J68" t="inlineStr">
        <is>
          <t/>
        </is>
      </c>
      <c r="K68" t="n">
        <v>69.9</v>
      </c>
      <c r="L68" t="n">
        <v>1.0</v>
      </c>
      <c r="M68" t="n">
        <v>11.0</v>
      </c>
      <c r="N68" t="inlineStr">
        <is>
          <t>0.14864864864864866</t>
        </is>
      </c>
      <c r="O68" t="n">
        <v>10.0</v>
      </c>
      <c r="P68" t="n">
        <v>1.0</v>
      </c>
      <c r="Q68" t="inlineStr">
        <is>
          <t>0.09090909090909091</t>
        </is>
      </c>
      <c r="R68" t="n">
        <v>0.1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4.0</v>
      </c>
      <c r="Z68" t="n">
        <v>6.0</v>
      </c>
      <c r="AA68" t="n">
        <v>0.0</v>
      </c>
      <c r="AB68" t="n">
        <v>0.0</v>
      </c>
      <c r="AC68" t="n">
        <v>0.0</v>
      </c>
      <c r="AD68" t="n">
        <v>74.0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14.972972972972974</v>
      </c>
      <c r="AL68" t="inlineStr">
        <is>
          <t/>
        </is>
      </c>
    </row>
    <row r="69">
      <c r="A69" t="inlineStr">
        <is>
          <t>60块的购买力又刷新了我的认知！</t>
        </is>
      </c>
      <c r="B69" t="inlineStr">
        <is>
          <t>6916ee160000000005012c8b</t>
        </is>
      </c>
      <c r="C69" s="68" t="n">
        <f>HYPERLINK("https://www.xiaohongshu.com/explore/6916ee160000000005012c8b?xsec_token=TBHZiehrAOyLGw_5sWYDTDSeI0v6Sx52eesnzvEiyObhc=&amp;xsec_source=pc_trdark","https://www.xiaohongshu.com/explore/6916ee160000000005012c8b?xsec_token=TBHZiehrAOyLGw_5sWYDTDSeI0v6Sx52eesnzvEiyObhc=&amp;xsec_source=pc_trdark")</f>
        <v>0.0</v>
      </c>
      <c r="D69" t="inlineStr">
        <is>
          <t>婉婉上班吃什么</t>
        </is>
      </c>
      <c r="E69" t="inlineStr">
        <is>
          <t>11434449706</t>
        </is>
      </c>
      <c r="F69" t="inlineStr">
        <is>
          <t>2025-11-14 16:53:42</t>
        </is>
      </c>
      <c r="G69" t="inlineStr">
        <is>
          <t>视频</t>
        </is>
      </c>
      <c r="H69" t="inlineStr">
        <is>
          <t>生蚝乳山生蚝海蛎子顺丰包邮</t>
        </is>
      </c>
      <c r="I69" t="inlineStr">
        <is>
          <t>690c70971b787900010866cc</t>
        </is>
      </c>
      <c r="J69" t="n">
        <v>14.0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inlineStr">
        <is>
          <t/>
        </is>
      </c>
      <c r="R69" t="inlineStr">
        <is>
          <t/>
        </is>
      </c>
      <c r="S69" t="n">
        <v>0.0</v>
      </c>
      <c r="T69" t="n">
        <v>0.0</v>
      </c>
      <c r="U69" t="n">
        <v>0.0</v>
      </c>
      <c r="V69" t="n">
        <v>0.0</v>
      </c>
      <c r="W69" t="inlineStr">
        <is>
          <t/>
        </is>
      </c>
      <c r="X69" t="n">
        <v>0.0</v>
      </c>
      <c r="Y69" t="n">
        <v>0.0</v>
      </c>
      <c r="Z69" t="n">
        <v>2.0</v>
      </c>
      <c r="AA69" t="n">
        <v>0.0</v>
      </c>
      <c r="AB69" t="n">
        <v>0.0</v>
      </c>
      <c r="AC69" t="n">
        <v>0.0</v>
      </c>
      <c r="AD69" t="n">
        <v>73.0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4.4520547945205475</v>
      </c>
      <c r="AL69" t="inlineStr">
        <is>
          <t>0.08536585365853659</t>
        </is>
      </c>
    </row>
    <row r="70">
      <c r="A70" t="inlineStr">
        <is>
          <t>不要低估50💰的购买力，敞开吃吧……</t>
        </is>
      </c>
      <c r="B70" t="inlineStr">
        <is>
          <t>69169a18000000000702364f</t>
        </is>
      </c>
      <c r="C70" s="69" t="n">
        <f>HYPERLINK("https://www.xiaohongshu.com/explore/69169a18000000000702364f?xsec_token=TBHZiehrAOyLGw_5sWYDTDSTUCZyiZ3OcqJJtpc6kKFPo=&amp;xsec_source=pc_trdark","https://www.xiaohongshu.com/explore/69169a18000000000702364f?xsec_token=TBHZiehrAOyLGw_5sWYDTDSTUCZyiZ3OcqJJtpc6kKFPo=&amp;xsec_source=pc_trdark")</f>
        <v>0.0</v>
      </c>
      <c r="D70" t="inlineStr">
        <is>
          <t>婉婉上班吃什么</t>
        </is>
      </c>
      <c r="E70" t="inlineStr">
        <is>
          <t>11434449706</t>
        </is>
      </c>
      <c r="F70" t="inlineStr">
        <is>
          <t>2025-11-14 11:55:00</t>
        </is>
      </c>
      <c r="G70" t="inlineStr">
        <is>
          <t>视频</t>
        </is>
      </c>
      <c r="H70" t="inlineStr">
        <is>
          <t>生蚝乳山生蚝海蛎子顺丰包邮</t>
        </is>
      </c>
      <c r="I70" t="inlineStr">
        <is>
          <t>690c70971b787900010866cc</t>
        </is>
      </c>
      <c r="J70" t="n">
        <v>30.0</v>
      </c>
      <c r="K70" t="n">
        <v>0.0</v>
      </c>
      <c r="L70" t="n">
        <v>0.0</v>
      </c>
      <c r="M70" t="n">
        <v>3.0</v>
      </c>
      <c r="N70" t="inlineStr">
        <is>
          <t>0.041666666666666664</t>
        </is>
      </c>
      <c r="O70" t="n">
        <v>3.0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inlineStr">
        <is>
          <t/>
        </is>
      </c>
      <c r="X70" t="n">
        <v>0.0</v>
      </c>
      <c r="Y70" t="n">
        <v>1.0</v>
      </c>
      <c r="Z70" t="n">
        <v>0.0</v>
      </c>
      <c r="AA70" t="n">
        <v>0.0</v>
      </c>
      <c r="AB70" t="n">
        <v>0.0</v>
      </c>
      <c r="AC70" t="n">
        <v>0.0</v>
      </c>
      <c r="AD70" t="n">
        <v>72.0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5.916666666666667</v>
      </c>
      <c r="AL70" t="n">
        <v>0.0641025641025641</v>
      </c>
    </row>
    <row r="71">
      <c r="A71" t="inlineStr">
        <is>
          <t>我q。。男朋友吃完瞬间有劲了。。</t>
        </is>
      </c>
      <c r="B71" t="inlineStr">
        <is>
          <t>69452411000000000d03daad</t>
        </is>
      </c>
      <c r="C71" s="70" t="n">
        <f>HYPERLINK("https://www.xiaohongshu.com/explore/69452411000000000d03daad?xsec_token=TB7p1vWXvB33zoX2lon7HfpcDKUirO3Fuhb5G31xPi3zk=&amp;xsec_source=pc_trdark","https://www.xiaohongshu.com/explore/69452411000000000d03daad?xsec_token=TB7p1vWXvB33zoX2lon7HfpcDKUirO3Fuhb5G31xPi3zk=&amp;xsec_source=pc_trdark")</f>
        <v>0.0</v>
      </c>
      <c r="D71" t="inlineStr">
        <is>
          <t>婉婉上班吃什么</t>
        </is>
      </c>
      <c r="E71" t="inlineStr">
        <is>
          <t>11434449706</t>
        </is>
      </c>
      <c r="F71" t="inlineStr">
        <is>
          <t>2025-12-19 18:08:17</t>
        </is>
      </c>
      <c r="G71" t="inlineStr">
        <is>
          <t>视频</t>
        </is>
      </c>
      <c r="H71" t="inlineStr">
        <is>
          <t>生蚝乳山生蚝海蛎子顺丰包邮</t>
        </is>
      </c>
      <c r="I71" t="inlineStr">
        <is>
          <t>690c70971b787900010866cc</t>
        </is>
      </c>
      <c r="J71" t="n">
        <v>21.0</v>
      </c>
      <c r="K71" t="n">
        <v>0.0</v>
      </c>
      <c r="L71" t="n">
        <v>0.0</v>
      </c>
      <c r="M71" t="n">
        <v>4.0</v>
      </c>
      <c r="N71" t="inlineStr">
        <is>
          <t>0.056338028169014086</t>
        </is>
      </c>
      <c r="O71" t="n">
        <v>3.0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inlineStr">
        <is>
          <t/>
        </is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71.0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6.23943661971831</v>
      </c>
      <c r="AL71" t="inlineStr">
        <is>
          <t>0.12345679012345678</t>
        </is>
      </c>
    </row>
    <row r="72">
      <c r="A72" t="inlineStr">
        <is>
          <t>原产地海蛎子直发！这海蛎子真的肥到没边了</t>
        </is>
      </c>
      <c r="B72" t="inlineStr">
        <is>
          <t>6912feac000000000302d5f9</t>
        </is>
      </c>
      <c r="C72" s="71" t="n">
        <f>HYPERLINK("https://www.xiaohongshu.com/explore/6912feac000000000302d5f9?xsec_token=TBnZN0DmKGIQMnPXPN25j7p48mbHqVct7EZyY-hUxfDfg=&amp;xsec_source=pc_trdark","https://www.xiaohongshu.com/explore/6912feac000000000302d5f9?xsec_token=TBnZN0DmKGIQMnPXPN25j7p48mbHqVct7EZyY-hUxfDfg=&amp;xsec_source=pc_trdark")</f>
        <v>0.0</v>
      </c>
      <c r="D72" t="inlineStr">
        <is>
          <t>婉婉上班吃什么</t>
        </is>
      </c>
      <c r="E72" t="inlineStr">
        <is>
          <t>11434449706</t>
        </is>
      </c>
      <c r="F72" t="inlineStr">
        <is>
          <t>2025-11-11 17:15:24</t>
        </is>
      </c>
      <c r="G72" t="inlineStr">
        <is>
          <t>视频</t>
        </is>
      </c>
      <c r="H72" t="inlineStr">
        <is>
          <t>生蚝乳山生蚝海蛎子顺丰包邮</t>
        </is>
      </c>
      <c r="I72" t="inlineStr">
        <is>
          <t>690c70971b787900010866cc</t>
        </is>
      </c>
      <c r="J72" t="n">
        <v>19.0</v>
      </c>
      <c r="K72" t="n">
        <v>0.0</v>
      </c>
      <c r="L72" t="n">
        <v>0.0</v>
      </c>
      <c r="M72" t="n">
        <v>3.0</v>
      </c>
      <c r="N72" t="inlineStr">
        <is>
          <t>0.04225352112676056</t>
        </is>
      </c>
      <c r="O72" t="n">
        <v>3.0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inlineStr">
        <is>
          <t/>
        </is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71.0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7.830985915492958</v>
      </c>
      <c r="AL72" t="inlineStr">
        <is>
          <t>0.13095238095238096</t>
        </is>
      </c>
    </row>
    <row r="73">
      <c r="A73" t="inlineStr">
        <is>
          <t>马上过年了，都来囤我家大虾了</t>
        </is>
      </c>
      <c r="B73" t="inlineStr">
        <is>
          <t>69783035000000000e03e32f</t>
        </is>
      </c>
      <c r="C73" s="72" t="n">
        <f>HYPERLINK("https://www.xiaohongshu.com/explore/69783035000000000e03e32f?xsec_token=TB4uixe4FoDg0vEpIlbspmiqO8CmvC1qYIzvuKZenPR1Q=&amp;xsec_source=pc_trdark","https://www.xiaohongshu.com/explore/69783035000000000e03e32f?xsec_token=TB4uixe4FoDg0vEpIlbspmiqO8CmvC1qYIzvuKZenPR1Q=&amp;xsec_source=pc_trdark")</f>
        <v>0.0</v>
      </c>
      <c r="D73" t="inlineStr">
        <is>
          <t>鲜水湾</t>
        </is>
      </c>
      <c r="E73" t="inlineStr">
        <is>
          <t>49316638994</t>
        </is>
      </c>
      <c r="F73" t="inlineStr">
        <is>
          <t>2026-01-27 11:25:41</t>
        </is>
      </c>
      <c r="G73" t="inlineStr">
        <is>
          <t>图文</t>
        </is>
      </c>
      <c r="H73" t="inlineStr">
        <is>
          <t>王牌大虾鲜冻大虾厄瓜多尔白虾盐冻大虾年货过年送礼顺丰包邮</t>
        </is>
      </c>
      <c r="I73" t="inlineStr">
        <is>
          <t>69782738eb0d9a0001cd8a32</t>
        </is>
      </c>
      <c r="J73" t="inlineStr">
        <is>
          <t/>
        </is>
      </c>
      <c r="K73" t="n">
        <v>0.0</v>
      </c>
      <c r="L73" t="n">
        <v>0.0</v>
      </c>
      <c r="M73" t="n">
        <v>26.0</v>
      </c>
      <c r="N73" t="n">
        <v>0.3939393939393939</v>
      </c>
      <c r="O73" t="n">
        <v>16.0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inlineStr">
        <is>
          <t/>
        </is>
      </c>
      <c r="X73" t="n">
        <v>0.0</v>
      </c>
      <c r="Y73" t="n">
        <v>1.0</v>
      </c>
      <c r="Z73" t="n">
        <v>7.0</v>
      </c>
      <c r="AA73" t="n">
        <v>0.0</v>
      </c>
      <c r="AB73" t="n">
        <v>0.0</v>
      </c>
      <c r="AC73" t="n">
        <v>0.0</v>
      </c>
      <c r="AD73" t="n">
        <v>66.0</v>
      </c>
      <c r="AE73" t="n">
        <v>0.0</v>
      </c>
      <c r="AF73" t="n">
        <v>0.0</v>
      </c>
      <c r="AG73" t="n">
        <v>0.0</v>
      </c>
      <c r="AH73" t="n">
        <v>1.0</v>
      </c>
      <c r="AI73" t="n">
        <v>0.0</v>
      </c>
      <c r="AJ73" t="n">
        <v>0.0</v>
      </c>
      <c r="AK73" t="n">
        <v>10.530303030303031</v>
      </c>
      <c r="AL73" t="inlineStr">
        <is>
          <t/>
        </is>
      </c>
    </row>
    <row r="74">
      <c r="A74" t="inlineStr">
        <is>
          <t>在鲜水湾买的整条三文鱼…</t>
        </is>
      </c>
      <c r="B74" t="inlineStr">
        <is>
          <t>692d40f7000000001e035d9c</t>
        </is>
      </c>
      <c r="C74" s="73" t="n">
        <f>HYPERLINK("https://www.xiaohongshu.com/explore/692d40f7000000001e035d9c?xsec_token=TBOFwnatFKqkrDgIPXNtNGvyrJ-V0NOOSGiFXyf08rjmw=&amp;xsec_source=pc_trdark","https://www.xiaohongshu.com/explore/692d40f7000000001e035d9c?xsec_token=TBOFwnatFKqkrDgIPXNtNGvyrJ-V0NOOSGiFXyf08rjmw=&amp;xsec_source=pc_trdark")</f>
        <v>0.0</v>
      </c>
      <c r="D74" t="inlineStr">
        <is>
          <t>鲜水湾</t>
        </is>
      </c>
      <c r="E74" t="inlineStr">
        <is>
          <t>49316638994</t>
        </is>
      </c>
      <c r="F74" t="inlineStr">
        <is>
          <t>2025-12-01 15:17:11</t>
        </is>
      </c>
      <c r="G74" t="inlineStr">
        <is>
          <t>图文</t>
        </is>
      </c>
      <c r="H74" t="inlineStr">
        <is>
          <t>智利三文鱼切块·整条三文鱼·深海鱼一人食健康饮食</t>
        </is>
      </c>
      <c r="I74" t="inlineStr">
        <is>
          <t>691ac562a524ee0001b51d7b</t>
        </is>
      </c>
      <c r="J74" t="inlineStr">
        <is>
          <t/>
        </is>
      </c>
      <c r="K74" t="n">
        <v>0.0</v>
      </c>
      <c r="L74" t="n">
        <v>0.0</v>
      </c>
      <c r="M74" t="n">
        <v>4.0</v>
      </c>
      <c r="N74" t="n">
        <v>0.0625</v>
      </c>
      <c r="O74" t="n">
        <v>2.0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inlineStr">
        <is>
          <t/>
        </is>
      </c>
      <c r="X74" t="n">
        <v>0.0</v>
      </c>
      <c r="Y74" t="n">
        <v>0.0</v>
      </c>
      <c r="Z74" t="n">
        <v>1.0</v>
      </c>
      <c r="AA74" t="n">
        <v>0.0</v>
      </c>
      <c r="AB74" t="n">
        <v>0.0</v>
      </c>
      <c r="AC74" t="n">
        <v>0.0</v>
      </c>
      <c r="AD74" t="n">
        <v>64.0</v>
      </c>
      <c r="AE74" t="n">
        <v>1.0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6.171875</v>
      </c>
      <c r="AL74" t="inlineStr">
        <is>
          <t/>
        </is>
      </c>
    </row>
    <row r="75">
      <c r="A75" t="inlineStr">
        <is>
          <t>一代人有一代人的年货要买！</t>
        </is>
      </c>
      <c r="B75" t="inlineStr">
        <is>
          <t>697a0a1d000000000b00a2b0</t>
        </is>
      </c>
      <c r="C75" s="74" t="n">
        <f>HYPERLINK("https://www.xiaohongshu.com/explore/697a0a1d000000000b00a2b0?xsec_token=TB2dScbVxeUy83D31__wCwwwhDIrhPy6wRpuOWBkn90P4=&amp;xsec_source=pc_trdark","https://www.xiaohongshu.com/explore/697a0a1d000000000b00a2b0?xsec_token=TB2dScbVxeUy83D31__wCwwwhDIrhPy6wRpuOWBkn90P4=&amp;xsec_source=pc_trdark")</f>
        <v>0.0</v>
      </c>
      <c r="D75" t="inlineStr">
        <is>
          <t>鲜水湾甄选</t>
        </is>
      </c>
      <c r="E75" t="inlineStr">
        <is>
          <t>27401929161</t>
        </is>
      </c>
      <c r="F75" t="inlineStr">
        <is>
          <t>2026-01-28 21:07:41</t>
        </is>
      </c>
      <c r="G75" t="inlineStr">
        <is>
          <t>图文</t>
        </is>
      </c>
      <c r="H75" t="inlineStr">
        <is>
          <t>北极甜虾头籽甜虾元宝虾北极熊冰虾孕妈妈宝宝辅食顺丰</t>
        </is>
      </c>
      <c r="I75" t="inlineStr">
        <is>
          <t>6953717eb8f0bb000115158d</t>
        </is>
      </c>
      <c r="J75" t="inlineStr">
        <is>
          <t/>
        </is>
      </c>
      <c r="K75" t="n">
        <v>0.0</v>
      </c>
      <c r="L75" t="n">
        <v>0.0</v>
      </c>
      <c r="M75" t="n">
        <v>13.0</v>
      </c>
      <c r="N75" t="inlineStr">
        <is>
          <t>0.20634920634920634</t>
        </is>
      </c>
      <c r="O75" t="n">
        <v>11.0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inlineStr">
        <is>
          <t/>
        </is>
      </c>
      <c r="X75" t="n">
        <v>0.0</v>
      </c>
      <c r="Y75" t="n">
        <v>2.0</v>
      </c>
      <c r="Z75" t="n">
        <v>1.0</v>
      </c>
      <c r="AA75" t="n">
        <v>0.0</v>
      </c>
      <c r="AB75" t="n">
        <v>0.0</v>
      </c>
      <c r="AC75" t="n">
        <v>0.0</v>
      </c>
      <c r="AD75" t="n">
        <v>63.0</v>
      </c>
      <c r="AE75" t="n">
        <v>1.0</v>
      </c>
      <c r="AF75" t="n">
        <v>0.0</v>
      </c>
      <c r="AG75" t="n">
        <v>1.0</v>
      </c>
      <c r="AH75" t="n">
        <v>2.0</v>
      </c>
      <c r="AI75" t="n">
        <v>0.0</v>
      </c>
      <c r="AJ75" t="n">
        <v>0.0</v>
      </c>
      <c r="AK75" t="n">
        <v>9.206349206349206</v>
      </c>
      <c r="AL75" t="inlineStr">
        <is>
          <t/>
        </is>
      </c>
    </row>
    <row r="76">
      <c r="A76" t="inlineStr">
        <is>
          <t>不要低估50💰的购买力，敞开吃吧……</t>
        </is>
      </c>
      <c r="B76" t="inlineStr">
        <is>
          <t>691dcca3000000001f00d933</t>
        </is>
      </c>
      <c r="C76" s="75" t="n">
        <f>HYPERLINK("https://www.xiaohongshu.com/explore/691dcca3000000001f00d933?xsec_token=TBfJie4P5Jl9AylR95m8dPVEOjESP3RSw2zKhQaeR8JJ0=&amp;xsec_source=pc_trdark","https://www.xiaohongshu.com/explore/691dcca3000000001f00d933?xsec_token=TBfJie4P5Jl9AylR95m8dPVEOjESP3RSw2zKhQaeR8JJ0=&amp;xsec_source=pc_trdark")</f>
        <v>0.0</v>
      </c>
      <c r="D76" t="inlineStr">
        <is>
          <t>婉婉上班吃什么</t>
        </is>
      </c>
      <c r="E76" t="inlineStr">
        <is>
          <t>11434449706</t>
        </is>
      </c>
      <c r="F76" t="inlineStr">
        <is>
          <t>2025-11-19 21:56:51</t>
        </is>
      </c>
      <c r="G76" t="inlineStr">
        <is>
          <t>视频</t>
        </is>
      </c>
      <c r="H76" t="inlineStr">
        <is>
          <t>生蚝乳山生蚝海蛎子顺丰包邮</t>
        </is>
      </c>
      <c r="I76" t="inlineStr">
        <is>
          <t>690c70971b787900010866cc</t>
        </is>
      </c>
      <c r="J76" t="n">
        <v>29.0</v>
      </c>
      <c r="K76" t="n">
        <v>0.0</v>
      </c>
      <c r="L76" t="n">
        <v>0.0</v>
      </c>
      <c r="M76" t="n">
        <v>1.0</v>
      </c>
      <c r="N76" t="inlineStr">
        <is>
          <t>0.015873015873015872</t>
        </is>
      </c>
      <c r="O76" t="n">
        <v>1.0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inlineStr">
        <is>
          <t/>
        </is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63.0</v>
      </c>
      <c r="AE76" t="n">
        <v>1.0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6.857142857142857</v>
      </c>
      <c r="AL76" t="inlineStr">
        <is>
          <t>0.08571428571428572</t>
        </is>
      </c>
    </row>
    <row r="77">
      <c r="A77" t="inlineStr">
        <is>
          <t>这一口含金量谁懂🥹🥹🥹</t>
        </is>
      </c>
      <c r="B77" t="inlineStr">
        <is>
          <t>690d96940000000004011cda</t>
        </is>
      </c>
      <c r="C77" s="76" t="n">
        <f>HYPERLINK("https://www.xiaohongshu.com/explore/690d96940000000004011cda?xsec_token=TBD_zEgNllAsWvESEGX2jOczHcUOImRfQZszSUQd6aLQc=&amp;xsec_source=pc_trdark","https://www.xiaohongshu.com/explore/690d96940000000004011cda?xsec_token=TBD_zEgNllAsWvESEGX2jOczHcUOImRfQZszSUQd6aLQc=&amp;xsec_source=pc_trdark")</f>
        <v>0.0</v>
      </c>
      <c r="D77" t="inlineStr">
        <is>
          <t>婉婉上班吃什么</t>
        </is>
      </c>
      <c r="E77" t="inlineStr">
        <is>
          <t>11434449706</t>
        </is>
      </c>
      <c r="F77" t="inlineStr">
        <is>
          <t>2025-11-07 14:49:56</t>
        </is>
      </c>
      <c r="G77" t="inlineStr">
        <is>
          <t>视频</t>
        </is>
      </c>
      <c r="H77" t="inlineStr">
        <is>
          <t>生蚝乳山生蚝海蛎子顺丰包邮</t>
        </is>
      </c>
      <c r="I77" t="inlineStr">
        <is>
          <t>690c70971b787900010866cc</t>
        </is>
      </c>
      <c r="J77" t="n">
        <v>36.0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inlineStr">
        <is>
          <t/>
        </is>
      </c>
      <c r="R77" t="inlineStr">
        <is>
          <t/>
        </is>
      </c>
      <c r="S77" t="n">
        <v>0.0</v>
      </c>
      <c r="T77" t="n">
        <v>0.0</v>
      </c>
      <c r="U77" t="n">
        <v>0.0</v>
      </c>
      <c r="V77" t="n">
        <v>0.0</v>
      </c>
      <c r="W77" t="inlineStr">
        <is>
          <t/>
        </is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63.0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5.841269841269841</v>
      </c>
      <c r="AL77" t="inlineStr">
        <is>
          <t>0.030303030303030304</t>
        </is>
      </c>
    </row>
    <row r="78">
      <c r="A78" t="inlineStr">
        <is>
          <t>其实，300块能吃一个月的三文鱼😎</t>
        </is>
      </c>
      <c r="B78" t="inlineStr">
        <is>
          <t>69456f51000000001f006a7b</t>
        </is>
      </c>
      <c r="C78" s="77" t="n">
        <f>HYPERLINK("https://www.xiaohongshu.com/explore/69456f51000000001f006a7b?xsec_token=TB7p1vWXvB33zoX2lon7HfpbhaeUpox4g5KLr6HjX1WtA=&amp;xsec_source=pc_trdark","https://www.xiaohongshu.com/explore/69456f51000000001f006a7b?xsec_token=TB7p1vWXvB33zoX2lon7HfpbhaeUpox4g5KLr6HjX1WtA=&amp;xsec_source=pc_trdark")</f>
        <v>0.0</v>
      </c>
      <c r="D78" t="inlineStr">
        <is>
          <t>鲜水湾</t>
        </is>
      </c>
      <c r="E78" t="inlineStr">
        <is>
          <t>49316638994</t>
        </is>
      </c>
      <c r="F78" t="inlineStr">
        <is>
          <t>2025-12-19 23:29:21</t>
        </is>
      </c>
      <c r="G78" t="inlineStr">
        <is>
          <t>图文</t>
        </is>
      </c>
      <c r="H78" t="inlineStr">
        <is>
          <t>智利三文鱼切块·整条三文鱼·深海鱼一人食健康饮食</t>
        </is>
      </c>
      <c r="I78" t="inlineStr">
        <is>
          <t>691ac562a524ee0001b51d7b</t>
        </is>
      </c>
      <c r="J78" t="inlineStr">
        <is>
          <t/>
        </is>
      </c>
      <c r="K78" t="n">
        <v>0.0</v>
      </c>
      <c r="L78" t="n">
        <v>0.0</v>
      </c>
      <c r="M78" t="n">
        <v>15.0</v>
      </c>
      <c r="N78" t="inlineStr">
        <is>
          <t>0.24193548387096775</t>
        </is>
      </c>
      <c r="O78" t="n">
        <v>14.0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inlineStr">
        <is>
          <t/>
        </is>
      </c>
      <c r="X78" t="n">
        <v>0.0</v>
      </c>
      <c r="Y78" t="n">
        <v>3.0</v>
      </c>
      <c r="Z78" t="n">
        <v>3.0</v>
      </c>
      <c r="AA78" t="n">
        <v>0.0</v>
      </c>
      <c r="AB78" t="n">
        <v>0.0</v>
      </c>
      <c r="AC78" t="n">
        <v>0.0</v>
      </c>
      <c r="AD78" t="n">
        <v>62.0</v>
      </c>
      <c r="AE78" t="n">
        <v>0.0</v>
      </c>
      <c r="AF78" t="n">
        <v>1.0</v>
      </c>
      <c r="AG78" t="n">
        <v>0.0</v>
      </c>
      <c r="AH78" t="n">
        <v>0.0</v>
      </c>
      <c r="AI78" t="n">
        <v>0.0</v>
      </c>
      <c r="AJ78" t="n">
        <v>0.0</v>
      </c>
      <c r="AK78" t="n">
        <v>24.403225806451612</v>
      </c>
      <c r="AL78" t="inlineStr">
        <is>
          <t/>
        </is>
      </c>
    </row>
    <row r="79">
      <c r="A79" t="inlineStr">
        <is>
          <t>没招了，我爸让我在网上卖，谁买啊🥲</t>
        </is>
      </c>
      <c r="B79" t="inlineStr">
        <is>
          <t>69141aad000000000700bda1</t>
        </is>
      </c>
      <c r="C79" s="78" t="n">
        <f>HYPERLINK("https://www.xiaohongshu.com/explore/69141aad000000000700bda1?xsec_token=TBaXvlcWwd_4ttBIqZOUWAk91Hv6khx9PhVzX9T74Lm0w=&amp;xsec_source=pc_trdark","https://www.xiaohongshu.com/explore/69141aad000000000700bda1?xsec_token=TBaXvlcWwd_4ttBIqZOUWAk91Hv6khx9PhVzX9T74Lm0w=&amp;xsec_source=pc_trdark")</f>
        <v>0.0</v>
      </c>
      <c r="D79" t="inlineStr">
        <is>
          <t>婉婉上班吃什么</t>
        </is>
      </c>
      <c r="E79" t="inlineStr">
        <is>
          <t>11434449706</t>
        </is>
      </c>
      <c r="F79" t="inlineStr">
        <is>
          <t>2025-11-12 13:27:09</t>
        </is>
      </c>
      <c r="G79" t="inlineStr">
        <is>
          <t>视频</t>
        </is>
      </c>
      <c r="H79" t="inlineStr">
        <is>
          <t>生蚝乳山生蚝海蛎子顺丰包邮</t>
        </is>
      </c>
      <c r="I79" t="inlineStr">
        <is>
          <t>690c70971b787900010866cc</t>
        </is>
      </c>
      <c r="J79" t="n">
        <v>19.0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inlineStr">
        <is>
          <t/>
        </is>
      </c>
      <c r="R79" t="inlineStr">
        <is>
          <t/>
        </is>
      </c>
      <c r="S79" t="n">
        <v>0.0</v>
      </c>
      <c r="T79" t="n">
        <v>0.0</v>
      </c>
      <c r="U79" t="n">
        <v>0.0</v>
      </c>
      <c r="V79" t="n">
        <v>0.0</v>
      </c>
      <c r="W79" t="inlineStr">
        <is>
          <t/>
        </is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58.0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6.310344827586207</v>
      </c>
      <c r="AL79" t="n">
        <v>0.1388888888888889</v>
      </c>
    </row>
    <row r="80">
      <c r="A80" t="inlineStr">
        <is>
          <t>天冷了，乳山生蚝一下子全肥了不可控…</t>
        </is>
      </c>
      <c r="B80" t="inlineStr">
        <is>
          <t>69742df6000000002800b39a</t>
        </is>
      </c>
      <c r="C80" s="79" t="n">
        <f>HYPERLINK("https://www.xiaohongshu.com/explore/69742df6000000002800b39a?xsec_token=TBnOcp8R1oAalfOSidaFfKvM0LA4ImtGhKNkltd-nkG58=&amp;xsec_source=pc_trdark","https://www.xiaohongshu.com/explore/69742df6000000002800b39a?xsec_token=TBnOcp8R1oAalfOSidaFfKvM0LA4ImtGhKNkltd-nkG58=&amp;xsec_source=pc_trdark")</f>
        <v>0.0</v>
      </c>
      <c r="D80" t="inlineStr">
        <is>
          <t>鲜水湾</t>
        </is>
      </c>
      <c r="E80" t="inlineStr">
        <is>
          <t>49316638994</t>
        </is>
      </c>
      <c r="F80" t="inlineStr">
        <is>
          <t>2026-01-24 10:27:02</t>
        </is>
      </c>
      <c r="G80" t="inlineStr">
        <is>
          <t>图文</t>
        </is>
      </c>
      <c r="H80" t="inlineStr">
        <is>
          <t>生蚝乳山生蚝海蛎子顺丰包邮</t>
        </is>
      </c>
      <c r="I80" t="inlineStr">
        <is>
          <t>690c70971b787900010866cc</t>
        </is>
      </c>
      <c r="J80" t="inlineStr">
        <is>
          <t/>
        </is>
      </c>
      <c r="K80" t="n">
        <v>0.0</v>
      </c>
      <c r="L80" t="n">
        <v>0.0</v>
      </c>
      <c r="M80" t="n">
        <v>2.0</v>
      </c>
      <c r="N80" t="inlineStr">
        <is>
          <t>0.03571428571428571</t>
        </is>
      </c>
      <c r="O80" t="n">
        <v>2.0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inlineStr">
        <is>
          <t/>
        </is>
      </c>
      <c r="X80" t="n">
        <v>0.0</v>
      </c>
      <c r="Y80" t="n">
        <v>0.0</v>
      </c>
      <c r="Z80" t="n">
        <v>4.0</v>
      </c>
      <c r="AA80" t="n">
        <v>0.0</v>
      </c>
      <c r="AB80" t="n">
        <v>0.0</v>
      </c>
      <c r="AC80" t="n">
        <v>0.0</v>
      </c>
      <c r="AD80" t="n">
        <v>56.0</v>
      </c>
      <c r="AE80" t="n">
        <v>0.0</v>
      </c>
      <c r="AF80" t="n">
        <v>0.0</v>
      </c>
      <c r="AG80" t="n">
        <v>0.0</v>
      </c>
      <c r="AH80" t="n">
        <v>2.0</v>
      </c>
      <c r="AI80" t="n">
        <v>0.0</v>
      </c>
      <c r="AJ80" t="n">
        <v>0.0</v>
      </c>
      <c r="AK80" t="n">
        <v>9.482142857142858</v>
      </c>
      <c r="AL80" t="inlineStr">
        <is>
          <t/>
        </is>
      </c>
    </row>
    <row r="81">
      <c r="A81" t="inlineStr">
        <is>
          <t>感谢山东网友推荐！40+一箱的生蚝太肥了</t>
        </is>
      </c>
      <c r="B81" t="inlineStr">
        <is>
          <t>695bcd41000000000e00f3bb</t>
        </is>
      </c>
      <c r="C81" s="80" t="n">
        <f>HYPERLINK("https://www.xiaohongshu.com/explore/695bcd41000000000e00f3bb?xsec_token=TBEEVOdJitxkDWIk1imW74DtEhroG6sa0O9CDL9nMMTDc=&amp;xsec_source=pc_trdark","https://www.xiaohongshu.com/explore/695bcd41000000000e00f3bb?xsec_token=TBEEVOdJitxkDWIk1imW74DtEhroG6sa0O9CDL9nMMTDc=&amp;xsec_source=pc_trdark")</f>
        <v>0.0</v>
      </c>
      <c r="D81" t="inlineStr">
        <is>
          <t>鲜水湾</t>
        </is>
      </c>
      <c r="E81" t="inlineStr">
        <is>
          <t>49316638994</t>
        </is>
      </c>
      <c r="F81" t="inlineStr">
        <is>
          <t>2026-01-05 22:40:01</t>
        </is>
      </c>
      <c r="G81" t="inlineStr">
        <is>
          <t>图文</t>
        </is>
      </c>
      <c r="H81" t="inlineStr">
        <is>
          <t>生蚝乳山生蚝海蛎子顺丰包邮</t>
        </is>
      </c>
      <c r="I81" t="inlineStr">
        <is>
          <t>690c70971b787900010866cc</t>
        </is>
      </c>
      <c r="J81" t="inlineStr">
        <is>
          <t/>
        </is>
      </c>
      <c r="K81" t="n">
        <v>0.0</v>
      </c>
      <c r="L81" t="n">
        <v>0.0</v>
      </c>
      <c r="M81" t="n">
        <v>9.0</v>
      </c>
      <c r="N81" t="inlineStr">
        <is>
          <t>0.16981132075471697</t>
        </is>
      </c>
      <c r="O81" t="n">
        <v>8.0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inlineStr">
        <is>
          <t/>
        </is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53.0</v>
      </c>
      <c r="AE81" t="n">
        <v>0.0</v>
      </c>
      <c r="AF81" t="n">
        <v>0.0</v>
      </c>
      <c r="AG81" t="n">
        <v>2.0</v>
      </c>
      <c r="AH81" t="n">
        <v>2.0</v>
      </c>
      <c r="AI81" t="n">
        <v>0.0</v>
      </c>
      <c r="AJ81" t="n">
        <v>0.0</v>
      </c>
      <c r="AK81" t="n">
        <v>10.132075471698114</v>
      </c>
      <c r="AL81" t="inlineStr">
        <is>
          <t/>
        </is>
      </c>
    </row>
    <row r="82">
      <c r="A82" t="inlineStr">
        <is>
          <t>不要低估50💰的购买力，敞开吃吧……</t>
        </is>
      </c>
      <c r="B82" t="inlineStr">
        <is>
          <t>691c04390000000019025de9</t>
        </is>
      </c>
      <c r="C82" s="81" t="n">
        <f>HYPERLINK("https://www.xiaohongshu.com/explore/691c04390000000019025de9?xsec_token=TBIS8v-01Optb7rxCGgHk_CVmK85B0bSrdPFgldP-p7Po=&amp;xsec_source=pc_trdark","https://www.xiaohongshu.com/explore/691c04390000000019025de9?xsec_token=TBIS8v-01Optb7rxCGgHk_CVmK85B0bSrdPFgldP-p7Po=&amp;xsec_source=pc_trdark")</f>
        <v>0.0</v>
      </c>
      <c r="D82" t="inlineStr">
        <is>
          <t>婉婉上班吃什么</t>
        </is>
      </c>
      <c r="E82" t="inlineStr">
        <is>
          <t>11434449706</t>
        </is>
      </c>
      <c r="F82" t="inlineStr">
        <is>
          <t>2025-11-18 13:29:29</t>
        </is>
      </c>
      <c r="G82" t="inlineStr">
        <is>
          <t>视频</t>
        </is>
      </c>
      <c r="H82" t="inlineStr">
        <is>
          <t>生蚝乳山生蚝海蛎子顺丰包邮</t>
        </is>
      </c>
      <c r="I82" t="inlineStr">
        <is>
          <t>690c70971b787900010866cc</t>
        </is>
      </c>
      <c r="J82" t="n">
        <v>33.0</v>
      </c>
      <c r="K82" t="n">
        <v>0.0</v>
      </c>
      <c r="L82" t="n">
        <v>0.0</v>
      </c>
      <c r="M82" t="n">
        <v>2.0</v>
      </c>
      <c r="N82" t="inlineStr">
        <is>
          <t>0.043478260869565216</t>
        </is>
      </c>
      <c r="O82" t="n">
        <v>2.0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inlineStr">
        <is>
          <t/>
        </is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46.0</v>
      </c>
      <c r="AE82" t="n">
        <v>1.0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17.543478260869566</v>
      </c>
      <c r="AL82" t="n">
        <v>0.2878787878787879</v>
      </c>
    </row>
    <row r="83">
      <c r="A83" t="inlineStr">
        <is>
          <t>一个月回购3次，这冰虾口感真的赢麻了！</t>
        </is>
      </c>
      <c r="B83" t="inlineStr">
        <is>
          <t>697c460f000000000a02c1c6</t>
        </is>
      </c>
      <c r="C83" s="82" t="n">
        <f>HYPERLINK("https://www.xiaohongshu.com/explore/697c460f000000000a02c1c6?xsec_token=TBV-62_c6Sms9X18ENcOcpiIMy_WRjvnqsFur8P3OLNpw=&amp;xsec_source=pc_trdark","https://www.xiaohongshu.com/explore/697c460f000000000a02c1c6?xsec_token=TBV-62_c6Sms9X18ENcOcpiIMy_WRjvnqsFur8P3OLNpw=&amp;xsec_source=pc_trdark")</f>
        <v>0.0</v>
      </c>
      <c r="D83" t="inlineStr">
        <is>
          <t>鲜水湾甄选</t>
        </is>
      </c>
      <c r="E83" t="inlineStr">
        <is>
          <t>27401929161</t>
        </is>
      </c>
      <c r="F83" t="inlineStr">
        <is>
          <t>2026-01-30 13:47:59</t>
        </is>
      </c>
      <c r="G83" t="inlineStr">
        <is>
          <t>图文</t>
        </is>
      </c>
      <c r="H83" t="inlineStr">
        <is>
          <t>北极甜虾头籽甜虾元宝虾北极熊冰虾孕妈妈宝宝辅食顺丰</t>
        </is>
      </c>
      <c r="I83" t="inlineStr">
        <is>
          <t>6953717eb8f0bb000115158d</t>
        </is>
      </c>
      <c r="J83" t="inlineStr">
        <is>
          <t/>
        </is>
      </c>
      <c r="K83" t="n">
        <v>0.0</v>
      </c>
      <c r="L83" t="n">
        <v>0.0</v>
      </c>
      <c r="M83" t="n">
        <v>12.0</v>
      </c>
      <c r="N83" t="n">
        <v>0.2727272727272727</v>
      </c>
      <c r="O83" t="n">
        <v>8.0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inlineStr">
        <is>
          <t/>
        </is>
      </c>
      <c r="X83" t="n">
        <v>0.0</v>
      </c>
      <c r="Y83" t="n">
        <v>1.0</v>
      </c>
      <c r="Z83" t="n">
        <v>0.0</v>
      </c>
      <c r="AA83" t="n">
        <v>0.0</v>
      </c>
      <c r="AB83" t="n">
        <v>0.0</v>
      </c>
      <c r="AC83" t="n">
        <v>0.0</v>
      </c>
      <c r="AD83" t="n">
        <v>44.0</v>
      </c>
      <c r="AE83" t="n">
        <v>0.0</v>
      </c>
      <c r="AF83" t="n">
        <v>1.0</v>
      </c>
      <c r="AG83" t="n">
        <v>1.0</v>
      </c>
      <c r="AH83" t="n">
        <v>2.0</v>
      </c>
      <c r="AI83" t="n">
        <v>0.0</v>
      </c>
      <c r="AJ83" t="n">
        <v>0.0</v>
      </c>
      <c r="AK83" t="n">
        <v>6.795454545454546</v>
      </c>
      <c r="AL83" t="inlineStr">
        <is>
          <t/>
        </is>
      </c>
    </row>
    <row r="84">
      <c r="A84" t="inlineStr">
        <is>
          <t>答应我！爱吃生蚝的都去冲！</t>
        </is>
      </c>
      <c r="B84" t="inlineStr">
        <is>
          <t>694964bf000000001f00a8c5</t>
        </is>
      </c>
      <c r="C84" s="83" t="n">
        <f>HYPERLINK("https://www.xiaohongshu.com/explore/694964bf000000001f00a8c5?xsec_token=TB80OIxeN-ESXgJCMbPNqK1r9K1ZcwMPKsoAYgV3_Ewpw=&amp;xsec_source=pc_trdark","https://www.xiaohongshu.com/explore/694964bf000000001f00a8c5?xsec_token=TB80OIxeN-ESXgJCMbPNqK1r9K1ZcwMPKsoAYgV3_Ewpw=&amp;xsec_source=pc_trdark")</f>
        <v>0.0</v>
      </c>
      <c r="D84" t="inlineStr">
        <is>
          <t>鲜水湾</t>
        </is>
      </c>
      <c r="E84" t="inlineStr">
        <is>
          <t>49316638994</t>
        </is>
      </c>
      <c r="F84" t="inlineStr">
        <is>
          <t>2025-12-22 23:33:19</t>
        </is>
      </c>
      <c r="G84" t="inlineStr">
        <is>
          <t>图文</t>
        </is>
      </c>
      <c r="H84" t="inlineStr">
        <is>
          <t>生蚝乳山生蚝海蛎子顺丰包邮</t>
        </is>
      </c>
      <c r="I84" t="inlineStr">
        <is>
          <t>690c70971b787900010866cc</t>
        </is>
      </c>
      <c r="J84" t="inlineStr">
        <is>
          <t/>
        </is>
      </c>
      <c r="K84" t="n">
        <v>0.0</v>
      </c>
      <c r="L84" t="n">
        <v>0.0</v>
      </c>
      <c r="M84" t="n">
        <v>7.0</v>
      </c>
      <c r="N84" t="inlineStr">
        <is>
          <t>0.16279069767441862</t>
        </is>
      </c>
      <c r="O84" t="n">
        <v>6.0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inlineStr">
        <is>
          <t/>
        </is>
      </c>
      <c r="X84" t="n">
        <v>0.0</v>
      </c>
      <c r="Y84" t="n">
        <v>0.0</v>
      </c>
      <c r="Z84" t="n">
        <v>2.0</v>
      </c>
      <c r="AA84" t="n">
        <v>0.0</v>
      </c>
      <c r="AB84" t="n">
        <v>0.0</v>
      </c>
      <c r="AC84" t="n">
        <v>0.0</v>
      </c>
      <c r="AD84" t="n">
        <v>43.0</v>
      </c>
      <c r="AE84" t="n">
        <v>0.0</v>
      </c>
      <c r="AF84" t="n">
        <v>0.0</v>
      </c>
      <c r="AG84" t="n">
        <v>0.0</v>
      </c>
      <c r="AH84" t="n">
        <v>1.0</v>
      </c>
      <c r="AI84" t="n">
        <v>0.0</v>
      </c>
      <c r="AJ84" t="n">
        <v>0.0</v>
      </c>
      <c r="AK84" t="n">
        <v>8.348837209302326</v>
      </c>
      <c r="AL84" t="inlineStr">
        <is>
          <t/>
        </is>
      </c>
    </row>
    <row r="85">
      <c r="A85" t="inlineStr">
        <is>
          <t>被差评了😭建议吃生蚝之前看下详情</t>
        </is>
      </c>
      <c r="B85" t="inlineStr">
        <is>
          <t>693a3286000000001f004188</t>
        </is>
      </c>
      <c r="C85" s="84" t="n">
        <f>HYPERLINK("https://www.xiaohongshu.com/explore/693a3286000000001f004188?xsec_token=TBSe-eT4tPFhzXSmwZAcjHHyWS2i6TsJ7_jyXUvcozKJE=&amp;xsec_source=pc_trdark","https://www.xiaohongshu.com/explore/693a3286000000001f004188?xsec_token=TBSe-eT4tPFhzXSmwZAcjHHyWS2i6TsJ7_jyXUvcozKJE=&amp;xsec_source=pc_trdark")</f>
        <v>0.0</v>
      </c>
      <c r="D85" t="inlineStr">
        <is>
          <t>鲜水湾</t>
        </is>
      </c>
      <c r="E85" t="inlineStr">
        <is>
          <t>49316638994</t>
        </is>
      </c>
      <c r="F85" t="inlineStr">
        <is>
          <t>2025-12-11 10:55:02</t>
        </is>
      </c>
      <c r="G85" t="inlineStr">
        <is>
          <t>图文</t>
        </is>
      </c>
      <c r="H85" t="inlineStr">
        <is>
          <t>生蚝乳山生蚝海蛎子顺丰包邮</t>
        </is>
      </c>
      <c r="I85" t="inlineStr">
        <is>
          <t>690c70971b787900010866cc</t>
        </is>
      </c>
      <c r="J85" t="inlineStr">
        <is>
          <t/>
        </is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inlineStr">
        <is>
          <t/>
        </is>
      </c>
      <c r="R85" t="inlineStr">
        <is>
          <t/>
        </is>
      </c>
      <c r="S85" t="n">
        <v>0.0</v>
      </c>
      <c r="T85" t="n">
        <v>0.0</v>
      </c>
      <c r="U85" t="n">
        <v>0.0</v>
      </c>
      <c r="V85" t="n">
        <v>0.0</v>
      </c>
      <c r="W85" t="inlineStr">
        <is>
          <t/>
        </is>
      </c>
      <c r="X85" t="n">
        <v>0.0</v>
      </c>
      <c r="Y85" t="n">
        <v>0.0</v>
      </c>
      <c r="Z85" t="n">
        <v>1.0</v>
      </c>
      <c r="AA85" t="n">
        <v>0.0</v>
      </c>
      <c r="AB85" t="n">
        <v>0.0</v>
      </c>
      <c r="AC85" t="n">
        <v>0.0</v>
      </c>
      <c r="AD85" t="n">
        <v>43.0</v>
      </c>
      <c r="AE85" t="n">
        <v>0.0</v>
      </c>
      <c r="AF85" t="n">
        <v>1.0</v>
      </c>
      <c r="AG85" t="n">
        <v>0.0</v>
      </c>
      <c r="AH85" t="n">
        <v>0.0</v>
      </c>
      <c r="AI85" t="n">
        <v>0.0</v>
      </c>
      <c r="AJ85" t="n">
        <v>0.0</v>
      </c>
      <c r="AK85" t="n">
        <v>17.11627906976744</v>
      </c>
      <c r="AL85" t="inlineStr">
        <is>
          <t/>
        </is>
      </c>
    </row>
    <row r="86">
      <c r="A86" t="inlineStr">
        <is>
          <t>我爸让我赶紧宣传一下,50+一箱了！包活包肥</t>
        </is>
      </c>
      <c r="B86" t="inlineStr">
        <is>
          <t>690ea68e0000000003010d38</t>
        </is>
      </c>
      <c r="C86" s="85" t="n">
        <f>HYPERLINK("https://www.xiaohongshu.com/explore/690ea68e0000000003010d38?xsec_token=TBJajQDaP2lymAuuRX7yQPUSIuWDt-m9GrDAvbEcbHo7M=&amp;xsec_source=pc_trdark","https://www.xiaohongshu.com/explore/690ea68e0000000003010d38?xsec_token=TBJajQDaP2lymAuuRX7yQPUSIuWDt-m9GrDAvbEcbHo7M=&amp;xsec_source=pc_trdark")</f>
        <v>0.0</v>
      </c>
      <c r="D86" t="inlineStr">
        <is>
          <t>婉婉上班吃什么</t>
        </is>
      </c>
      <c r="E86" t="inlineStr">
        <is>
          <t>11434449706</t>
        </is>
      </c>
      <c r="F86" t="inlineStr">
        <is>
          <t>2025-11-08 10:10:22</t>
        </is>
      </c>
      <c r="G86" t="inlineStr">
        <is>
          <t>视频</t>
        </is>
      </c>
      <c r="H86" t="inlineStr">
        <is>
          <t>生蚝乳山生蚝海蛎子顺丰包邮</t>
        </is>
      </c>
      <c r="I86" t="inlineStr">
        <is>
          <t>690c70971b787900010866cc</t>
        </is>
      </c>
      <c r="J86" t="n">
        <v>30.0</v>
      </c>
      <c r="K86" t="n">
        <v>0.0</v>
      </c>
      <c r="L86" t="n">
        <v>0.0</v>
      </c>
      <c r="M86" t="n">
        <v>1.0</v>
      </c>
      <c r="N86" t="inlineStr">
        <is>
          <t>0.023809523809523808</t>
        </is>
      </c>
      <c r="O86" t="n">
        <v>1.0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inlineStr">
        <is>
          <t/>
        </is>
      </c>
      <c r="X86" t="n">
        <v>0.0</v>
      </c>
      <c r="Y86" t="n">
        <v>1.0</v>
      </c>
      <c r="Z86" t="n">
        <v>1.0</v>
      </c>
      <c r="AA86" t="n">
        <v>0.0</v>
      </c>
      <c r="AB86" t="n">
        <v>0.0</v>
      </c>
      <c r="AC86" t="n">
        <v>0.0</v>
      </c>
      <c r="AD86" t="n">
        <v>42.0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9.333333333333334</v>
      </c>
      <c r="AL86" t="inlineStr">
        <is>
          <t>0.12244897959183673</t>
        </is>
      </c>
    </row>
    <row r="87">
      <c r="A87" t="inlineStr">
        <is>
          <t>早八人抄作业！十分钟搞定的早餐🥣</t>
        </is>
      </c>
      <c r="B87" t="inlineStr">
        <is>
          <t>69798e47000000001a02404b</t>
        </is>
      </c>
      <c r="C87" s="86" t="n">
        <f>HYPERLINK("https://www.xiaohongshu.com/explore/69798e47000000001a02404b?xsec_token=TBDUixuchs-ppRvZ3sgkNDRQgtSfn7IWS1xiBCT8lbZ5w=&amp;xsec_source=pc_trdark","https://www.xiaohongshu.com/explore/69798e47000000001a02404b?xsec_token=TBDUixuchs-ppRvZ3sgkNDRQgtSfn7IWS1xiBCT8lbZ5w=&amp;xsec_source=pc_trdark")</f>
        <v>0.0</v>
      </c>
      <c r="D87" t="inlineStr">
        <is>
          <t>鲜水湾</t>
        </is>
      </c>
      <c r="E87" t="inlineStr">
        <is>
          <t>49316638994</t>
        </is>
      </c>
      <c r="F87" t="inlineStr">
        <is>
          <t>2026-01-28 12:19:19</t>
        </is>
      </c>
      <c r="G87" t="inlineStr">
        <is>
          <t>图文</t>
        </is>
      </c>
      <c r="H87" t="inlineStr">
        <is>
          <t>大虾基围虾王牌大虾厄瓜多尔白虾盐冻虾仁海洋大虾送礼顺丰包邮</t>
        </is>
      </c>
      <c r="I87" t="inlineStr">
        <is>
          <t>690aeb7be379430001e686ac</t>
        </is>
      </c>
      <c r="J87" t="inlineStr">
        <is>
          <t/>
        </is>
      </c>
      <c r="K87" t="n">
        <v>0.0</v>
      </c>
      <c r="L87" t="n">
        <v>0.0</v>
      </c>
      <c r="M87" t="n">
        <v>10.0</v>
      </c>
      <c r="N87" t="n">
        <v>0.2702702702702703</v>
      </c>
      <c r="O87" t="n">
        <v>6.0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inlineStr">
        <is>
          <t/>
        </is>
      </c>
      <c r="X87" t="n">
        <v>0.0</v>
      </c>
      <c r="Y87" t="n">
        <v>2.0</v>
      </c>
      <c r="Z87" t="n">
        <v>0.0</v>
      </c>
      <c r="AA87" t="n">
        <v>0.0</v>
      </c>
      <c r="AB87" t="n">
        <v>0.0</v>
      </c>
      <c r="AC87" t="n">
        <v>0.0</v>
      </c>
      <c r="AD87" t="n">
        <v>37.0</v>
      </c>
      <c r="AE87" t="n">
        <v>1.0</v>
      </c>
      <c r="AF87" t="n">
        <v>0.0</v>
      </c>
      <c r="AG87" t="n">
        <v>0.0</v>
      </c>
      <c r="AH87" t="n">
        <v>2.0</v>
      </c>
      <c r="AI87" t="n">
        <v>0.0</v>
      </c>
      <c r="AJ87" t="n">
        <v>0.0</v>
      </c>
      <c r="AK87" t="n">
        <v>11.216216216216216</v>
      </c>
      <c r="AL87" t="inlineStr">
        <is>
          <t/>
        </is>
      </c>
    </row>
    <row r="88">
      <c r="A88" t="inlineStr">
        <is>
          <t>我爸说：五斤就卖49.9，总比倒闭了强</t>
        </is>
      </c>
      <c r="B88" t="inlineStr">
        <is>
          <t>69569555000000001e036b60</t>
        </is>
      </c>
      <c r="C88" s="87" t="n">
        <f>HYPERLINK("https://www.xiaohongshu.com/explore/69569555000000001e036b60?xsec_token=TB_oVdiqQUcCQlNseLa8XT9nsvA6PkVXNgqOex2xAT6lE=&amp;xsec_source=pc_trdark","https://www.xiaohongshu.com/explore/69569555000000001e036b60?xsec_token=TB_oVdiqQUcCQlNseLa8XT9nsvA6PkVXNgqOex2xAT6lE=&amp;xsec_source=pc_trdark")</f>
        <v>0.0</v>
      </c>
      <c r="D88" t="inlineStr">
        <is>
          <t>鲜水湾</t>
        </is>
      </c>
      <c r="E88" t="inlineStr">
        <is>
          <t>49316638994</t>
        </is>
      </c>
      <c r="F88" t="inlineStr">
        <is>
          <t>2026-01-01 23:40:05</t>
        </is>
      </c>
      <c r="G88" t="inlineStr">
        <is>
          <t>图文</t>
        </is>
      </c>
      <c r="H88" t="inlineStr">
        <is>
          <t>生蚝乳山生蚝海蛎子顺丰包邮</t>
        </is>
      </c>
      <c r="I88" t="inlineStr">
        <is>
          <t>690c70971b787900010866cc</t>
        </is>
      </c>
      <c r="J88" t="inlineStr">
        <is>
          <t/>
        </is>
      </c>
      <c r="K88" t="n">
        <v>49.9</v>
      </c>
      <c r="L88" t="n">
        <v>1.0</v>
      </c>
      <c r="M88" t="n">
        <v>8.0</v>
      </c>
      <c r="N88" t="n">
        <v>0.2222222222222222</v>
      </c>
      <c r="O88" t="n">
        <v>6.0</v>
      </c>
      <c r="P88" t="n">
        <v>1.0</v>
      </c>
      <c r="Q88" t="n">
        <v>0.125</v>
      </c>
      <c r="R88" t="inlineStr">
        <is>
          <t>0.16666666666666666</t>
        </is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2.0</v>
      </c>
      <c r="Z88" t="n">
        <v>4.0</v>
      </c>
      <c r="AA88" t="n">
        <v>49.9</v>
      </c>
      <c r="AB88" t="n">
        <v>0.0</v>
      </c>
      <c r="AC88" t="n">
        <v>0.0</v>
      </c>
      <c r="AD88" t="n">
        <v>36.0</v>
      </c>
      <c r="AE88" t="n">
        <v>1.0</v>
      </c>
      <c r="AF88" t="n">
        <v>0.0</v>
      </c>
      <c r="AG88" t="n">
        <v>3.0</v>
      </c>
      <c r="AH88" t="n">
        <v>2.0</v>
      </c>
      <c r="AI88" t="n">
        <v>0.0</v>
      </c>
      <c r="AJ88" t="n">
        <v>0.0</v>
      </c>
      <c r="AK88" t="n">
        <v>5.555555555555555</v>
      </c>
      <c r="AL88" t="inlineStr">
        <is>
          <t/>
        </is>
      </c>
    </row>
    <row r="89">
      <c r="A89" t="inlineStr">
        <is>
          <t>现在的年轻人真的对40多的购买力没概念了…</t>
        </is>
      </c>
      <c r="B89" t="inlineStr">
        <is>
          <t>6953f2f4000000001f005a86</t>
        </is>
      </c>
      <c r="C89" s="88" t="n">
        <f>HYPERLINK("https://www.xiaohongshu.com/explore/6953f2f4000000001f005a86?xsec_token=TBmzMOJ_zly84G2ZjeUVNrpc1-iDtOtcbaxweQJHnAiAQ=&amp;xsec_source=pc_trdark","https://www.xiaohongshu.com/explore/6953f2f4000000001f005a86?xsec_token=TBmzMOJ_zly84G2ZjeUVNrpc1-iDtOtcbaxweQJHnAiAQ=&amp;xsec_source=pc_trdark")</f>
        <v>0.0</v>
      </c>
      <c r="D89" t="inlineStr">
        <is>
          <t>鲜水湾</t>
        </is>
      </c>
      <c r="E89" t="inlineStr">
        <is>
          <t>49316638994</t>
        </is>
      </c>
      <c r="F89" t="inlineStr">
        <is>
          <t>2025-12-30 23:42:44</t>
        </is>
      </c>
      <c r="G89" t="inlineStr">
        <is>
          <t>图文</t>
        </is>
      </c>
      <c r="H89" t="inlineStr">
        <is>
          <t>生蚝乳山生蚝海蛎子顺丰包邮</t>
        </is>
      </c>
      <c r="I89" t="inlineStr">
        <is>
          <t>690c70971b787900010866cc</t>
        </is>
      </c>
      <c r="J89" t="inlineStr">
        <is>
          <t/>
        </is>
      </c>
      <c r="K89" t="n">
        <v>0.0</v>
      </c>
      <c r="L89" t="n">
        <v>0.0</v>
      </c>
      <c r="M89" t="n">
        <v>2.0</v>
      </c>
      <c r="N89" t="inlineStr">
        <is>
          <t>0.05555555555555555</t>
        </is>
      </c>
      <c r="O89" t="n">
        <v>2.0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inlineStr">
        <is>
          <t/>
        </is>
      </c>
      <c r="X89" t="n">
        <v>0.0</v>
      </c>
      <c r="Y89" t="n">
        <v>0.0</v>
      </c>
      <c r="Z89" t="n">
        <v>2.0</v>
      </c>
      <c r="AA89" t="n">
        <v>0.0</v>
      </c>
      <c r="AB89" t="n">
        <v>0.0</v>
      </c>
      <c r="AC89" t="n">
        <v>0.0</v>
      </c>
      <c r="AD89" t="n">
        <v>36.0</v>
      </c>
      <c r="AE89" t="n">
        <v>0.0</v>
      </c>
      <c r="AF89" t="n">
        <v>0.0</v>
      </c>
      <c r="AG89" t="n">
        <v>2.0</v>
      </c>
      <c r="AH89" t="n">
        <v>0.0</v>
      </c>
      <c r="AI89" t="n">
        <v>0.0</v>
      </c>
      <c r="AJ89" t="n">
        <v>0.0</v>
      </c>
      <c r="AK89" t="n">
        <v>6.555555555555555</v>
      </c>
      <c r="AL89" t="inlineStr">
        <is>
          <t/>
        </is>
      </c>
    </row>
    <row r="90">
      <c r="A90" t="inlineStr">
        <is>
          <t>不愧是山东出品！生蚝都和馒头一样大</t>
        </is>
      </c>
      <c r="B90" t="inlineStr">
        <is>
          <t>694a3970000000001e024667</t>
        </is>
      </c>
      <c r="C90" s="89" t="n">
        <f>HYPERLINK("https://www.xiaohongshu.com/explore/694a3970000000001e024667?xsec_token=TBdeZ0Rm1wYmDrNYnjdb_05qHdJwThHLkuOp5qppMagFA=&amp;xsec_source=pc_trdark","https://www.xiaohongshu.com/explore/694a3970000000001e024667?xsec_token=TBdeZ0Rm1wYmDrNYnjdb_05qHdJwThHLkuOp5qppMagFA=&amp;xsec_source=pc_trdark")</f>
        <v>0.0</v>
      </c>
      <c r="D90" t="inlineStr">
        <is>
          <t>鲜水湾</t>
        </is>
      </c>
      <c r="E90" t="inlineStr">
        <is>
          <t>49316638994</t>
        </is>
      </c>
      <c r="F90" t="inlineStr">
        <is>
          <t>2025-12-23 14:40:48</t>
        </is>
      </c>
      <c r="G90" t="inlineStr">
        <is>
          <t>图文</t>
        </is>
      </c>
      <c r="H90" t="inlineStr">
        <is>
          <t>生蚝乳山生蚝海蛎子顺丰包邮</t>
        </is>
      </c>
      <c r="I90" t="inlineStr">
        <is>
          <t>690c70971b787900010866cc</t>
        </is>
      </c>
      <c r="J90" t="inlineStr">
        <is>
          <t/>
        </is>
      </c>
      <c r="K90" t="n">
        <v>0.0</v>
      </c>
      <c r="L90" t="n">
        <v>0.0</v>
      </c>
      <c r="M90" t="n">
        <v>7.0</v>
      </c>
      <c r="N90" t="inlineStr">
        <is>
          <t>0.19444444444444445</t>
        </is>
      </c>
      <c r="O90" t="n">
        <v>6.0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inlineStr">
        <is>
          <t/>
        </is>
      </c>
      <c r="X90" t="n">
        <v>0.0</v>
      </c>
      <c r="Y90" t="n">
        <v>0.0</v>
      </c>
      <c r="Z90" t="n">
        <v>1.0</v>
      </c>
      <c r="AA90" t="n">
        <v>0.0</v>
      </c>
      <c r="AB90" t="n">
        <v>0.0</v>
      </c>
      <c r="AC90" t="n">
        <v>0.0</v>
      </c>
      <c r="AD90" t="n">
        <v>36.0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9.86111111111111</v>
      </c>
      <c r="AL90" t="inlineStr">
        <is>
          <t/>
        </is>
      </c>
    </row>
    <row r="91">
      <c r="A91" t="inlineStr">
        <is>
          <t>三文鱼补蛋白质比牛肉还猛，整条才300多…</t>
        </is>
      </c>
      <c r="B91" t="inlineStr">
        <is>
          <t>6978cf1c000000000e00df74</t>
        </is>
      </c>
      <c r="C91" s="90" t="n">
        <f>HYPERLINK("https://www.xiaohongshu.com/explore/6978cf1c000000000e00df74?xsec_token=TB4uixe4FoDg0vEpIlbspmipHM29uc79_xYphutBinVZY=&amp;xsec_source=pc_trdark","https://www.xiaohongshu.com/explore/6978cf1c000000000e00df74?xsec_token=TB4uixe4FoDg0vEpIlbspmipHM29uc79_xYphutBinVZY=&amp;xsec_source=pc_trdark")</f>
        <v>0.0</v>
      </c>
      <c r="D91" t="inlineStr">
        <is>
          <t>鲜水湾</t>
        </is>
      </c>
      <c r="E91" t="inlineStr">
        <is>
          <t>49316638994</t>
        </is>
      </c>
      <c r="F91" t="inlineStr">
        <is>
          <t>2026-01-27 22:43:40</t>
        </is>
      </c>
      <c r="G91" t="inlineStr">
        <is>
          <t>图文</t>
        </is>
      </c>
      <c r="H91" t="inlineStr">
        <is>
          <t>智利三文鱼切块·整条三文鱼·深海鱼一人食健康饮食</t>
        </is>
      </c>
      <c r="I91" t="inlineStr">
        <is>
          <t>691ac562a524ee0001b51d7b</t>
        </is>
      </c>
      <c r="J91" t="inlineStr">
        <is>
          <t/>
        </is>
      </c>
      <c r="K91" t="n">
        <v>0.0</v>
      </c>
      <c r="L91" t="n">
        <v>0.0</v>
      </c>
      <c r="M91" t="n">
        <v>9.0</v>
      </c>
      <c r="N91" t="n">
        <v>0.2571428571428571</v>
      </c>
      <c r="O91" t="n">
        <v>4.0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inlineStr">
        <is>
          <t/>
        </is>
      </c>
      <c r="X91" t="n">
        <v>0.0</v>
      </c>
      <c r="Y91" t="n">
        <v>1.0</v>
      </c>
      <c r="Z91" t="n">
        <v>1.0</v>
      </c>
      <c r="AA91" t="n">
        <v>0.0</v>
      </c>
      <c r="AB91" t="n">
        <v>0.0</v>
      </c>
      <c r="AC91" t="n">
        <v>0.0</v>
      </c>
      <c r="AD91" t="n">
        <v>35.0</v>
      </c>
      <c r="AE91" t="n">
        <v>0.0</v>
      </c>
      <c r="AF91" t="n">
        <v>0.0</v>
      </c>
      <c r="AG91" t="n">
        <v>0.0</v>
      </c>
      <c r="AH91" t="n">
        <v>2.0</v>
      </c>
      <c r="AI91" t="n">
        <v>0.0</v>
      </c>
      <c r="AJ91" t="n">
        <v>0.0</v>
      </c>
      <c r="AK91" t="n">
        <v>11.514285714285714</v>
      </c>
      <c r="AL91" t="inlineStr">
        <is>
          <t/>
        </is>
      </c>
    </row>
    <row r="92">
      <c r="A92" t="inlineStr">
        <is>
          <t>区区300多承包了我一个月的减脂餐</t>
        </is>
      </c>
      <c r="B92" t="inlineStr">
        <is>
          <t>6957e73c000000001f00d9de</t>
        </is>
      </c>
      <c r="C92" s="91" t="n">
        <f>HYPERLINK("https://www.xiaohongshu.com/explore/6957e73c000000001f00d9de?xsec_token=TBhUA1uFx5IoVoBZdOr3ZJfSYhCUQQhi1UCWoJJtqs1Kw=&amp;xsec_source=pc_trdark","https://www.xiaohongshu.com/explore/6957e73c000000001f00d9de?xsec_token=TBhUA1uFx5IoVoBZdOr3ZJfSYhCUQQhi1UCWoJJtqs1Kw=&amp;xsec_source=pc_trdark")</f>
        <v>0.0</v>
      </c>
      <c r="D92" t="inlineStr">
        <is>
          <t>鲜水湾</t>
        </is>
      </c>
      <c r="E92" t="inlineStr">
        <is>
          <t>49316638994</t>
        </is>
      </c>
      <c r="F92" t="inlineStr">
        <is>
          <t>2026-01-02 23:41:48</t>
        </is>
      </c>
      <c r="G92" t="inlineStr">
        <is>
          <t>图文</t>
        </is>
      </c>
      <c r="H92" t="inlineStr">
        <is>
          <t>智利三文鱼切块·整条三文鱼·深海鱼一人食健康饮食</t>
        </is>
      </c>
      <c r="I92" t="inlineStr">
        <is>
          <t>691ac562a524ee0001b51d7b</t>
        </is>
      </c>
      <c r="J92" t="inlineStr">
        <is>
          <t/>
        </is>
      </c>
      <c r="K92" t="n">
        <v>0.0</v>
      </c>
      <c r="L92" t="n">
        <v>0.0</v>
      </c>
      <c r="M92" t="n">
        <v>9.0</v>
      </c>
      <c r="N92" t="n">
        <v>0.2571428571428571</v>
      </c>
      <c r="O92" t="n">
        <v>9.0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inlineStr">
        <is>
          <t/>
        </is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35.0</v>
      </c>
      <c r="AE92" t="n">
        <v>1.0</v>
      </c>
      <c r="AF92" t="n">
        <v>0.0</v>
      </c>
      <c r="AG92" t="n">
        <v>2.0</v>
      </c>
      <c r="AH92" t="n">
        <v>1.0</v>
      </c>
      <c r="AI92" t="n">
        <v>0.0</v>
      </c>
      <c r="AJ92" t="n">
        <v>0.0</v>
      </c>
      <c r="AK92" t="n">
        <v>8.0</v>
      </c>
      <c r="AL92" t="inlineStr">
        <is>
          <t/>
        </is>
      </c>
    </row>
    <row r="93">
      <c r="A93" t="inlineStr">
        <is>
          <t>山东朋友认证的‼️巨好吃～</t>
        </is>
      </c>
      <c r="B93" t="inlineStr">
        <is>
          <t>6951220e000000001e02bad7</t>
        </is>
      </c>
      <c r="C93" s="92" t="n">
        <f>HYPERLINK("https://www.xiaohongshu.com/explore/6951220e000000001e02bad7?xsec_token=TB_qEjSZ7tEjw02EUjImJj3TMSH6zeJgcwx7pATniN9JM=&amp;xsec_source=pc_trdark","https://www.xiaohongshu.com/explore/6951220e000000001e02bad7?xsec_token=TB_qEjSZ7tEjw02EUjImJj3TMSH6zeJgcwx7pATniN9JM=&amp;xsec_source=pc_trdark")</f>
        <v>0.0</v>
      </c>
      <c r="D93" t="inlineStr">
        <is>
          <t>鲜水湾</t>
        </is>
      </c>
      <c r="E93" t="inlineStr">
        <is>
          <t>49316638994</t>
        </is>
      </c>
      <c r="F93" t="inlineStr">
        <is>
          <t>2025-12-28 20:26:54</t>
        </is>
      </c>
      <c r="G93" t="inlineStr">
        <is>
          <t>图文</t>
        </is>
      </c>
      <c r="H93" t="inlineStr">
        <is>
          <t>生蚝乳山生蚝海蛎子顺丰包邮</t>
        </is>
      </c>
      <c r="I93" t="inlineStr">
        <is>
          <t>690c70971b787900010866cc</t>
        </is>
      </c>
      <c r="J93" t="inlineStr">
        <is>
          <t/>
        </is>
      </c>
      <c r="K93" t="n">
        <v>0.0</v>
      </c>
      <c r="L93" t="n">
        <v>0.0</v>
      </c>
      <c r="M93" t="n">
        <v>5.0</v>
      </c>
      <c r="N93" t="inlineStr">
        <is>
          <t>0.14285714285714285</t>
        </is>
      </c>
      <c r="O93" t="n">
        <v>5.0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inlineStr">
        <is>
          <t/>
        </is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35.0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8.257142857142858</v>
      </c>
      <c r="AL93" t="inlineStr">
        <is>
          <t/>
        </is>
      </c>
    </row>
    <row r="94">
      <c r="A94" t="inlineStr">
        <is>
          <t>月掉10斤的秘诀～原来都在这个三文鱼身上</t>
        </is>
      </c>
      <c r="B94" t="inlineStr">
        <is>
          <t>693935cf000000001e02bdfb</t>
        </is>
      </c>
      <c r="C94" s="93" t="n">
        <f>HYPERLINK("https://www.xiaohongshu.com/explore/693935cf000000001e02bdfb?xsec_token=TBaopk6NP1Kn3Gui1O5R_ovsTnM_jal7Uk8AmCVptIfvw=&amp;xsec_source=pc_trdark","https://www.xiaohongshu.com/explore/693935cf000000001e02bdfb?xsec_token=TBaopk6NP1Kn3Gui1O5R_ovsTnM_jal7Uk8AmCVptIfvw=&amp;xsec_source=pc_trdark")</f>
        <v>0.0</v>
      </c>
      <c r="D94" t="inlineStr">
        <is>
          <t>鲜水湾</t>
        </is>
      </c>
      <c r="E94" t="inlineStr">
        <is>
          <t>49316638994</t>
        </is>
      </c>
      <c r="F94" t="inlineStr">
        <is>
          <t>2025-12-10 16:56:47</t>
        </is>
      </c>
      <c r="G94" t="inlineStr">
        <is>
          <t>图文</t>
        </is>
      </c>
      <c r="H94" t="inlineStr">
        <is>
          <t>智利三文鱼切块·整条三文鱼·深海鱼一人食健康饮食</t>
        </is>
      </c>
      <c r="I94" t="inlineStr">
        <is>
          <t>691ac562a524ee0001b51d7b</t>
        </is>
      </c>
      <c r="J94" t="inlineStr">
        <is>
          <t/>
        </is>
      </c>
      <c r="K94" t="n">
        <v>0.0</v>
      </c>
      <c r="L94" t="n">
        <v>0.0</v>
      </c>
      <c r="M94" t="n">
        <v>4.0</v>
      </c>
      <c r="N94" t="inlineStr">
        <is>
          <t>0.11764705882352941</t>
        </is>
      </c>
      <c r="O94" t="n">
        <v>4.0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inlineStr">
        <is>
          <t/>
        </is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34.0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7.705882352941177</v>
      </c>
      <c r="AL94" t="inlineStr">
        <is>
          <t/>
        </is>
      </c>
    </row>
    <row r="95">
      <c r="A95" t="inlineStr">
        <is>
          <t>以为69没多少，但一盒够我吃一周的了🥹</t>
        </is>
      </c>
      <c r="B95" t="inlineStr">
        <is>
          <t>69787b64000000001a02d584</t>
        </is>
      </c>
      <c r="C95" s="94" t="n">
        <f>HYPERLINK("https://www.xiaohongshu.com/explore/69787b64000000001a02d584?xsec_token=TB4uixe4FoDg0vEpIlbspmiiDHdct7wttXqXSRfpGWphA=&amp;xsec_source=pc_trdark","https://www.xiaohongshu.com/explore/69787b64000000001a02d584?xsec_token=TB4uixe4FoDg0vEpIlbspmiiDHdct7wttXqXSRfpGWphA=&amp;xsec_source=pc_trdark")</f>
        <v>0.0</v>
      </c>
      <c r="D95" t="inlineStr">
        <is>
          <t>鲜水湾</t>
        </is>
      </c>
      <c r="E95" t="inlineStr">
        <is>
          <t>49316638994</t>
        </is>
      </c>
      <c r="F95" t="inlineStr">
        <is>
          <t>2026-01-27 16:46:28</t>
        </is>
      </c>
      <c r="G95" t="inlineStr">
        <is>
          <t>图文</t>
        </is>
      </c>
      <c r="H95" t="inlineStr">
        <is>
          <t>王牌大虾鲜冻大虾厄瓜多尔白虾盐冻大虾年货过年送礼顺丰包邮</t>
        </is>
      </c>
      <c r="I95" t="inlineStr">
        <is>
          <t>69782738eb0d9a0001cd8a32</t>
        </is>
      </c>
      <c r="J95" t="inlineStr">
        <is>
          <t/>
        </is>
      </c>
      <c r="K95" t="n">
        <v>0.0</v>
      </c>
      <c r="L95" t="n">
        <v>0.0</v>
      </c>
      <c r="M95" t="n">
        <v>11.0</v>
      </c>
      <c r="N95" t="n">
        <v>0.3333333333333333</v>
      </c>
      <c r="O95" t="n">
        <v>8.0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inlineStr">
        <is>
          <t/>
        </is>
      </c>
      <c r="X95" t="n">
        <v>0.0</v>
      </c>
      <c r="Y95" t="n">
        <v>2.0</v>
      </c>
      <c r="Z95" t="n">
        <v>1.0</v>
      </c>
      <c r="AA95" t="n">
        <v>0.0</v>
      </c>
      <c r="AB95" t="n">
        <v>0.0</v>
      </c>
      <c r="AC95" t="n">
        <v>0.0</v>
      </c>
      <c r="AD95" t="n">
        <v>33.0</v>
      </c>
      <c r="AE95" t="n">
        <v>0.0</v>
      </c>
      <c r="AF95" t="n">
        <v>1.0</v>
      </c>
      <c r="AG95" t="n">
        <v>0.0</v>
      </c>
      <c r="AH95" t="n">
        <v>2.0</v>
      </c>
      <c r="AI95" t="n">
        <v>0.0</v>
      </c>
      <c r="AJ95" t="n">
        <v>0.0</v>
      </c>
      <c r="AK95" t="n">
        <v>10.393939393939394</v>
      </c>
      <c r="AL95" t="inlineStr">
        <is>
          <t/>
        </is>
      </c>
    </row>
    <row r="96">
      <c r="A96" t="inlineStr">
        <is>
          <t>懂事的姐妹已经给男朋友安排起来了......</t>
        </is>
      </c>
      <c r="B96" t="inlineStr">
        <is>
          <t>6912caf4000000000301ad06</t>
        </is>
      </c>
      <c r="C96" s="95" t="n">
        <f>HYPERLINK("https://www.xiaohongshu.com/explore/6912caf4000000000301ad06?xsec_token=TBnZN0DmKGIQMnPXPN25j7p5Y62lX9J2JSUhOPF9i86vE=&amp;xsec_source=pc_trdark","https://www.xiaohongshu.com/explore/6912caf4000000000301ad06?xsec_token=TBnZN0DmKGIQMnPXPN25j7p5Y62lX9J2JSUhOPF9i86vE=&amp;xsec_source=pc_trdark")</f>
        <v>0.0</v>
      </c>
      <c r="D96" t="inlineStr">
        <is>
          <t>婉婉上班吃什么</t>
        </is>
      </c>
      <c r="E96" t="inlineStr">
        <is>
          <t>11434449706</t>
        </is>
      </c>
      <c r="F96" t="inlineStr">
        <is>
          <t>2025-11-11 13:34:44</t>
        </is>
      </c>
      <c r="G96" t="inlineStr">
        <is>
          <t>视频</t>
        </is>
      </c>
      <c r="H96" t="inlineStr">
        <is>
          <t>生蚝乳山生蚝海蛎子顺丰包邮</t>
        </is>
      </c>
      <c r="I96" t="inlineStr">
        <is>
          <t>690c70971b787900010866cc</t>
        </is>
      </c>
      <c r="J96" t="n">
        <v>24.0</v>
      </c>
      <c r="K96" t="n">
        <v>59.9</v>
      </c>
      <c r="L96" t="n">
        <v>1.0</v>
      </c>
      <c r="M96" t="n">
        <v>1.0</v>
      </c>
      <c r="N96" t="inlineStr">
        <is>
          <t>0.030303030303030304</t>
        </is>
      </c>
      <c r="O96" t="n">
        <v>1.0</v>
      </c>
      <c r="P96" t="n">
        <v>1.0</v>
      </c>
      <c r="Q96" t="n">
        <v>1.0</v>
      </c>
      <c r="R96" t="n">
        <v>1.0</v>
      </c>
      <c r="S96" t="n">
        <v>59.9</v>
      </c>
      <c r="T96" t="n">
        <v>1.0</v>
      </c>
      <c r="U96" t="n">
        <v>1.0</v>
      </c>
      <c r="V96" t="n">
        <v>59.9</v>
      </c>
      <c r="W96" t="n">
        <v>1.0</v>
      </c>
      <c r="X96" t="n">
        <v>1.0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33.0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5.636363636363637</v>
      </c>
      <c r="AL96" t="inlineStr">
        <is>
          <t>0.05263157894736842</t>
        </is>
      </c>
    </row>
    <row r="97">
      <c r="A97" t="inlineStr">
        <is>
          <t>我妈让我赶紧宣传一下40多一箱了‼️包活包肥</t>
        </is>
      </c>
      <c r="B97" t="inlineStr">
        <is>
          <t>697391e8000000001a024cb4</t>
        </is>
      </c>
      <c r="C97" s="96" t="n">
        <f>HYPERLINK("https://www.xiaohongshu.com/explore/697391e8000000001a024cb4?xsec_token=TBK07qywxRjCZuuyJUweFeX78HomRTj3dyX-Jx-RO2FF0=&amp;xsec_source=pc_trdark","https://www.xiaohongshu.com/explore/697391e8000000001a024cb4?xsec_token=TBK07qywxRjCZuuyJUweFeX78HomRTj3dyX-Jx-RO2FF0=&amp;xsec_source=pc_trdark")</f>
        <v>0.0</v>
      </c>
      <c r="D97" t="inlineStr">
        <is>
          <t>鲜水湾</t>
        </is>
      </c>
      <c r="E97" t="inlineStr">
        <is>
          <t>49316638994</t>
        </is>
      </c>
      <c r="F97" t="inlineStr">
        <is>
          <t>2026-01-23 23:21:12</t>
        </is>
      </c>
      <c r="G97" t="inlineStr">
        <is>
          <t>图文</t>
        </is>
      </c>
      <c r="H97" t="inlineStr">
        <is>
          <t>生蚝乳山生蚝海蛎子顺丰包邮</t>
        </is>
      </c>
      <c r="I97" t="inlineStr">
        <is>
          <t>690c70971b787900010866cc</t>
        </is>
      </c>
      <c r="J97" t="inlineStr">
        <is>
          <t/>
        </is>
      </c>
      <c r="K97" t="n">
        <v>0.0</v>
      </c>
      <c r="L97" t="n">
        <v>0.0</v>
      </c>
      <c r="M97" t="n">
        <v>7.0</v>
      </c>
      <c r="N97" t="inlineStr">
        <is>
          <t>0.23333333333333334</t>
        </is>
      </c>
      <c r="O97" t="n">
        <v>4.0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inlineStr">
        <is>
          <t/>
        </is>
      </c>
      <c r="X97" t="n">
        <v>0.0</v>
      </c>
      <c r="Y97" t="n">
        <v>0.0</v>
      </c>
      <c r="Z97" t="n">
        <v>1.0</v>
      </c>
      <c r="AA97" t="n">
        <v>0.0</v>
      </c>
      <c r="AB97" t="n">
        <v>0.0</v>
      </c>
      <c r="AC97" t="n">
        <v>0.0</v>
      </c>
      <c r="AD97" t="n">
        <v>30.0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13.7</v>
      </c>
      <c r="AL97" t="inlineStr">
        <is>
          <t/>
        </is>
      </c>
    </row>
    <row r="98">
      <c r="A98" t="inlineStr">
        <is>
          <t>16+8吃了两周水煮虾后……</t>
        </is>
      </c>
      <c r="B98" t="inlineStr">
        <is>
          <t>6979c73c000000001a0353a3</t>
        </is>
      </c>
      <c r="C98" s="97" t="n">
        <f>HYPERLINK("https://www.xiaohongshu.com/explore/6979c73c000000001a0353a3?xsec_token=TBDUixuchs-ppRvZ3sgkNDRag-dx37KfzlBoxZ7TWicHs=&amp;xsec_source=pc_trdark","https://www.xiaohongshu.com/explore/6979c73c000000001a0353a3?xsec_token=TBDUixuchs-ppRvZ3sgkNDRag-dx37KfzlBoxZ7TWicHs=&amp;xsec_source=pc_trdark")</f>
        <v>0.0</v>
      </c>
      <c r="D98" t="inlineStr">
        <is>
          <t>鲜水湾</t>
        </is>
      </c>
      <c r="E98" t="inlineStr">
        <is>
          <t>49316638994</t>
        </is>
      </c>
      <c r="F98" t="inlineStr">
        <is>
          <t>2026-01-28 16:22:20</t>
        </is>
      </c>
      <c r="G98" t="inlineStr">
        <is>
          <t>图文</t>
        </is>
      </c>
      <c r="H98" t="inlineStr">
        <is>
          <t>大虾基围虾王牌大虾厄瓜多尔白虾盐冻虾仁海洋大虾送礼顺丰包邮</t>
        </is>
      </c>
      <c r="I98" t="inlineStr">
        <is>
          <t>690aeb7be379430001e686ac</t>
        </is>
      </c>
      <c r="J98" t="inlineStr">
        <is>
          <t/>
        </is>
      </c>
      <c r="K98" t="n">
        <v>0.0</v>
      </c>
      <c r="L98" t="n">
        <v>0.0</v>
      </c>
      <c r="M98" t="n">
        <v>4.0</v>
      </c>
      <c r="N98" t="inlineStr">
        <is>
          <t>0.13793103448275862</t>
        </is>
      </c>
      <c r="O98" t="n">
        <v>4.0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inlineStr">
        <is>
          <t/>
        </is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29.0</v>
      </c>
      <c r="AE98" t="n">
        <v>0.0</v>
      </c>
      <c r="AF98" t="n">
        <v>0.0</v>
      </c>
      <c r="AG98" t="n">
        <v>0.0</v>
      </c>
      <c r="AH98" t="n">
        <v>2.0</v>
      </c>
      <c r="AI98" t="n">
        <v>0.0</v>
      </c>
      <c r="AJ98" t="n">
        <v>0.0</v>
      </c>
      <c r="AK98" t="n">
        <v>4.068965517241379</v>
      </c>
      <c r="AL98" t="inlineStr">
        <is>
          <t/>
        </is>
      </c>
    </row>
    <row r="99">
      <c r="A99" t="inlineStr">
        <is>
          <t>69💰3斤还发顺丰！很难不买单</t>
        </is>
      </c>
      <c r="B99" t="inlineStr">
        <is>
          <t>697817a7000000000d0088a5</t>
        </is>
      </c>
      <c r="C99" s="98" t="n">
        <f>HYPERLINK("https://www.xiaohongshu.com/explore/697817a7000000000d0088a5?xsec_token=TB4uixe4FoDg0vEpIlbspmijOtEZY7JMlMJAU-i5IDNE0=&amp;xsec_source=pc_trdark","https://www.xiaohongshu.com/explore/697817a7000000000d0088a5?xsec_token=TB4uixe4FoDg0vEpIlbspmijOtEZY7JMlMJAU-i5IDNE0=&amp;xsec_source=pc_trdark")</f>
        <v>0.0</v>
      </c>
      <c r="D99" t="inlineStr">
        <is>
          <t>鲜水湾</t>
        </is>
      </c>
      <c r="E99" t="inlineStr">
        <is>
          <t>49316638994</t>
        </is>
      </c>
      <c r="F99" t="inlineStr">
        <is>
          <t>2026-01-27 09:40:55</t>
        </is>
      </c>
      <c r="G99" t="inlineStr">
        <is>
          <t>图文</t>
        </is>
      </c>
      <c r="H99" t="inlineStr">
        <is>
          <t>大虾基围虾王牌大虾厄瓜多尔白虾盐冻虾仁海洋大虾送礼顺丰包邮</t>
        </is>
      </c>
      <c r="I99" t="inlineStr">
        <is>
          <t>690aeb7be379430001e686ac</t>
        </is>
      </c>
      <c r="J99" t="inlineStr">
        <is>
          <t/>
        </is>
      </c>
      <c r="K99" t="n">
        <v>0.0</v>
      </c>
      <c r="L99" t="n">
        <v>0.0</v>
      </c>
      <c r="M99" t="n">
        <v>9.0</v>
      </c>
      <c r="N99" t="n">
        <v>0.3103448275862069</v>
      </c>
      <c r="O99" t="n">
        <v>7.0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inlineStr">
        <is>
          <t/>
        </is>
      </c>
      <c r="X99" t="n">
        <v>0.0</v>
      </c>
      <c r="Y99" t="n">
        <v>3.0</v>
      </c>
      <c r="Z99" t="n">
        <v>9.0</v>
      </c>
      <c r="AA99" t="n">
        <v>0.0</v>
      </c>
      <c r="AB99" t="n">
        <v>0.0</v>
      </c>
      <c r="AC99" t="n">
        <v>0.0</v>
      </c>
      <c r="AD99" t="n">
        <v>29.0</v>
      </c>
      <c r="AE99" t="n">
        <v>1.0</v>
      </c>
      <c r="AF99" t="n">
        <v>0.0</v>
      </c>
      <c r="AG99" t="n">
        <v>0.0</v>
      </c>
      <c r="AH99" t="n">
        <v>1.0</v>
      </c>
      <c r="AI99" t="n">
        <v>0.0</v>
      </c>
      <c r="AJ99" t="n">
        <v>0.0</v>
      </c>
      <c r="AK99" t="n">
        <v>12.0</v>
      </c>
      <c r="AL99" t="inlineStr">
        <is>
          <t/>
        </is>
      </c>
    </row>
    <row r="100">
      <c r="A100" t="inlineStr">
        <is>
          <t>在小红书买的😭在家就轻松复刻的日料大餐</t>
        </is>
      </c>
      <c r="B100" t="inlineStr">
        <is>
          <t>693580e4000000001e03479d</t>
        </is>
      </c>
      <c r="C100" s="99" t="n">
        <f>HYPERLINK("https://www.xiaohongshu.com/explore/693580e4000000001e03479d?xsec_token=TBVD2oNyykPWo5AeaDpfHB-rG1MeWtLMy1MHy2g2_Zb0o=&amp;xsec_source=pc_trdark","https://www.xiaohongshu.com/explore/693580e4000000001e03479d?xsec_token=TBVD2oNyykPWo5AeaDpfHB-rG1MeWtLMy1MHy2g2_Zb0o=&amp;xsec_source=pc_trdark")</f>
        <v>0.0</v>
      </c>
      <c r="D100" t="inlineStr">
        <is>
          <t>鲜水湾</t>
        </is>
      </c>
      <c r="E100" t="inlineStr">
        <is>
          <t>49316638994</t>
        </is>
      </c>
      <c r="F100" t="inlineStr">
        <is>
          <t>2025-12-07 21:28:04</t>
        </is>
      </c>
      <c r="G100" t="inlineStr">
        <is>
          <t>图文</t>
        </is>
      </c>
      <c r="H100" t="inlineStr">
        <is>
          <t>智利三文鱼切块·整条三文鱼·深海鱼一人食健康饮食</t>
        </is>
      </c>
      <c r="I100" t="inlineStr">
        <is>
          <t>691ac562a524ee0001b51d7b</t>
        </is>
      </c>
      <c r="J100" t="inlineStr">
        <is>
          <t/>
        </is>
      </c>
      <c r="K100" t="n">
        <v>0.0</v>
      </c>
      <c r="L100" t="n">
        <v>0.0</v>
      </c>
      <c r="M100" t="n">
        <v>2.0</v>
      </c>
      <c r="N100" t="inlineStr">
        <is>
          <t>0.07142857142857142</t>
        </is>
      </c>
      <c r="O100" t="n">
        <v>2.0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inlineStr">
        <is>
          <t/>
        </is>
      </c>
      <c r="X100" t="n">
        <v>0.0</v>
      </c>
      <c r="Y100" t="n">
        <v>0.0</v>
      </c>
      <c r="Z100" t="n">
        <v>1.0</v>
      </c>
      <c r="AA100" t="n">
        <v>0.0</v>
      </c>
      <c r="AB100" t="n">
        <v>0.0</v>
      </c>
      <c r="AC100" t="n">
        <v>0.0</v>
      </c>
      <c r="AD100" t="n">
        <v>28.0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10.571428571428571</v>
      </c>
      <c r="AL100" t="inlineStr">
        <is>
          <t/>
        </is>
      </c>
    </row>
    <row r="101">
      <c r="A101" t="inlineStr">
        <is>
          <t>在小红书买的！真的很大</t>
        </is>
      </c>
      <c r="B101" t="inlineStr">
        <is>
          <t>6933f4de000000001e038f25</t>
        </is>
      </c>
      <c r="C101" s="100" t="n">
        <f>HYPERLINK("https://www.xiaohongshu.com/explore/6933f4de000000001e038f25?xsec_token=TBtLw60d0rN_yGhfj7_ewzhaErhxGeKt1pf82ET8B8U6M=&amp;xsec_source=pc_trdark","https://www.xiaohongshu.com/explore/6933f4de000000001e038f25?xsec_token=TBtLw60d0rN_yGhfj7_ewzhaErhxGeKt1pf82ET8B8U6M=&amp;xsec_source=pc_trdark")</f>
        <v>0.0</v>
      </c>
      <c r="D101" t="inlineStr">
        <is>
          <t>鲜水湾</t>
        </is>
      </c>
      <c r="E101" t="inlineStr">
        <is>
          <t>49316638994</t>
        </is>
      </c>
      <c r="F101" t="inlineStr">
        <is>
          <t>2025-12-06 17:18:22</t>
        </is>
      </c>
      <c r="G101" t="inlineStr">
        <is>
          <t>图文</t>
        </is>
      </c>
      <c r="H101" t="inlineStr">
        <is>
          <t>智利三文鱼切块·整条三文鱼·深海鱼一人食健康饮食</t>
        </is>
      </c>
      <c r="I101" t="inlineStr">
        <is>
          <t>691ac562a524ee0001b51d7b</t>
        </is>
      </c>
      <c r="J101" t="inlineStr">
        <is>
          <t/>
        </is>
      </c>
      <c r="K101" t="n">
        <v>0.0</v>
      </c>
      <c r="L101" t="n">
        <v>0.0</v>
      </c>
      <c r="M101" t="n">
        <v>9.0</v>
      </c>
      <c r="N101" t="inlineStr">
        <is>
          <t>0.32142857142857145</t>
        </is>
      </c>
      <c r="O101" t="n">
        <v>8.0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inlineStr">
        <is>
          <t/>
        </is>
      </c>
      <c r="X101" t="n">
        <v>0.0</v>
      </c>
      <c r="Y101" t="n">
        <v>2.0</v>
      </c>
      <c r="Z101" t="n">
        <v>0.0</v>
      </c>
      <c r="AA101" t="n">
        <v>0.0</v>
      </c>
      <c r="AB101" t="n">
        <v>0.0</v>
      </c>
      <c r="AC101" t="n">
        <v>0.0</v>
      </c>
      <c r="AD101" t="n">
        <v>28.0</v>
      </c>
      <c r="AE101" t="n">
        <v>1.0</v>
      </c>
      <c r="AF101" t="n">
        <v>0.0</v>
      </c>
      <c r="AG101" t="n">
        <v>0.0</v>
      </c>
      <c r="AH101" t="n">
        <v>1.0</v>
      </c>
      <c r="AI101" t="n">
        <v>0.0</v>
      </c>
      <c r="AJ101" t="n">
        <v>0.0</v>
      </c>
      <c r="AK101" t="n">
        <v>15.571428571428571</v>
      </c>
      <c r="AL101" t="inlineStr">
        <is>
          <t/>
        </is>
      </c>
    </row>
    <row r="102">
      <c r="A102" t="inlineStr">
        <is>
          <t>千万别小看300块的购买力！</t>
        </is>
      </c>
      <c r="B102" t="inlineStr">
        <is>
          <t>697c8086000000001a01c2f5</t>
        </is>
      </c>
      <c r="C102" s="101" t="n">
        <f>HYPERLINK("https://www.xiaohongshu.com/explore/697c8086000000001a01c2f5?xsec_token=TBV-62_c6Sms9X18ENcOcpiMePbi1gQl70HCE08Zq-6uI=&amp;xsec_source=pc_trdark","https://www.xiaohongshu.com/explore/697c8086000000001a01c2f5?xsec_token=TBV-62_c6Sms9X18ENcOcpiMePbi1gQl70HCE08Zq-6uI=&amp;xsec_source=pc_trdark")</f>
        <v>0.0</v>
      </c>
      <c r="D102" t="inlineStr">
        <is>
          <t>鲜水湾</t>
        </is>
      </c>
      <c r="E102" t="inlineStr">
        <is>
          <t>49316638994</t>
        </is>
      </c>
      <c r="F102" t="inlineStr">
        <is>
          <t>2026-01-30 17:57:26</t>
        </is>
      </c>
      <c r="G102" t="inlineStr">
        <is>
          <t>图文</t>
        </is>
      </c>
      <c r="H102" t="inlineStr">
        <is>
          <t>智利三文鱼切块·整条三文鱼·深海鱼一人食健康饮食</t>
        </is>
      </c>
      <c r="I102" t="inlineStr">
        <is>
          <t>691ac562a524ee0001b51d7b</t>
        </is>
      </c>
      <c r="J102" t="inlineStr">
        <is>
          <t/>
        </is>
      </c>
      <c r="K102" t="n">
        <v>0.0</v>
      </c>
      <c r="L102" t="n">
        <v>0.0</v>
      </c>
      <c r="M102" t="n">
        <v>5.0</v>
      </c>
      <c r="N102" t="inlineStr">
        <is>
          <t>0.18518518518518517</t>
        </is>
      </c>
      <c r="O102" t="n">
        <v>4.0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inlineStr">
        <is>
          <t/>
        </is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27.0</v>
      </c>
      <c r="AE102" t="n">
        <v>0.0</v>
      </c>
      <c r="AF102" t="n">
        <v>0.0</v>
      </c>
      <c r="AG102" t="n">
        <v>0.0</v>
      </c>
      <c r="AH102" t="n">
        <v>3.0</v>
      </c>
      <c r="AI102" t="n">
        <v>0.0</v>
      </c>
      <c r="AJ102" t="n">
        <v>0.0</v>
      </c>
      <c r="AK102" t="n">
        <v>12.11111111111111</v>
      </c>
      <c r="AL102" t="inlineStr">
        <is>
          <t/>
        </is>
      </c>
    </row>
    <row r="103">
      <c r="A103" t="inlineStr">
        <is>
          <t>握靠现在70来块的购买力真的被低估了</t>
        </is>
      </c>
      <c r="B103" t="inlineStr">
        <is>
          <t>696f434a000000001a02ed52</t>
        </is>
      </c>
      <c r="C103" s="102" t="n">
        <f>HYPERLINK("https://www.xiaohongshu.com/explore/696f434a000000001a02ed52?xsec_token=TBhNblbQcUsDvO_PJ-ZmFokjb5t2rjT3mndC001c6Fhl0=&amp;xsec_source=pc_trdark","https://www.xiaohongshu.com/explore/696f434a000000001a02ed52?xsec_token=TBhNblbQcUsDvO_PJ-ZmFokjb5t2rjT3mndC001c6Fhl0=&amp;xsec_source=pc_trdark")</f>
        <v>0.0</v>
      </c>
      <c r="D103" t="inlineStr">
        <is>
          <t>鲜水湾</t>
        </is>
      </c>
      <c r="E103" t="inlineStr">
        <is>
          <t>49316638994</t>
        </is>
      </c>
      <c r="F103" t="inlineStr">
        <is>
          <t>2026-01-20 16:56:42</t>
        </is>
      </c>
      <c r="G103" t="inlineStr">
        <is>
          <t>图文</t>
        </is>
      </c>
      <c r="H103" t="inlineStr">
        <is>
          <t>生蚝乳山生蚝海蛎子顺丰包邮</t>
        </is>
      </c>
      <c r="I103" t="inlineStr">
        <is>
          <t>690c70971b787900010866cc</t>
        </is>
      </c>
      <c r="J103" t="inlineStr">
        <is>
          <t/>
        </is>
      </c>
      <c r="K103" t="n">
        <v>0.0</v>
      </c>
      <c r="L103" t="n">
        <v>0.0</v>
      </c>
      <c r="M103" t="n">
        <v>7.0</v>
      </c>
      <c r="N103" t="inlineStr">
        <is>
          <t>0.25925925925925924</t>
        </is>
      </c>
      <c r="O103" t="n">
        <v>6.0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inlineStr">
        <is>
          <t/>
        </is>
      </c>
      <c r="X103" t="n">
        <v>0.0</v>
      </c>
      <c r="Y103" t="n">
        <v>3.0</v>
      </c>
      <c r="Z103" t="n">
        <v>2.0</v>
      </c>
      <c r="AA103" t="n">
        <v>0.0</v>
      </c>
      <c r="AB103" t="n">
        <v>0.0</v>
      </c>
      <c r="AC103" t="n">
        <v>0.0</v>
      </c>
      <c r="AD103" t="n">
        <v>27.0</v>
      </c>
      <c r="AE103" t="n">
        <v>0.0</v>
      </c>
      <c r="AF103" t="n">
        <v>0.0</v>
      </c>
      <c r="AG103" t="n">
        <v>0.0</v>
      </c>
      <c r="AH103" t="n">
        <v>2.0</v>
      </c>
      <c r="AI103" t="n">
        <v>0.0</v>
      </c>
      <c r="AJ103" t="n">
        <v>0.0</v>
      </c>
      <c r="AK103" t="n">
        <v>12.88888888888889</v>
      </c>
      <c r="AL103" t="inlineStr">
        <is>
          <t/>
        </is>
      </c>
    </row>
    <row r="104">
      <c r="A104" t="inlineStr">
        <is>
          <t>我妈让我通知各位：23一斤的大虾真的可以冲</t>
        </is>
      </c>
      <c r="B104" t="inlineStr">
        <is>
          <t>693d3be4000000001e0339c1</t>
        </is>
      </c>
      <c r="C104" s="103" t="n">
        <f>HYPERLINK("https://www.xiaohongshu.com/explore/693d3be4000000001e0339c1?xsec_token=TBz651BHP1Dr15NeLsAqSGPjA0MwwK3lizKrf8Smu6AWc=&amp;xsec_source=pc_trdark","https://www.xiaohongshu.com/explore/693d3be4000000001e0339c1?xsec_token=TBz651BHP1Dr15NeLsAqSGPjA0MwwK3lizKrf8Smu6AWc=&amp;xsec_source=pc_trdark")</f>
        <v>0.0</v>
      </c>
      <c r="D104" t="inlineStr">
        <is>
          <t>鲜水湾</t>
        </is>
      </c>
      <c r="E104" t="inlineStr">
        <is>
          <t>49316638994</t>
        </is>
      </c>
      <c r="F104" t="inlineStr">
        <is>
          <t>2025-12-13 18:11:48</t>
        </is>
      </c>
      <c r="G104" t="inlineStr">
        <is>
          <t>图文</t>
        </is>
      </c>
      <c r="H104" t="inlineStr">
        <is>
          <t>大虾基围虾王牌大虾厄瓜多尔白虾盐冻虾仁海洋大虾送礼顺丰包邮</t>
        </is>
      </c>
      <c r="I104" t="inlineStr">
        <is>
          <t>690aeb7be379430001e686ac</t>
        </is>
      </c>
      <c r="J104" t="inlineStr">
        <is>
          <t/>
        </is>
      </c>
      <c r="K104" t="n">
        <v>0.0</v>
      </c>
      <c r="L104" t="n">
        <v>0.0</v>
      </c>
      <c r="M104" t="n">
        <v>5.0</v>
      </c>
      <c r="N104" t="inlineStr">
        <is>
          <t>0.18518518518518517</t>
        </is>
      </c>
      <c r="O104" t="n">
        <v>5.0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inlineStr">
        <is>
          <t/>
        </is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27.0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6.7407407407407405</v>
      </c>
      <c r="AL104" t="inlineStr">
        <is>
          <t/>
        </is>
      </c>
    </row>
    <row r="105">
      <c r="A105" t="inlineStr">
        <is>
          <t>不愧是健身教练推荐的！抗炎神器</t>
        </is>
      </c>
      <c r="B105" t="inlineStr">
        <is>
          <t>693ad1d4000000001e02025e</t>
        </is>
      </c>
      <c r="C105" s="104" t="n">
        <f>HYPERLINK("https://www.xiaohongshu.com/explore/693ad1d4000000001e02025e?xsec_token=TBSe-eT4tPFhzXSmwZAcjHHyafMYmfcrkSqIihNjLOj3Q=&amp;xsec_source=pc_trdark","https://www.xiaohongshu.com/explore/693ad1d4000000001e02025e?xsec_token=TBSe-eT4tPFhzXSmwZAcjHHyafMYmfcrkSqIihNjLOj3Q=&amp;xsec_source=pc_trdark")</f>
        <v>0.0</v>
      </c>
      <c r="D105" t="inlineStr">
        <is>
          <t>鲜水湾</t>
        </is>
      </c>
      <c r="E105" t="inlineStr">
        <is>
          <t>49316638994</t>
        </is>
      </c>
      <c r="F105" t="inlineStr">
        <is>
          <t>2025-12-11 22:14:44</t>
        </is>
      </c>
      <c r="G105" t="inlineStr">
        <is>
          <t>图文</t>
        </is>
      </c>
      <c r="H105" t="inlineStr">
        <is>
          <t>智利三文鱼切块·整条三文鱼·深海鱼一人食健康饮食</t>
        </is>
      </c>
      <c r="I105" t="inlineStr">
        <is>
          <t>691ac562a524ee0001b51d7b</t>
        </is>
      </c>
      <c r="J105" t="inlineStr">
        <is>
          <t/>
        </is>
      </c>
      <c r="K105" t="n">
        <v>63.0</v>
      </c>
      <c r="L105" t="n">
        <v>1.0</v>
      </c>
      <c r="M105" t="n">
        <v>6.0</v>
      </c>
      <c r="N105" t="n">
        <v>0.2222222222222222</v>
      </c>
      <c r="O105" t="n">
        <v>6.0</v>
      </c>
      <c r="P105" t="n">
        <v>1.0</v>
      </c>
      <c r="Q105" t="inlineStr">
        <is>
          <t>0.16666666666666666</t>
        </is>
      </c>
      <c r="R105" t="inlineStr">
        <is>
          <t>0.16666666666666666</t>
        </is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1.0</v>
      </c>
      <c r="Z105" t="n">
        <v>3.0</v>
      </c>
      <c r="AA105" t="n">
        <v>0.0</v>
      </c>
      <c r="AB105" t="n">
        <v>0.0</v>
      </c>
      <c r="AC105" t="n">
        <v>0.0</v>
      </c>
      <c r="AD105" t="n">
        <v>27.0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12.481481481481481</v>
      </c>
      <c r="AL105" t="inlineStr">
        <is>
          <t/>
        </is>
      </c>
    </row>
    <row r="106">
      <c r="A106" t="inlineStr">
        <is>
          <t>孕妈妈放心炫的虾！鲜到跳脚还补钙</t>
        </is>
      </c>
      <c r="B106" t="inlineStr">
        <is>
          <t>694aad5f000000001f0085bc</t>
        </is>
      </c>
      <c r="C106" s="105" t="n">
        <f>HYPERLINK("https://www.xiaohongshu.com/explore/694aad5f000000001f0085bc?xsec_token=TBdeZ0Rm1wYmDrNYnjdb_05teoGDji6c5OUtoJGvaOS34=&amp;xsec_source=pc_trdark","https://www.xiaohongshu.com/explore/694aad5f000000001f0085bc?xsec_token=TBdeZ0Rm1wYmDrNYnjdb_05teoGDji6c5OUtoJGvaOS34=&amp;xsec_source=pc_trdark")</f>
        <v>0.0</v>
      </c>
      <c r="D106" t="inlineStr">
        <is>
          <t>鲜水湾</t>
        </is>
      </c>
      <c r="E106" t="inlineStr">
        <is>
          <t>49316638994</t>
        </is>
      </c>
      <c r="F106" t="inlineStr">
        <is>
          <t>2025-12-23 22:55:27</t>
        </is>
      </c>
      <c r="G106" t="inlineStr">
        <is>
          <t>图文</t>
        </is>
      </c>
      <c r="H106" t="inlineStr">
        <is>
          <t>大虾基围虾王牌大虾厄瓜多尔白虾盐冻虾仁海洋大虾送礼顺丰包邮</t>
        </is>
      </c>
      <c r="I106" t="inlineStr">
        <is>
          <t>690aeb7be379430001e686ac</t>
        </is>
      </c>
      <c r="J106" t="inlineStr">
        <is>
          <t/>
        </is>
      </c>
      <c r="K106" t="n">
        <v>0.0</v>
      </c>
      <c r="L106" t="n">
        <v>0.0</v>
      </c>
      <c r="M106" t="n">
        <v>1.0</v>
      </c>
      <c r="N106" t="n">
        <v>0.04</v>
      </c>
      <c r="O106" t="n">
        <v>1.0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inlineStr">
        <is>
          <t/>
        </is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25.0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4.92</v>
      </c>
      <c r="AL106" t="inlineStr">
        <is>
          <t/>
        </is>
      </c>
    </row>
    <row r="107">
      <c r="A107" t="inlineStr">
        <is>
          <t>到季节了！这个乳山生蚝太肥了</t>
        </is>
      </c>
      <c r="B107" t="inlineStr">
        <is>
          <t>695542bc000000001e03711a</t>
        </is>
      </c>
      <c r="C107" s="106" t="n">
        <f>HYPERLINK("https://www.xiaohongshu.com/explore/695542bc000000001e03711a?xsec_token=TBIaTt8bDdfMemJ3dJpsBVNEpQGzC0cmx-IiY_YDjPRDI=&amp;xsec_source=pc_trdark","https://www.xiaohongshu.com/explore/695542bc000000001e03711a?xsec_token=TBIaTt8bDdfMemJ3dJpsBVNEpQGzC0cmx-IiY_YDjPRDI=&amp;xsec_source=pc_trdark")</f>
        <v>0.0</v>
      </c>
      <c r="D107" t="inlineStr">
        <is>
          <t>鲜水湾</t>
        </is>
      </c>
      <c r="E107" t="inlineStr">
        <is>
          <t>49316638994</t>
        </is>
      </c>
      <c r="F107" t="inlineStr">
        <is>
          <t>2025-12-31 23:35:24</t>
        </is>
      </c>
      <c r="G107" t="inlineStr">
        <is>
          <t>图文</t>
        </is>
      </c>
      <c r="H107" t="inlineStr">
        <is>
          <t>生蚝乳山生蚝海蛎子顺丰包邮</t>
        </is>
      </c>
      <c r="I107" t="inlineStr">
        <is>
          <t>690c70971b787900010866cc</t>
        </is>
      </c>
      <c r="J107" t="inlineStr">
        <is>
          <t/>
        </is>
      </c>
      <c r="K107" t="n">
        <v>0.0</v>
      </c>
      <c r="L107" t="n">
        <v>0.0</v>
      </c>
      <c r="M107" t="n">
        <v>5.0</v>
      </c>
      <c r="N107" t="inlineStr">
        <is>
          <t>0.20833333333333334</t>
        </is>
      </c>
      <c r="O107" t="n">
        <v>5.0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inlineStr">
        <is>
          <t/>
        </is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24.0</v>
      </c>
      <c r="AE107" t="n">
        <v>1.0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13.75</v>
      </c>
      <c r="AL107" t="inlineStr">
        <is>
          <t/>
        </is>
      </c>
    </row>
    <row r="108">
      <c r="A108" t="inlineStr">
        <is>
          <t>只要Xhs一直给！我就一直薅</t>
        </is>
      </c>
      <c r="B108" t="inlineStr">
        <is>
          <t>696deb26000000001a034564</t>
        </is>
      </c>
      <c r="C108" s="107" t="n">
        <f>HYPERLINK("https://www.xiaohongshu.com/explore/696deb26000000001a034564?xsec_token=TBhBdCGGh1NnVPomuS6-J4H-lJBR6-tRJG_EXl-VW63Sg=&amp;xsec_source=pc_trdark","https://www.xiaohongshu.com/explore/696deb26000000001a034564?xsec_token=TBhBdCGGh1NnVPomuS6-J4H-lJBR6-tRJG_EXl-VW63Sg=&amp;xsec_source=pc_trdark")</f>
        <v>0.0</v>
      </c>
      <c r="D108" t="inlineStr">
        <is>
          <t>鲜水湾</t>
        </is>
      </c>
      <c r="E108" t="inlineStr">
        <is>
          <t>49316638994</t>
        </is>
      </c>
      <c r="F108" t="inlineStr">
        <is>
          <t>2026-01-19 16:28:22</t>
        </is>
      </c>
      <c r="G108" t="inlineStr">
        <is>
          <t>图文</t>
        </is>
      </c>
      <c r="H108" t="inlineStr">
        <is>
          <t>生蚝乳山生蚝海蛎子顺丰包邮</t>
        </is>
      </c>
      <c r="I108" t="inlineStr">
        <is>
          <t>690c70971b787900010866cc</t>
        </is>
      </c>
      <c r="J108" t="inlineStr">
        <is>
          <t/>
        </is>
      </c>
      <c r="K108" t="n">
        <v>0.0</v>
      </c>
      <c r="L108" t="n">
        <v>0.0</v>
      </c>
      <c r="M108" t="n">
        <v>4.0</v>
      </c>
      <c r="N108" t="inlineStr">
        <is>
          <t>0.17391304347826086</t>
        </is>
      </c>
      <c r="O108" t="n">
        <v>4.0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inlineStr">
        <is>
          <t/>
        </is>
      </c>
      <c r="X108" t="n">
        <v>0.0</v>
      </c>
      <c r="Y108" t="n">
        <v>0.0</v>
      </c>
      <c r="Z108" t="n">
        <v>3.0</v>
      </c>
      <c r="AA108" t="n">
        <v>0.0</v>
      </c>
      <c r="AB108" t="n">
        <v>0.0</v>
      </c>
      <c r="AC108" t="n">
        <v>0.0</v>
      </c>
      <c r="AD108" t="n">
        <v>23.0</v>
      </c>
      <c r="AE108" t="n">
        <v>0.0</v>
      </c>
      <c r="AF108" t="n">
        <v>0.0</v>
      </c>
      <c r="AG108" t="n">
        <v>0.0</v>
      </c>
      <c r="AH108" t="n">
        <v>2.0</v>
      </c>
      <c r="AI108" t="n">
        <v>0.0</v>
      </c>
      <c r="AJ108" t="n">
        <v>0.0</v>
      </c>
      <c r="AK108" t="n">
        <v>5.6521739130434785</v>
      </c>
      <c r="AL108" t="inlineStr">
        <is>
          <t/>
        </is>
      </c>
    </row>
    <row r="109">
      <c r="A109" t="inlineStr">
        <is>
          <t>过年给老爸老妈买的一整条三文鱼！</t>
        </is>
      </c>
      <c r="B109" t="inlineStr">
        <is>
          <t>697c559a000000001a035ccc</t>
        </is>
      </c>
      <c r="C109" s="108" t="n">
        <f>HYPERLINK("https://www.xiaohongshu.com/explore/697c559a000000001a035ccc?xsec_token=TBV-62_c6Sms9X18ENcOcpiEd6DJ77aX2nqBDIN91pMVU=&amp;xsec_source=pc_trdark","https://www.xiaohongshu.com/explore/697c559a000000001a035ccc?xsec_token=TBV-62_c6Sms9X18ENcOcpiEd6DJ77aX2nqBDIN91pMVU=&amp;xsec_source=pc_trdark")</f>
        <v>0.0</v>
      </c>
      <c r="D109" t="inlineStr">
        <is>
          <t>鲜水湾</t>
        </is>
      </c>
      <c r="E109" t="inlineStr">
        <is>
          <t>49316638994</t>
        </is>
      </c>
      <c r="F109" t="inlineStr">
        <is>
          <t>2026-01-30 14:54:18</t>
        </is>
      </c>
      <c r="G109" t="inlineStr">
        <is>
          <t>图文</t>
        </is>
      </c>
      <c r="H109" t="inlineStr">
        <is>
          <t>智利三文鱼切块·整条三文鱼·深海鱼一人食健康饮食</t>
        </is>
      </c>
      <c r="I109" t="inlineStr">
        <is>
          <t>691ac562a524ee0001b51d7b</t>
        </is>
      </c>
      <c r="J109" t="inlineStr">
        <is>
          <t/>
        </is>
      </c>
      <c r="K109" t="n">
        <v>0.0</v>
      </c>
      <c r="L109" t="n">
        <v>0.0</v>
      </c>
      <c r="M109" t="n">
        <v>2.0</v>
      </c>
      <c r="N109" t="inlineStr">
        <is>
          <t>0.09090909090909091</t>
        </is>
      </c>
      <c r="O109" t="n">
        <v>2.0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inlineStr">
        <is>
          <t/>
        </is>
      </c>
      <c r="X109" t="n">
        <v>0.0</v>
      </c>
      <c r="Y109" t="n">
        <v>0.0</v>
      </c>
      <c r="Z109" t="n">
        <v>1.0</v>
      </c>
      <c r="AA109" t="n">
        <v>0.0</v>
      </c>
      <c r="AB109" t="n">
        <v>0.0</v>
      </c>
      <c r="AC109" t="n">
        <v>0.0</v>
      </c>
      <c r="AD109" t="n">
        <v>22.0</v>
      </c>
      <c r="AE109" t="n">
        <v>0.0</v>
      </c>
      <c r="AF109" t="n">
        <v>0.0</v>
      </c>
      <c r="AG109" t="n">
        <v>0.0</v>
      </c>
      <c r="AH109" t="n">
        <v>2.0</v>
      </c>
      <c r="AI109" t="n">
        <v>0.0</v>
      </c>
      <c r="AJ109" t="n">
        <v>0.0</v>
      </c>
      <c r="AK109" t="n">
        <v>8.136363636363637</v>
      </c>
      <c r="AL109" t="inlineStr">
        <is>
          <t/>
        </is>
      </c>
    </row>
    <row r="110">
      <c r="A110" t="inlineStr">
        <is>
          <t>生蚝一箱也是码头价，运费算我的！</t>
        </is>
      </c>
      <c r="B110" t="inlineStr">
        <is>
          <t>690f0fb000000000040010a4</t>
        </is>
      </c>
      <c r="C110" s="109" t="n">
        <f>HYPERLINK("https://www.xiaohongshu.com/explore/690f0fb000000000040010a4?xsec_token=TBl1ZK_PAsBDZJiqFwt7hIYQszxXJoeWc8SEgNEByDut0=&amp;xsec_source=pc_trdark","https://www.xiaohongshu.com/explore/690f0fb000000000040010a4?xsec_token=TBl1ZK_PAsBDZJiqFwt7hIYQszxXJoeWc8SEgNEByDut0=&amp;xsec_source=pc_trdark")</f>
        <v>0.0</v>
      </c>
      <c r="D110" t="inlineStr">
        <is>
          <t>婉婉上班吃什么</t>
        </is>
      </c>
      <c r="E110" t="inlineStr">
        <is>
          <t>11434449706</t>
        </is>
      </c>
      <c r="F110" t="inlineStr">
        <is>
          <t>2025-11-08 17:38:56</t>
        </is>
      </c>
      <c r="G110" t="inlineStr">
        <is>
          <t>视频</t>
        </is>
      </c>
      <c r="H110" t="inlineStr">
        <is>
          <t>生蚝乳山生蚝海蛎子顺丰包邮</t>
        </is>
      </c>
      <c r="I110" t="inlineStr">
        <is>
          <t>690c70971b787900010866cc</t>
        </is>
      </c>
      <c r="J110" t="n">
        <v>26.0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inlineStr">
        <is>
          <t/>
        </is>
      </c>
      <c r="R110" t="inlineStr">
        <is>
          <t/>
        </is>
      </c>
      <c r="S110" t="n">
        <v>0.0</v>
      </c>
      <c r="T110" t="n">
        <v>0.0</v>
      </c>
      <c r="U110" t="n">
        <v>0.0</v>
      </c>
      <c r="V110" t="n">
        <v>0.0</v>
      </c>
      <c r="W110" t="inlineStr">
        <is>
          <t/>
        </is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21.0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11.666666666666666</v>
      </c>
      <c r="AL110" t="inlineStr">
        <is>
          <t>0.18181818181818182</t>
        </is>
      </c>
    </row>
    <row r="111">
      <c r="A111" t="inlineStr">
        <is>
          <t>一代人有一代人的年货要买！</t>
        </is>
      </c>
      <c r="B111" t="inlineStr">
        <is>
          <t>6979df44000000002800ad3a</t>
        </is>
      </c>
      <c r="C111" s="110" t="n">
        <f>HYPERLINK("https://www.xiaohongshu.com/explore/6979df44000000002800ad3a?xsec_token=TBDUixuchs-ppRvZ3sgkNDRc6EolPjX91ZgaZx97b9w9w=&amp;xsec_source=pc_trdark","https://www.xiaohongshu.com/explore/6979df44000000002800ad3a?xsec_token=TBDUixuchs-ppRvZ3sgkNDRc6EolPjX91ZgaZx97b9w9w=&amp;xsec_source=pc_trdark")</f>
        <v>0.0</v>
      </c>
      <c r="D111" t="inlineStr">
        <is>
          <t>鲜水湾</t>
        </is>
      </c>
      <c r="E111" t="inlineStr">
        <is>
          <t>49316638994</t>
        </is>
      </c>
      <c r="F111" t="inlineStr">
        <is>
          <t>2026-01-28 18:04:52</t>
        </is>
      </c>
      <c r="G111" t="inlineStr">
        <is>
          <t>图文</t>
        </is>
      </c>
      <c r="H111" t="inlineStr">
        <is>
          <t>大虾基围虾王牌大虾厄瓜多尔白虾盐冻虾仁海洋大虾送礼顺丰包邮</t>
        </is>
      </c>
      <c r="I111" t="inlineStr">
        <is>
          <t>690aeb7be379430001e686ac</t>
        </is>
      </c>
      <c r="J111" t="inlineStr">
        <is>
          <t/>
        </is>
      </c>
      <c r="K111" t="n">
        <v>0.0</v>
      </c>
      <c r="L111" t="n">
        <v>0.0</v>
      </c>
      <c r="M111" t="n">
        <v>4.0</v>
      </c>
      <c r="N111" t="inlineStr">
        <is>
          <t>0.21052631578947367</t>
        </is>
      </c>
      <c r="O111" t="n">
        <v>4.0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inlineStr">
        <is>
          <t/>
        </is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19.0</v>
      </c>
      <c r="AE111" t="n">
        <v>0.0</v>
      </c>
      <c r="AF111" t="n">
        <v>0.0</v>
      </c>
      <c r="AG111" t="n">
        <v>0.0</v>
      </c>
      <c r="AH111" t="n">
        <v>1.0</v>
      </c>
      <c r="AI111" t="n">
        <v>0.0</v>
      </c>
      <c r="AJ111" t="n">
        <v>0.0</v>
      </c>
      <c r="AK111" t="n">
        <v>6.2105263157894735</v>
      </c>
      <c r="AL111" t="inlineStr">
        <is>
          <t/>
        </is>
      </c>
    </row>
    <row r="112">
      <c r="A112" t="inlineStr">
        <is>
          <t>爸妈眼里的奢侈品，我的平价大虾😂</t>
        </is>
      </c>
      <c r="B112" t="inlineStr">
        <is>
          <t>691d6969000000001d03a42c</t>
        </is>
      </c>
      <c r="C112" s="111" t="n">
        <f>HYPERLINK("https://www.xiaohongshu.com/explore/691d6969000000001d03a42c?xsec_token=TBfJie4P5Jl9AylR95m8dPVMenHpSgXv-v868LiyyHrgU=&amp;xsec_source=pc_trdark","https://www.xiaohongshu.com/explore/691d6969000000001d03a42c?xsec_token=TBfJie4P5Jl9AylR95m8dPVMenHpSgXv-v868LiyyHrgU=&amp;xsec_source=pc_trdark")</f>
        <v>0.0</v>
      </c>
      <c r="D112" t="inlineStr">
        <is>
          <t>鲜水湾甄选</t>
        </is>
      </c>
      <c r="E112" t="inlineStr">
        <is>
          <t>27401929161</t>
        </is>
      </c>
      <c r="F112" t="inlineStr">
        <is>
          <t>2025-11-19 14:53:29</t>
        </is>
      </c>
      <c r="G112" t="inlineStr">
        <is>
          <t>图文</t>
        </is>
      </c>
      <c r="H112" t="inlineStr">
        <is>
          <t>大虾基围虾王牌大虾厄瓜多尔白虾盐冻虾仁海洋大虾送礼顺丰包邮</t>
        </is>
      </c>
      <c r="I112" t="inlineStr">
        <is>
          <t>690aeb7be379430001e686ac</t>
        </is>
      </c>
      <c r="J112" t="inlineStr">
        <is>
          <t/>
        </is>
      </c>
      <c r="K112" t="n">
        <v>0.0</v>
      </c>
      <c r="L112" t="n">
        <v>0.0</v>
      </c>
      <c r="M112" t="n">
        <v>4.0</v>
      </c>
      <c r="N112" t="inlineStr">
        <is>
          <t>0.21052631578947367</t>
        </is>
      </c>
      <c r="O112" t="n">
        <v>4.0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inlineStr">
        <is>
          <t/>
        </is>
      </c>
      <c r="X112" t="n">
        <v>0.0</v>
      </c>
      <c r="Y112" t="n">
        <v>0.0</v>
      </c>
      <c r="Z112" t="n">
        <v>1.0</v>
      </c>
      <c r="AA112" t="n">
        <v>0.0</v>
      </c>
      <c r="AB112" t="n">
        <v>0.0</v>
      </c>
      <c r="AC112" t="n">
        <v>0.0</v>
      </c>
      <c r="AD112" t="n">
        <v>19.0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7.842105263157895</v>
      </c>
      <c r="AL112" t="inlineStr">
        <is>
          <t/>
        </is>
      </c>
    </row>
    <row r="113">
      <c r="A113" t="inlineStr">
        <is>
          <t>今年走亲戚别送奶了❗️送这鱼备有面儿</t>
        </is>
      </c>
      <c r="B113" t="inlineStr">
        <is>
          <t>697b2834000000000d008a39</t>
        </is>
      </c>
      <c r="C113" s="112" t="n">
        <f>HYPERLINK("https://www.xiaohongshu.com/explore/697b2834000000000d008a39?xsec_token=TBx0gf9xFBuo-Uf0_oTJMkRGIGml1cD74L8EYqARDVQLU=&amp;xsec_source=pc_trdark","https://www.xiaohongshu.com/explore/697b2834000000000d008a39?xsec_token=TBx0gf9xFBuo-Uf0_oTJMkRGIGml1cD74L8EYqARDVQLU=&amp;xsec_source=pc_trdark")</f>
        <v>0.0</v>
      </c>
      <c r="D113" t="inlineStr">
        <is>
          <t>鲜水湾</t>
        </is>
      </c>
      <c r="E113" t="inlineStr">
        <is>
          <t>49316638994</t>
        </is>
      </c>
      <c r="F113" t="inlineStr">
        <is>
          <t>2026-01-29 17:28:20</t>
        </is>
      </c>
      <c r="G113" t="inlineStr">
        <is>
          <t>图文</t>
        </is>
      </c>
      <c r="H113" t="inlineStr">
        <is>
          <t>智利三文鱼切块·整条三文鱼·深海鱼一人食健康饮食</t>
        </is>
      </c>
      <c r="I113" t="inlineStr">
        <is>
          <t>691ac562a524ee0001b51d7b</t>
        </is>
      </c>
      <c r="J113" t="inlineStr">
        <is>
          <t/>
        </is>
      </c>
      <c r="K113" t="n">
        <v>0.0</v>
      </c>
      <c r="L113" t="n">
        <v>0.0</v>
      </c>
      <c r="M113" t="n">
        <v>6.0</v>
      </c>
      <c r="N113" t="n">
        <v>0.3333333333333333</v>
      </c>
      <c r="O113" t="n">
        <v>2.0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inlineStr">
        <is>
          <t/>
        </is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18.0</v>
      </c>
      <c r="AE113" t="n">
        <v>0.0</v>
      </c>
      <c r="AF113" t="n">
        <v>0.0</v>
      </c>
      <c r="AG113" t="n">
        <v>0.0</v>
      </c>
      <c r="AH113" t="n">
        <v>1.0</v>
      </c>
      <c r="AI113" t="n">
        <v>0.0</v>
      </c>
      <c r="AJ113" t="n">
        <v>0.0</v>
      </c>
      <c r="AK113" t="n">
        <v>8.444444444444445</v>
      </c>
      <c r="AL113" t="inlineStr">
        <is>
          <t/>
        </is>
      </c>
    </row>
    <row r="114">
      <c r="A114" t="inlineStr">
        <is>
          <t>区区300块承包了我一个月的低脂餐</t>
        </is>
      </c>
      <c r="B114" t="inlineStr">
        <is>
          <t>6976c763000000001a02bd8d</t>
        </is>
      </c>
      <c r="C114" s="113" t="n">
        <f>HYPERLINK("https://www.xiaohongshu.com/explore/6976c763000000001a02bd8d?xsec_token=TBEjiQazNQ2GMSJvE5OHqWXpZu9XuycYyPoI8S0NbTa78=&amp;xsec_source=pc_trdark","https://www.xiaohongshu.com/explore/6976c763000000001a02bd8d?xsec_token=TBEjiQazNQ2GMSJvE5OHqWXpZu9XuycYyPoI8S0NbTa78=&amp;xsec_source=pc_trdark")</f>
        <v>0.0</v>
      </c>
      <c r="D114" t="inlineStr">
        <is>
          <t>鲜水湾</t>
        </is>
      </c>
      <c r="E114" t="inlineStr">
        <is>
          <t>49316638994</t>
        </is>
      </c>
      <c r="F114" t="inlineStr">
        <is>
          <t>2026-01-26 09:46:11</t>
        </is>
      </c>
      <c r="G114" t="inlineStr">
        <is>
          <t>图文</t>
        </is>
      </c>
      <c r="H114" t="inlineStr">
        <is>
          <t>智利三文鱼切块·整条三文鱼·深海鱼一人食健康饮食</t>
        </is>
      </c>
      <c r="I114" t="inlineStr">
        <is>
          <t>691ac562a524ee0001b51d7b</t>
        </is>
      </c>
      <c r="J114" t="inlineStr">
        <is>
          <t/>
        </is>
      </c>
      <c r="K114" t="n">
        <v>0.0</v>
      </c>
      <c r="L114" t="n">
        <v>0.0</v>
      </c>
      <c r="M114" t="n">
        <v>1.0</v>
      </c>
      <c r="N114" t="inlineStr">
        <is>
          <t>0.05555555555555555</t>
        </is>
      </c>
      <c r="O114" t="n">
        <v>1.0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inlineStr">
        <is>
          <t/>
        </is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18.0</v>
      </c>
      <c r="AE114" t="n">
        <v>0.0</v>
      </c>
      <c r="AF114" t="n">
        <v>0.0</v>
      </c>
      <c r="AG114" t="n">
        <v>0.0</v>
      </c>
      <c r="AH114" t="n">
        <v>2.0</v>
      </c>
      <c r="AI114" t="n">
        <v>0.0</v>
      </c>
      <c r="AJ114" t="n">
        <v>0.0</v>
      </c>
      <c r="AK114" t="n">
        <v>4.5</v>
      </c>
      <c r="AL114" t="inlineStr">
        <is>
          <t/>
        </is>
      </c>
    </row>
    <row r="115">
      <c r="A115" t="inlineStr">
        <is>
          <t>其实，300块能吃一个月的三文鱼🫢</t>
        </is>
      </c>
      <c r="B115" t="inlineStr">
        <is>
          <t>697d850e000000001a029a04</t>
        </is>
      </c>
      <c r="C115" s="114" t="n">
        <f>HYPERLINK("https://www.xiaohongshu.com/explore/697d850e000000001a029a04?xsec_token=TBmDrNth1LGu49cSaHu-q0WwBFFiB_hZBrH6ERNOSl_EI=&amp;xsec_source=pc_trdark","https://www.xiaohongshu.com/explore/697d850e000000001a029a04?xsec_token=TBmDrNth1LGu49cSaHu-q0WwBFFiB_hZBrH6ERNOSl_EI=&amp;xsec_source=pc_trdark")</f>
        <v>0.0</v>
      </c>
      <c r="D115" t="inlineStr">
        <is>
          <t>鲜水湾</t>
        </is>
      </c>
      <c r="E115" t="inlineStr">
        <is>
          <t>49316638994</t>
        </is>
      </c>
      <c r="F115" t="inlineStr">
        <is>
          <t>2026-01-31 12:29:02</t>
        </is>
      </c>
      <c r="G115" t="inlineStr">
        <is>
          <t>图文</t>
        </is>
      </c>
      <c r="H115" t="inlineStr">
        <is>
          <t>智利三文鱼切块·整条三文鱼·深海鱼一人食健康饮食</t>
        </is>
      </c>
      <c r="I115" t="inlineStr">
        <is>
          <t>691ac562a524ee0001b51d7b</t>
        </is>
      </c>
      <c r="J115" t="inlineStr">
        <is>
          <t/>
        </is>
      </c>
      <c r="K115" t="n">
        <v>0.0</v>
      </c>
      <c r="L115" t="n">
        <v>0.0</v>
      </c>
      <c r="M115" t="n">
        <v>3.0</v>
      </c>
      <c r="N115" t="inlineStr">
        <is>
          <t>0.17647058823529413</t>
        </is>
      </c>
      <c r="O115" t="n">
        <v>3.0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inlineStr">
        <is>
          <t/>
        </is>
      </c>
      <c r="X115" t="n">
        <v>0.0</v>
      </c>
      <c r="Y115" t="n">
        <v>0.0</v>
      </c>
      <c r="Z115" t="n">
        <v>1.0</v>
      </c>
      <c r="AA115" t="n">
        <v>0.0</v>
      </c>
      <c r="AB115" t="n">
        <v>0.0</v>
      </c>
      <c r="AC115" t="n">
        <v>0.0</v>
      </c>
      <c r="AD115" t="n">
        <v>17.0</v>
      </c>
      <c r="AE115" t="n">
        <v>0.0</v>
      </c>
      <c r="AF115" t="n">
        <v>0.0</v>
      </c>
      <c r="AG115" t="n">
        <v>0.0</v>
      </c>
      <c r="AH115" t="n">
        <v>1.0</v>
      </c>
      <c r="AI115" t="n">
        <v>0.0</v>
      </c>
      <c r="AJ115" t="n">
        <v>0.0</v>
      </c>
      <c r="AK115" t="n">
        <v>4.882352941176471</v>
      </c>
      <c r="AL115" t="inlineStr">
        <is>
          <t/>
        </is>
      </c>
    </row>
    <row r="116">
      <c r="A116" t="inlineStr">
        <is>
          <t>过年就靠这个来油焖大虾惊呀小朋友啦～</t>
        </is>
      </c>
      <c r="B116" t="inlineStr">
        <is>
          <t>697af1bc000000002801d22d</t>
        </is>
      </c>
      <c r="C116" s="115" t="n">
        <f>HYPERLINK("https://www.xiaohongshu.com/explore/697af1bc000000002801d22d?xsec_token=TB2dScbVxeUy83D31__wCwwweUbyyvQhgL57xl_dgVyGc=&amp;xsec_source=pc_trdark","https://www.xiaohongshu.com/explore/697af1bc000000002801d22d?xsec_token=TB2dScbVxeUy83D31__wCwwweUbyyvQhgL57xl_dgVyGc=&amp;xsec_source=pc_trdark")</f>
        <v>0.0</v>
      </c>
      <c r="D116" t="inlineStr">
        <is>
          <t>鲜水湾</t>
        </is>
      </c>
      <c r="E116" t="inlineStr">
        <is>
          <t>49316638994</t>
        </is>
      </c>
      <c r="F116" t="inlineStr">
        <is>
          <t>2026-01-29 13:35:56</t>
        </is>
      </c>
      <c r="G116" t="inlineStr">
        <is>
          <t>图文</t>
        </is>
      </c>
      <c r="H116" t="inlineStr">
        <is>
          <t>大虾基围虾王牌大虾厄瓜多尔白虾盐冻虾仁海洋大虾送礼顺丰包邮</t>
        </is>
      </c>
      <c r="I116" t="inlineStr">
        <is>
          <t>690aeb7be379430001e686ac</t>
        </is>
      </c>
      <c r="J116" t="inlineStr">
        <is>
          <t/>
        </is>
      </c>
      <c r="K116" t="n">
        <v>0.0</v>
      </c>
      <c r="L116" t="n">
        <v>0.0</v>
      </c>
      <c r="M116" t="n">
        <v>1.0</v>
      </c>
      <c r="N116" t="inlineStr">
        <is>
          <t>0.058823529411764705</t>
        </is>
      </c>
      <c r="O116" t="n">
        <v>1.0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inlineStr">
        <is>
          <t/>
        </is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17.0</v>
      </c>
      <c r="AE116" t="n">
        <v>1.0</v>
      </c>
      <c r="AF116" t="n">
        <v>0.0</v>
      </c>
      <c r="AG116" t="n">
        <v>0.0</v>
      </c>
      <c r="AH116" t="n">
        <v>2.0</v>
      </c>
      <c r="AI116" t="n">
        <v>0.0</v>
      </c>
      <c r="AJ116" t="n">
        <v>0.0</v>
      </c>
      <c r="AK116" t="n">
        <v>5.823529411764706</v>
      </c>
      <c r="AL116" t="inlineStr">
        <is>
          <t/>
        </is>
      </c>
    </row>
    <row r="117">
      <c r="A117" t="inlineStr">
        <is>
          <t>我爸：大虾你就25一斤卖总会出单的</t>
        </is>
      </c>
      <c r="B117" t="inlineStr">
        <is>
          <t>6942b246000000001f006aec</t>
        </is>
      </c>
      <c r="C117" s="116" t="n">
        <f>HYPERLINK("https://www.xiaohongshu.com/explore/6942b246000000001f006aec?xsec_token=TB0tDM60Z2n8tclFaINyevIaVt7CMYfI-7ya499lFojHI=&amp;xsec_source=pc_trdark","https://www.xiaohongshu.com/explore/6942b246000000001f006aec?xsec_token=TB0tDM60Z2n8tclFaINyevIaVt7CMYfI-7ya499lFojHI=&amp;xsec_source=pc_trdark")</f>
        <v>0.0</v>
      </c>
      <c r="D117" t="inlineStr">
        <is>
          <t>鲜水湾</t>
        </is>
      </c>
      <c r="E117" t="inlineStr">
        <is>
          <t>49316638994</t>
        </is>
      </c>
      <c r="F117" t="inlineStr">
        <is>
          <t>2025-12-17 21:38:14</t>
        </is>
      </c>
      <c r="G117" t="inlineStr">
        <is>
          <t>图文</t>
        </is>
      </c>
      <c r="H117" t="inlineStr">
        <is>
          <t>大虾基围虾王牌大虾厄瓜多尔白虾盐冻虾仁海洋大虾送礼顺丰包邮</t>
        </is>
      </c>
      <c r="I117" t="inlineStr">
        <is>
          <t>690aeb7be379430001e686ac</t>
        </is>
      </c>
      <c r="J117" t="inlineStr">
        <is>
          <t/>
        </is>
      </c>
      <c r="K117" t="n">
        <v>0.0</v>
      </c>
      <c r="L117" t="n">
        <v>0.0</v>
      </c>
      <c r="M117" t="n">
        <v>5.0</v>
      </c>
      <c r="N117" t="n">
        <v>0.3125</v>
      </c>
      <c r="O117" t="n">
        <v>5.0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inlineStr">
        <is>
          <t/>
        </is>
      </c>
      <c r="X117" t="n">
        <v>0.0</v>
      </c>
      <c r="Y117" t="n">
        <v>0.0</v>
      </c>
      <c r="Z117" t="n">
        <v>1.0</v>
      </c>
      <c r="AA117" t="n">
        <v>0.0</v>
      </c>
      <c r="AB117" t="n">
        <v>0.0</v>
      </c>
      <c r="AC117" t="n">
        <v>0.0</v>
      </c>
      <c r="AD117" t="n">
        <v>16.0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13.5</v>
      </c>
      <c r="AL117" t="inlineStr">
        <is>
          <t/>
        </is>
      </c>
    </row>
    <row r="118">
      <c r="A118" t="inlineStr">
        <is>
          <t>跟爸妈商量后，一整条只需360💰</t>
        </is>
      </c>
      <c r="B118" t="inlineStr">
        <is>
          <t>69382453000000001e023427</t>
        </is>
      </c>
      <c r="C118" s="117" t="n">
        <f>HYPERLINK("https://www.xiaohongshu.com/explore/69382453000000001e023427?xsec_token=TB0A09PqRCzsPFC3N13yAkHBSc4FjeHxA6IJUCtKGi4Z8=&amp;xsec_source=pc_trdark","https://www.xiaohongshu.com/explore/69382453000000001e023427?xsec_token=TB0A09PqRCzsPFC3N13yAkHBSc4FjeHxA6IJUCtKGi4Z8=&amp;xsec_source=pc_trdark")</f>
        <v>0.0</v>
      </c>
      <c r="D118" t="inlineStr">
        <is>
          <t>鲜水湾</t>
        </is>
      </c>
      <c r="E118" t="inlineStr">
        <is>
          <t>49316638994</t>
        </is>
      </c>
      <c r="F118" t="inlineStr">
        <is>
          <t>2025-12-09 21:29:55</t>
        </is>
      </c>
      <c r="G118" t="inlineStr">
        <is>
          <t>图文</t>
        </is>
      </c>
      <c r="H118" t="inlineStr">
        <is>
          <t>智利三文鱼切块·整条三文鱼·深海鱼一人食健康饮食</t>
        </is>
      </c>
      <c r="I118" t="inlineStr">
        <is>
          <t>691ac562a524ee0001b51d7b</t>
        </is>
      </c>
      <c r="J118" t="inlineStr">
        <is>
          <t/>
        </is>
      </c>
      <c r="K118" t="n">
        <v>0.0</v>
      </c>
      <c r="L118" t="n">
        <v>0.0</v>
      </c>
      <c r="M118" t="n">
        <v>1.0</v>
      </c>
      <c r="N118" t="n">
        <v>0.0625</v>
      </c>
      <c r="O118" t="n">
        <v>1.0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inlineStr">
        <is>
          <t/>
        </is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16.0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7.8125</v>
      </c>
      <c r="AL118" t="inlineStr">
        <is>
          <t/>
        </is>
      </c>
    </row>
    <row r="119">
      <c r="A119" t="inlineStr">
        <is>
          <t>没招了，我妈让我在网上卖，谁买啊🥲</t>
        </is>
      </c>
      <c r="B119" t="inlineStr">
        <is>
          <t>6911a66d0000000004002444</t>
        </is>
      </c>
      <c r="C119" s="118" t="n">
        <f>HYPERLINK("https://www.xiaohongshu.com/explore/6911a66d0000000004002444?xsec_token=TBrsrV1jnhRUA39f7gREfx-DSs2aoYkBZUAeponFZ3Bsc=&amp;xsec_source=pc_trdark","https://www.xiaohongshu.com/explore/6911a66d0000000004002444?xsec_token=TBrsrV1jnhRUA39f7gREfx-DSs2aoYkBZUAeponFZ3Bsc=&amp;xsec_source=pc_trdark")</f>
        <v>0.0</v>
      </c>
      <c r="D119" t="inlineStr">
        <is>
          <t>婉婉上班吃什么</t>
        </is>
      </c>
      <c r="E119" t="inlineStr">
        <is>
          <t>11434449706</t>
        </is>
      </c>
      <c r="F119" t="inlineStr">
        <is>
          <t>2025-11-10 16:46:37</t>
        </is>
      </c>
      <c r="G119" t="inlineStr">
        <is>
          <t>视频</t>
        </is>
      </c>
      <c r="H119" t="inlineStr">
        <is>
          <t>生蚝乳山生蚝海蛎子顺丰包邮</t>
        </is>
      </c>
      <c r="I119" t="inlineStr">
        <is>
          <t>690c70971b787900010866cc</t>
        </is>
      </c>
      <c r="J119" t="n">
        <v>14.0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inlineStr">
        <is>
          <t/>
        </is>
      </c>
      <c r="R119" t="inlineStr">
        <is>
          <t/>
        </is>
      </c>
      <c r="S119" t="n">
        <v>0.0</v>
      </c>
      <c r="T119" t="n">
        <v>0.0</v>
      </c>
      <c r="U119" t="n">
        <v>0.0</v>
      </c>
      <c r="V119" t="n">
        <v>0.0</v>
      </c>
      <c r="W119" t="inlineStr">
        <is>
          <t/>
        </is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16.0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2.1875</v>
      </c>
      <c r="AL119" t="inlineStr">
        <is>
          <t>0.05555555555555555</t>
        </is>
      </c>
    </row>
    <row r="120">
      <c r="A120" t="inlineStr">
        <is>
          <t>上班搭子推荐的！掉秤期真有用</t>
        </is>
      </c>
      <c r="B120" t="inlineStr">
        <is>
          <t>69440341000000001e0324e8</t>
        </is>
      </c>
      <c r="C120" s="119" t="n">
        <f>HYPERLINK("https://www.xiaohongshu.com/explore/69440341000000001e0324e8?xsec_token=TBEei_gEGYdPM_jdeWI2PhOR0OUQ3yvFxTVYNdTddaBeA=&amp;xsec_source=pc_trdark","https://www.xiaohongshu.com/explore/69440341000000001e0324e8?xsec_token=TBEei_gEGYdPM_jdeWI2PhOR0OUQ3yvFxTVYNdTddaBeA=&amp;xsec_source=pc_trdark")</f>
        <v>0.0</v>
      </c>
      <c r="D120" t="inlineStr">
        <is>
          <t>鲜水湾</t>
        </is>
      </c>
      <c r="E120" t="inlineStr">
        <is>
          <t>49316638994</t>
        </is>
      </c>
      <c r="F120" t="inlineStr">
        <is>
          <t>2025-12-18 21:36:01</t>
        </is>
      </c>
      <c r="G120" t="inlineStr">
        <is>
          <t>图文</t>
        </is>
      </c>
      <c r="H120" t="inlineStr">
        <is>
          <t>大虾基围虾王牌大虾厄瓜多尔白虾盐冻虾仁海洋大虾送礼顺丰包邮</t>
        </is>
      </c>
      <c r="I120" t="inlineStr">
        <is>
          <t>690aeb7be379430001e686ac</t>
        </is>
      </c>
      <c r="J120" t="inlineStr">
        <is>
          <t/>
        </is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inlineStr">
        <is>
          <t/>
        </is>
      </c>
      <c r="R120" t="inlineStr">
        <is>
          <t/>
        </is>
      </c>
      <c r="S120" t="n">
        <v>0.0</v>
      </c>
      <c r="T120" t="n">
        <v>0.0</v>
      </c>
      <c r="U120" t="n">
        <v>0.0</v>
      </c>
      <c r="V120" t="n">
        <v>0.0</v>
      </c>
      <c r="W120" t="inlineStr">
        <is>
          <t/>
        </is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15.0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2.533333333333333</v>
      </c>
      <c r="AL120" t="inlineStr">
        <is>
          <t/>
        </is>
      </c>
    </row>
    <row r="121">
      <c r="A121" t="inlineStr">
        <is>
          <t>我妈：你就23一斤卖总会出单的</t>
        </is>
      </c>
      <c r="B121" t="inlineStr">
        <is>
          <t>693bd331000000001e022bdc</t>
        </is>
      </c>
      <c r="C121" s="120" t="n">
        <f>HYPERLINK("https://www.xiaohongshu.com/explore/693bd331000000001e022bdc?xsec_token=TBehUwc4QxLaaQbLqKc-ieHh7DcpQrXqUtPXPYaGddM4s=&amp;xsec_source=pc_trdark","https://www.xiaohongshu.com/explore/693bd331000000001e022bdc?xsec_token=TBehUwc4QxLaaQbLqKc-ieHh7DcpQrXqUtPXPYaGddM4s=&amp;xsec_source=pc_trdark")</f>
        <v>0.0</v>
      </c>
      <c r="D121" t="inlineStr">
        <is>
          <t>鲜水湾</t>
        </is>
      </c>
      <c r="E121" t="inlineStr">
        <is>
          <t>49316638994</t>
        </is>
      </c>
      <c r="F121" t="inlineStr">
        <is>
          <t>2025-12-12 16:32:49</t>
        </is>
      </c>
      <c r="G121" t="inlineStr">
        <is>
          <t>图文</t>
        </is>
      </c>
      <c r="H121" t="inlineStr">
        <is>
          <t>大虾基围虾王牌大虾厄瓜多尔白虾盐冻虾仁海洋大虾送礼顺丰包邮</t>
        </is>
      </c>
      <c r="I121" t="inlineStr">
        <is>
          <t>690aeb7be379430001e686ac</t>
        </is>
      </c>
      <c r="J121" t="inlineStr">
        <is>
          <t/>
        </is>
      </c>
      <c r="K121" t="n">
        <v>0.0</v>
      </c>
      <c r="L121" t="n">
        <v>0.0</v>
      </c>
      <c r="M121" t="n">
        <v>3.0</v>
      </c>
      <c r="N121" t="n">
        <v>0.2</v>
      </c>
      <c r="O121" t="n">
        <v>2.0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inlineStr">
        <is>
          <t/>
        </is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15.0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3.6666666666666665</v>
      </c>
      <c r="AL121" t="inlineStr">
        <is>
          <t/>
        </is>
      </c>
    </row>
    <row r="122">
      <c r="A122" t="inlineStr">
        <is>
          <t>以前是山姆，现在是小红书</t>
        </is>
      </c>
      <c r="B122" t="inlineStr">
        <is>
          <t>6933b8fe000000001e03b9f0</t>
        </is>
      </c>
      <c r="C122" s="121" t="n">
        <f>HYPERLINK("https://www.xiaohongshu.com/explore/6933b8fe000000001e03b9f0?xsec_token=TBtLw60d0rN_yGhfj7_ewzhSlK-dul8ye9Ak2yEu59ojA=&amp;xsec_source=pc_trdark","https://www.xiaohongshu.com/explore/6933b8fe000000001e03b9f0?xsec_token=TBtLw60d0rN_yGhfj7_ewzhSlK-dul8ye9Ak2yEu59ojA=&amp;xsec_source=pc_trdark")</f>
        <v>0.0</v>
      </c>
      <c r="D122" t="inlineStr">
        <is>
          <t>鲜水湾</t>
        </is>
      </c>
      <c r="E122" t="inlineStr">
        <is>
          <t>49316638994</t>
        </is>
      </c>
      <c r="F122" t="inlineStr">
        <is>
          <t>2025-12-06 13:02:54</t>
        </is>
      </c>
      <c r="G122" t="inlineStr">
        <is>
          <t>图文</t>
        </is>
      </c>
      <c r="H122" t="inlineStr">
        <is>
          <t>智利三文鱼切块·整条三文鱼·深海鱼一人食健康饮食</t>
        </is>
      </c>
      <c r="I122" t="inlineStr">
        <is>
          <t>691ac562a524ee0001b51d7b</t>
        </is>
      </c>
      <c r="J122" t="inlineStr">
        <is>
          <t/>
        </is>
      </c>
      <c r="K122" t="n">
        <v>0.0</v>
      </c>
      <c r="L122" t="n">
        <v>0.0</v>
      </c>
      <c r="M122" t="n">
        <v>3.0</v>
      </c>
      <c r="N122" t="n">
        <v>0.2</v>
      </c>
      <c r="O122" t="n">
        <v>2.0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inlineStr">
        <is>
          <t/>
        </is>
      </c>
      <c r="X122" t="n">
        <v>0.0</v>
      </c>
      <c r="Y122" t="n">
        <v>0.0</v>
      </c>
      <c r="Z122" t="n">
        <v>2.0</v>
      </c>
      <c r="AA122" t="n">
        <v>0.0</v>
      </c>
      <c r="AB122" t="n">
        <v>0.0</v>
      </c>
      <c r="AC122" t="n">
        <v>0.0</v>
      </c>
      <c r="AD122" t="n">
        <v>15.0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7.666666666666667</v>
      </c>
      <c r="AL122" t="inlineStr">
        <is>
          <t/>
        </is>
      </c>
    </row>
    <row r="123">
      <c r="A123" t="inlineStr">
        <is>
          <t>不愧是10w网友认证过的减重餐？？太绝了‼️</t>
        </is>
      </c>
      <c r="B123" t="inlineStr">
        <is>
          <t>691a8ff8000000000402b2b6</t>
        </is>
      </c>
      <c r="C123" s="122" t="n">
        <f>HYPERLINK("https://www.xiaohongshu.com/explore/691a8ff8000000000402b2b6?xsec_token=TB7_xX17zVvyJQL8hbcdzoIKGb5aaUt1KEEMh2gAbuHz0=&amp;xsec_source=pc_trdark","https://www.xiaohongshu.com/explore/691a8ff8000000000402b2b6?xsec_token=TB7_xX17zVvyJQL8hbcdzoIKGb5aaUt1KEEMh2gAbuHz0=&amp;xsec_source=pc_trdark")</f>
        <v>0.0</v>
      </c>
      <c r="D123" t="inlineStr">
        <is>
          <t>鲜水湾</t>
        </is>
      </c>
      <c r="E123" t="inlineStr">
        <is>
          <t>49316638994</t>
        </is>
      </c>
      <c r="F123" t="inlineStr">
        <is>
          <t>2025-11-17 11:01:12</t>
        </is>
      </c>
      <c r="G123" t="inlineStr">
        <is>
          <t>图文</t>
        </is>
      </c>
      <c r="H123" t="inlineStr">
        <is>
          <t>大虾基围虾王牌大虾厄瓜多尔白虾盐冻虾仁海洋大虾送礼顺丰包邮</t>
        </is>
      </c>
      <c r="I123" t="inlineStr">
        <is>
          <t>690aeb7be379430001e686ac</t>
        </is>
      </c>
      <c r="J123" t="inlineStr">
        <is>
          <t/>
        </is>
      </c>
      <c r="K123" t="n">
        <v>0.0</v>
      </c>
      <c r="L123" t="n">
        <v>0.0</v>
      </c>
      <c r="M123" t="n">
        <v>3.0</v>
      </c>
      <c r="N123" t="n">
        <v>0.2</v>
      </c>
      <c r="O123" t="n">
        <v>3.0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inlineStr">
        <is>
          <t/>
        </is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15.0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3.933333333333333</v>
      </c>
      <c r="AL123" t="inlineStr">
        <is>
          <t/>
        </is>
      </c>
    </row>
    <row r="124">
      <c r="A124" t="inlineStr">
        <is>
          <t>过年了🧨买了整条三文鱼回家</t>
        </is>
      </c>
      <c r="B124" t="inlineStr">
        <is>
          <t>69466567000000001f00a3ce</t>
        </is>
      </c>
      <c r="C124" s="123" t="n">
        <f>HYPERLINK("https://www.xiaohongshu.com/explore/69466567000000001f00a3ce?xsec_token=TBHCyq_CQBT5wFdM6Ltqr7eyV_nAy0QE5ioCDsomteKuQ=&amp;xsec_source=pc_trdark","https://www.xiaohongshu.com/explore/69466567000000001f00a3ce?xsec_token=TBHCyq_CQBT5wFdM6Ltqr7eyV_nAy0QE5ioCDsomteKuQ=&amp;xsec_source=pc_trdark")</f>
        <v>0.0</v>
      </c>
      <c r="D124" t="inlineStr">
        <is>
          <t>鲜水湾</t>
        </is>
      </c>
      <c r="E124" t="inlineStr">
        <is>
          <t>49316638994</t>
        </is>
      </c>
      <c r="F124" t="inlineStr">
        <is>
          <t>2025-12-20 16:59:19</t>
        </is>
      </c>
      <c r="G124" t="inlineStr">
        <is>
          <t>图文</t>
        </is>
      </c>
      <c r="H124" t="inlineStr">
        <is>
          <t>智利三文鱼切块·整条三文鱼·深海鱼一人食健康饮食</t>
        </is>
      </c>
      <c r="I124" t="inlineStr">
        <is>
          <t>691ac562a524ee0001b51d7b</t>
        </is>
      </c>
      <c r="J124" t="inlineStr">
        <is>
          <t/>
        </is>
      </c>
      <c r="K124" t="n">
        <v>363.0</v>
      </c>
      <c r="L124" t="n">
        <v>1.0</v>
      </c>
      <c r="M124" t="n">
        <v>2.0</v>
      </c>
      <c r="N124" t="inlineStr">
        <is>
          <t>0.14285714285714285</t>
        </is>
      </c>
      <c r="O124" t="n">
        <v>2.0</v>
      </c>
      <c r="P124" t="n">
        <v>1.0</v>
      </c>
      <c r="Q124" t="n">
        <v>0.5</v>
      </c>
      <c r="R124" t="n">
        <v>0.5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14.0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9.785714285714286</v>
      </c>
      <c r="AL124" t="inlineStr">
        <is>
          <t/>
        </is>
      </c>
    </row>
    <row r="125">
      <c r="A125" t="inlineStr">
        <is>
          <t>整条三文鱼，送礼首选！</t>
        </is>
      </c>
      <c r="B125" t="inlineStr">
        <is>
          <t>697b6bcd000000002800b16c</t>
        </is>
      </c>
      <c r="C125" s="124" t="n">
        <f>HYPERLINK("https://www.xiaohongshu.com/explore/697b6bcd000000002800b16c?xsec_token=TBx0gf9xFBuo-Uf0_oTJMkRAXL-jqckZHLsjvPP2T4vs8=&amp;xsec_source=pc_trdark","https://www.xiaohongshu.com/explore/697b6bcd000000002800b16c?xsec_token=TBx0gf9xFBuo-Uf0_oTJMkRAXL-jqckZHLsjvPP2T4vs8=&amp;xsec_source=pc_trdark")</f>
        <v>0.0</v>
      </c>
      <c r="D125" t="inlineStr">
        <is>
          <t>鲜水湾</t>
        </is>
      </c>
      <c r="E125" t="inlineStr">
        <is>
          <t>49316638994</t>
        </is>
      </c>
      <c r="F125" t="inlineStr">
        <is>
          <t>2026-01-29 22:16:45</t>
        </is>
      </c>
      <c r="G125" t="inlineStr">
        <is>
          <t>图文</t>
        </is>
      </c>
      <c r="H125" t="inlineStr">
        <is>
          <t>智利三文鱼切块·整条三文鱼·深海鱼一人食健康饮食</t>
        </is>
      </c>
      <c r="I125" t="inlineStr">
        <is>
          <t>691ac562a524ee0001b51d7b</t>
        </is>
      </c>
      <c r="J125" t="inlineStr">
        <is>
          <t/>
        </is>
      </c>
      <c r="K125" t="n">
        <v>0.0</v>
      </c>
      <c r="L125" t="n">
        <v>0.0</v>
      </c>
      <c r="M125" t="n">
        <v>3.0</v>
      </c>
      <c r="N125" t="inlineStr">
        <is>
          <t>0.23076923076923078</t>
        </is>
      </c>
      <c r="O125" t="n">
        <v>3.0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inlineStr">
        <is>
          <t/>
        </is>
      </c>
      <c r="X125" t="n">
        <v>0.0</v>
      </c>
      <c r="Y125" t="n">
        <v>2.0</v>
      </c>
      <c r="Z125" t="n">
        <v>0.0</v>
      </c>
      <c r="AA125" t="n">
        <v>0.0</v>
      </c>
      <c r="AB125" t="n">
        <v>0.0</v>
      </c>
      <c r="AC125" t="n">
        <v>0.0</v>
      </c>
      <c r="AD125" t="n">
        <v>13.0</v>
      </c>
      <c r="AE125" t="n">
        <v>0.0</v>
      </c>
      <c r="AF125" t="n">
        <v>0.0</v>
      </c>
      <c r="AG125" t="n">
        <v>0.0</v>
      </c>
      <c r="AH125" t="n">
        <v>2.0</v>
      </c>
      <c r="AI125" t="n">
        <v>0.0</v>
      </c>
      <c r="AJ125" t="n">
        <v>0.0</v>
      </c>
      <c r="AK125" t="n">
        <v>6.846153846153846</v>
      </c>
      <c r="AL125" t="inlineStr">
        <is>
          <t/>
        </is>
      </c>
    </row>
    <row r="126">
      <c r="A126" t="inlineStr">
        <is>
          <t>三文鱼要好吃，煎鱼基础，鱼搭子就不基础</t>
        </is>
      </c>
      <c r="B126" t="inlineStr">
        <is>
          <t>694396c2000000001e039870</t>
        </is>
      </c>
      <c r="C126" s="125" t="n">
        <f>HYPERLINK("https://www.xiaohongshu.com/explore/694396c2000000001e039870?xsec_token=TB3ISCGERC3xZFl0ewfdTFyM58d86DCe--zZTX8HivPVY=&amp;xsec_source=pc_trdark","https://www.xiaohongshu.com/explore/694396c2000000001e039870?xsec_token=TB3ISCGERC3xZFl0ewfdTFyM58d86DCe--zZTX8HivPVY=&amp;xsec_source=pc_trdark")</f>
        <v>0.0</v>
      </c>
      <c r="D126" t="inlineStr">
        <is>
          <t>鲜水湾</t>
        </is>
      </c>
      <c r="E126" t="inlineStr">
        <is>
          <t>49316638994</t>
        </is>
      </c>
      <c r="F126" t="inlineStr">
        <is>
          <t>2025-12-18 13:53:06</t>
        </is>
      </c>
      <c r="G126" t="inlineStr">
        <is>
          <t>图文</t>
        </is>
      </c>
      <c r="H126" t="inlineStr">
        <is>
          <t>智利三文鱼切块·整条三文鱼·深海鱼一人食健康饮食</t>
        </is>
      </c>
      <c r="I126" t="inlineStr">
        <is>
          <t>691ac562a524ee0001b51d7b</t>
        </is>
      </c>
      <c r="J126" t="inlineStr">
        <is>
          <t/>
        </is>
      </c>
      <c r="K126" t="n">
        <v>0.0</v>
      </c>
      <c r="L126" t="n">
        <v>0.0</v>
      </c>
      <c r="M126" t="n">
        <v>1.0</v>
      </c>
      <c r="N126" t="inlineStr">
        <is>
          <t>0.07692307692307693</t>
        </is>
      </c>
      <c r="O126" t="n">
        <v>1.0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inlineStr">
        <is>
          <t/>
        </is>
      </c>
      <c r="X126" t="n">
        <v>0.0</v>
      </c>
      <c r="Y126" t="n">
        <v>0.0</v>
      </c>
      <c r="Z126" t="n">
        <v>1.0</v>
      </c>
      <c r="AA126" t="n">
        <v>0.0</v>
      </c>
      <c r="AB126" t="n">
        <v>0.0</v>
      </c>
      <c r="AC126" t="n">
        <v>0.0</v>
      </c>
      <c r="AD126" t="n">
        <v>13.0</v>
      </c>
      <c r="AE126" t="n">
        <v>0.0</v>
      </c>
      <c r="AF126" t="n">
        <v>1.0</v>
      </c>
      <c r="AG126" t="n">
        <v>0.0</v>
      </c>
      <c r="AH126" t="n">
        <v>0.0</v>
      </c>
      <c r="AI126" t="n">
        <v>0.0</v>
      </c>
      <c r="AJ126" t="n">
        <v>0.0</v>
      </c>
      <c r="AK126" t="n">
        <v>23.23076923076923</v>
      </c>
      <c r="AL126" t="inlineStr">
        <is>
          <t/>
        </is>
      </c>
    </row>
    <row r="127">
      <c r="A127" t="inlineStr">
        <is>
          <t>一个很变态，但可以瘦的方法</t>
        </is>
      </c>
      <c r="B127" t="inlineStr">
        <is>
          <t>6936e236000000001e033d69</t>
        </is>
      </c>
      <c r="C127" s="126" t="n">
        <f>HYPERLINK("https://www.xiaohongshu.com/explore/6936e236000000001e033d69?xsec_token=TBlR01uRP0dY963Q_AxX8vHG9NopxmE4c_Kx3ofNqu-5I=&amp;xsec_source=pc_trdark","https://www.xiaohongshu.com/explore/6936e236000000001e033d69?xsec_token=TBlR01uRP0dY963Q_AxX8vHG9NopxmE4c_Kx3ofNqu-5I=&amp;xsec_source=pc_trdark")</f>
        <v>0.0</v>
      </c>
      <c r="D127" t="inlineStr">
        <is>
          <t>鲜水湾</t>
        </is>
      </c>
      <c r="E127" t="inlineStr">
        <is>
          <t>49316638994</t>
        </is>
      </c>
      <c r="F127" t="inlineStr">
        <is>
          <t>2025-12-08 22:35:34</t>
        </is>
      </c>
      <c r="G127" t="inlineStr">
        <is>
          <t>视频</t>
        </is>
      </c>
      <c r="H127" t="inlineStr">
        <is>
          <t>大虾基围虾王牌大虾厄瓜多尔白虾盐冻虾仁海洋大虾送礼顺丰包邮</t>
        </is>
      </c>
      <c r="I127" t="inlineStr">
        <is>
          <t>690aeb7be379430001e686ac</t>
        </is>
      </c>
      <c r="J127" t="n">
        <v>14.0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inlineStr">
        <is>
          <t/>
        </is>
      </c>
      <c r="R127" t="inlineStr">
        <is>
          <t/>
        </is>
      </c>
      <c r="S127" t="n">
        <v>0.0</v>
      </c>
      <c r="T127" t="n">
        <v>0.0</v>
      </c>
      <c r="U127" t="n">
        <v>0.0</v>
      </c>
      <c r="V127" t="n">
        <v>0.0</v>
      </c>
      <c r="W127" t="inlineStr">
        <is>
          <t/>
        </is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13.0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1.0</v>
      </c>
      <c r="AL127" t="n">
        <v>0.0</v>
      </c>
    </row>
    <row r="128">
      <c r="A128" t="inlineStr">
        <is>
          <t>巨惊艳❗️乳山真有好生蚝</t>
        </is>
      </c>
      <c r="B128" t="inlineStr">
        <is>
          <t>691c9929000000001f00e731</t>
        </is>
      </c>
      <c r="C128" s="127" t="n">
        <f>HYPERLINK("https://www.xiaohongshu.com/explore/691c9929000000001f00e731?xsec_token=TBIS8v-01Optb7rxCGgHk_CYuHmRqFoAej7AxOXXyebHw=&amp;xsec_source=pc_trdark","https://www.xiaohongshu.com/explore/691c9929000000001f00e731?xsec_token=TBIS8v-01Optb7rxCGgHk_CYuHmRqFoAej7AxOXXyebHw=&amp;xsec_source=pc_trdark")</f>
        <v>0.0</v>
      </c>
      <c r="D128" t="inlineStr">
        <is>
          <t>婉婉上班吃什么</t>
        </is>
      </c>
      <c r="E128" t="inlineStr">
        <is>
          <t>11434449706</t>
        </is>
      </c>
      <c r="F128" t="inlineStr">
        <is>
          <t>2025-11-19 00:04:57</t>
        </is>
      </c>
      <c r="G128" t="inlineStr">
        <is>
          <t>图文</t>
        </is>
      </c>
      <c r="H128" t="inlineStr">
        <is>
          <t>生蚝乳山生蚝海蛎子顺丰包邮</t>
        </is>
      </c>
      <c r="I128" t="inlineStr">
        <is>
          <t>690c70971b787900010866cc</t>
        </is>
      </c>
      <c r="J128" t="inlineStr">
        <is>
          <t/>
        </is>
      </c>
      <c r="K128" t="n">
        <v>0.0</v>
      </c>
      <c r="L128" t="n">
        <v>0.0</v>
      </c>
      <c r="M128" t="n">
        <v>2.0</v>
      </c>
      <c r="N128" t="inlineStr">
        <is>
          <t>0.15384615384615385</t>
        </is>
      </c>
      <c r="O128" t="n">
        <v>2.0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inlineStr">
        <is>
          <t/>
        </is>
      </c>
      <c r="X128" t="n">
        <v>0.0</v>
      </c>
      <c r="Y128" t="n">
        <v>0.0</v>
      </c>
      <c r="Z128" t="n">
        <v>1.0</v>
      </c>
      <c r="AA128" t="n">
        <v>0.0</v>
      </c>
      <c r="AB128" t="n">
        <v>0.0</v>
      </c>
      <c r="AC128" t="n">
        <v>0.0</v>
      </c>
      <c r="AD128" t="n">
        <v>13.0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4.3076923076923075</v>
      </c>
      <c r="AL128" t="inlineStr">
        <is>
          <t/>
        </is>
      </c>
    </row>
    <row r="129">
      <c r="A129" t="inlineStr">
        <is>
          <t>过年就备这个大虾招待亲朋好友吧！</t>
        </is>
      </c>
      <c r="B129" t="inlineStr">
        <is>
          <t>697c77e3000000001a01d1b3</t>
        </is>
      </c>
      <c r="C129" s="128" t="n">
        <f>HYPERLINK("https://www.xiaohongshu.com/explore/697c77e3000000001a01d1b3?xsec_token=TBV-62_c6Sms9X18ENcOcpiCHEy_9hN2vO1o85ywyN8bQ=&amp;xsec_source=pc_trdark","https://www.xiaohongshu.com/explore/697c77e3000000001a01d1b3?xsec_token=TBV-62_c6Sms9X18ENcOcpiCHEy_9hN2vO1o85ywyN8bQ=&amp;xsec_source=pc_trdark")</f>
        <v>0.0</v>
      </c>
      <c r="D129" t="inlineStr">
        <is>
          <t>鲜水湾</t>
        </is>
      </c>
      <c r="E129" t="inlineStr">
        <is>
          <t>49316638994</t>
        </is>
      </c>
      <c r="F129" t="inlineStr">
        <is>
          <t>2026-01-30 17:20:35</t>
        </is>
      </c>
      <c r="G129" t="inlineStr">
        <is>
          <t>图文</t>
        </is>
      </c>
      <c r="H129" t="inlineStr">
        <is>
          <t>大虾基围虾王牌大虾厄瓜多尔白虾盐冻虾仁海洋大虾送礼顺丰包邮</t>
        </is>
      </c>
      <c r="I129" t="inlineStr">
        <is>
          <t>690aeb7be379430001e686ac</t>
        </is>
      </c>
      <c r="J129" t="inlineStr">
        <is>
          <t/>
        </is>
      </c>
      <c r="K129" t="n">
        <v>0.0</v>
      </c>
      <c r="L129" t="n">
        <v>0.0</v>
      </c>
      <c r="M129" t="n">
        <v>3.0</v>
      </c>
      <c r="N129" t="n">
        <v>0.25</v>
      </c>
      <c r="O129" t="n">
        <v>3.0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inlineStr">
        <is>
          <t/>
        </is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12.0</v>
      </c>
      <c r="AE129" t="n">
        <v>0.0</v>
      </c>
      <c r="AF129" t="n">
        <v>0.0</v>
      </c>
      <c r="AG129" t="n">
        <v>0.0</v>
      </c>
      <c r="AH129" t="n">
        <v>3.0</v>
      </c>
      <c r="AI129" t="n">
        <v>0.0</v>
      </c>
      <c r="AJ129" t="n">
        <v>0.0</v>
      </c>
      <c r="AK129" t="n">
        <v>7.75</v>
      </c>
      <c r="AL129" t="inlineStr">
        <is>
          <t/>
        </is>
      </c>
    </row>
    <row r="130">
      <c r="A130" t="inlineStr">
        <is>
          <t>终于找到性价比天花板！这三文鱼比⛰️姆划算</t>
        </is>
      </c>
      <c r="B130" t="inlineStr">
        <is>
          <t>69770c77000000001a01cb2f</t>
        </is>
      </c>
      <c r="C130" s="129" t="n">
        <f>HYPERLINK("https://www.xiaohongshu.com/explore/69770c77000000001a01cb2f?xsec_token=TBZa2Y5La6UySpk4oKPt7hfxYzxcd8zC6ovj4vxPHsmAg=&amp;xsec_source=pc_trdark","https://www.xiaohongshu.com/explore/69770c77000000001a01cb2f?xsec_token=TBZa2Y5La6UySpk4oKPt7hfxYzxcd8zC6ovj4vxPHsmAg=&amp;xsec_source=pc_trdark")</f>
        <v>0.0</v>
      </c>
      <c r="D130" t="inlineStr">
        <is>
          <t>鲜水湾</t>
        </is>
      </c>
      <c r="E130" t="inlineStr">
        <is>
          <t>49316638994</t>
        </is>
      </c>
      <c r="F130" t="inlineStr">
        <is>
          <t>2026-01-26 14:40:55</t>
        </is>
      </c>
      <c r="G130" t="inlineStr">
        <is>
          <t>图文</t>
        </is>
      </c>
      <c r="H130" t="inlineStr">
        <is>
          <t>智利三文鱼切块·整条三文鱼·深海鱼一人食健康饮食</t>
        </is>
      </c>
      <c r="I130" t="inlineStr">
        <is>
          <t>691ac562a524ee0001b51d7b</t>
        </is>
      </c>
      <c r="J130" t="inlineStr">
        <is>
          <t/>
        </is>
      </c>
      <c r="K130" t="n">
        <v>0.0</v>
      </c>
      <c r="L130" t="n">
        <v>0.0</v>
      </c>
      <c r="M130" t="n">
        <v>2.0</v>
      </c>
      <c r="N130" t="inlineStr">
        <is>
          <t>0.16666666666666666</t>
        </is>
      </c>
      <c r="O130" t="n">
        <v>1.0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inlineStr">
        <is>
          <t/>
        </is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12.0</v>
      </c>
      <c r="AE130" t="n">
        <v>0.0</v>
      </c>
      <c r="AF130" t="n">
        <v>0.0</v>
      </c>
      <c r="AG130" t="n">
        <v>0.0</v>
      </c>
      <c r="AH130" t="n">
        <v>2.0</v>
      </c>
      <c r="AI130" t="n">
        <v>0.0</v>
      </c>
      <c r="AJ130" t="n">
        <v>0.0</v>
      </c>
      <c r="AK130" t="n">
        <v>6.666666666666667</v>
      </c>
      <c r="AL130" t="inlineStr">
        <is>
          <t/>
        </is>
      </c>
    </row>
    <row r="131">
      <c r="A131" t="inlineStr">
        <is>
          <t>跟爸妈商量后，决定推出整条三文鱼100单免邮</t>
        </is>
      </c>
      <c r="B131" t="inlineStr">
        <is>
          <t>6942ae0f000000001e03583f</t>
        </is>
      </c>
      <c r="C131" s="130" t="n">
        <f>HYPERLINK("https://www.xiaohongshu.com/explore/6942ae0f000000001e03583f?xsec_token=TB0tDM60Z2n8tclFaINyevIS3N7QYleAKe-QjjTaQbIp0=&amp;xsec_source=pc_trdark","https://www.xiaohongshu.com/explore/6942ae0f000000001e03583f?xsec_token=TB0tDM60Z2n8tclFaINyevIS3N7QYleAKe-QjjTaQbIp0=&amp;xsec_source=pc_trdark")</f>
        <v>0.0</v>
      </c>
      <c r="D131" t="inlineStr">
        <is>
          <t>鲜水湾</t>
        </is>
      </c>
      <c r="E131" t="inlineStr">
        <is>
          <t>49316638994</t>
        </is>
      </c>
      <c r="F131" t="inlineStr">
        <is>
          <t>2025-12-17 21:20:15</t>
        </is>
      </c>
      <c r="G131" t="inlineStr">
        <is>
          <t>图文</t>
        </is>
      </c>
      <c r="H131" t="inlineStr">
        <is>
          <t>智利三文鱼切块·整条三文鱼·深海鱼一人食健康饮食</t>
        </is>
      </c>
      <c r="I131" t="inlineStr">
        <is>
          <t>691ac562a524ee0001b51d7b</t>
        </is>
      </c>
      <c r="J131" t="inlineStr">
        <is>
          <t/>
        </is>
      </c>
      <c r="K131" t="n">
        <v>0.0</v>
      </c>
      <c r="L131" t="n">
        <v>0.0</v>
      </c>
      <c r="M131" t="n">
        <v>1.0</v>
      </c>
      <c r="N131" t="inlineStr">
        <is>
          <t>0.08333333333333333</t>
        </is>
      </c>
      <c r="O131" t="n">
        <v>1.0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inlineStr">
        <is>
          <t/>
        </is>
      </c>
      <c r="X131" t="n">
        <v>0.0</v>
      </c>
      <c r="Y131" t="n">
        <v>1.0</v>
      </c>
      <c r="Z131" t="n">
        <v>1.0</v>
      </c>
      <c r="AA131" t="n">
        <v>0.0</v>
      </c>
      <c r="AB131" t="n">
        <v>0.0</v>
      </c>
      <c r="AC131" t="n">
        <v>0.0</v>
      </c>
      <c r="AD131" t="n">
        <v>12.0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4.916666666666667</v>
      </c>
      <c r="AL131" t="inlineStr">
        <is>
          <t/>
        </is>
      </c>
    </row>
    <row r="132">
      <c r="A132" t="inlineStr">
        <is>
          <t>网购了一整条三文鱼，安全下车</t>
        </is>
      </c>
      <c r="B132" t="inlineStr">
        <is>
          <t>692efa4e000000001e031463</t>
        </is>
      </c>
      <c r="C132" s="131" t="n">
        <f>HYPERLINK("https://www.xiaohongshu.com/explore/692efa4e000000001e031463?xsec_token=TBhc9WPqfa5dhWfRrPj8DX7cIgblguwcH-tlVsfoRDmiM=&amp;xsec_source=pc_trdark","https://www.xiaohongshu.com/explore/692efa4e000000001e031463?xsec_token=TBhc9WPqfa5dhWfRrPj8DX7cIgblguwcH-tlVsfoRDmiM=&amp;xsec_source=pc_trdark")</f>
        <v>0.0</v>
      </c>
      <c r="D132" t="inlineStr">
        <is>
          <t>鲜水湾</t>
        </is>
      </c>
      <c r="E132" t="inlineStr">
        <is>
          <t>49316638994</t>
        </is>
      </c>
      <c r="F132" t="inlineStr">
        <is>
          <t>2025-12-02 22:40:14</t>
        </is>
      </c>
      <c r="G132" t="inlineStr">
        <is>
          <t>图文</t>
        </is>
      </c>
      <c r="H132" t="inlineStr">
        <is>
          <t>智利三文鱼切块·整条三文鱼·深海鱼一人食健康饮食</t>
        </is>
      </c>
      <c r="I132" t="inlineStr">
        <is>
          <t>691ac562a524ee0001b51d7b</t>
        </is>
      </c>
      <c r="J132" t="inlineStr">
        <is>
          <t/>
        </is>
      </c>
      <c r="K132" t="n">
        <v>0.0</v>
      </c>
      <c r="L132" t="n">
        <v>0.0</v>
      </c>
      <c r="M132" t="n">
        <v>2.0</v>
      </c>
      <c r="N132" t="inlineStr">
        <is>
          <t>0.16666666666666666</t>
        </is>
      </c>
      <c r="O132" t="n">
        <v>2.0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inlineStr">
        <is>
          <t/>
        </is>
      </c>
      <c r="X132" t="n">
        <v>0.0</v>
      </c>
      <c r="Y132" t="n">
        <v>0.0</v>
      </c>
      <c r="Z132" t="n">
        <v>1.0</v>
      </c>
      <c r="AA132" t="n">
        <v>0.0</v>
      </c>
      <c r="AB132" t="n">
        <v>0.0</v>
      </c>
      <c r="AC132" t="n">
        <v>0.0</v>
      </c>
      <c r="AD132" t="n">
        <v>12.0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8.166666666666666</v>
      </c>
      <c r="AL132" t="inlineStr">
        <is>
          <t/>
        </is>
      </c>
    </row>
    <row r="133">
      <c r="A133" t="inlineStr">
        <is>
          <t>我爸说便宜卖吧，反正就这一季 59.9五斤</t>
        </is>
      </c>
      <c r="B133" t="inlineStr">
        <is>
          <t>691ebdcb000000001e002b14</t>
        </is>
      </c>
      <c r="C133" s="132" t="n">
        <f>HYPERLINK("https://www.xiaohongshu.com/explore/691ebdcb000000001e002b14?xsec_token=TBP5gqTrG7DCZJhae0kWWz8MreBPBR2VXWtg4UwlogV50=&amp;xsec_source=pc_trdark","https://www.xiaohongshu.com/explore/691ebdcb000000001e002b14?xsec_token=TBP5gqTrG7DCZJhae0kWWz8MreBPBR2VXWtg4UwlogV50=&amp;xsec_source=pc_trdark")</f>
        <v>0.0</v>
      </c>
      <c r="D133" t="inlineStr">
        <is>
          <t>婉婉上班吃什么</t>
        </is>
      </c>
      <c r="E133" t="inlineStr">
        <is>
          <t>11434449706</t>
        </is>
      </c>
      <c r="F133" t="inlineStr">
        <is>
          <t>2025-11-20 15:05:47</t>
        </is>
      </c>
      <c r="G133" t="inlineStr">
        <is>
          <t>视频</t>
        </is>
      </c>
      <c r="H133" t="inlineStr">
        <is>
          <t>生蚝乳山生蚝海蛎子顺丰包邮</t>
        </is>
      </c>
      <c r="I133" t="inlineStr">
        <is>
          <t>690c70971b787900010866cc</t>
        </is>
      </c>
      <c r="J133" t="n">
        <v>30.0</v>
      </c>
      <c r="K133" t="n">
        <v>0.0</v>
      </c>
      <c r="L133" t="n">
        <v>0.0</v>
      </c>
      <c r="M133" t="n">
        <v>1.0</v>
      </c>
      <c r="N133" t="inlineStr">
        <is>
          <t>0.08333333333333333</t>
        </is>
      </c>
      <c r="O133" t="n">
        <v>1.0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inlineStr">
        <is>
          <t/>
        </is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12.0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13.333333333333334</v>
      </c>
      <c r="AL133" t="n">
        <v>0.2222222222222222</v>
      </c>
    </row>
    <row r="134">
      <c r="A134" t="inlineStr">
        <is>
          <t>真心建议控体期的姐妹试试这个大虾</t>
        </is>
      </c>
      <c r="B134" t="inlineStr">
        <is>
          <t>69491155000000001e0213ee</t>
        </is>
      </c>
      <c r="C134" s="133" t="n">
        <f>HYPERLINK("https://www.xiaohongshu.com/explore/69491155000000001e0213ee?xsec_token=TB80OIxeN-ESXgJCMbPNqK1tjqJSn0Tu5ViSLBFSQ5H3o=&amp;xsec_source=pc_trdark","https://www.xiaohongshu.com/explore/69491155000000001e0213ee?xsec_token=TB80OIxeN-ESXgJCMbPNqK1tjqJSn0Tu5ViSLBFSQ5H3o=&amp;xsec_source=pc_trdark")</f>
        <v>0.0</v>
      </c>
      <c r="D134" t="inlineStr">
        <is>
          <t>鲜水湾</t>
        </is>
      </c>
      <c r="E134" t="inlineStr">
        <is>
          <t>49316638994</t>
        </is>
      </c>
      <c r="F134" t="inlineStr">
        <is>
          <t>2025-12-22 17:37:25</t>
        </is>
      </c>
      <c r="G134" t="inlineStr">
        <is>
          <t>图文</t>
        </is>
      </c>
      <c r="H134" t="inlineStr">
        <is>
          <t>大虾基围虾王牌大虾厄瓜多尔白虾盐冻虾仁海洋大虾送礼顺丰包邮</t>
        </is>
      </c>
      <c r="I134" t="inlineStr">
        <is>
          <t>690aeb7be379430001e686ac</t>
        </is>
      </c>
      <c r="J134" t="inlineStr">
        <is>
          <t/>
        </is>
      </c>
      <c r="K134" t="n">
        <v>0.0</v>
      </c>
      <c r="L134" t="n">
        <v>0.0</v>
      </c>
      <c r="M134" t="n">
        <v>3.0</v>
      </c>
      <c r="N134" t="n">
        <v>0.2727272727272727</v>
      </c>
      <c r="O134" t="n">
        <v>2.0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inlineStr">
        <is>
          <t/>
        </is>
      </c>
      <c r="X134" t="n">
        <v>0.0</v>
      </c>
      <c r="Y134" t="n">
        <v>1.0</v>
      </c>
      <c r="Z134" t="n">
        <v>0.0</v>
      </c>
      <c r="AA134" t="n">
        <v>0.0</v>
      </c>
      <c r="AB134" t="n">
        <v>0.0</v>
      </c>
      <c r="AC134" t="n">
        <v>0.0</v>
      </c>
      <c r="AD134" t="n">
        <v>11.0</v>
      </c>
      <c r="AE134" t="n">
        <v>0.0</v>
      </c>
      <c r="AF134" t="n">
        <v>0.0</v>
      </c>
      <c r="AG134" t="n">
        <v>0.0</v>
      </c>
      <c r="AH134" t="n">
        <v>0.0</v>
      </c>
      <c r="AI134" t="n">
        <v>1.0</v>
      </c>
      <c r="AJ134" t="n">
        <v>0.0</v>
      </c>
      <c r="AK134" t="n">
        <v>7.0</v>
      </c>
      <c r="AL134" t="inlineStr">
        <is>
          <t/>
        </is>
      </c>
    </row>
    <row r="135">
      <c r="A135" t="inlineStr">
        <is>
          <t>我q。。。谁还没吃过这个乳山生蚝啊</t>
        </is>
      </c>
      <c r="B135" t="inlineStr">
        <is>
          <t>69145aa20000000004014a85</t>
        </is>
      </c>
      <c r="C135" s="134" t="n">
        <f>HYPERLINK("https://www.xiaohongshu.com/explore/69145aa20000000004014a85?xsec_token=TBaXvlcWwd_4ttBIqZOUWAkz5HweXigRbEy4Q2wvSxZeE=&amp;xsec_source=pc_trdark","https://www.xiaohongshu.com/explore/69145aa20000000004014a85?xsec_token=TBaXvlcWwd_4ttBIqZOUWAkz5HweXigRbEy4Q2wvSxZeE=&amp;xsec_source=pc_trdark")</f>
        <v>0.0</v>
      </c>
      <c r="D135" t="inlineStr">
        <is>
          <t>婉婉上班吃什么</t>
        </is>
      </c>
      <c r="E135" t="inlineStr">
        <is>
          <t>11434449706</t>
        </is>
      </c>
      <c r="F135" t="inlineStr">
        <is>
          <t>2025-11-12 18:00:02</t>
        </is>
      </c>
      <c r="G135" t="inlineStr">
        <is>
          <t>视频</t>
        </is>
      </c>
      <c r="H135" t="inlineStr">
        <is>
          <t>生蚝乳山生蚝海蛎子顺丰包邮</t>
        </is>
      </c>
      <c r="I135" t="inlineStr">
        <is>
          <t>690c70971b787900010866cc</t>
        </is>
      </c>
      <c r="J135" t="n">
        <v>22.0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/>
        </is>
      </c>
      <c r="R135" t="inlineStr">
        <is>
          <t/>
        </is>
      </c>
      <c r="S135" t="n">
        <v>0.0</v>
      </c>
      <c r="T135" t="n">
        <v>0.0</v>
      </c>
      <c r="U135" t="n">
        <v>0.0</v>
      </c>
      <c r="V135" t="n">
        <v>0.0</v>
      </c>
      <c r="W135" t="inlineStr">
        <is>
          <t/>
        </is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10.0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3.5</v>
      </c>
      <c r="AL135" t="inlineStr">
        <is>
          <t>0.08333333333333333</t>
        </is>
      </c>
    </row>
    <row r="136">
      <c r="A136" t="inlineStr">
        <is>
          <t>60几块钱吃一周！减脂党狂喜😋</t>
        </is>
      </c>
      <c r="B136" t="inlineStr">
        <is>
          <t>690eea290000000005010648</t>
        </is>
      </c>
      <c r="C136" s="135" t="n">
        <f>HYPERLINK("https://www.xiaohongshu.com/explore/690eea290000000005010648?xsec_token=TBJajQDaP2lymAuuRX7yQPUSNwrT9mYjhT3qSQpl_x9Kg=&amp;xsec_source=pc_trdark","https://www.xiaohongshu.com/explore/690eea290000000005010648?xsec_token=TBJajQDaP2lymAuuRX7yQPUSNwrT9mYjhT3qSQpl_x9Kg=&amp;xsec_source=pc_trdark")</f>
        <v>0.0</v>
      </c>
      <c r="D136" t="inlineStr">
        <is>
          <t>鲜水湾</t>
        </is>
      </c>
      <c r="E136" t="inlineStr">
        <is>
          <t>49316638994</t>
        </is>
      </c>
      <c r="F136" t="inlineStr">
        <is>
          <t>2025-11-08 14:58:49</t>
        </is>
      </c>
      <c r="G136" t="inlineStr">
        <is>
          <t>图文</t>
        </is>
      </c>
      <c r="H136" t="inlineStr">
        <is>
          <t>大虾基围虾王牌大虾厄瓜多尔白虾盐冻虾仁海洋大虾送礼顺丰包邮</t>
        </is>
      </c>
      <c r="I136" t="inlineStr">
        <is>
          <t>690aeb7be379430001e686ac</t>
        </is>
      </c>
      <c r="J136" t="inlineStr">
        <is>
          <t/>
        </is>
      </c>
      <c r="K136" t="n">
        <v>0.0</v>
      </c>
      <c r="L136" t="n">
        <v>0.0</v>
      </c>
      <c r="M136" t="n">
        <v>3.0</v>
      </c>
      <c r="N136" t="n">
        <v>0.3</v>
      </c>
      <c r="O136" t="n">
        <v>2.0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inlineStr">
        <is>
          <t/>
        </is>
      </c>
      <c r="X136" t="n">
        <v>0.0</v>
      </c>
      <c r="Y136" t="n">
        <v>0.0</v>
      </c>
      <c r="Z136" t="n">
        <v>1.0</v>
      </c>
      <c r="AA136" t="n">
        <v>0.0</v>
      </c>
      <c r="AB136" t="n">
        <v>0.0</v>
      </c>
      <c r="AC136" t="n">
        <v>0.0</v>
      </c>
      <c r="AD136" t="n">
        <v>10.0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8.8</v>
      </c>
      <c r="AL136" t="inlineStr">
        <is>
          <t/>
        </is>
      </c>
    </row>
    <row r="137">
      <c r="A137" t="inlineStr">
        <is>
          <t>买虾不迷路🦐孕妇宝宝都适合吃的大虾</t>
        </is>
      </c>
      <c r="B137" t="inlineStr">
        <is>
          <t>694024d0000000001f005c0c</t>
        </is>
      </c>
      <c r="C137" s="136" t="n">
        <f>HYPERLINK("https://www.xiaohongshu.com/explore/694024d0000000001f005c0c?xsec_token=TBzm36tUj4jhogPihZGtakWaY4X6jgzThj3H79mIfjsHY=&amp;xsec_source=pc_trdark","https://www.xiaohongshu.com/explore/694024d0000000001f005c0c?xsec_token=TBzm36tUj4jhogPihZGtakWaY4X6jgzThj3H79mIfjsHY=&amp;xsec_source=pc_trdark")</f>
        <v>0.0</v>
      </c>
      <c r="D137" t="inlineStr">
        <is>
          <t>鲜水湾</t>
        </is>
      </c>
      <c r="E137" t="inlineStr">
        <is>
          <t>49316638994</t>
        </is>
      </c>
      <c r="F137" t="inlineStr">
        <is>
          <t>2025-12-15 23:10:08</t>
        </is>
      </c>
      <c r="G137" t="inlineStr">
        <is>
          <t>图文</t>
        </is>
      </c>
      <c r="H137" t="inlineStr">
        <is>
          <t>大虾基围虾王牌大虾厄瓜多尔白虾盐冻虾仁海洋大虾送礼顺丰包邮</t>
        </is>
      </c>
      <c r="I137" t="inlineStr">
        <is>
          <t>690aeb7be379430001e686ac</t>
        </is>
      </c>
      <c r="J137" t="inlineStr">
        <is>
          <t/>
        </is>
      </c>
      <c r="K137" t="n">
        <v>0.0</v>
      </c>
      <c r="L137" t="n">
        <v>0.0</v>
      </c>
      <c r="M137" t="n">
        <v>2.0</v>
      </c>
      <c r="N137" t="n">
        <v>0.2222222222222222</v>
      </c>
      <c r="O137" t="n">
        <v>2.0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inlineStr">
        <is>
          <t/>
        </is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9.0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5.777777777777778</v>
      </c>
      <c r="AL137" t="inlineStr">
        <is>
          <t/>
        </is>
      </c>
    </row>
    <row r="138">
      <c r="A138" t="inlineStr">
        <is>
          <t>感谢小红书‼️让我实现三文鱼自由</t>
        </is>
      </c>
      <c r="B138" t="inlineStr">
        <is>
          <t>693ec388000000001e02f0d0</t>
        </is>
      </c>
      <c r="C138" s="137" t="n">
        <f>HYPERLINK("https://www.xiaohongshu.com/explore/693ec388000000001e02f0d0?xsec_token=TBoM4IjxTW7h2pIceDY6ppQGnMianfmmw6EHwKcS0XVwA=&amp;xsec_source=pc_trdark","https://www.xiaohongshu.com/explore/693ec388000000001e02f0d0?xsec_token=TBoM4IjxTW7h2pIceDY6ppQGnMianfmmw6EHwKcS0XVwA=&amp;xsec_source=pc_trdark")</f>
        <v>0.0</v>
      </c>
      <c r="D138" t="inlineStr">
        <is>
          <t>鲜水湾</t>
        </is>
      </c>
      <c r="E138" t="inlineStr">
        <is>
          <t>49316638994</t>
        </is>
      </c>
      <c r="F138" t="inlineStr">
        <is>
          <t>2025-12-14 22:02:49</t>
        </is>
      </c>
      <c r="G138" t="inlineStr">
        <is>
          <t>图文</t>
        </is>
      </c>
      <c r="H138" t="inlineStr">
        <is>
          <t>智利三文鱼切块·整条三文鱼·深海鱼一人食健康饮食</t>
        </is>
      </c>
      <c r="I138" t="inlineStr">
        <is>
          <t>691ac562a524ee0001b51d7b</t>
        </is>
      </c>
      <c r="J138" t="inlineStr">
        <is>
          <t/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inlineStr">
        <is>
          <t/>
        </is>
      </c>
      <c r="R138" t="inlineStr">
        <is>
          <t/>
        </is>
      </c>
      <c r="S138" t="n">
        <v>0.0</v>
      </c>
      <c r="T138" t="n">
        <v>0.0</v>
      </c>
      <c r="U138" t="n">
        <v>0.0</v>
      </c>
      <c r="V138" t="n">
        <v>0.0</v>
      </c>
      <c r="W138" t="inlineStr">
        <is>
          <t/>
        </is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9.0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15.777777777777779</v>
      </c>
      <c r="AL138" t="inlineStr">
        <is>
          <t/>
        </is>
      </c>
    </row>
    <row r="139">
      <c r="A139" t="inlineStr">
        <is>
          <t>我妈说：你就41r一直卖，总会出单的</t>
        </is>
      </c>
      <c r="B139" t="inlineStr">
        <is>
          <t>6932a29d000000001e0213f6</t>
        </is>
      </c>
      <c r="C139" s="138" t="n">
        <f>HYPERLINK("https://www.xiaohongshu.com/explore/6932a29d000000001e0213f6?xsec_token=TBpgGkEYDo_gVOMrYT9wIn9z6vfXDhvw6nIa3HACWFP9s=&amp;xsec_source=pc_trdark","https://www.xiaohongshu.com/explore/6932a29d000000001e0213f6?xsec_token=TBpgGkEYDo_gVOMrYT9wIn9z6vfXDhvw6nIa3HACWFP9s=&amp;xsec_source=pc_trdark")</f>
        <v>0.0</v>
      </c>
      <c r="D139" t="inlineStr">
        <is>
          <t>鲜水湾</t>
        </is>
      </c>
      <c r="E139" t="inlineStr">
        <is>
          <t>49316638994</t>
        </is>
      </c>
      <c r="F139" t="inlineStr">
        <is>
          <t>2025-12-05 17:15:09</t>
        </is>
      </c>
      <c r="G139" t="inlineStr">
        <is>
          <t>图文</t>
        </is>
      </c>
      <c r="H139" t="inlineStr">
        <is>
          <t>智利三文鱼切块·整条三文鱼·深海鱼一人食健康饮食</t>
        </is>
      </c>
      <c r="I139" t="inlineStr">
        <is>
          <t>691ac562a524ee0001b51d7b</t>
        </is>
      </c>
      <c r="J139" t="inlineStr">
        <is>
          <t/>
        </is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inlineStr">
        <is>
          <t/>
        </is>
      </c>
      <c r="R139" t="inlineStr">
        <is>
          <t/>
        </is>
      </c>
      <c r="S139" t="n">
        <v>0.0</v>
      </c>
      <c r="T139" t="n">
        <v>0.0</v>
      </c>
      <c r="U139" t="n">
        <v>0.0</v>
      </c>
      <c r="V139" t="n">
        <v>0.0</v>
      </c>
      <c r="W139" t="inlineStr">
        <is>
          <t/>
        </is>
      </c>
      <c r="X139" t="n">
        <v>0.0</v>
      </c>
      <c r="Y139" t="n">
        <v>0.0</v>
      </c>
      <c r="Z139" t="n">
        <v>1.0</v>
      </c>
      <c r="AA139" t="n">
        <v>0.0</v>
      </c>
      <c r="AB139" t="n">
        <v>0.0</v>
      </c>
      <c r="AC139" t="n">
        <v>0.0</v>
      </c>
      <c r="AD139" t="n">
        <v>9.0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4.0</v>
      </c>
      <c r="AL139" t="inlineStr">
        <is>
          <t/>
        </is>
      </c>
    </row>
    <row r="140">
      <c r="A140" t="inlineStr">
        <is>
          <t>以为60💰很贵，结果够我一周减脂餐了！</t>
        </is>
      </c>
      <c r="B140" t="inlineStr">
        <is>
          <t>690d7e7d000000000700a650</t>
        </is>
      </c>
      <c r="C140" s="139" t="n">
        <f>HYPERLINK("https://www.xiaohongshu.com/explore/690d7e7d000000000700a650?xsec_token=TBD_zEgNllAsWvESEGX2jOc5UOMulaKQRz13FJ0B_8hhU=&amp;xsec_source=pc_trdark","https://www.xiaohongshu.com/explore/690d7e7d000000000700a650?xsec_token=TBD_zEgNllAsWvESEGX2jOc5UOMulaKQRz13FJ0B_8hhU=&amp;xsec_source=pc_trdark")</f>
        <v>0.0</v>
      </c>
      <c r="D140" t="inlineStr">
        <is>
          <t>鲜水湾甄选</t>
        </is>
      </c>
      <c r="E140" t="inlineStr">
        <is>
          <t>27401929161</t>
        </is>
      </c>
      <c r="F140" t="inlineStr">
        <is>
          <t>2025-11-07 13:07:09</t>
        </is>
      </c>
      <c r="G140" t="inlineStr">
        <is>
          <t>图文</t>
        </is>
      </c>
      <c r="H140" t="inlineStr">
        <is>
          <t>大虾基围虾王牌大虾厄瓜多尔白虾盐冻虾仁海洋大虾送礼顺丰包邮</t>
        </is>
      </c>
      <c r="I140" t="inlineStr">
        <is>
          <t>690aeb7be379430001e686ac</t>
        </is>
      </c>
      <c r="J140" t="inlineStr">
        <is>
          <t/>
        </is>
      </c>
      <c r="K140" t="n">
        <v>0.0</v>
      </c>
      <c r="L140" t="n">
        <v>0.0</v>
      </c>
      <c r="M140" t="n">
        <v>1.0</v>
      </c>
      <c r="N140" t="n">
        <v>0.1111111111111111</v>
      </c>
      <c r="O140" t="n">
        <v>1.0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inlineStr">
        <is>
          <t/>
        </is>
      </c>
      <c r="X140" t="n">
        <v>0.0</v>
      </c>
      <c r="Y140" t="n">
        <v>0.0</v>
      </c>
      <c r="Z140" t="n">
        <v>1.0</v>
      </c>
      <c r="AA140" t="n">
        <v>0.0</v>
      </c>
      <c r="AB140" t="n">
        <v>0.0</v>
      </c>
      <c r="AC140" t="n">
        <v>0.0</v>
      </c>
      <c r="AD140" t="n">
        <v>9.0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6.0</v>
      </c>
      <c r="AL140" t="inlineStr">
        <is>
          <t/>
        </is>
      </c>
    </row>
    <row r="141">
      <c r="A141" t="inlineStr">
        <is>
          <t>长期主义三文鱼。。。没有平替！</t>
        </is>
      </c>
      <c r="B141" t="inlineStr">
        <is>
          <t>693793e4000000001e0260d6</t>
        </is>
      </c>
      <c r="C141" s="140" t="n">
        <f>HYPERLINK("https://www.xiaohongshu.com/explore/693793e4000000001e0260d6?xsec_token=TBm581DxyfKxLtHTMgt_7Xf-DdfiRvQ6XLxeBBUf-udi0=&amp;xsec_source=pc_trdark","https://www.xiaohongshu.com/explore/693793e4000000001e0260d6?xsec_token=TBm581DxyfKxLtHTMgt_7Xf-DdfiRvQ6XLxeBBUf-udi0=&amp;xsec_source=pc_trdark")</f>
        <v>0.0</v>
      </c>
      <c r="D141" t="inlineStr">
        <is>
          <t>鲜水湾</t>
        </is>
      </c>
      <c r="E141" t="inlineStr">
        <is>
          <t>49316638994</t>
        </is>
      </c>
      <c r="F141" t="inlineStr">
        <is>
          <t>2025-12-09 11:13:40</t>
        </is>
      </c>
      <c r="G141" t="inlineStr">
        <is>
          <t>图文</t>
        </is>
      </c>
      <c r="H141" t="inlineStr">
        <is>
          <t>智利三文鱼切块·整条三文鱼·深海鱼一人食健康饮食</t>
        </is>
      </c>
      <c r="I141" t="inlineStr">
        <is>
          <t>691ac562a524ee0001b51d7b</t>
        </is>
      </c>
      <c r="J141" t="inlineStr">
        <is>
          <t/>
        </is>
      </c>
      <c r="K141" t="n">
        <v>0.0</v>
      </c>
      <c r="L141" t="n">
        <v>0.0</v>
      </c>
      <c r="M141" t="n">
        <v>1.0</v>
      </c>
      <c r="N141" t="n">
        <v>0.125</v>
      </c>
      <c r="O141" t="n">
        <v>1.0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inlineStr">
        <is>
          <t/>
        </is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8.0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8.375</v>
      </c>
      <c r="AL141" t="inlineStr">
        <is>
          <t/>
        </is>
      </c>
    </row>
    <row r="142">
      <c r="A142" t="inlineStr">
        <is>
          <t>我宣布三文鱼熟的比生的好吃！</t>
        </is>
      </c>
      <c r="B142" t="inlineStr">
        <is>
          <t>69420d65000000001f00fd34</t>
        </is>
      </c>
      <c r="C142" s="141" t="n">
        <f>HYPERLINK("https://www.xiaohongshu.com/explore/69420d65000000001f00fd34?xsec_token=TB0tDM60Z2n8tclFaINyevIT5ot5Py_x3D0HDLO4s-u_w=&amp;xsec_source=pc_trdark","https://www.xiaohongshu.com/explore/69420d65000000001f00fd34?xsec_token=TB0tDM60Z2n8tclFaINyevIT5ot5Py_x3D0HDLO4s-u_w=&amp;xsec_source=pc_trdark")</f>
        <v>0.0</v>
      </c>
      <c r="D142" t="inlineStr">
        <is>
          <t>鲜水湾</t>
        </is>
      </c>
      <c r="E142" t="inlineStr">
        <is>
          <t>49316638994</t>
        </is>
      </c>
      <c r="F142" t="inlineStr">
        <is>
          <t>2025-12-17 09:54:45</t>
        </is>
      </c>
      <c r="G142" t="inlineStr">
        <is>
          <t>图文</t>
        </is>
      </c>
      <c r="H142" t="inlineStr">
        <is>
          <t>智利三文鱼切块·整条三文鱼·深海鱼一人食健康饮食</t>
        </is>
      </c>
      <c r="I142" t="inlineStr">
        <is>
          <t>691ac562a524ee0001b51d7b</t>
        </is>
      </c>
      <c r="J142" t="inlineStr">
        <is>
          <t/>
        </is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inlineStr">
        <is>
          <t/>
        </is>
      </c>
      <c r="R142" t="inlineStr">
        <is>
          <t/>
        </is>
      </c>
      <c r="S142" t="n">
        <v>0.0</v>
      </c>
      <c r="T142" t="n">
        <v>0.0</v>
      </c>
      <c r="U142" t="n">
        <v>0.0</v>
      </c>
      <c r="V142" t="n">
        <v>0.0</v>
      </c>
      <c r="W142" t="inlineStr">
        <is>
          <t/>
        </is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7.0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10.428571428571429</v>
      </c>
      <c r="AL142" t="inlineStr">
        <is>
          <t/>
        </is>
      </c>
    </row>
    <row r="143">
      <c r="A143" t="inlineStr">
        <is>
          <t>厨房小白看这里！0失败的香煎三文鱼教程✅</t>
        </is>
      </c>
      <c r="B143" t="inlineStr">
        <is>
          <t>69415ddb000000001e034d33</t>
        </is>
      </c>
      <c r="C143" s="142" t="n">
        <f>HYPERLINK("https://www.xiaohongshu.com/explore/69415ddb000000001e034d33?xsec_token=TBv6go0WlLO6PYi5tzBr5K9YRgNpyTaicAvnbadSUBCKA=&amp;xsec_source=pc_trdark","https://www.xiaohongshu.com/explore/69415ddb000000001e034d33?xsec_token=TBv6go0WlLO6PYi5tzBr5K9YRgNpyTaicAvnbadSUBCKA=&amp;xsec_source=pc_trdark")</f>
        <v>0.0</v>
      </c>
      <c r="D143" t="inlineStr">
        <is>
          <t>鲜水湾</t>
        </is>
      </c>
      <c r="E143" t="inlineStr">
        <is>
          <t>49316638994</t>
        </is>
      </c>
      <c r="F143" t="inlineStr">
        <is>
          <t>2025-12-16 21:25:47</t>
        </is>
      </c>
      <c r="G143" t="inlineStr">
        <is>
          <t>图文</t>
        </is>
      </c>
      <c r="H143" t="inlineStr">
        <is>
          <t>智利三文鱼切块·整条三文鱼·深海鱼一人食健康饮食</t>
        </is>
      </c>
      <c r="I143" t="inlineStr">
        <is>
          <t>691ac562a524ee0001b51d7b</t>
        </is>
      </c>
      <c r="J143" t="inlineStr">
        <is>
          <t/>
        </is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/>
        </is>
      </c>
      <c r="R143" t="inlineStr">
        <is>
          <t/>
        </is>
      </c>
      <c r="S143" t="n">
        <v>0.0</v>
      </c>
      <c r="T143" t="n">
        <v>0.0</v>
      </c>
      <c r="U143" t="n">
        <v>0.0</v>
      </c>
      <c r="V143" t="n">
        <v>0.0</v>
      </c>
      <c r="W143" t="inlineStr">
        <is>
          <t/>
        </is>
      </c>
      <c r="X143" t="n">
        <v>0.0</v>
      </c>
      <c r="Y143" t="n">
        <v>0.0</v>
      </c>
      <c r="Z143" t="n">
        <v>2.0</v>
      </c>
      <c r="AA143" t="n">
        <v>0.0</v>
      </c>
      <c r="AB143" t="n">
        <v>0.0</v>
      </c>
      <c r="AC143" t="n">
        <v>0.0</v>
      </c>
      <c r="AD143" t="n">
        <v>7.0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12.0</v>
      </c>
      <c r="AL143" t="inlineStr">
        <is>
          <t/>
        </is>
      </c>
    </row>
    <row r="144">
      <c r="A144" t="inlineStr">
        <is>
          <t>双12抢购，整条三文鱼只要300多✅</t>
        </is>
      </c>
      <c r="B144" t="inlineStr">
        <is>
          <t>6935507a000000001f004707</t>
        </is>
      </c>
      <c r="C144" s="143" t="n">
        <f>HYPERLINK("https://www.xiaohongshu.com/explore/6935507a000000001f004707?xsec_token=TBVD2oNyykPWo5AeaDpfHB-tVcIaj27hx_n7cUIRuKx3c=&amp;xsec_source=pc_trdark","https://www.xiaohongshu.com/explore/6935507a000000001f004707?xsec_token=TBVD2oNyykPWo5AeaDpfHB-tVcIaj27hx_n7cUIRuKx3c=&amp;xsec_source=pc_trdark")</f>
        <v>0.0</v>
      </c>
      <c r="D144" t="inlineStr">
        <is>
          <t>鲜水湾</t>
        </is>
      </c>
      <c r="E144" t="inlineStr">
        <is>
          <t>49316638994</t>
        </is>
      </c>
      <c r="F144" t="inlineStr">
        <is>
          <t>2025-12-07 18:01:30</t>
        </is>
      </c>
      <c r="G144" t="inlineStr">
        <is>
          <t>图文</t>
        </is>
      </c>
      <c r="H144" t="inlineStr">
        <is>
          <t>智利三文鱼切块·整条三文鱼·深海鱼一人食健康饮食</t>
        </is>
      </c>
      <c r="I144" t="inlineStr">
        <is>
          <t>691ac562a524ee0001b51d7b</t>
        </is>
      </c>
      <c r="J144" t="inlineStr">
        <is>
          <t/>
        </is>
      </c>
      <c r="K144" t="n">
        <v>0.0</v>
      </c>
      <c r="L144" t="n">
        <v>0.0</v>
      </c>
      <c r="M144" t="n">
        <v>1.0</v>
      </c>
      <c r="N144" t="inlineStr">
        <is>
          <t>0.14285714285714285</t>
        </is>
      </c>
      <c r="O144" t="n">
        <v>1.0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inlineStr">
        <is>
          <t/>
        </is>
      </c>
      <c r="X144" t="n">
        <v>0.0</v>
      </c>
      <c r="Y144" t="n">
        <v>0.0</v>
      </c>
      <c r="Z144" t="n">
        <v>4.0</v>
      </c>
      <c r="AA144" t="n">
        <v>0.0</v>
      </c>
      <c r="AB144" t="n">
        <v>0.0</v>
      </c>
      <c r="AC144" t="n">
        <v>0.0</v>
      </c>
      <c r="AD144" t="n">
        <v>7.0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2.2857142857142856</v>
      </c>
      <c r="AL144" t="inlineStr">
        <is>
          <t/>
        </is>
      </c>
    </row>
    <row r="145">
      <c r="A145" t="inlineStr">
        <is>
          <t>一周回购2/3次，老公让我多囤点</t>
        </is>
      </c>
      <c r="B145" t="inlineStr">
        <is>
          <t>691c87a3000000001e02bcd0</t>
        </is>
      </c>
      <c r="C145" s="144" t="n">
        <f>HYPERLINK("https://www.xiaohongshu.com/explore/691c87a3000000001e02bcd0?xsec_token=TBIS8v-01Optb7rxCGgHk_CX8MEj4lfHt9FklCXsLSsoA=&amp;xsec_source=pc_trdark","https://www.xiaohongshu.com/explore/691c87a3000000001e02bcd0?xsec_token=TBIS8v-01Optb7rxCGgHk_CX8MEj4lfHt9FklCXsLSsoA=&amp;xsec_source=pc_trdark")</f>
        <v>0.0</v>
      </c>
      <c r="D145" t="inlineStr">
        <is>
          <t>鲜水湾</t>
        </is>
      </c>
      <c r="E145" t="inlineStr">
        <is>
          <t>49316638994</t>
        </is>
      </c>
      <c r="F145" t="inlineStr">
        <is>
          <t>2025-11-18 22:50:11</t>
        </is>
      </c>
      <c r="G145" t="inlineStr">
        <is>
          <t>图文</t>
        </is>
      </c>
      <c r="H145" t="inlineStr">
        <is>
          <t>虾仁冷冻虾仁去虾线新鲜速冻海鲜顺丰包邮</t>
        </is>
      </c>
      <c r="I145" t="inlineStr">
        <is>
          <t>691147a442726100013c7289</t>
        </is>
      </c>
      <c r="J145" t="inlineStr">
        <is>
          <t/>
        </is>
      </c>
      <c r="K145" t="n">
        <v>0.0</v>
      </c>
      <c r="L145" t="n">
        <v>0.0</v>
      </c>
      <c r="M145" t="n">
        <v>3.0</v>
      </c>
      <c r="N145" t="inlineStr">
        <is>
          <t>0.42857142857142855</t>
        </is>
      </c>
      <c r="O145" t="n">
        <v>3.0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inlineStr">
        <is>
          <t/>
        </is>
      </c>
      <c r="X145" t="n">
        <v>0.0</v>
      </c>
      <c r="Y145" t="n">
        <v>0.0</v>
      </c>
      <c r="Z145" t="n">
        <v>3.0</v>
      </c>
      <c r="AA145" t="n">
        <v>0.0</v>
      </c>
      <c r="AB145" t="n">
        <v>0.0</v>
      </c>
      <c r="AC145" t="n">
        <v>0.0</v>
      </c>
      <c r="AD145" t="n">
        <v>7.0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4.857142857142857</v>
      </c>
      <c r="AL145" t="inlineStr">
        <is>
          <t/>
        </is>
      </c>
    </row>
    <row r="146">
      <c r="A146" t="inlineStr">
        <is>
          <t>爸妈对我每天吃虾表示很奢侈</t>
        </is>
      </c>
      <c r="B146" t="inlineStr">
        <is>
          <t>693397b8000000001d03918c</t>
        </is>
      </c>
      <c r="C146" s="145" t="n">
        <f>HYPERLINK("https://www.xiaohongshu.com/explore/693397b8000000001d03918c?xsec_token=TBtLw60d0rN_yGhfj7_ewzhZQrEH49D2EswsFkD3n_bkY=&amp;xsec_source=pc_trdark","https://www.xiaohongshu.com/explore/693397b8000000001d03918c?xsec_token=TBtLw60d0rN_yGhfj7_ewzhZQrEH49D2EswsFkD3n_bkY=&amp;xsec_source=pc_trdark")</f>
        <v>0.0</v>
      </c>
      <c r="D146" t="inlineStr">
        <is>
          <t>鲜水湾甄选</t>
        </is>
      </c>
      <c r="E146" t="inlineStr">
        <is>
          <t>27401929161</t>
        </is>
      </c>
      <c r="F146" t="inlineStr">
        <is>
          <t>2025-12-06 10:40:56</t>
        </is>
      </c>
      <c r="G146" t="inlineStr">
        <is>
          <t>图文</t>
        </is>
      </c>
      <c r="H146" t="inlineStr">
        <is>
          <t>大虾基围虾王牌大虾厄瓜多尔白虾盐冻虾仁海洋大虾送礼顺丰包邮</t>
        </is>
      </c>
      <c r="I146" t="inlineStr">
        <is>
          <t>690aeb7be379430001e686ac</t>
        </is>
      </c>
      <c r="J146" t="inlineStr">
        <is>
          <t/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inlineStr">
        <is>
          <t/>
        </is>
      </c>
      <c r="R146" t="inlineStr">
        <is>
          <t/>
        </is>
      </c>
      <c r="S146" t="n">
        <v>0.0</v>
      </c>
      <c r="T146" t="n">
        <v>0.0</v>
      </c>
      <c r="U146" t="n">
        <v>0.0</v>
      </c>
      <c r="V146" t="n">
        <v>0.0</v>
      </c>
      <c r="W146" t="inlineStr">
        <is>
          <t/>
        </is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6.0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4.333333333333333</v>
      </c>
      <c r="AL146" t="inlineStr">
        <is>
          <t/>
        </is>
      </c>
    </row>
    <row r="147">
      <c r="A147" t="inlineStr">
        <is>
          <t>低估60多块的购买力了，不到一块💰一只</t>
        </is>
      </c>
      <c r="B147" t="inlineStr">
        <is>
          <t>69271d5b000000001e030027</t>
        </is>
      </c>
      <c r="C147" s="146" t="n">
        <f>HYPERLINK("https://www.xiaohongshu.com/explore/69271d5b000000001e030027?xsec_token=TBLaSXRlY1LuZckfwFBOoYph40dfB80hCcDYQn9fvVAKU=&amp;xsec_source=pc_trdark","https://www.xiaohongshu.com/explore/69271d5b000000001e030027?xsec_token=TBLaSXRlY1LuZckfwFBOoYph40dfB80hCcDYQn9fvVAKU=&amp;xsec_source=pc_trdark")</f>
        <v>0.0</v>
      </c>
      <c r="D147" t="inlineStr">
        <is>
          <t>鲜水湾</t>
        </is>
      </c>
      <c r="E147" t="inlineStr">
        <is>
          <t>49316638994</t>
        </is>
      </c>
      <c r="F147" t="inlineStr">
        <is>
          <t>2025-11-26 23:31:40</t>
        </is>
      </c>
      <c r="G147" t="inlineStr">
        <is>
          <t>图文</t>
        </is>
      </c>
      <c r="H147" t="inlineStr">
        <is>
          <t>大虾基围虾王牌大虾厄瓜多尔白虾盐冻虾仁海洋大虾送礼顺丰包邮</t>
        </is>
      </c>
      <c r="I147" t="inlineStr">
        <is>
          <t>690aeb7be379430001e686ac</t>
        </is>
      </c>
      <c r="J147" t="inlineStr">
        <is>
          <t/>
        </is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inlineStr">
        <is>
          <t/>
        </is>
      </c>
      <c r="R147" t="inlineStr">
        <is>
          <t/>
        </is>
      </c>
      <c r="S147" t="n">
        <v>0.0</v>
      </c>
      <c r="T147" t="n">
        <v>0.0</v>
      </c>
      <c r="U147" t="n">
        <v>0.0</v>
      </c>
      <c r="V147" t="n">
        <v>0.0</v>
      </c>
      <c r="W147" t="inlineStr">
        <is>
          <t/>
        </is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6.0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6.666666666666667</v>
      </c>
      <c r="AL147" t="inlineStr">
        <is>
          <t/>
        </is>
      </c>
    </row>
    <row r="148">
      <c r="A148" t="inlineStr">
        <is>
          <t>终于知道年轻人爱大虾的理由了……</t>
        </is>
      </c>
      <c r="B148" t="inlineStr">
        <is>
          <t>691185f4000000000703b57a</t>
        </is>
      </c>
      <c r="C148" s="147" t="n">
        <f>HYPERLINK("https://www.xiaohongshu.com/explore/691185f4000000000703b57a?xsec_token=TBrsrV1jnhRUA39f7gREfx-NTLmV1A7aUV7O42PPhiFzo=&amp;xsec_source=pc_trdark","https://www.xiaohongshu.com/explore/691185f4000000000703b57a?xsec_token=TBrsrV1jnhRUA39f7gREfx-NTLmV1A7aUV7O42PPhiFzo=&amp;xsec_source=pc_trdark")</f>
        <v>0.0</v>
      </c>
      <c r="D148" t="inlineStr">
        <is>
          <t>鲜水湾甄选</t>
        </is>
      </c>
      <c r="E148" t="inlineStr">
        <is>
          <t>27401929161</t>
        </is>
      </c>
      <c r="F148" t="inlineStr">
        <is>
          <t>2025-11-10 14:28:04</t>
        </is>
      </c>
      <c r="G148" t="inlineStr">
        <is>
          <t>图文</t>
        </is>
      </c>
      <c r="H148" t="inlineStr">
        <is>
          <t>大虾基围虾王牌大虾厄瓜多尔白虾盐冻虾仁海洋大虾送礼顺丰包邮</t>
        </is>
      </c>
      <c r="I148" t="inlineStr">
        <is>
          <t>690aeb7be379430001e686ac</t>
        </is>
      </c>
      <c r="J148" t="inlineStr">
        <is>
          <t/>
        </is>
      </c>
      <c r="K148" t="n">
        <v>0.0</v>
      </c>
      <c r="L148" t="n">
        <v>0.0</v>
      </c>
      <c r="M148" t="n">
        <v>1.0</v>
      </c>
      <c r="N148" t="inlineStr">
        <is>
          <t>0.16666666666666666</t>
        </is>
      </c>
      <c r="O148" t="n">
        <v>1.0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inlineStr">
        <is>
          <t/>
        </is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6.0</v>
      </c>
      <c r="AE148" t="n">
        <v>1.0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3.5</v>
      </c>
      <c r="AL148" t="inlineStr">
        <is>
          <t/>
        </is>
      </c>
    </row>
    <row r="149">
      <c r="A149" t="inlineStr">
        <is>
          <t>区区300多承包了我一个月的减脂餐😎</t>
        </is>
      </c>
      <c r="B149" t="inlineStr">
        <is>
          <t>694d4d55000000001e02f936</t>
        </is>
      </c>
      <c r="C149" s="148" t="n">
        <f>HYPERLINK("https://www.xiaohongshu.com/explore/694d4d55000000001e02f936?xsec_token=TBtwDoStOWWrqIzqfvN9e2OfBKKCe5OU5wm_XAyKnlIzM=&amp;xsec_source=pc_trdark","https://www.xiaohongshu.com/explore/694d4d55000000001e02f936?xsec_token=TBtwDoStOWWrqIzqfvN9e2OfBKKCe5OU5wm_XAyKnlIzM=&amp;xsec_source=pc_trdark")</f>
        <v>0.0</v>
      </c>
      <c r="D149" t="inlineStr">
        <is>
          <t>鲜水湾</t>
        </is>
      </c>
      <c r="E149" t="inlineStr">
        <is>
          <t>49316638994</t>
        </is>
      </c>
      <c r="F149" t="inlineStr">
        <is>
          <t>2025-12-25 22:42:29</t>
        </is>
      </c>
      <c r="G149" t="inlineStr">
        <is>
          <t>图文</t>
        </is>
      </c>
      <c r="H149" t="inlineStr">
        <is>
          <t>智利三文鱼切块·整条三文鱼·深海鱼一人食健康饮食</t>
        </is>
      </c>
      <c r="I149" t="inlineStr">
        <is>
          <t>691ac562a524ee0001b51d7b</t>
        </is>
      </c>
      <c r="J149" t="inlineStr">
        <is>
          <t/>
        </is>
      </c>
      <c r="K149" t="n">
        <v>0.0</v>
      </c>
      <c r="L149" t="n">
        <v>0.0</v>
      </c>
      <c r="M149" t="n">
        <v>1.0</v>
      </c>
      <c r="N149" t="n">
        <v>0.2</v>
      </c>
      <c r="O149" t="n">
        <v>1.0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inlineStr">
        <is>
          <t/>
        </is>
      </c>
      <c r="X149" t="n">
        <v>0.0</v>
      </c>
      <c r="Y149" t="n">
        <v>0.0</v>
      </c>
      <c r="Z149" t="n">
        <v>1.0</v>
      </c>
      <c r="AA149" t="n">
        <v>0.0</v>
      </c>
      <c r="AB149" t="n">
        <v>0.0</v>
      </c>
      <c r="AC149" t="n">
        <v>0.0</v>
      </c>
      <c r="AD149" t="n">
        <v>5.0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4.2</v>
      </c>
      <c r="AL149" t="inlineStr">
        <is>
          <t/>
        </is>
      </c>
    </row>
    <row r="150">
      <c r="A150" t="inlineStr">
        <is>
          <t>小红书诚不欺我😭香煎三文鱼真的超好吃！</t>
        </is>
      </c>
      <c r="B150" t="inlineStr">
        <is>
          <t>6936ce79000000001e02e3c2</t>
        </is>
      </c>
      <c r="C150" s="149" t="n">
        <f>HYPERLINK("https://www.xiaohongshu.com/explore/6936ce79000000001e02e3c2?xsec_token=TBlR01uRP0dY963Q_AxX8vHKuz4QQcb-jS2lEfPVjHVsA=&amp;xsec_source=pc_trdark","https://www.xiaohongshu.com/explore/6936ce79000000001e02e3c2?xsec_token=TBlR01uRP0dY963Q_AxX8vHKuz4QQcb-jS2lEfPVjHVsA=&amp;xsec_source=pc_trdark")</f>
        <v>0.0</v>
      </c>
      <c r="D150" t="inlineStr">
        <is>
          <t>鲜水湾</t>
        </is>
      </c>
      <c r="E150" t="inlineStr">
        <is>
          <t>49316638994</t>
        </is>
      </c>
      <c r="F150" t="inlineStr">
        <is>
          <t>2025-12-08 21:11:21</t>
        </is>
      </c>
      <c r="G150" t="inlineStr">
        <is>
          <t>图文</t>
        </is>
      </c>
      <c r="H150" t="inlineStr">
        <is>
          <t>智利三文鱼切块·整条三文鱼·深海鱼一人食健康饮食</t>
        </is>
      </c>
      <c r="I150" t="inlineStr">
        <is>
          <t>691ac562a524ee0001b51d7b</t>
        </is>
      </c>
      <c r="J150" t="inlineStr">
        <is>
          <t/>
        </is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inlineStr">
        <is>
          <t/>
        </is>
      </c>
      <c r="R150" t="inlineStr">
        <is>
          <t/>
        </is>
      </c>
      <c r="S150" t="n">
        <v>0.0</v>
      </c>
      <c r="T150" t="n">
        <v>0.0</v>
      </c>
      <c r="U150" t="n">
        <v>0.0</v>
      </c>
      <c r="V150" t="n">
        <v>0.0</v>
      </c>
      <c r="W150" t="inlineStr">
        <is>
          <t/>
        </is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5.0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8.2</v>
      </c>
      <c r="AL150" t="inlineStr">
        <is>
          <t/>
        </is>
      </c>
    </row>
    <row r="151">
      <c r="A151" t="inlineStr">
        <is>
          <t>讲真…年轻人低估了100💰的购买力</t>
        </is>
      </c>
      <c r="B151" t="inlineStr">
        <is>
          <t>69358c43000000001e026616</t>
        </is>
      </c>
      <c r="C151" s="150" t="n">
        <f>HYPERLINK("https://www.xiaohongshu.com/explore/69358c43000000001e026616?xsec_token=TBVD2oNyykPWo5AeaDpfHB-g66dbnYDAWmgdsgoTyZ2cE=&amp;xsec_source=pc_trdark","https://www.xiaohongshu.com/explore/69358c43000000001e026616?xsec_token=TBVD2oNyykPWo5AeaDpfHB-g66dbnYDAWmgdsgoTyZ2cE=&amp;xsec_source=pc_trdark")</f>
        <v>0.0</v>
      </c>
      <c r="D151" t="inlineStr">
        <is>
          <t>鲜水湾</t>
        </is>
      </c>
      <c r="E151" t="inlineStr">
        <is>
          <t>49316638994</t>
        </is>
      </c>
      <c r="F151" t="inlineStr">
        <is>
          <t>2025-12-07 22:16:35</t>
        </is>
      </c>
      <c r="G151" t="inlineStr">
        <is>
          <t>图文</t>
        </is>
      </c>
      <c r="H151" t="inlineStr">
        <is>
          <t>智利三文鱼切块·整条三文鱼·深海鱼一人食健康饮食</t>
        </is>
      </c>
      <c r="I151" t="inlineStr">
        <is>
          <t>691ac562a524ee0001b51d7b</t>
        </is>
      </c>
      <c r="J151" t="inlineStr">
        <is>
          <t/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inlineStr">
        <is>
          <t/>
        </is>
      </c>
      <c r="R151" t="inlineStr">
        <is>
          <t/>
        </is>
      </c>
      <c r="S151" t="n">
        <v>0.0</v>
      </c>
      <c r="T151" t="n">
        <v>0.0</v>
      </c>
      <c r="U151" t="n">
        <v>0.0</v>
      </c>
      <c r="V151" t="n">
        <v>0.0</v>
      </c>
      <c r="W151" t="inlineStr">
        <is>
          <t/>
        </is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5.0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5.6</v>
      </c>
      <c r="AL151" t="inlineStr">
        <is>
          <t/>
        </is>
      </c>
    </row>
    <row r="152">
      <c r="A152" t="inlineStr">
        <is>
          <t>一个能撑死人，但热量很低的东西</t>
        </is>
      </c>
      <c r="B152" t="inlineStr">
        <is>
          <t>69231eff000000001e022941</t>
        </is>
      </c>
      <c r="C152" s="151" t="n">
        <f>HYPERLINK("https://www.xiaohongshu.com/explore/69231eff000000001e022941?xsec_token=TBBxL79LDzc6WqpUNHJD-EhcFqaVjs_EY-zYiTuVgkqhk=&amp;xsec_source=pc_trdark","https://www.xiaohongshu.com/explore/69231eff000000001e022941?xsec_token=TBBxL79LDzc6WqpUNHJD-EhcFqaVjs_EY-zYiTuVgkqhk=&amp;xsec_source=pc_trdark")</f>
        <v>0.0</v>
      </c>
      <c r="D152" t="inlineStr">
        <is>
          <t>鲜水湾</t>
        </is>
      </c>
      <c r="E152" t="inlineStr">
        <is>
          <t>49316638994</t>
        </is>
      </c>
      <c r="F152" t="inlineStr">
        <is>
          <t>2025-11-23 22:49:35</t>
        </is>
      </c>
      <c r="G152" t="inlineStr">
        <is>
          <t>图文</t>
        </is>
      </c>
      <c r="H152" t="inlineStr">
        <is>
          <t>大虾基围虾王牌大虾厄瓜多尔白虾盐冻虾仁海洋大虾送礼顺丰包邮</t>
        </is>
      </c>
      <c r="I152" t="inlineStr">
        <is>
          <t>690aeb7be379430001e686ac</t>
        </is>
      </c>
      <c r="J152" t="inlineStr">
        <is>
          <t/>
        </is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inlineStr">
        <is>
          <t/>
        </is>
      </c>
      <c r="R152" t="inlineStr">
        <is>
          <t/>
        </is>
      </c>
      <c r="S152" t="n">
        <v>0.0</v>
      </c>
      <c r="T152" t="n">
        <v>0.0</v>
      </c>
      <c r="U152" t="n">
        <v>0.0</v>
      </c>
      <c r="V152" t="n">
        <v>0.0</v>
      </c>
      <c r="W152" t="inlineStr">
        <is>
          <t/>
        </is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5.0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4.0</v>
      </c>
      <c r="AL152" t="inlineStr">
        <is>
          <t/>
        </is>
      </c>
    </row>
    <row r="153">
      <c r="A153" t="inlineStr">
        <is>
          <t>破案了！！！怪不得身材瘦的女生都喜欢吃虾</t>
        </is>
      </c>
      <c r="B153" t="inlineStr">
        <is>
          <t>6913fbb10000000005010120</t>
        </is>
      </c>
      <c r="C153" s="152" t="n">
        <f>HYPERLINK("https://www.xiaohongshu.com/explore/6913fbb10000000005010120?xsec_token=TBuRf-kx9cRMi3U9rbAm1Pe-2l94JterWmSi6Vd5TOvKs=&amp;xsec_source=pc_trdark","https://www.xiaohongshu.com/explore/6913fbb10000000005010120?xsec_token=TBuRf-kx9cRMi3U9rbAm1Pe-2l94JterWmSi6Vd5TOvKs=&amp;xsec_source=pc_trdark")</f>
        <v>0.0</v>
      </c>
      <c r="D153" t="inlineStr">
        <is>
          <t>鲜水湾</t>
        </is>
      </c>
      <c r="E153" t="inlineStr">
        <is>
          <t>49316638994</t>
        </is>
      </c>
      <c r="F153" t="inlineStr">
        <is>
          <t>2025-11-12 11:14:57</t>
        </is>
      </c>
      <c r="G153" t="inlineStr">
        <is>
          <t>图文</t>
        </is>
      </c>
      <c r="H153" t="inlineStr">
        <is>
          <t>大虾基围虾王牌大虾厄瓜多尔白虾盐冻虾仁海洋大虾送礼顺丰包邮</t>
        </is>
      </c>
      <c r="I153" t="inlineStr">
        <is>
          <t>690aeb7be379430001e686ac</t>
        </is>
      </c>
      <c r="J153" t="inlineStr">
        <is>
          <t/>
        </is>
      </c>
      <c r="K153" t="n">
        <v>0.0</v>
      </c>
      <c r="L153" t="n">
        <v>0.0</v>
      </c>
      <c r="M153" t="n">
        <v>1.0</v>
      </c>
      <c r="N153" t="n">
        <v>0.2</v>
      </c>
      <c r="O153" t="n">
        <v>1.0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inlineStr">
        <is>
          <t/>
        </is>
      </c>
      <c r="X153" t="n">
        <v>0.0</v>
      </c>
      <c r="Y153" t="n">
        <v>0.0</v>
      </c>
      <c r="Z153" t="n">
        <v>2.0</v>
      </c>
      <c r="AA153" t="n">
        <v>0.0</v>
      </c>
      <c r="AB153" t="n">
        <v>0.0</v>
      </c>
      <c r="AC153" t="n">
        <v>0.0</v>
      </c>
      <c r="AD153" t="n">
        <v>5.0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3.6</v>
      </c>
      <c r="AL153" t="inlineStr">
        <is>
          <t/>
        </is>
      </c>
    </row>
    <row r="154">
      <c r="A154" t="inlineStr">
        <is>
          <t>69💰看着不起眼 实际够我吃一个周</t>
        </is>
      </c>
      <c r="B154" t="inlineStr">
        <is>
          <t>6935948e000000001f004a65</t>
        </is>
      </c>
      <c r="C154" s="153" t="n">
        <f>HYPERLINK("https://www.xiaohongshu.com/explore/6935948e000000001f004a65?xsec_token=TBVD2oNyykPWo5AeaDpfHB-spXXPzORjROCJhBE0vFZuE=&amp;xsec_source=pc_trdark","https://www.xiaohongshu.com/explore/6935948e000000001f004a65?xsec_token=TBVD2oNyykPWo5AeaDpfHB-spXXPzORjROCJhBE0vFZuE=&amp;xsec_source=pc_trdark")</f>
        <v>0.0</v>
      </c>
      <c r="D154" t="inlineStr">
        <is>
          <t>鲜水湾</t>
        </is>
      </c>
      <c r="E154" t="inlineStr">
        <is>
          <t>49316638994</t>
        </is>
      </c>
      <c r="F154" t="inlineStr">
        <is>
          <t>2025-12-07 22:51:58</t>
        </is>
      </c>
      <c r="G154" t="inlineStr">
        <is>
          <t>图文</t>
        </is>
      </c>
      <c r="H154" t="inlineStr">
        <is>
          <t>大虾基围虾王牌大虾厄瓜多尔白虾盐冻虾仁海洋大虾送礼顺丰包邮</t>
        </is>
      </c>
      <c r="I154" t="inlineStr">
        <is>
          <t>690aeb7be379430001e686ac</t>
        </is>
      </c>
      <c r="J154" t="inlineStr">
        <is>
          <t/>
        </is>
      </c>
      <c r="K154" t="n">
        <v>0.0</v>
      </c>
      <c r="L154" t="n">
        <v>0.0</v>
      </c>
      <c r="M154" t="n">
        <v>1.0</v>
      </c>
      <c r="N154" t="n">
        <v>0.25</v>
      </c>
      <c r="O154" t="n">
        <v>1.0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inlineStr">
        <is>
          <t/>
        </is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4.0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9.75</v>
      </c>
      <c r="AL154" t="inlineStr">
        <is>
          <t/>
        </is>
      </c>
    </row>
    <row r="155">
      <c r="A155" t="inlineStr">
        <is>
          <t>误以为很贵，实际80块够吃一周的大虾</t>
        </is>
      </c>
      <c r="B155" t="inlineStr">
        <is>
          <t>692c173c000000001e0263ff</t>
        </is>
      </c>
      <c r="C155" s="154" t="n">
        <f>HYPERLINK("https://www.xiaohongshu.com/explore/692c173c000000001e0263ff?xsec_token=TBH8WU3GpU8LFNJoNsVUYXEq2iwAL-tVREG-1oFvuX0eQ=&amp;xsec_source=pc_trdark","https://www.xiaohongshu.com/explore/692c173c000000001e0263ff?xsec_token=TBH8WU3GpU8LFNJoNsVUYXEq2iwAL-tVREG-1oFvuX0eQ=&amp;xsec_source=pc_trdark")</f>
        <v>0.0</v>
      </c>
      <c r="D155" t="inlineStr">
        <is>
          <t>鲜水湾</t>
        </is>
      </c>
      <c r="E155" t="inlineStr">
        <is>
          <t>49316638994</t>
        </is>
      </c>
      <c r="F155" t="inlineStr">
        <is>
          <t>2025-11-30 18:06:52</t>
        </is>
      </c>
      <c r="G155" t="inlineStr">
        <is>
          <t>图文</t>
        </is>
      </c>
      <c r="H155" t="inlineStr">
        <is>
          <t>大虾基围虾王牌大虾厄瓜多尔白虾盐冻虾仁海洋大虾送礼顺丰包邮</t>
        </is>
      </c>
      <c r="I155" t="inlineStr">
        <is>
          <t>690aeb7be379430001e686ac</t>
        </is>
      </c>
      <c r="J155" t="inlineStr">
        <is>
          <t/>
        </is>
      </c>
      <c r="K155" t="n">
        <v>0.0</v>
      </c>
      <c r="L155" t="n">
        <v>0.0</v>
      </c>
      <c r="M155" t="n">
        <v>2.0</v>
      </c>
      <c r="N155" t="n">
        <v>0.5</v>
      </c>
      <c r="O155" t="n">
        <v>2.0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inlineStr">
        <is>
          <t/>
        </is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4.0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3.5</v>
      </c>
      <c r="AL155" t="inlineStr">
        <is>
          <t/>
        </is>
      </c>
    </row>
    <row r="156">
      <c r="A156" t="inlineStr">
        <is>
          <t>剥壳停不下来！Q弹鲜甜的大虾太绝了</t>
        </is>
      </c>
      <c r="B156" t="inlineStr">
        <is>
          <t>691d5e13000000001e032699</t>
        </is>
      </c>
      <c r="C156" s="155" t="n">
        <f>HYPERLINK("https://www.xiaohongshu.com/explore/691d5e13000000001e032699?xsec_token=TBfJie4P5Jl9AylR95m8dPVE7EZuDaB2Ew_HLIS6mqC7Y=&amp;xsec_source=pc_trdark","https://www.xiaohongshu.com/explore/691d5e13000000001e032699?xsec_token=TBfJie4P5Jl9AylR95m8dPVE7EZuDaB2Ew_HLIS6mqC7Y=&amp;xsec_source=pc_trdark")</f>
        <v>0.0</v>
      </c>
      <c r="D156" t="inlineStr">
        <is>
          <t>鲜水湾</t>
        </is>
      </c>
      <c r="E156" t="inlineStr">
        <is>
          <t>49316638994</t>
        </is>
      </c>
      <c r="F156" t="inlineStr">
        <is>
          <t>2025-11-19 14:05:07</t>
        </is>
      </c>
      <c r="G156" t="inlineStr">
        <is>
          <t>图文</t>
        </is>
      </c>
      <c r="H156" t="inlineStr">
        <is>
          <t>大虾基围虾王牌大虾厄瓜多尔白虾盐冻虾仁海洋大虾送礼顺丰包邮</t>
        </is>
      </c>
      <c r="I156" t="inlineStr">
        <is>
          <t>690aeb7be379430001e686ac</t>
        </is>
      </c>
      <c r="J156" t="inlineStr">
        <is>
          <t/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inlineStr">
        <is>
          <t/>
        </is>
      </c>
      <c r="R156" t="inlineStr">
        <is>
          <t/>
        </is>
      </c>
      <c r="S156" t="n">
        <v>0.0</v>
      </c>
      <c r="T156" t="n">
        <v>0.0</v>
      </c>
      <c r="U156" t="n">
        <v>0.0</v>
      </c>
      <c r="V156" t="n">
        <v>0.0</v>
      </c>
      <c r="W156" t="inlineStr">
        <is>
          <t/>
        </is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4.0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12.5</v>
      </c>
      <c r="AL156" t="inlineStr">
        <is>
          <t/>
        </is>
      </c>
    </row>
    <row r="157">
      <c r="A157" t="inlineStr">
        <is>
          <t>试吃之后发现！这大虾性价比太高了！</t>
        </is>
      </c>
      <c r="B157" t="inlineStr">
        <is>
          <t>6912fb9000000000070381c2</t>
        </is>
      </c>
      <c r="C157" s="156" t="n">
        <f>HYPERLINK("https://www.xiaohongshu.com/explore/6912fb9000000000070381c2?xsec_token=TBnZN0DmKGIQMnPXPN25j7p69jPzcOqG277sS6kgKXBY8=&amp;xsec_source=pc_trdark","https://www.xiaohongshu.com/explore/6912fb9000000000070381c2?xsec_token=TBnZN0DmKGIQMnPXPN25j7p69jPzcOqG277sS6kgKXBY8=&amp;xsec_source=pc_trdark")</f>
        <v>0.0</v>
      </c>
      <c r="D157" t="inlineStr">
        <is>
          <t>鲜水湾甄选</t>
        </is>
      </c>
      <c r="E157" t="inlineStr">
        <is>
          <t>27401929161</t>
        </is>
      </c>
      <c r="F157" t="inlineStr">
        <is>
          <t>2025-11-11 17:02:08</t>
        </is>
      </c>
      <c r="G157" t="inlineStr">
        <is>
          <t>图文</t>
        </is>
      </c>
      <c r="H157" t="inlineStr">
        <is>
          <t>大虾基围虾王牌大虾厄瓜多尔白虾盐冻虾仁海洋大虾送礼顺丰包邮</t>
        </is>
      </c>
      <c r="I157" t="inlineStr">
        <is>
          <t>690aeb7be379430001e686ac</t>
        </is>
      </c>
      <c r="J157" t="inlineStr">
        <is>
          <t/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inlineStr">
        <is>
          <t/>
        </is>
      </c>
      <c r="R157" t="inlineStr">
        <is>
          <t/>
        </is>
      </c>
      <c r="S157" t="n">
        <v>0.0</v>
      </c>
      <c r="T157" t="n">
        <v>0.0</v>
      </c>
      <c r="U157" t="n">
        <v>0.0</v>
      </c>
      <c r="V157" t="n">
        <v>0.0</v>
      </c>
      <c r="W157" t="inlineStr">
        <is>
          <t/>
        </is>
      </c>
      <c r="X157" t="n">
        <v>0.0</v>
      </c>
      <c r="Y157" t="n">
        <v>0.0</v>
      </c>
      <c r="Z157" t="n">
        <v>3.0</v>
      </c>
      <c r="AA157" t="n">
        <v>0.0</v>
      </c>
      <c r="AB157" t="n">
        <v>0.0</v>
      </c>
      <c r="AC157" t="n">
        <v>0.0</v>
      </c>
      <c r="AD157" t="n">
        <v>4.0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13.5</v>
      </c>
      <c r="AL157" t="inlineStr">
        <is>
          <t/>
        </is>
      </c>
    </row>
    <row r="158">
      <c r="A158" t="inlineStr">
        <is>
          <t>一个能撑s人但热量很低的东西。。。</t>
        </is>
      </c>
      <c r="B158" t="inlineStr">
        <is>
          <t>694b9383000000001e02b06a</t>
        </is>
      </c>
      <c r="C158" s="157" t="n">
        <f>HYPERLINK("https://www.xiaohongshu.com/explore/694b9383000000001e02b06a?xsec_token=TBJ1d3lsVKl7u73DozgnzSfmUOTWyfGc24kG22x1W9xTc=&amp;xsec_source=pc_trdark","https://www.xiaohongshu.com/explore/694b9383000000001e02b06a?xsec_token=TBJ1d3lsVKl7u73DozgnzSfmUOTWyfGc24kG22x1W9xTc=&amp;xsec_source=pc_trdark")</f>
        <v>0.0</v>
      </c>
      <c r="D158" t="inlineStr">
        <is>
          <t>鲜水湾</t>
        </is>
      </c>
      <c r="E158" t="inlineStr">
        <is>
          <t>49316638994</t>
        </is>
      </c>
      <c r="F158" t="inlineStr">
        <is>
          <t>2025-12-24 15:17:23</t>
        </is>
      </c>
      <c r="G158" t="inlineStr">
        <is>
          <t>图文</t>
        </is>
      </c>
      <c r="H158" t="inlineStr">
        <is>
          <t>大虾基围虾王牌大虾厄瓜多尔白虾盐冻虾仁海洋大虾送礼顺丰包邮</t>
        </is>
      </c>
      <c r="I158" t="inlineStr">
        <is>
          <t>690aeb7be379430001e686ac</t>
        </is>
      </c>
      <c r="J158" t="inlineStr">
        <is>
          <t/>
        </is>
      </c>
      <c r="K158" t="n">
        <v>0.0</v>
      </c>
      <c r="L158" t="n">
        <v>0.0</v>
      </c>
      <c r="M158" t="n">
        <v>1.0</v>
      </c>
      <c r="N158" t="n">
        <v>0.3333333333333333</v>
      </c>
      <c r="O158" t="n">
        <v>1.0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inlineStr">
        <is>
          <t/>
        </is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3.0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6.0</v>
      </c>
      <c r="AL158" t="inlineStr">
        <is>
          <t/>
        </is>
      </c>
    </row>
    <row r="159">
      <c r="A159" t="inlineStr">
        <is>
          <t>回购3次的大虾，好吃到停不下来😋</t>
        </is>
      </c>
      <c r="B159" t="inlineStr">
        <is>
          <t>694514ff000000001f00b732</t>
        </is>
      </c>
      <c r="C159" s="158" t="n">
        <f>HYPERLINK("https://www.xiaohongshu.com/explore/694514ff000000001f00b732?xsec_token=TB7p1vWXvB33zoX2lon7HfpVu_gszwnkk-ftBfZMOgQXs=&amp;xsec_source=pc_trdark","https://www.xiaohongshu.com/explore/694514ff000000001f00b732?xsec_token=TB7p1vWXvB33zoX2lon7HfpVu_gszwnkk-ftBfZMOgQXs=&amp;xsec_source=pc_trdark")</f>
        <v>0.0</v>
      </c>
      <c r="D159" t="inlineStr">
        <is>
          <t>鲜水湾</t>
        </is>
      </c>
      <c r="E159" t="inlineStr">
        <is>
          <t>49316638994</t>
        </is>
      </c>
      <c r="F159" t="inlineStr">
        <is>
          <t>2025-12-19 17:03:59</t>
        </is>
      </c>
      <c r="G159" t="inlineStr">
        <is>
          <t>图文</t>
        </is>
      </c>
      <c r="H159" t="inlineStr">
        <is>
          <t>大虾基围虾王牌大虾厄瓜多尔白虾盐冻虾仁海洋大虾送礼顺丰包邮</t>
        </is>
      </c>
      <c r="I159" t="inlineStr">
        <is>
          <t>690aeb7be379430001e686ac</t>
        </is>
      </c>
      <c r="J159" t="inlineStr">
        <is>
          <t/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inlineStr">
        <is>
          <t/>
        </is>
      </c>
      <c r="R159" t="inlineStr">
        <is>
          <t/>
        </is>
      </c>
      <c r="S159" t="n">
        <v>0.0</v>
      </c>
      <c r="T159" t="n">
        <v>0.0</v>
      </c>
      <c r="U159" t="n">
        <v>0.0</v>
      </c>
      <c r="V159" t="n">
        <v>0.0</v>
      </c>
      <c r="W159" t="inlineStr">
        <is>
          <t/>
        </is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3.0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1.3333333333333333</v>
      </c>
      <c r="AL159" t="inlineStr">
        <is>
          <t/>
        </is>
      </c>
    </row>
    <row r="160">
      <c r="A160" t="inlineStr">
        <is>
          <t>低估了200多的购买力了</t>
        </is>
      </c>
      <c r="B160" t="inlineStr">
        <is>
          <t>694002d6000000001f00dda4</t>
        </is>
      </c>
      <c r="C160" s="159" t="n">
        <f>HYPERLINK("https://www.xiaohongshu.com/explore/694002d6000000001f00dda4?xsec_token=TBzm36tUj4jhogPihZGtakWQrr_kym20zAn6MsvZ2T6aU=&amp;xsec_source=pc_trdark","https://www.xiaohongshu.com/explore/694002d6000000001f00dda4?xsec_token=TBzm36tUj4jhogPihZGtakWQrr_kym20zAn6MsvZ2T6aU=&amp;xsec_source=pc_trdark")</f>
        <v>0.0</v>
      </c>
      <c r="D160" t="inlineStr">
        <is>
          <t>鲜水湾</t>
        </is>
      </c>
      <c r="E160" t="inlineStr">
        <is>
          <t>49316638994</t>
        </is>
      </c>
      <c r="F160" t="inlineStr">
        <is>
          <t>2025-12-15 20:45:10</t>
        </is>
      </c>
      <c r="G160" t="inlineStr">
        <is>
          <t>图文</t>
        </is>
      </c>
      <c r="H160" t="inlineStr">
        <is>
          <t>智利三文鱼切块·整条三文鱼·深海鱼一人食健康饮食</t>
        </is>
      </c>
      <c r="I160" t="inlineStr">
        <is>
          <t>691ac562a524ee0001b51d7b</t>
        </is>
      </c>
      <c r="J160" t="inlineStr">
        <is>
          <t/>
        </is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inlineStr">
        <is>
          <t/>
        </is>
      </c>
      <c r="R160" t="inlineStr">
        <is>
          <t/>
        </is>
      </c>
      <c r="S160" t="n">
        <v>0.0</v>
      </c>
      <c r="T160" t="n">
        <v>0.0</v>
      </c>
      <c r="U160" t="n">
        <v>0.0</v>
      </c>
      <c r="V160" t="n">
        <v>0.0</v>
      </c>
      <c r="W160" t="inlineStr">
        <is>
          <t/>
        </is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3.0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4.0</v>
      </c>
      <c r="AL160" t="inlineStr">
        <is>
          <t/>
        </is>
      </c>
    </row>
    <row r="161">
      <c r="A161" t="inlineStr">
        <is>
          <t>我妈让我通知各位：整条鱼200多可以冲了‼️</t>
        </is>
      </c>
      <c r="B161" t="inlineStr">
        <is>
          <t>693d2cdc000000001f0075a4</t>
        </is>
      </c>
      <c r="C161" s="160" t="n">
        <f>HYPERLINK("https://www.xiaohongshu.com/explore/693d2cdc000000001f0075a4?xsec_token=TBz651BHP1Dr15NeLsAqSGPgl1sDuSofFc9NSt7WNS2cs=&amp;xsec_source=pc_trdark","https://www.xiaohongshu.com/explore/693d2cdc000000001f0075a4?xsec_token=TBz651BHP1Dr15NeLsAqSGPgl1sDuSofFc9NSt7WNS2cs=&amp;xsec_source=pc_trdark")</f>
        <v>0.0</v>
      </c>
      <c r="D161" t="inlineStr">
        <is>
          <t>鲜水湾</t>
        </is>
      </c>
      <c r="E161" t="inlineStr">
        <is>
          <t>49316638994</t>
        </is>
      </c>
      <c r="F161" t="inlineStr">
        <is>
          <t>2025-12-13 17:07:40</t>
        </is>
      </c>
      <c r="G161" t="inlineStr">
        <is>
          <t>图文</t>
        </is>
      </c>
      <c r="H161" t="inlineStr">
        <is>
          <t>智利三文鱼切块·整条三文鱼·深海鱼一人食健康饮食</t>
        </is>
      </c>
      <c r="I161" t="inlineStr">
        <is>
          <t>691ac562a524ee0001b51d7b</t>
        </is>
      </c>
      <c r="J161" t="inlineStr">
        <is>
          <t/>
        </is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inlineStr">
        <is>
          <t/>
        </is>
      </c>
      <c r="R161" t="inlineStr">
        <is>
          <t/>
        </is>
      </c>
      <c r="S161" t="n">
        <v>0.0</v>
      </c>
      <c r="T161" t="n">
        <v>0.0</v>
      </c>
      <c r="U161" t="n">
        <v>0.0</v>
      </c>
      <c r="V161" t="n">
        <v>0.0</v>
      </c>
      <c r="W161" t="inlineStr">
        <is>
          <t/>
        </is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3.0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1.3333333333333333</v>
      </c>
      <c r="AL161" t="inlineStr">
        <is>
          <t/>
        </is>
      </c>
    </row>
    <row r="162">
      <c r="A162" t="inlineStr">
        <is>
          <t>要不是吃虾瘦的快，我早就不吃了！</t>
        </is>
      </c>
      <c r="B162" t="inlineStr">
        <is>
          <t>693c089e000000001f00b833</t>
        </is>
      </c>
      <c r="C162" s="161" t="n">
        <f>HYPERLINK("https://www.xiaohongshu.com/explore/693c089e000000001f00b833?xsec_token=TBby_8TUlAJfj-jHsmZvLUDQadctlSDj2QnDumqshe8Is=&amp;xsec_source=pc_trdark","https://www.xiaohongshu.com/explore/693c089e000000001f00b833?xsec_token=TBby_8TUlAJfj-jHsmZvLUDQadctlSDj2QnDumqshe8Is=&amp;xsec_source=pc_trdark")</f>
        <v>0.0</v>
      </c>
      <c r="D162" t="inlineStr">
        <is>
          <t>鲜水湾</t>
        </is>
      </c>
      <c r="E162" t="inlineStr">
        <is>
          <t>49316638994</t>
        </is>
      </c>
      <c r="F162" t="inlineStr">
        <is>
          <t>2025-12-12 20:20:46</t>
        </is>
      </c>
      <c r="G162" t="inlineStr">
        <is>
          <t>图文</t>
        </is>
      </c>
      <c r="H162" t="inlineStr">
        <is>
          <t>大虾基围虾王牌大虾厄瓜多尔白虾盐冻虾仁海洋大虾送礼顺丰包邮</t>
        </is>
      </c>
      <c r="I162" t="inlineStr">
        <is>
          <t>690aeb7be379430001e686ac</t>
        </is>
      </c>
      <c r="J162" t="inlineStr">
        <is>
          <t/>
        </is>
      </c>
      <c r="K162" t="n">
        <v>0.0</v>
      </c>
      <c r="L162" t="n">
        <v>0.0</v>
      </c>
      <c r="M162" t="n">
        <v>1.0</v>
      </c>
      <c r="N162" t="n">
        <v>0.3333333333333333</v>
      </c>
      <c r="O162" t="n">
        <v>1.0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inlineStr">
        <is>
          <t/>
        </is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3.0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17.666666666666668</v>
      </c>
      <c r="AL162" t="inlineStr">
        <is>
          <t/>
        </is>
      </c>
    </row>
    <row r="163">
      <c r="A163" t="inlineStr">
        <is>
          <t>我承认它是冷冻虾，但口感依旧吊打活虾</t>
        </is>
      </c>
      <c r="B163" t="inlineStr">
        <is>
          <t>691d3244000000001e022987</t>
        </is>
      </c>
      <c r="C163" s="162" t="n">
        <f>HYPERLINK("https://www.xiaohongshu.com/explore/691d3244000000001e022987?xsec_token=TBfJie4P5Jl9AylR95m8dPVCh6Mg80LBBLw3XEH6DNBDs=&amp;xsec_source=pc_trdark","https://www.xiaohongshu.com/explore/691d3244000000001e022987?xsec_token=TBfJie4P5Jl9AylR95m8dPVCh6Mg80LBBLw3XEH6DNBDs=&amp;xsec_source=pc_trdark")</f>
        <v>0.0</v>
      </c>
      <c r="D163" t="inlineStr">
        <is>
          <t>鲜水湾</t>
        </is>
      </c>
      <c r="E163" t="inlineStr">
        <is>
          <t>49316638994</t>
        </is>
      </c>
      <c r="F163" t="inlineStr">
        <is>
          <t>2025-11-19 10:58:12</t>
        </is>
      </c>
      <c r="G163" t="inlineStr">
        <is>
          <t>图文</t>
        </is>
      </c>
      <c r="H163" t="inlineStr">
        <is>
          <t>大虾基围虾王牌大虾厄瓜多尔白虾盐冻虾仁海洋大虾送礼顺丰包邮</t>
        </is>
      </c>
      <c r="I163" t="inlineStr">
        <is>
          <t>690aeb7be379430001e686ac</t>
        </is>
      </c>
      <c r="J163" t="inlineStr">
        <is>
          <t/>
        </is>
      </c>
      <c r="K163" t="n">
        <v>0.0</v>
      </c>
      <c r="L163" t="n">
        <v>0.0</v>
      </c>
      <c r="M163" t="n">
        <v>2.0</v>
      </c>
      <c r="N163" t="n">
        <v>0.6666666666666666</v>
      </c>
      <c r="O163" t="n">
        <v>2.0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inlineStr">
        <is>
          <t/>
        </is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3.0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24.666666666666668</v>
      </c>
      <c r="AL163" t="inlineStr">
        <is>
          <t/>
        </is>
      </c>
    </row>
    <row r="164">
      <c r="A164" t="inlineStr">
        <is>
          <t>女孩们，千万别小瞧60块的购买力</t>
        </is>
      </c>
      <c r="B164" t="inlineStr">
        <is>
          <t>691426fb0000000007039a15</t>
        </is>
      </c>
      <c r="C164" s="163" t="n">
        <f>HYPERLINK("https://www.xiaohongshu.com/explore/691426fb0000000007039a15?xsec_token=TBaXvlcWwd_4ttBIqZOUWAk-rRiUTIHwOdDE-46MSMzQs=&amp;xsec_source=pc_trdark","https://www.xiaohongshu.com/explore/691426fb0000000007039a15?xsec_token=TBaXvlcWwd_4ttBIqZOUWAk-rRiUTIHwOdDE-46MSMzQs=&amp;xsec_source=pc_trdark")</f>
        <v>0.0</v>
      </c>
      <c r="D164" t="inlineStr">
        <is>
          <t>鲜水湾甄选</t>
        </is>
      </c>
      <c r="E164" t="inlineStr">
        <is>
          <t>27401929161</t>
        </is>
      </c>
      <c r="F164" t="inlineStr">
        <is>
          <t>2025-11-12 14:19:39</t>
        </is>
      </c>
      <c r="G164" t="inlineStr">
        <is>
          <t>图文</t>
        </is>
      </c>
      <c r="H164" t="inlineStr">
        <is>
          <t>大虾基围虾王牌大虾厄瓜多尔白虾盐冻虾仁海洋大虾送礼顺丰包邮</t>
        </is>
      </c>
      <c r="I164" t="inlineStr">
        <is>
          <t>690aeb7be379430001e686ac</t>
        </is>
      </c>
      <c r="J164" t="inlineStr">
        <is>
          <t/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inlineStr">
        <is>
          <t/>
        </is>
      </c>
      <c r="R164" t="inlineStr">
        <is>
          <t/>
        </is>
      </c>
      <c r="S164" t="n">
        <v>0.0</v>
      </c>
      <c r="T164" t="n">
        <v>0.0</v>
      </c>
      <c r="U164" t="n">
        <v>0.0</v>
      </c>
      <c r="V164" t="n">
        <v>0.0</v>
      </c>
      <c r="W164" t="inlineStr">
        <is>
          <t/>
        </is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3.0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3.0</v>
      </c>
      <c r="AL164" t="inlineStr">
        <is>
          <t/>
        </is>
      </c>
    </row>
    <row r="165">
      <c r="A165" t="inlineStr">
        <is>
          <t>感谢小红书，让我感受到69.9吃一周的快乐！</t>
        </is>
      </c>
      <c r="B165" t="inlineStr">
        <is>
          <t>6913ee9d0000000007016882</t>
        </is>
      </c>
      <c r="C165" s="164" t="n">
        <f>HYPERLINK("https://www.xiaohongshu.com/explore/6913ee9d0000000007016882?xsec_token=TBuRf-kx9cRMi3U9rbAm1Pe8DVCyJ3Zxqwm_4r98psAvs=&amp;xsec_source=pc_trdark","https://www.xiaohongshu.com/explore/6913ee9d0000000007016882?xsec_token=TBuRf-kx9cRMi3U9rbAm1Pe8DVCyJ3Zxqwm_4r98psAvs=&amp;xsec_source=pc_trdark")</f>
        <v>0.0</v>
      </c>
      <c r="D165" t="inlineStr">
        <is>
          <t>鲜水湾甄选</t>
        </is>
      </c>
      <c r="E165" t="inlineStr">
        <is>
          <t>27401929161</t>
        </is>
      </c>
      <c r="F165" t="inlineStr">
        <is>
          <t>2025-11-12 10:19:09</t>
        </is>
      </c>
      <c r="G165" t="inlineStr">
        <is>
          <t>图文</t>
        </is>
      </c>
      <c r="H165" t="inlineStr">
        <is>
          <t>大虾基围虾王牌大虾厄瓜多尔白虾盐冻虾仁海洋大虾送礼顺丰包邮</t>
        </is>
      </c>
      <c r="I165" t="inlineStr">
        <is>
          <t>690aeb7be379430001e686ac</t>
        </is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inlineStr">
        <is>
          <t/>
        </is>
      </c>
      <c r="R165" t="inlineStr">
        <is>
          <t/>
        </is>
      </c>
      <c r="S165" t="n">
        <v>0.0</v>
      </c>
      <c r="T165" t="n">
        <v>0.0</v>
      </c>
      <c r="U165" t="n">
        <v>0.0</v>
      </c>
      <c r="V165" t="n">
        <v>0.0</v>
      </c>
      <c r="W165" t="inlineStr">
        <is>
          <t/>
        </is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3.0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1.6666666666666667</v>
      </c>
      <c r="AL165" t="inlineStr">
        <is>
          <t/>
        </is>
      </c>
    </row>
    <row r="166">
      <c r="A166" t="inlineStr">
        <is>
          <t>低估60💰多块的购买力了不到1r一只</t>
        </is>
      </c>
      <c r="B166" t="inlineStr">
        <is>
          <t>690c9bfa000000000700c012</t>
        </is>
      </c>
      <c r="C166" s="165" t="n">
        <f>HYPERLINK("https://www.xiaohongshu.com/explore/690c9bfa000000000700c012?xsec_token=TBTB2S0a1UEDOz_-oBsbNp_hFYxMjciyx0QOf5AXMnI4E=&amp;xsec_source=pc_trdark","https://www.xiaohongshu.com/explore/690c9bfa000000000700c012?xsec_token=TBTB2S0a1UEDOz_-oBsbNp_hFYxMjciyx0QOf5AXMnI4E=&amp;xsec_source=pc_trdark")</f>
        <v>0.0</v>
      </c>
      <c r="D166" t="inlineStr">
        <is>
          <t>鲜水湾甄选</t>
        </is>
      </c>
      <c r="E166" t="inlineStr">
        <is>
          <t>27401929161</t>
        </is>
      </c>
      <c r="F166" t="inlineStr">
        <is>
          <t>2025-11-06 21:00:43</t>
        </is>
      </c>
      <c r="G166" t="inlineStr">
        <is>
          <t>图文</t>
        </is>
      </c>
      <c r="H166" t="inlineStr">
        <is>
          <t>大虾基围虾王牌大虾厄瓜多尔白虾盐冻虾仁海洋大虾送礼顺丰包邮</t>
        </is>
      </c>
      <c r="I166" t="inlineStr">
        <is>
          <t>690aeb7be379430001e686ac</t>
        </is>
      </c>
      <c r="J166" t="inlineStr">
        <is>
          <t/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inlineStr">
        <is>
          <t/>
        </is>
      </c>
      <c r="R166" t="inlineStr">
        <is>
          <t/>
        </is>
      </c>
      <c r="S166" t="n">
        <v>0.0</v>
      </c>
      <c r="T166" t="n">
        <v>0.0</v>
      </c>
      <c r="U166" t="n">
        <v>0.0</v>
      </c>
      <c r="V166" t="n">
        <v>0.0</v>
      </c>
      <c r="W166" t="inlineStr">
        <is>
          <t/>
        </is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3.0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11.0</v>
      </c>
      <c r="AL166" t="inlineStr">
        <is>
          <t/>
        </is>
      </c>
    </row>
    <row r="167">
      <c r="A167" t="inlineStr">
        <is>
          <t>头籽北极甜虾你真的会吃吗？</t>
        </is>
      </c>
      <c r="B167" t="inlineStr">
        <is>
          <t>696b1b7d000000000a028e89</t>
        </is>
      </c>
      <c r="C167" s="166" t="n">
        <f>HYPERLINK("https://www.xiaohongshu.com/explore/696b1b7d000000000a028e89?xsec_token=TByNwaULKQbwsz_w7rWk61uKnBJ87TY9ZVM6tkKeX86BU=&amp;xsec_source=pc_trdark","https://www.xiaohongshu.com/explore/696b1b7d000000000a028e89?xsec_token=TByNwaULKQbwsz_w7rWk61uKnBJ87TY9ZVM6tkKeX86BU=&amp;xsec_source=pc_trdark")</f>
        <v>0.0</v>
      </c>
      <c r="D167" t="inlineStr">
        <is>
          <t>鲜水湾甄选</t>
        </is>
      </c>
      <c r="E167" t="inlineStr">
        <is>
          <t>27401929161</t>
        </is>
      </c>
      <c r="F167" t="inlineStr">
        <is>
          <t>2026-01-17 13:17:49</t>
        </is>
      </c>
      <c r="G167" t="inlineStr">
        <is>
          <t>视频</t>
        </is>
      </c>
      <c r="H167" t="inlineStr">
        <is>
          <t>北极甜虾头籽甜虾元宝虾北极熊冰虾孕妈妈宝宝辅食顺丰</t>
        </is>
      </c>
      <c r="I167" t="inlineStr">
        <is>
          <t>6953717eb8f0bb000115158d</t>
        </is>
      </c>
      <c r="J167" t="n">
        <v>38.0</v>
      </c>
      <c r="K167" t="n">
        <v>0.0</v>
      </c>
      <c r="L167" t="n">
        <v>0.0</v>
      </c>
      <c r="M167" t="n">
        <v>1.0</v>
      </c>
      <c r="N167" t="n">
        <v>0.5</v>
      </c>
      <c r="O167" t="n">
        <v>1.0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inlineStr">
        <is>
          <t/>
        </is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2.0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13.0</v>
      </c>
      <c r="AL167" t="inlineStr">
        <is>
          <t/>
        </is>
      </c>
    </row>
    <row r="168">
      <c r="A168" t="inlineStr">
        <is>
          <t>头籽北极甜虾你真的会吃吗？</t>
        </is>
      </c>
      <c r="B168" t="inlineStr">
        <is>
          <t>696b1aca0000000009039ae5</t>
        </is>
      </c>
      <c r="C168" s="167" t="n">
        <f>HYPERLINK("https://www.xiaohongshu.com/explore/696b1aca0000000009039ae5?xsec_token=TByNwaULKQbwsz_w7rWk61uOM3_9SMHJ4jZKmQ848ZwBI=&amp;xsec_source=pc_trdark","https://www.xiaohongshu.com/explore/696b1aca0000000009039ae5?xsec_token=TByNwaULKQbwsz_w7rWk61uOM3_9SMHJ4jZKmQ848ZwBI=&amp;xsec_source=pc_trdark")</f>
        <v>0.0</v>
      </c>
      <c r="D168" t="inlineStr">
        <is>
          <t>鲜水湾甄选</t>
        </is>
      </c>
      <c r="E168" t="inlineStr">
        <is>
          <t>27401929161</t>
        </is>
      </c>
      <c r="F168" t="inlineStr">
        <is>
          <t>2026-01-17 13:14:51</t>
        </is>
      </c>
      <c r="G168" t="inlineStr">
        <is>
          <t>视频</t>
        </is>
      </c>
      <c r="H168" t="inlineStr">
        <is>
          <t>北极甜虾头籽甜虾元宝虾北极熊冰虾孕妈妈宝宝辅食顺丰</t>
        </is>
      </c>
      <c r="I168" t="inlineStr">
        <is>
          <t>6953717eb8f0bb000115158d</t>
        </is>
      </c>
      <c r="J168" t="n">
        <v>35.0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inlineStr">
        <is>
          <t/>
        </is>
      </c>
      <c r="R168" t="inlineStr">
        <is>
          <t/>
        </is>
      </c>
      <c r="S168" t="n">
        <v>0.0</v>
      </c>
      <c r="T168" t="n">
        <v>0.0</v>
      </c>
      <c r="U168" t="n">
        <v>0.0</v>
      </c>
      <c r="V168" t="n">
        <v>0.0</v>
      </c>
      <c r="W168" t="inlineStr">
        <is>
          <t/>
        </is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2.0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4.5</v>
      </c>
      <c r="AL168" t="n">
        <v>0.0</v>
      </c>
    </row>
    <row r="169">
      <c r="A169" t="inlineStr">
        <is>
          <t>40多一箱的乳山生蚝太鲜了，周末全家一起吃！</t>
        </is>
      </c>
      <c r="B169" t="inlineStr">
        <is>
          <t>695a219f000000001e0344cc</t>
        </is>
      </c>
      <c r="C169" s="168" t="n">
        <f>HYPERLINK("https://www.xiaohongshu.com/explore/695a219f000000001e0344cc?xsec_token=TBG4Utbe7haO2nf1GdZY8Dii2KIrn-EbjSvnLWzYV_abU=&amp;xsec_source=pc_trdark","https://www.xiaohongshu.com/explore/695a219f000000001e0344cc?xsec_token=TBG4Utbe7haO2nf1GdZY8Dii2KIrn-EbjSvnLWzYV_abU=&amp;xsec_source=pc_trdark")</f>
        <v>0.0</v>
      </c>
      <c r="D169" t="inlineStr">
        <is>
          <t>婉婉上班吃什么</t>
        </is>
      </c>
      <c r="E169" t="inlineStr">
        <is>
          <t>11434449706</t>
        </is>
      </c>
      <c r="F169" t="inlineStr">
        <is>
          <t>2026-01-04 16:15:27</t>
        </is>
      </c>
      <c r="G169" t="inlineStr">
        <is>
          <t>视频</t>
        </is>
      </c>
      <c r="H169" t="inlineStr">
        <is>
          <t>生蚝乳山生蚝海蛎子顺丰包邮</t>
        </is>
      </c>
      <c r="I169" t="inlineStr">
        <is>
          <t>690c70971b787900010866cc</t>
        </is>
      </c>
      <c r="J169" t="n">
        <v>35.0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inlineStr">
        <is>
          <t/>
        </is>
      </c>
      <c r="R169" t="inlineStr">
        <is>
          <t/>
        </is>
      </c>
      <c r="S169" t="n">
        <v>0.0</v>
      </c>
      <c r="T169" t="n">
        <v>0.0</v>
      </c>
      <c r="U169" t="n">
        <v>0.0</v>
      </c>
      <c r="V169" t="n">
        <v>0.0</v>
      </c>
      <c r="W169" t="inlineStr">
        <is>
          <t/>
        </is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2.0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12.0</v>
      </c>
      <c r="AL169" t="n">
        <v>0.0</v>
      </c>
    </row>
    <row r="170">
      <c r="A170" t="inlineStr">
        <is>
          <t>和老爸商量了，69.9💰3斤先给大家尝尝</t>
        </is>
      </c>
      <c r="B170" t="inlineStr">
        <is>
          <t>693fce0e000000001f00760a</t>
        </is>
      </c>
      <c r="C170" s="169" t="n">
        <f>HYPERLINK("https://www.xiaohongshu.com/explore/693fce0e000000001f00760a?xsec_token=TB1R2yju8ccr97WVPo1goJUJE7_lQREmxIfGi-p-xFS4Q=&amp;xsec_source=pc_trdark","https://www.xiaohongshu.com/explore/693fce0e000000001f00760a?xsec_token=TB1R2yju8ccr97WVPo1goJUJE7_lQREmxIfGi-p-xFS4Q=&amp;xsec_source=pc_trdark")</f>
        <v>0.0</v>
      </c>
      <c r="D170" t="inlineStr">
        <is>
          <t>鲜水湾</t>
        </is>
      </c>
      <c r="E170" t="inlineStr">
        <is>
          <t>49316638994</t>
        </is>
      </c>
      <c r="F170" t="inlineStr">
        <is>
          <t>2025-12-15 16:59:58</t>
        </is>
      </c>
      <c r="G170" t="inlineStr">
        <is>
          <t>图文</t>
        </is>
      </c>
      <c r="H170" t="inlineStr">
        <is>
          <t>大虾基围虾王牌大虾厄瓜多尔白虾盐冻虾仁海洋大虾送礼顺丰包邮</t>
        </is>
      </c>
      <c r="I170" t="inlineStr">
        <is>
          <t>690aeb7be379430001e686ac</t>
        </is>
      </c>
      <c r="J170" t="inlineStr">
        <is>
          <t/>
        </is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inlineStr">
        <is>
          <t/>
        </is>
      </c>
      <c r="R170" t="inlineStr">
        <is>
          <t/>
        </is>
      </c>
      <c r="S170" t="n">
        <v>0.0</v>
      </c>
      <c r="T170" t="n">
        <v>0.0</v>
      </c>
      <c r="U170" t="n">
        <v>0.0</v>
      </c>
      <c r="V170" t="n">
        <v>0.0</v>
      </c>
      <c r="W170" t="inlineStr">
        <is>
          <t/>
        </is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2.0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8.0</v>
      </c>
      <c r="AL170" t="inlineStr">
        <is>
          <t/>
        </is>
      </c>
    </row>
    <row r="171">
      <c r="A171" t="inlineStr">
        <is>
          <t>我爸说：海捕大虾你早卖24一斤，早就爆单了❗️</t>
        </is>
      </c>
      <c r="B171" t="inlineStr">
        <is>
          <t>6924018a000000001f00bee4</t>
        </is>
      </c>
      <c r="C171" s="170" t="n">
        <f>HYPERLINK("https://www.xiaohongshu.com/explore/6924018a000000001f00bee4?xsec_token=TB0c3tEqPt7plwTa5OTb5KF2vD7fofgLkVLTt7KAa-wig=&amp;xsec_source=pc_trdark","https://www.xiaohongshu.com/explore/6924018a000000001f00bee4?xsec_token=TB0c3tEqPt7plwTa5OTb5KF2vD7fofgLkVLTt7KAa-wig=&amp;xsec_source=pc_trdark")</f>
        <v>0.0</v>
      </c>
      <c r="D171" t="inlineStr">
        <is>
          <t>鲜水湾</t>
        </is>
      </c>
      <c r="E171" t="inlineStr">
        <is>
          <t>49316638994</t>
        </is>
      </c>
      <c r="F171" t="inlineStr">
        <is>
          <t>2025-11-24 14:56:10</t>
        </is>
      </c>
      <c r="G171" t="inlineStr">
        <is>
          <t>图文</t>
        </is>
      </c>
      <c r="H171" t="inlineStr">
        <is>
          <t>大虾基围虾王牌大虾厄瓜多尔白虾盐冻虾仁海洋大虾送礼顺丰包邮</t>
        </is>
      </c>
      <c r="I171" t="inlineStr">
        <is>
          <t>690aeb7be379430001e686ac</t>
        </is>
      </c>
      <c r="J171" t="inlineStr">
        <is>
          <t/>
        </is>
      </c>
      <c r="K171" t="n">
        <v>0.0</v>
      </c>
      <c r="L171" t="n">
        <v>0.0</v>
      </c>
      <c r="M171" t="n">
        <v>1.0</v>
      </c>
      <c r="N171" t="n">
        <v>0.5</v>
      </c>
      <c r="O171" t="n">
        <v>1.0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inlineStr">
        <is>
          <t/>
        </is>
      </c>
      <c r="X171" t="n">
        <v>0.0</v>
      </c>
      <c r="Y171" t="n">
        <v>2.0</v>
      </c>
      <c r="Z171" t="n">
        <v>0.0</v>
      </c>
      <c r="AA171" t="n">
        <v>0.0</v>
      </c>
      <c r="AB171" t="n">
        <v>0.0</v>
      </c>
      <c r="AC171" t="n">
        <v>0.0</v>
      </c>
      <c r="AD171" t="n">
        <v>2.0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20.5</v>
      </c>
      <c r="AL171" t="inlineStr">
        <is>
          <t/>
        </is>
      </c>
    </row>
    <row r="172">
      <c r="A172" t="inlineStr">
        <is>
          <t>告别练后饿到暴食！健身女的蛋白补给已就位</t>
        </is>
      </c>
      <c r="B172" t="inlineStr">
        <is>
          <t>6923ca43000000001e030372</t>
        </is>
      </c>
      <c r="C172" s="171" t="n">
        <f>HYPERLINK("https://www.xiaohongshu.com/explore/6923ca43000000001e030372?xsec_token=TBBxL79LDzc6WqpUNHJD-EhYIDIzUaSiYBZdOzWcv8EHY=&amp;xsec_source=pc_trdark","https://www.xiaohongshu.com/explore/6923ca43000000001e030372?xsec_token=TBBxL79LDzc6WqpUNHJD-EhYIDIzUaSiYBZdOzWcv8EHY=&amp;xsec_source=pc_trdark")</f>
        <v>0.0</v>
      </c>
      <c r="D172" t="inlineStr">
        <is>
          <t>鲜水湾</t>
        </is>
      </c>
      <c r="E172" t="inlineStr">
        <is>
          <t>49316638994</t>
        </is>
      </c>
      <c r="F172" t="inlineStr">
        <is>
          <t>2025-11-24 11:00:19</t>
        </is>
      </c>
      <c r="G172" t="inlineStr">
        <is>
          <t>图文</t>
        </is>
      </c>
      <c r="H172" t="inlineStr">
        <is>
          <t>大虾基围虾王牌大虾厄瓜多尔白虾盐冻虾仁海洋大虾送礼顺丰包邮</t>
        </is>
      </c>
      <c r="I172" t="inlineStr">
        <is>
          <t>690aeb7be379430001e686ac</t>
        </is>
      </c>
      <c r="J172" t="inlineStr">
        <is>
          <t/>
        </is>
      </c>
      <c r="K172" t="n">
        <v>0.0</v>
      </c>
      <c r="L172" t="n">
        <v>0.0</v>
      </c>
      <c r="M172" t="n">
        <v>1.0</v>
      </c>
      <c r="N172" t="n">
        <v>0.5</v>
      </c>
      <c r="O172" t="n">
        <v>1.0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inlineStr">
        <is>
          <t/>
        </is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2.0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7.5</v>
      </c>
      <c r="AL172" t="inlineStr">
        <is>
          <t/>
        </is>
      </c>
    </row>
    <row r="173">
      <c r="A173" t="inlineStr">
        <is>
          <t>吃完一箱接着一箱！边吃边叟的快乐谁懂！</t>
        </is>
      </c>
      <c r="B173" t="inlineStr">
        <is>
          <t>691d8a01000000001f00e76d</t>
        </is>
      </c>
      <c r="C173" s="172" t="n">
        <f>HYPERLINK("https://www.xiaohongshu.com/explore/691d8a01000000001f00e76d?xsec_token=TBfJie4P5Jl9AylR95m8dPVGAoGaCz8bdb17x6g-MVeIE=&amp;xsec_source=pc_trdark","https://www.xiaohongshu.com/explore/691d8a01000000001f00e76d?xsec_token=TBfJie4P5Jl9AylR95m8dPVGAoGaCz8bdb17x6g-MVeIE=&amp;xsec_source=pc_trdark")</f>
        <v>0.0</v>
      </c>
      <c r="D173" t="inlineStr">
        <is>
          <t>鲜水湾</t>
        </is>
      </c>
      <c r="E173" t="inlineStr">
        <is>
          <t>49316638994</t>
        </is>
      </c>
      <c r="F173" t="inlineStr">
        <is>
          <t>2025-11-19 17:12:33</t>
        </is>
      </c>
      <c r="G173" t="inlineStr">
        <is>
          <t>图文</t>
        </is>
      </c>
      <c r="H173" t="inlineStr">
        <is>
          <t>大虾基围虾王牌大虾厄瓜多尔白虾盐冻虾仁海洋大虾送礼顺丰包邮</t>
        </is>
      </c>
      <c r="I173" t="inlineStr">
        <is>
          <t>690aeb7be379430001e686ac</t>
        </is>
      </c>
      <c r="J173" t="inlineStr">
        <is>
          <t/>
        </is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inlineStr">
        <is>
          <t/>
        </is>
      </c>
      <c r="R173" t="inlineStr">
        <is>
          <t/>
        </is>
      </c>
      <c r="S173" t="n">
        <v>0.0</v>
      </c>
      <c r="T173" t="n">
        <v>0.0</v>
      </c>
      <c r="U173" t="n">
        <v>0.0</v>
      </c>
      <c r="V173" t="n">
        <v>0.0</v>
      </c>
      <c r="W173" t="inlineStr">
        <is>
          <t/>
        </is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2.0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0.5</v>
      </c>
      <c r="AL173" t="inlineStr">
        <is>
          <t/>
        </is>
      </c>
    </row>
    <row r="174">
      <c r="A174" t="inlineStr">
        <is>
          <t>控体人看到了嘛！上班带饭真的超简单</t>
        </is>
      </c>
      <c r="B174" t="inlineStr">
        <is>
          <t>691988350000000005039d0a</t>
        </is>
      </c>
      <c r="C174" s="173" t="n">
        <f>HYPERLINK("https://www.xiaohongshu.com/explore/691988350000000005039d0a?xsec_token=TB2xQZ9GExXu1-ypvMpLTYcAi3PmHc60D8TJtvFnEXAVU=&amp;xsec_source=pc_trdark","https://www.xiaohongshu.com/explore/691988350000000005039d0a?xsec_token=TB2xQZ9GExXu1-ypvMpLTYcAi3PmHc60D8TJtvFnEXAVU=&amp;xsec_source=pc_trdark")</f>
        <v>0.0</v>
      </c>
      <c r="D174" t="inlineStr">
        <is>
          <t>鲜水湾</t>
        </is>
      </c>
      <c r="E174" t="inlineStr">
        <is>
          <t>49316638994</t>
        </is>
      </c>
      <c r="F174" t="inlineStr">
        <is>
          <t>2025-11-16 16:15:49</t>
        </is>
      </c>
      <c r="G174" t="inlineStr">
        <is>
          <t>图文</t>
        </is>
      </c>
      <c r="H174" t="inlineStr">
        <is>
          <t>大虾基围虾王牌大虾厄瓜多尔白虾盐冻虾仁海洋大虾送礼顺丰包邮</t>
        </is>
      </c>
      <c r="I174" t="inlineStr">
        <is>
          <t>690aeb7be379430001e686ac</t>
        </is>
      </c>
      <c r="J174" t="inlineStr">
        <is>
          <t/>
        </is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inlineStr">
        <is>
          <t/>
        </is>
      </c>
      <c r="R174" t="inlineStr">
        <is>
          <t/>
        </is>
      </c>
      <c r="S174" t="n">
        <v>0.0</v>
      </c>
      <c r="T174" t="n">
        <v>0.0</v>
      </c>
      <c r="U174" t="n">
        <v>0.0</v>
      </c>
      <c r="V174" t="n">
        <v>0.0</v>
      </c>
      <c r="W174" t="inlineStr">
        <is>
          <t/>
        </is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2.0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5.0</v>
      </c>
      <c r="AL174" t="inlineStr">
        <is>
          <t/>
        </is>
      </c>
    </row>
    <row r="175">
      <c r="A175" t="inlineStr">
        <is>
          <t>误以为很贵，实际60多三大斤真的过瘾！</t>
        </is>
      </c>
      <c r="B175" t="inlineStr">
        <is>
          <t>691746070000000005032d43</t>
        </is>
      </c>
      <c r="C175" s="174" t="n">
        <f>HYPERLINK("https://www.xiaohongshu.com/explore/691746070000000005032d43?xsec_token=TBLSBfqZexCmmruTMJXuhniyb3522Q1EebKfRQ6O65R4I=&amp;xsec_source=pc_trdark","https://www.xiaohongshu.com/explore/691746070000000005032d43?xsec_token=TBLSBfqZexCmmruTMJXuhniyb3522Q1EebKfRQ6O65R4I=&amp;xsec_source=pc_trdark")</f>
        <v>0.0</v>
      </c>
      <c r="D175" t="inlineStr">
        <is>
          <t>鲜水湾</t>
        </is>
      </c>
      <c r="E175" t="inlineStr">
        <is>
          <t>49316638994</t>
        </is>
      </c>
      <c r="F175" t="inlineStr">
        <is>
          <t>2025-11-14 23:08:55</t>
        </is>
      </c>
      <c r="G175" t="inlineStr">
        <is>
          <t>图文</t>
        </is>
      </c>
      <c r="H175" t="inlineStr">
        <is>
          <t>大虾基围虾王牌大虾厄瓜多尔白虾盐冻虾仁海洋大虾送礼顺丰包邮</t>
        </is>
      </c>
      <c r="I175" t="inlineStr">
        <is>
          <t>690aeb7be379430001e686ac</t>
        </is>
      </c>
      <c r="J175" t="inlineStr">
        <is>
          <t/>
        </is>
      </c>
      <c r="K175" t="n">
        <v>0.0</v>
      </c>
      <c r="L175" t="n">
        <v>0.0</v>
      </c>
      <c r="M175" t="n">
        <v>1.0</v>
      </c>
      <c r="N175" t="n">
        <v>0.5</v>
      </c>
      <c r="O175" t="n">
        <v>1.0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inlineStr">
        <is>
          <t/>
        </is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2.0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5.0</v>
      </c>
      <c r="AL175" t="inlineStr">
        <is>
          <t/>
        </is>
      </c>
    </row>
    <row r="176">
      <c r="A176" t="inlineStr">
        <is>
          <t>看着平平无奇，大虾减酯吃属实高调</t>
        </is>
      </c>
      <c r="B176" t="inlineStr">
        <is>
          <t>6915f2e80000000004011f79</t>
        </is>
      </c>
      <c r="C176" s="175" t="n">
        <f>HYPERLINK("https://www.xiaohongshu.com/explore/6915f2e80000000004011f79?xsec_token=TBAg-veJq-9HvX6LdnoJFXatNOHb01KWFRfK1Xd1kSRNA=&amp;xsec_source=pc_trdark","https://www.xiaohongshu.com/explore/6915f2e80000000004011f79?xsec_token=TBAg-veJq-9HvX6LdnoJFXatNOHb01KWFRfK1Xd1kSRNA=&amp;xsec_source=pc_trdark")</f>
        <v>0.0</v>
      </c>
      <c r="D176" t="inlineStr">
        <is>
          <t>鲜水湾</t>
        </is>
      </c>
      <c r="E176" t="inlineStr">
        <is>
          <t>49316638994</t>
        </is>
      </c>
      <c r="F176" t="inlineStr">
        <is>
          <t>2025-11-13 23:02:00</t>
        </is>
      </c>
      <c r="G176" t="inlineStr">
        <is>
          <t>图文</t>
        </is>
      </c>
      <c r="H176" t="inlineStr">
        <is>
          <t>大虾基围虾王牌大虾厄瓜多尔白虾盐冻虾仁海洋大虾送礼顺丰包邮</t>
        </is>
      </c>
      <c r="I176" t="inlineStr">
        <is>
          <t>690aeb7be379430001e686ac</t>
        </is>
      </c>
      <c r="J176" t="inlineStr">
        <is>
          <t/>
        </is>
      </c>
      <c r="K176" t="n">
        <v>0.0</v>
      </c>
      <c r="L176" t="n">
        <v>0.0</v>
      </c>
      <c r="M176" t="n">
        <v>1.0</v>
      </c>
      <c r="N176" t="n">
        <v>0.5</v>
      </c>
      <c r="O176" t="n">
        <v>1.0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inlineStr">
        <is>
          <t/>
        </is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2.0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6.0</v>
      </c>
      <c r="AL176" t="inlineStr">
        <is>
          <t/>
        </is>
      </c>
    </row>
    <row r="177">
      <c r="A177" t="inlineStr">
        <is>
          <t>太香了！60多就能买满满一箱大虾！</t>
        </is>
      </c>
      <c r="B177" t="inlineStr">
        <is>
          <t>6915760a0000000004013483</t>
        </is>
      </c>
      <c r="C177" s="176" t="n">
        <f>HYPERLINK("https://www.xiaohongshu.com/explore/6915760a0000000004013483?xsec_token=TBAg-veJq-9HvX6LdnoJFXanh0ElIUwIIMEaByNHvqITs=&amp;xsec_source=pc_trdark","https://www.xiaohongshu.com/explore/6915760a0000000004013483?xsec_token=TBAg-veJq-9HvX6LdnoJFXanh0ElIUwIIMEaByNHvqITs=&amp;xsec_source=pc_trdark")</f>
        <v>0.0</v>
      </c>
      <c r="D177" t="inlineStr">
        <is>
          <t>鲜水湾</t>
        </is>
      </c>
      <c r="E177" t="inlineStr">
        <is>
          <t>49316638994</t>
        </is>
      </c>
      <c r="F177" t="inlineStr">
        <is>
          <t>2025-11-13 14:09:14</t>
        </is>
      </c>
      <c r="G177" t="inlineStr">
        <is>
          <t>图文</t>
        </is>
      </c>
      <c r="H177" t="inlineStr">
        <is>
          <t>大虾基围虾王牌大虾厄瓜多尔白虾盐冻虾仁海洋大虾送礼顺丰包邮</t>
        </is>
      </c>
      <c r="I177" t="inlineStr">
        <is>
          <t>690aeb7be379430001e686ac</t>
        </is>
      </c>
      <c r="J177" t="inlineStr">
        <is>
          <t/>
        </is>
      </c>
      <c r="K177" t="n">
        <v>0.0</v>
      </c>
      <c r="L177" t="n">
        <v>0.0</v>
      </c>
      <c r="M177" t="n">
        <v>2.0</v>
      </c>
      <c r="N177" t="n">
        <v>1.0</v>
      </c>
      <c r="O177" t="n">
        <v>1.0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inlineStr">
        <is>
          <t/>
        </is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2.0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2.5</v>
      </c>
      <c r="AL177" t="inlineStr">
        <is>
          <t/>
        </is>
      </c>
    </row>
    <row r="178">
      <c r="A178" t="inlineStr">
        <is>
          <t>说一个撑死人但热量很低的东西</t>
        </is>
      </c>
      <c r="B178" t="inlineStr">
        <is>
          <t>6912f5760000000005001201</t>
        </is>
      </c>
      <c r="C178" s="177" t="n">
        <f>HYPERLINK("https://www.xiaohongshu.com/explore/6912f5760000000005001201?xsec_token=TBnZN0DmKGIQMnPXPN25j7p8hJBwnFk_A2WnB_UFtZgSg=&amp;xsec_source=pc_trdark","https://www.xiaohongshu.com/explore/6912f5760000000005001201?xsec_token=TBnZN0DmKGIQMnPXPN25j7p8hJBwnFk_A2WnB_UFtZgSg=&amp;xsec_source=pc_trdark")</f>
        <v>0.0</v>
      </c>
      <c r="D178" t="inlineStr">
        <is>
          <t>鲜水湾</t>
        </is>
      </c>
      <c r="E178" t="inlineStr">
        <is>
          <t>49316638994</t>
        </is>
      </c>
      <c r="F178" t="inlineStr">
        <is>
          <t>2025-11-11 16:36:06</t>
        </is>
      </c>
      <c r="G178" t="inlineStr">
        <is>
          <t>图文</t>
        </is>
      </c>
      <c r="H178" t="inlineStr">
        <is>
          <t>大虾基围虾王牌大虾厄瓜多尔白虾盐冻虾仁海洋大虾送礼顺丰包邮</t>
        </is>
      </c>
      <c r="I178" t="inlineStr">
        <is>
          <t>690aeb7be379430001e686ac</t>
        </is>
      </c>
      <c r="J178" t="inlineStr">
        <is>
          <t/>
        </is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inlineStr">
        <is>
          <t/>
        </is>
      </c>
      <c r="R178" t="inlineStr">
        <is>
          <t/>
        </is>
      </c>
      <c r="S178" t="n">
        <v>0.0</v>
      </c>
      <c r="T178" t="n">
        <v>0.0</v>
      </c>
      <c r="U178" t="n">
        <v>0.0</v>
      </c>
      <c r="V178" t="n">
        <v>0.0</v>
      </c>
      <c r="W178" t="inlineStr">
        <is>
          <t/>
        </is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2.0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3.5</v>
      </c>
      <c r="AL178" t="inlineStr">
        <is>
          <t/>
        </is>
      </c>
    </row>
    <row r="179">
      <c r="A179" t="inlineStr">
        <is>
          <t>别再说60💰几块不经花！这购买力绝了</t>
        </is>
      </c>
      <c r="B179" t="inlineStr">
        <is>
          <t>69108c100000000005033662</t>
        </is>
      </c>
      <c r="C179" s="178" t="n">
        <f>HYPERLINK("https://www.xiaohongshu.com/explore/69108c100000000005033662?xsec_token=TBUjpd2w0LBMv9oJsd0xbTvDxNATomzkMcLkLP6lCwAbI=&amp;xsec_source=pc_trdark","https://www.xiaohongshu.com/explore/69108c100000000005033662?xsec_token=TBUjpd2w0LBMv9oJsd0xbTvDxNATomzkMcLkLP6lCwAbI=&amp;xsec_source=pc_trdark")</f>
        <v>0.0</v>
      </c>
      <c r="D179" t="inlineStr">
        <is>
          <t>鲜水湾</t>
        </is>
      </c>
      <c r="E179" t="inlineStr">
        <is>
          <t>49316638994</t>
        </is>
      </c>
      <c r="F179" t="inlineStr">
        <is>
          <t>2025-11-09 20:41:52</t>
        </is>
      </c>
      <c r="G179" t="inlineStr">
        <is>
          <t>图文</t>
        </is>
      </c>
      <c r="H179" t="inlineStr">
        <is>
          <t>大虾基围虾王牌大虾厄瓜多尔白虾盐冻虾仁海洋大虾送礼顺丰包邮</t>
        </is>
      </c>
      <c r="I179" t="inlineStr">
        <is>
          <t>690aeb7be379430001e686ac</t>
        </is>
      </c>
      <c r="J179" t="inlineStr">
        <is>
          <t/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/>
        </is>
      </c>
      <c r="R179" t="inlineStr">
        <is>
          <t/>
        </is>
      </c>
      <c r="S179" t="n">
        <v>0.0</v>
      </c>
      <c r="T179" t="n">
        <v>0.0</v>
      </c>
      <c r="U179" t="n">
        <v>0.0</v>
      </c>
      <c r="V179" t="n">
        <v>0.0</v>
      </c>
      <c r="W179" t="inlineStr">
        <is>
          <t/>
        </is>
      </c>
      <c r="X179" t="n">
        <v>0.0</v>
      </c>
      <c r="Y179" t="n">
        <v>0.0</v>
      </c>
      <c r="Z179" t="n">
        <v>5.0</v>
      </c>
      <c r="AA179" t="n">
        <v>0.0</v>
      </c>
      <c r="AB179" t="n">
        <v>0.0</v>
      </c>
      <c r="AC179" t="n">
        <v>0.0</v>
      </c>
      <c r="AD179" t="n">
        <v>2.0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2.0</v>
      </c>
      <c r="AL179" t="inlineStr">
        <is>
          <t/>
        </is>
      </c>
    </row>
    <row r="180">
      <c r="A180" t="inlineStr">
        <is>
          <t>轻松征服所有三文鱼脑袋🐟～</t>
        </is>
      </c>
      <c r="B180" t="inlineStr">
        <is>
          <t>6950881b000000001e0355a5</t>
        </is>
      </c>
      <c r="C180" s="179" t="n">
        <f>HYPERLINK("https://www.xiaohongshu.com/explore/6950881b000000001e0355a5?xsec_token=TBZlsVk_u522I8N-JhGtRMDjLXf1070IVefsr9amfW0wE=&amp;xsec_source=pc_trdark","https://www.xiaohongshu.com/explore/6950881b000000001e0355a5?xsec_token=TBZlsVk_u522I8N-JhGtRMDjLXf1070IVefsr9amfW0wE=&amp;xsec_source=pc_trdark")</f>
        <v>0.0</v>
      </c>
      <c r="D180" t="inlineStr">
        <is>
          <t>鲜水湾</t>
        </is>
      </c>
      <c r="E180" t="inlineStr">
        <is>
          <t>49316638994</t>
        </is>
      </c>
      <c r="F180" t="inlineStr">
        <is>
          <t>2025-12-28 09:30:03</t>
        </is>
      </c>
      <c r="G180" t="inlineStr">
        <is>
          <t>图文</t>
        </is>
      </c>
      <c r="H180" t="inlineStr">
        <is>
          <t>智利三文鱼切块·整条三文鱼·深海鱼一人食健康饮食</t>
        </is>
      </c>
      <c r="I180" t="inlineStr">
        <is>
          <t>691ac562a524ee0001b51d7b</t>
        </is>
      </c>
      <c r="J180" t="inlineStr">
        <is>
          <t/>
        </is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inlineStr">
        <is>
          <t/>
        </is>
      </c>
      <c r="R180" t="inlineStr">
        <is>
          <t/>
        </is>
      </c>
      <c r="S180" t="n">
        <v>0.0</v>
      </c>
      <c r="T180" t="n">
        <v>0.0</v>
      </c>
      <c r="U180" t="n">
        <v>0.0</v>
      </c>
      <c r="V180" t="n">
        <v>0.0</v>
      </c>
      <c r="W180" t="inlineStr">
        <is>
          <t/>
        </is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1.0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3.0</v>
      </c>
      <c r="AL180" t="inlineStr">
        <is>
          <t/>
        </is>
      </c>
    </row>
    <row r="181">
      <c r="A181" t="inlineStr">
        <is>
          <t>太适合懒人减脂餐了</t>
        </is>
      </c>
      <c r="B181" t="inlineStr">
        <is>
          <t>6946beeb000000001e026e07</t>
        </is>
      </c>
      <c r="C181" s="180" t="n">
        <f>HYPERLINK("https://www.xiaohongshu.com/explore/6946beeb000000001e026e07?xsec_token=TBHCyq_CQBT5wFdM6Ltqr7ewds_pILQ_hIkfvi2qeX7WI=&amp;xsec_source=pc_trdark","https://www.xiaohongshu.com/explore/6946beeb000000001e026e07?xsec_token=TBHCyq_CQBT5wFdM6Ltqr7ewds_pILQ_hIkfvi2qeX7WI=&amp;xsec_source=pc_trdark")</f>
        <v>0.0</v>
      </c>
      <c r="D181" t="inlineStr">
        <is>
          <t>鲜水湾</t>
        </is>
      </c>
      <c r="E181" t="inlineStr">
        <is>
          <t>49316638994</t>
        </is>
      </c>
      <c r="F181" t="inlineStr">
        <is>
          <t>2025-12-20 23:21:15</t>
        </is>
      </c>
      <c r="G181" t="inlineStr">
        <is>
          <t>图文</t>
        </is>
      </c>
      <c r="H181" t="inlineStr">
        <is>
          <t>大虾基围虾王牌大虾厄瓜多尔白虾盐冻虾仁海洋大虾送礼顺丰包邮</t>
        </is>
      </c>
      <c r="I181" t="inlineStr">
        <is>
          <t>690aeb7be379430001e686ac</t>
        </is>
      </c>
      <c r="J181" t="inlineStr">
        <is>
          <t/>
        </is>
      </c>
      <c r="K181" t="n">
        <v>0.0</v>
      </c>
      <c r="L181" t="n">
        <v>0.0</v>
      </c>
      <c r="M181" t="n">
        <v>1.0</v>
      </c>
      <c r="N181" t="n">
        <v>1.0</v>
      </c>
      <c r="O181" t="n">
        <v>1.0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inlineStr">
        <is>
          <t/>
        </is>
      </c>
      <c r="X181" t="n">
        <v>0.0</v>
      </c>
      <c r="Y181" t="n">
        <v>1.0</v>
      </c>
      <c r="Z181" t="n">
        <v>0.0</v>
      </c>
      <c r="AA181" t="n">
        <v>0.0</v>
      </c>
      <c r="AB181" t="n">
        <v>0.0</v>
      </c>
      <c r="AC181" t="n">
        <v>0.0</v>
      </c>
      <c r="AD181" t="n">
        <v>1.0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28.0</v>
      </c>
      <c r="AL181" t="inlineStr">
        <is>
          <t/>
        </is>
      </c>
    </row>
    <row r="182">
      <c r="A182" t="inlineStr">
        <is>
          <t>爱你老己！一个人也可以吃的健康又便宜</t>
        </is>
      </c>
      <c r="B182" t="inlineStr">
        <is>
          <t>69460b52000000001e024646</t>
        </is>
      </c>
      <c r="C182" s="181" t="n">
        <f>HYPERLINK("https://www.xiaohongshu.com/explore/69460b52000000001e024646?xsec_token=TBHCyq_CQBT5wFdM6Ltqr7e5ZjFiBCKgQNwcC3IL2wgUQ=&amp;xsec_source=pc_trdark","https://www.xiaohongshu.com/explore/69460b52000000001e024646?xsec_token=TBHCyq_CQBT5wFdM6Ltqr7e5ZjFiBCKgQNwcC3IL2wgUQ=&amp;xsec_source=pc_trdark")</f>
        <v>0.0</v>
      </c>
      <c r="D182" t="inlineStr">
        <is>
          <t>鲜水湾</t>
        </is>
      </c>
      <c r="E182" t="inlineStr">
        <is>
          <t>49316638994</t>
        </is>
      </c>
      <c r="F182" t="inlineStr">
        <is>
          <t>2025-12-20 10:34:58</t>
        </is>
      </c>
      <c r="G182" t="inlineStr">
        <is>
          <t>图文</t>
        </is>
      </c>
      <c r="H182" t="inlineStr">
        <is>
          <t>大虾基围虾王牌大虾厄瓜多尔白虾盐冻虾仁海洋大虾送礼顺丰包邮</t>
        </is>
      </c>
      <c r="I182" t="inlineStr">
        <is>
          <t>690aeb7be379430001e686ac</t>
        </is>
      </c>
      <c r="J182" t="inlineStr">
        <is>
          <t/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inlineStr">
        <is>
          <t/>
        </is>
      </c>
      <c r="R182" t="inlineStr">
        <is>
          <t/>
        </is>
      </c>
      <c r="S182" t="n">
        <v>0.0</v>
      </c>
      <c r="T182" t="n">
        <v>0.0</v>
      </c>
      <c r="U182" t="n">
        <v>0.0</v>
      </c>
      <c r="V182" t="n">
        <v>0.0</v>
      </c>
      <c r="W182" t="inlineStr">
        <is>
          <t/>
        </is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1.0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4.0</v>
      </c>
      <c r="AL182" t="inlineStr">
        <is>
          <t/>
        </is>
      </c>
    </row>
    <row r="183">
      <c r="A183" t="inlineStr">
        <is>
          <t>天才想出来的……减脂搭子！！</t>
        </is>
      </c>
      <c r="B183" t="inlineStr">
        <is>
          <t>694561ea000000001e0286e5</t>
        </is>
      </c>
      <c r="C183" s="182" t="n">
        <f>HYPERLINK("https://www.xiaohongshu.com/explore/694561ea000000001e0286e5?xsec_token=TB7p1vWXvB33zoX2lon7HfpVy6Gao4nSLHXYECbHz2y-0=&amp;xsec_source=pc_trdark","https://www.xiaohongshu.com/explore/694561ea000000001e0286e5?xsec_token=TB7p1vWXvB33zoX2lon7HfpVy6Gao4nSLHXYECbHz2y-0=&amp;xsec_source=pc_trdark")</f>
        <v>0.0</v>
      </c>
      <c r="D183" t="inlineStr">
        <is>
          <t>鲜水湾</t>
        </is>
      </c>
      <c r="E183" t="inlineStr">
        <is>
          <t>49316638994</t>
        </is>
      </c>
      <c r="F183" t="inlineStr">
        <is>
          <t>2025-12-19 22:32:10</t>
        </is>
      </c>
      <c r="G183" t="inlineStr">
        <is>
          <t>图文</t>
        </is>
      </c>
      <c r="H183" t="inlineStr">
        <is>
          <t>大虾基围虾王牌大虾厄瓜多尔白虾盐冻虾仁海洋大虾送礼顺丰包邮</t>
        </is>
      </c>
      <c r="I183" t="inlineStr">
        <is>
          <t>690aeb7be379430001e686ac</t>
        </is>
      </c>
      <c r="J183" t="inlineStr">
        <is>
          <t/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/>
        </is>
      </c>
      <c r="R183" t="inlineStr">
        <is>
          <t/>
        </is>
      </c>
      <c r="S183" t="n">
        <v>0.0</v>
      </c>
      <c r="T183" t="n">
        <v>0.0</v>
      </c>
      <c r="U183" t="n">
        <v>0.0</v>
      </c>
      <c r="V183" t="n">
        <v>0.0</v>
      </c>
      <c r="W183" t="inlineStr">
        <is>
          <t/>
        </is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1.0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19.0</v>
      </c>
      <c r="AL183" t="inlineStr">
        <is>
          <t/>
        </is>
      </c>
    </row>
    <row r="184">
      <c r="A184" t="inlineStr">
        <is>
          <t>大虾脑袋碰到，回购已成定局</t>
        </is>
      </c>
      <c r="B184" t="inlineStr">
        <is>
          <t>6944bc2b000000001e03b50a</t>
        </is>
      </c>
      <c r="C184" s="183" t="n">
        <f>HYPERLINK("https://www.xiaohongshu.com/explore/6944bc2b000000001e03b50a?xsec_token=TBEei_gEGYdPM_jdeWI2PhOSmczcWrE11ULxlwH7TajNA=&amp;xsec_source=pc_trdark","https://www.xiaohongshu.com/explore/6944bc2b000000001e03b50a?xsec_token=TBEei_gEGYdPM_jdeWI2PhOSmczcWrE11ULxlwH7TajNA=&amp;xsec_source=pc_trdark")</f>
        <v>0.0</v>
      </c>
      <c r="D184" t="inlineStr">
        <is>
          <t>鲜水湾</t>
        </is>
      </c>
      <c r="E184" t="inlineStr">
        <is>
          <t>49316638994</t>
        </is>
      </c>
      <c r="F184" t="inlineStr">
        <is>
          <t>2025-12-19 10:44:59</t>
        </is>
      </c>
      <c r="G184" t="inlineStr">
        <is>
          <t>图文</t>
        </is>
      </c>
      <c r="H184" t="inlineStr">
        <is>
          <t>大虾基围虾王牌大虾厄瓜多尔白虾盐冻虾仁海洋大虾送礼顺丰包邮</t>
        </is>
      </c>
      <c r="I184" t="inlineStr">
        <is>
          <t>690aeb7be379430001e686ac</t>
        </is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inlineStr">
        <is>
          <t/>
        </is>
      </c>
      <c r="R184" t="inlineStr">
        <is>
          <t/>
        </is>
      </c>
      <c r="S184" t="n">
        <v>0.0</v>
      </c>
      <c r="T184" t="n">
        <v>0.0</v>
      </c>
      <c r="U184" t="n">
        <v>0.0</v>
      </c>
      <c r="V184" t="n">
        <v>0.0</v>
      </c>
      <c r="W184" t="inlineStr">
        <is>
          <t/>
        </is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1.0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5.0</v>
      </c>
      <c r="AL184" t="inlineStr">
        <is>
          <t/>
        </is>
      </c>
    </row>
    <row r="185">
      <c r="A185" t="inlineStr">
        <is>
          <t>减脂期姐妹推荐的，真有用</t>
        </is>
      </c>
      <c r="B185" t="inlineStr">
        <is>
          <t>693fa285000000001e03035c</t>
        </is>
      </c>
      <c r="C185" s="184" t="n">
        <f>HYPERLINK("https://www.xiaohongshu.com/explore/693fa285000000001e03035c?xsec_token=TB1R2yju8ccr97WVPo1goJUO0tcN41VvN9nzPL-EJyyMs=&amp;xsec_source=pc_trdark","https://www.xiaohongshu.com/explore/693fa285000000001e03035c?xsec_token=TB1R2yju8ccr97WVPo1goJUO0tcN41VvN9nzPL-EJyyMs=&amp;xsec_source=pc_trdark")</f>
        <v>0.0</v>
      </c>
      <c r="D185" t="inlineStr">
        <is>
          <t>鲜水湾</t>
        </is>
      </c>
      <c r="E185" t="inlineStr">
        <is>
          <t>49316638994</t>
        </is>
      </c>
      <c r="F185" t="inlineStr">
        <is>
          <t>2025-12-15 13:54:13</t>
        </is>
      </c>
      <c r="G185" t="inlineStr">
        <is>
          <t>图文</t>
        </is>
      </c>
      <c r="H185" t="inlineStr">
        <is>
          <t>大虾基围虾王牌大虾厄瓜多尔白虾盐冻虾仁海洋大虾送礼顺丰包邮</t>
        </is>
      </c>
      <c r="I185" t="inlineStr">
        <is>
          <t>690aeb7be379430001e686ac</t>
        </is>
      </c>
      <c r="J185" t="inlineStr">
        <is>
          <t/>
        </is>
      </c>
      <c r="K185" t="n">
        <v>0.0</v>
      </c>
      <c r="L185" t="n">
        <v>0.0</v>
      </c>
      <c r="M185" t="n">
        <v>1.0</v>
      </c>
      <c r="N185" t="n">
        <v>1.0</v>
      </c>
      <c r="O185" t="n">
        <v>1.0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inlineStr">
        <is>
          <t/>
        </is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1.0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10.0</v>
      </c>
      <c r="AL185" t="inlineStr">
        <is>
          <t/>
        </is>
      </c>
    </row>
    <row r="186">
      <c r="A186" t="inlineStr">
        <is>
          <t>区区200多，承包了我整个月的减脂餐</t>
        </is>
      </c>
      <c r="B186" t="inlineStr">
        <is>
          <t>693d11c7000000001f00d4a6</t>
        </is>
      </c>
      <c r="C186" s="185" t="n">
        <f>HYPERLINK("https://www.xiaohongshu.com/explore/693d11c7000000001f00d4a6?xsec_token=TBz651BHP1Dr15NeLsAqSGPpHrcfQmPZ1RNBQG6o9sT3k=&amp;xsec_source=pc_trdark","https://www.xiaohongshu.com/explore/693d11c7000000001f00d4a6?xsec_token=TBz651BHP1Dr15NeLsAqSGPpHrcfQmPZ1RNBQG6o9sT3k=&amp;xsec_source=pc_trdark")</f>
        <v>0.0</v>
      </c>
      <c r="D186" t="inlineStr">
        <is>
          <t>鲜水湾</t>
        </is>
      </c>
      <c r="E186" t="inlineStr">
        <is>
          <t>49316638994</t>
        </is>
      </c>
      <c r="F186" t="inlineStr">
        <is>
          <t>2025-12-13 15:12:07</t>
        </is>
      </c>
      <c r="G186" t="inlineStr">
        <is>
          <t>图文</t>
        </is>
      </c>
      <c r="H186" t="inlineStr">
        <is>
          <t>智利三文鱼切块·整条三文鱼·深海鱼一人食健康饮食</t>
        </is>
      </c>
      <c r="I186" t="inlineStr">
        <is>
          <t>691ac562a524ee0001b51d7b</t>
        </is>
      </c>
      <c r="J186" t="inlineStr">
        <is>
          <t/>
        </is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inlineStr">
        <is>
          <t/>
        </is>
      </c>
      <c r="R186" t="inlineStr">
        <is>
          <t/>
        </is>
      </c>
      <c r="S186" t="n">
        <v>0.0</v>
      </c>
      <c r="T186" t="n">
        <v>0.0</v>
      </c>
      <c r="U186" t="n">
        <v>0.0</v>
      </c>
      <c r="V186" t="n">
        <v>0.0</v>
      </c>
      <c r="W186" t="inlineStr">
        <is>
          <t/>
        </is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1.0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19.0</v>
      </c>
      <c r="AL186" t="inlineStr">
        <is>
          <t/>
        </is>
      </c>
    </row>
    <row r="187">
      <c r="A187" t="inlineStr">
        <is>
          <t>我q。。。😳小红书给的券也太大了吧</t>
        </is>
      </c>
      <c r="B187" t="inlineStr">
        <is>
          <t>693cfb90000000001f00793f</t>
        </is>
      </c>
      <c r="C187" s="186" t="n">
        <f>HYPERLINK("https://www.xiaohongshu.com/explore/693cfb90000000001f00793f?xsec_token=TBby_8TUlAJfj-jHsmZvLUDZtW2_h8p59gEWad8lYQS54=&amp;xsec_source=pc_trdark","https://www.xiaohongshu.com/explore/693cfb90000000001f00793f?xsec_token=TBby_8TUlAJfj-jHsmZvLUDZtW2_h8p59gEWad8lYQS54=&amp;xsec_source=pc_trdark")</f>
        <v>0.0</v>
      </c>
      <c r="D187" t="inlineStr">
        <is>
          <t>鲜水湾</t>
        </is>
      </c>
      <c r="E187" t="inlineStr">
        <is>
          <t>49316638994</t>
        </is>
      </c>
      <c r="F187" t="inlineStr">
        <is>
          <t>2025-12-13 13:37:20</t>
        </is>
      </c>
      <c r="G187" t="inlineStr">
        <is>
          <t>图文</t>
        </is>
      </c>
      <c r="H187" t="inlineStr">
        <is>
          <t>智利三文鱼切块·整条三文鱼·深海鱼一人食健康饮食</t>
        </is>
      </c>
      <c r="I187" t="inlineStr">
        <is>
          <t>691ac562a524ee0001b51d7b</t>
        </is>
      </c>
      <c r="J187" t="inlineStr">
        <is>
          <t/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inlineStr">
        <is>
          <t/>
        </is>
      </c>
      <c r="R187" t="inlineStr">
        <is>
          <t/>
        </is>
      </c>
      <c r="S187" t="n">
        <v>0.0</v>
      </c>
      <c r="T187" t="n">
        <v>0.0</v>
      </c>
      <c r="U187" t="n">
        <v>0.0</v>
      </c>
      <c r="V187" t="n">
        <v>0.0</v>
      </c>
      <c r="W187" t="inlineStr">
        <is>
          <t/>
        </is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1.0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1.0</v>
      </c>
      <c r="AL187" t="inlineStr">
        <is>
          <t/>
        </is>
      </c>
    </row>
    <row r="188">
      <c r="A188" t="inlineStr">
        <is>
          <t>我妈让我抓紧宣传下，40来块一斤还包邮</t>
        </is>
      </c>
      <c r="B188" t="inlineStr">
        <is>
          <t>693bc2f0000000001e03b9ab</t>
        </is>
      </c>
      <c r="C188" s="187" t="n">
        <f>HYPERLINK("https://www.xiaohongshu.com/explore/693bc2f0000000001e03b9ab?xsec_token=TBehUwc4QxLaaQbLqKc-ieHr6izQXYwFqEiKFOzdPmOkI=&amp;xsec_source=pc_trdark","https://www.xiaohongshu.com/explore/693bc2f0000000001e03b9ab?xsec_token=TBehUwc4QxLaaQbLqKc-ieHr6izQXYwFqEiKFOzdPmOkI=&amp;xsec_source=pc_trdark")</f>
        <v>0.0</v>
      </c>
      <c r="D188" t="inlineStr">
        <is>
          <t>鲜水湾</t>
        </is>
      </c>
      <c r="E188" t="inlineStr">
        <is>
          <t>49316638994</t>
        </is>
      </c>
      <c r="F188" t="inlineStr">
        <is>
          <t>2025-12-12 15:23:28</t>
        </is>
      </c>
      <c r="G188" t="inlineStr">
        <is>
          <t>图文</t>
        </is>
      </c>
      <c r="H188" t="inlineStr">
        <is>
          <t>智利三文鱼切块·整条三文鱼·深海鱼一人食健康饮食</t>
        </is>
      </c>
      <c r="I188" t="inlineStr">
        <is>
          <t>691ac562a524ee0001b51d7b</t>
        </is>
      </c>
      <c r="J188" t="inlineStr">
        <is>
          <t/>
        </is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inlineStr">
        <is>
          <t/>
        </is>
      </c>
      <c r="R188" t="inlineStr">
        <is>
          <t/>
        </is>
      </c>
      <c r="S188" t="n">
        <v>0.0</v>
      </c>
      <c r="T188" t="n">
        <v>0.0</v>
      </c>
      <c r="U188" t="n">
        <v>0.0</v>
      </c>
      <c r="V188" t="n">
        <v>0.0</v>
      </c>
      <c r="W188" t="inlineStr">
        <is>
          <t/>
        </is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1.0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3.0</v>
      </c>
      <c r="AL188" t="inlineStr">
        <is>
          <t/>
        </is>
      </c>
    </row>
    <row r="189">
      <c r="A189" t="inlineStr">
        <is>
          <t>马上元旦了，都来囤我家大虾吧！！</t>
        </is>
      </c>
      <c r="B189" t="inlineStr">
        <is>
          <t>69328cb8000000001f0062ce</t>
        </is>
      </c>
      <c r="C189" s="188" t="n">
        <f>HYPERLINK("https://www.xiaohongshu.com/explore/69328cb8000000001f0062ce?xsec_token=TBpgGkEYDo_gVOMrYT9wIn94nVVTjcLT2GuGmQI9u37lQ=&amp;xsec_source=pc_trdark","https://www.xiaohongshu.com/explore/69328cb8000000001f0062ce?xsec_token=TBpgGkEYDo_gVOMrYT9wIn94nVVTjcLT2GuGmQI9u37lQ=&amp;xsec_source=pc_trdark")</f>
        <v>0.0</v>
      </c>
      <c r="D189" t="inlineStr">
        <is>
          <t>鲜水湾</t>
        </is>
      </c>
      <c r="E189" t="inlineStr">
        <is>
          <t>49316638994</t>
        </is>
      </c>
      <c r="F189" t="inlineStr">
        <is>
          <t>2025-12-05 15:41:44</t>
        </is>
      </c>
      <c r="G189" t="inlineStr">
        <is>
          <t>图文</t>
        </is>
      </c>
      <c r="H189" t="inlineStr">
        <is>
          <t>大虾基围虾王牌大虾厄瓜多尔白虾盐冻虾仁海洋大虾送礼顺丰包邮</t>
        </is>
      </c>
      <c r="I189" t="inlineStr">
        <is>
          <t>690aeb7be379430001e686ac</t>
        </is>
      </c>
      <c r="J189" t="inlineStr">
        <is>
          <t/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inlineStr">
        <is>
          <t/>
        </is>
      </c>
      <c r="R189" t="inlineStr">
        <is>
          <t/>
        </is>
      </c>
      <c r="S189" t="n">
        <v>0.0</v>
      </c>
      <c r="T189" t="n">
        <v>0.0</v>
      </c>
      <c r="U189" t="n">
        <v>0.0</v>
      </c>
      <c r="V189" t="n">
        <v>0.0</v>
      </c>
      <c r="W189" t="inlineStr">
        <is>
          <t/>
        </is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1.0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2.0</v>
      </c>
      <c r="AL189" t="inlineStr">
        <is>
          <t/>
        </is>
      </c>
    </row>
    <row r="190">
      <c r="A190" t="inlineStr">
        <is>
          <t>在小红书上买到了整条三文鱼…</t>
        </is>
      </c>
      <c r="B190" t="inlineStr">
        <is>
          <t>692e4f1e000000001f007cb8</t>
        </is>
      </c>
      <c r="C190" s="189" t="n">
        <f>HYPERLINK("https://www.xiaohongshu.com/explore/692e4f1e000000001f007cb8?xsec_token=TBhc9WPqfa5dhWfRrPj8DX7W_9aA0Zas4QAmEKpy4qlOU=&amp;xsec_source=pc_trdark","https://www.xiaohongshu.com/explore/692e4f1e000000001f007cb8?xsec_token=TBhc9WPqfa5dhWfRrPj8DX7W_9aA0Zas4QAmEKpy4qlOU=&amp;xsec_source=pc_trdark")</f>
        <v>0.0</v>
      </c>
      <c r="D190" t="inlineStr">
        <is>
          <t>鲜水湾</t>
        </is>
      </c>
      <c r="E190" t="inlineStr">
        <is>
          <t>49316638994</t>
        </is>
      </c>
      <c r="F190" t="inlineStr">
        <is>
          <t>2025-12-02 10:29:50</t>
        </is>
      </c>
      <c r="G190" t="inlineStr">
        <is>
          <t>图文</t>
        </is>
      </c>
      <c r="H190" t="inlineStr">
        <is>
          <t>智利三文鱼切块·整条三文鱼·深海鱼一人食健康饮食</t>
        </is>
      </c>
      <c r="I190" t="inlineStr">
        <is>
          <t>691ac562a524ee0001b51d7b</t>
        </is>
      </c>
      <c r="J190" t="inlineStr">
        <is>
          <t/>
        </is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inlineStr">
        <is>
          <t/>
        </is>
      </c>
      <c r="R190" t="inlineStr">
        <is>
          <t/>
        </is>
      </c>
      <c r="S190" t="n">
        <v>0.0</v>
      </c>
      <c r="T190" t="n">
        <v>0.0</v>
      </c>
      <c r="U190" t="n">
        <v>0.0</v>
      </c>
      <c r="V190" t="n">
        <v>0.0</v>
      </c>
      <c r="W190" t="inlineStr">
        <is>
          <t/>
        </is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1.0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8.0</v>
      </c>
      <c r="AL190" t="inlineStr">
        <is>
          <t/>
        </is>
      </c>
    </row>
    <row r="191">
      <c r="A191" t="inlineStr">
        <is>
          <t>为什么网上减脂的人很少吃虾啊？</t>
        </is>
      </c>
      <c r="B191" t="inlineStr">
        <is>
          <t>69287242000000001e02637f</t>
        </is>
      </c>
      <c r="C191" s="190" t="n">
        <f>HYPERLINK("https://www.xiaohongshu.com/explore/69287242000000001e02637f?xsec_token=TB7YCQGJ8vrzp8yv38IzH520xd3NiOBFPrjaWgOz9Kc7A=&amp;xsec_source=pc_trdark","https://www.xiaohongshu.com/explore/69287242000000001e02637f?xsec_token=TB7YCQGJ8vrzp8yv38IzH520xd3NiOBFPrjaWgOz9Kc7A=&amp;xsec_source=pc_trdark")</f>
        <v>0.0</v>
      </c>
      <c r="D191" t="inlineStr">
        <is>
          <t>鲜水湾</t>
        </is>
      </c>
      <c r="E191" t="inlineStr">
        <is>
          <t>49316638994</t>
        </is>
      </c>
      <c r="F191" t="inlineStr">
        <is>
          <t>2025-11-27 23:46:10</t>
        </is>
      </c>
      <c r="G191" t="inlineStr">
        <is>
          <t>图文</t>
        </is>
      </c>
      <c r="H191" t="inlineStr">
        <is>
          <t>大虾基围虾王牌大虾厄瓜多尔白虾盐冻虾仁海洋大虾送礼顺丰包邮</t>
        </is>
      </c>
      <c r="I191" t="inlineStr">
        <is>
          <t>690aeb7be379430001e686ac</t>
        </is>
      </c>
      <c r="J191" t="inlineStr">
        <is>
          <t/>
        </is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inlineStr">
        <is>
          <t/>
        </is>
      </c>
      <c r="R191" t="inlineStr">
        <is>
          <t/>
        </is>
      </c>
      <c r="S191" t="n">
        <v>0.0</v>
      </c>
      <c r="T191" t="n">
        <v>0.0</v>
      </c>
      <c r="U191" t="n">
        <v>0.0</v>
      </c>
      <c r="V191" t="n">
        <v>0.0</v>
      </c>
      <c r="W191" t="inlineStr">
        <is>
          <t/>
        </is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1.0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3.0</v>
      </c>
      <c r="AL191" t="inlineStr">
        <is>
          <t/>
        </is>
      </c>
    </row>
    <row r="192">
      <c r="A192" t="inlineStr">
        <is>
          <t>我也不想买呀！可是69.9到手3斤大虾</t>
        </is>
      </c>
      <c r="B192" t="inlineStr">
        <is>
          <t>6922b439000000001f00ac21</t>
        </is>
      </c>
      <c r="C192" s="191" t="n">
        <f>HYPERLINK("https://www.xiaohongshu.com/explore/6922b439000000001f00ac21?xsec_token=TBE5pHIrkzq8Q5V7PHhpUNB7O-q2p2v632ElZ9GF1hITk=&amp;xsec_source=pc_trdark","https://www.xiaohongshu.com/explore/6922b439000000001f00ac21?xsec_token=TBE5pHIrkzq8Q5V7PHhpUNB7O-q2p2v632ElZ9GF1hITk=&amp;xsec_source=pc_trdark")</f>
        <v>0.0</v>
      </c>
      <c r="D192" t="inlineStr">
        <is>
          <t>鲜水湾</t>
        </is>
      </c>
      <c r="E192" t="inlineStr">
        <is>
          <t>49316638994</t>
        </is>
      </c>
      <c r="F192" t="inlineStr">
        <is>
          <t>2025-11-23 15:14:01</t>
        </is>
      </c>
      <c r="G192" t="inlineStr">
        <is>
          <t>图文</t>
        </is>
      </c>
      <c r="H192" t="inlineStr">
        <is>
          <t>大虾基围虾王牌大虾厄瓜多尔白虾盐冻虾仁海洋大虾送礼顺丰包邮</t>
        </is>
      </c>
      <c r="I192" t="inlineStr">
        <is>
          <t>690aeb7be379430001e686ac</t>
        </is>
      </c>
      <c r="J192" t="inlineStr">
        <is>
          <t/>
        </is>
      </c>
      <c r="K192" t="n">
        <v>0.0</v>
      </c>
      <c r="L192" t="n">
        <v>0.0</v>
      </c>
      <c r="M192" t="n">
        <v>1.0</v>
      </c>
      <c r="N192" t="n">
        <v>1.0</v>
      </c>
      <c r="O192" t="n">
        <v>1.0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inlineStr">
        <is>
          <t/>
        </is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1.0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66.0</v>
      </c>
      <c r="AL192" t="inlineStr">
        <is>
          <t/>
        </is>
      </c>
    </row>
    <row r="193">
      <c r="A193" t="inlineStr">
        <is>
          <t>新店开业❗️69.9💰3斤海洋大虾</t>
        </is>
      </c>
      <c r="B193" t="inlineStr">
        <is>
          <t>691dce53000000001e02d187</t>
        </is>
      </c>
      <c r="C193" s="192" t="n">
        <f>HYPERLINK("https://www.xiaohongshu.com/explore/691dce53000000001e02d187?xsec_token=TBfJie4P5Jl9AylR95m8dPVDgQ-Ha3QDdSqFX56jLyr08=&amp;xsec_source=pc_trdark","https://www.xiaohongshu.com/explore/691dce53000000001e02d187?xsec_token=TBfJie4P5Jl9AylR95m8dPVDgQ-Ha3QDdSqFX56jLyr08=&amp;xsec_source=pc_trdark")</f>
        <v>0.0</v>
      </c>
      <c r="D193" t="inlineStr">
        <is>
          <t>鲜水湾</t>
        </is>
      </c>
      <c r="E193" t="inlineStr">
        <is>
          <t>49316638994</t>
        </is>
      </c>
      <c r="F193" t="inlineStr">
        <is>
          <t>2025-11-19 22:04:03</t>
        </is>
      </c>
      <c r="G193" t="inlineStr">
        <is>
          <t>图文</t>
        </is>
      </c>
      <c r="H193" t="inlineStr">
        <is>
          <t>大虾基围虾王牌大虾厄瓜多尔白虾盐冻虾仁海洋大虾送礼顺丰包邮</t>
        </is>
      </c>
      <c r="I193" t="inlineStr">
        <is>
          <t>690aeb7be379430001e686ac</t>
        </is>
      </c>
      <c r="J193" t="inlineStr">
        <is>
          <t/>
        </is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inlineStr">
        <is>
          <t/>
        </is>
      </c>
      <c r="R193" t="inlineStr">
        <is>
          <t/>
        </is>
      </c>
      <c r="S193" t="n">
        <v>0.0</v>
      </c>
      <c r="T193" t="n">
        <v>0.0</v>
      </c>
      <c r="U193" t="n">
        <v>0.0</v>
      </c>
      <c r="V193" t="n">
        <v>0.0</v>
      </c>
      <c r="W193" t="inlineStr">
        <is>
          <t/>
        </is>
      </c>
      <c r="X193" t="n">
        <v>0.0</v>
      </c>
      <c r="Y193" t="n">
        <v>0.0</v>
      </c>
      <c r="Z193" t="n">
        <v>3.0</v>
      </c>
      <c r="AA193" t="n">
        <v>0.0</v>
      </c>
      <c r="AB193" t="n">
        <v>0.0</v>
      </c>
      <c r="AC193" t="n">
        <v>0.0</v>
      </c>
      <c r="AD193" t="n">
        <v>1.0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2.0</v>
      </c>
      <c r="AL193" t="inlineStr">
        <is>
          <t/>
        </is>
      </c>
    </row>
    <row r="194">
      <c r="A194" t="inlineStr">
        <is>
          <t>对60几块钱的概念越来越模糊了</t>
        </is>
      </c>
      <c r="B194" t="inlineStr">
        <is>
          <t>69183e3c0000000004006b70</t>
        </is>
      </c>
      <c r="C194" s="193" t="n">
        <f>HYPERLINK("https://www.xiaohongshu.com/explore/69183e3c0000000004006b70?xsec_token=TB2jG8LClQLNxZisl2ii_FqC3p32S6OzT1pH3_buH1iFI=&amp;xsec_source=pc_trdark","https://www.xiaohongshu.com/explore/69183e3c0000000004006b70?xsec_token=TB2jG8LClQLNxZisl2ii_FqC3p32S6OzT1pH3_buH1iFI=&amp;xsec_source=pc_trdark")</f>
        <v>0.0</v>
      </c>
      <c r="D194" t="inlineStr">
        <is>
          <t>鲜水湾</t>
        </is>
      </c>
      <c r="E194" t="inlineStr">
        <is>
          <t>49316638994</t>
        </is>
      </c>
      <c r="F194" t="inlineStr">
        <is>
          <t>2025-11-15 16:47:56</t>
        </is>
      </c>
      <c r="G194" t="inlineStr">
        <is>
          <t>图文</t>
        </is>
      </c>
      <c r="H194" t="inlineStr">
        <is>
          <t>大虾基围虾王牌大虾厄瓜多尔白虾盐冻虾仁海洋大虾送礼顺丰包邮</t>
        </is>
      </c>
      <c r="I194" t="inlineStr">
        <is>
          <t>690aeb7be379430001e686ac</t>
        </is>
      </c>
      <c r="J194" t="inlineStr">
        <is>
          <t/>
        </is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inlineStr">
        <is>
          <t/>
        </is>
      </c>
      <c r="R194" t="inlineStr">
        <is>
          <t/>
        </is>
      </c>
      <c r="S194" t="n">
        <v>0.0</v>
      </c>
      <c r="T194" t="n">
        <v>0.0</v>
      </c>
      <c r="U194" t="n">
        <v>0.0</v>
      </c>
      <c r="V194" t="n">
        <v>0.0</v>
      </c>
      <c r="W194" t="inlineStr">
        <is>
          <t/>
        </is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1.0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2.0</v>
      </c>
      <c r="AL194" t="inlineStr">
        <is>
          <t/>
        </is>
      </c>
    </row>
    <row r="195">
      <c r="A195" t="inlineStr">
        <is>
          <t>在办公室吃虾，结果整个公司都被种草了🥺</t>
        </is>
      </c>
      <c r="B195" t="inlineStr">
        <is>
          <t>69154f1a0000000004011889</t>
        </is>
      </c>
      <c r="C195" s="194" t="n">
        <f>HYPERLINK("https://www.xiaohongshu.com/explore/69154f1a0000000004011889?xsec_token=TBAg-veJq-9HvX6LdnoJFXasyK0CljA2XvM9Bauv3uBSI=&amp;xsec_source=pc_trdark","https://www.xiaohongshu.com/explore/69154f1a0000000004011889?xsec_token=TBAg-veJq-9HvX6LdnoJFXasyK0CljA2XvM9Bauv3uBSI=&amp;xsec_source=pc_trdark")</f>
        <v>0.0</v>
      </c>
      <c r="D195" t="inlineStr">
        <is>
          <t>鲜水湾</t>
        </is>
      </c>
      <c r="E195" t="inlineStr">
        <is>
          <t>49316638994</t>
        </is>
      </c>
      <c r="F195" t="inlineStr">
        <is>
          <t>2025-11-13 11:23:06</t>
        </is>
      </c>
      <c r="G195" t="inlineStr">
        <is>
          <t>图文</t>
        </is>
      </c>
      <c r="H195" t="inlineStr">
        <is>
          <t>大虾基围虾王牌大虾厄瓜多尔白虾盐冻虾仁海洋大虾送礼顺丰包邮</t>
        </is>
      </c>
      <c r="I195" t="inlineStr">
        <is>
          <t>690aeb7be379430001e686ac</t>
        </is>
      </c>
      <c r="J195" t="inlineStr">
        <is>
          <t/>
        </is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inlineStr">
        <is>
          <t/>
        </is>
      </c>
      <c r="R195" t="inlineStr">
        <is>
          <t/>
        </is>
      </c>
      <c r="S195" t="n">
        <v>0.0</v>
      </c>
      <c r="T195" t="n">
        <v>0.0</v>
      </c>
      <c r="U195" t="n">
        <v>0.0</v>
      </c>
      <c r="V195" t="n">
        <v>0.0</v>
      </c>
      <c r="W195" t="inlineStr">
        <is>
          <t/>
        </is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1.0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4.0</v>
      </c>
      <c r="AL195" t="inlineStr">
        <is>
          <t/>
        </is>
      </c>
    </row>
    <row r="196">
      <c r="A196" t="inlineStr">
        <is>
          <t>对不起，减酯人的白月光，真的不踩雷</t>
        </is>
      </c>
      <c r="B196" t="inlineStr">
        <is>
          <t>6914588500000000040292dc</t>
        </is>
      </c>
      <c r="C196" s="195" t="n">
        <f>HYPERLINK("https://www.xiaohongshu.com/explore/6914588500000000040292dc?xsec_token=TBaXvlcWwd_4ttBIqZOUWAk0YJ_nBpwGV4KfCEu0alswI=&amp;xsec_source=pc_trdark","https://www.xiaohongshu.com/explore/6914588500000000040292dc?xsec_token=TBaXvlcWwd_4ttBIqZOUWAk0YJ_nBpwGV4KfCEu0alswI=&amp;xsec_source=pc_trdark")</f>
        <v>0.0</v>
      </c>
      <c r="D196" t="inlineStr">
        <is>
          <t>鲜水湾</t>
        </is>
      </c>
      <c r="E196" t="inlineStr">
        <is>
          <t>49316638994</t>
        </is>
      </c>
      <c r="F196" t="inlineStr">
        <is>
          <t>2025-11-12 17:51:01</t>
        </is>
      </c>
      <c r="G196" t="inlineStr">
        <is>
          <t>图文</t>
        </is>
      </c>
      <c r="H196" t="inlineStr">
        <is>
          <t>大虾基围虾王牌大虾厄瓜多尔白虾盐冻虾仁海洋大虾送礼顺丰包邮</t>
        </is>
      </c>
      <c r="I196" t="inlineStr">
        <is>
          <t>690aeb7be379430001e686ac</t>
        </is>
      </c>
      <c r="J196" t="inlineStr">
        <is>
          <t/>
        </is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inlineStr">
        <is>
          <t/>
        </is>
      </c>
      <c r="R196" t="inlineStr">
        <is>
          <t/>
        </is>
      </c>
      <c r="S196" t="n">
        <v>0.0</v>
      </c>
      <c r="T196" t="n">
        <v>0.0</v>
      </c>
      <c r="U196" t="n">
        <v>0.0</v>
      </c>
      <c r="V196" t="n">
        <v>0.0</v>
      </c>
      <c r="W196" t="inlineStr">
        <is>
          <t/>
        </is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1.0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2.0</v>
      </c>
      <c r="AL196" t="inlineStr">
        <is>
          <t/>
        </is>
      </c>
    </row>
    <row r="197">
      <c r="A197" t="inlineStr">
        <is>
          <t>健身党的优质蛋白！60多的大虾超划算</t>
        </is>
      </c>
      <c r="B197" t="inlineStr">
        <is>
          <t>6913e42a00000000050133fc</t>
        </is>
      </c>
      <c r="C197" s="196" t="n">
        <f>HYPERLINK("https://www.xiaohongshu.com/explore/6913e42a00000000050133fc?xsec_token=TBuRf-kx9cRMi3U9rbAm1Pe6WLdTVG4Xw6AsmAU7FAU5w=&amp;xsec_source=pc_trdark","https://www.xiaohongshu.com/explore/6913e42a00000000050133fc?xsec_token=TBuRf-kx9cRMi3U9rbAm1Pe6WLdTVG4Xw6AsmAU7FAU5w=&amp;xsec_source=pc_trdark")</f>
        <v>0.0</v>
      </c>
      <c r="D197" t="inlineStr">
        <is>
          <t>鲜水湾</t>
        </is>
      </c>
      <c r="E197" t="inlineStr">
        <is>
          <t>49316638994</t>
        </is>
      </c>
      <c r="F197" t="inlineStr">
        <is>
          <t>2025-11-12 09:34:34</t>
        </is>
      </c>
      <c r="G197" t="inlineStr">
        <is>
          <t>图文</t>
        </is>
      </c>
      <c r="H197" t="inlineStr">
        <is>
          <t>大虾基围虾王牌大虾厄瓜多尔白虾盐冻虾仁海洋大虾送礼顺丰包邮</t>
        </is>
      </c>
      <c r="I197" t="inlineStr">
        <is>
          <t>690aeb7be379430001e686ac</t>
        </is>
      </c>
      <c r="J197" t="inlineStr">
        <is>
          <t/>
        </is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inlineStr">
        <is>
          <t/>
        </is>
      </c>
      <c r="R197" t="inlineStr">
        <is>
          <t/>
        </is>
      </c>
      <c r="S197" t="n">
        <v>0.0</v>
      </c>
      <c r="T197" t="n">
        <v>0.0</v>
      </c>
      <c r="U197" t="n">
        <v>0.0</v>
      </c>
      <c r="V197" t="n">
        <v>0.0</v>
      </c>
      <c r="W197" t="inlineStr">
        <is>
          <t/>
        </is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1.0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1.0</v>
      </c>
      <c r="AL197" t="inlineStr">
        <is>
          <t/>
        </is>
      </c>
    </row>
    <row r="198">
      <c r="A198" t="inlineStr">
        <is>
          <t>60多块的购买力解决上班族十天的优质蛋白</t>
        </is>
      </c>
      <c r="B198" t="inlineStr">
        <is>
          <t>6913498d0000000004003e56</t>
        </is>
      </c>
      <c r="C198" s="197" t="n">
        <f>HYPERLINK("https://www.xiaohongshu.com/explore/6913498d0000000004003e56?xsec_token=TBuRf-kx9cRMi3U9rbAm1Pe6Y7t0mc0gMNlSQ5U3k5_mc=&amp;xsec_source=pc_trdark","https://www.xiaohongshu.com/explore/6913498d0000000004003e56?xsec_token=TBuRf-kx9cRMi3U9rbAm1Pe6Y7t0mc0gMNlSQ5U3k5_mc=&amp;xsec_source=pc_trdark")</f>
        <v>0.0</v>
      </c>
      <c r="D198" t="inlineStr">
        <is>
          <t>鲜水湾</t>
        </is>
      </c>
      <c r="E198" t="inlineStr">
        <is>
          <t>49316638994</t>
        </is>
      </c>
      <c r="F198" t="inlineStr">
        <is>
          <t>2025-11-11 22:34:53</t>
        </is>
      </c>
      <c r="G198" t="inlineStr">
        <is>
          <t>图文</t>
        </is>
      </c>
      <c r="H198" t="inlineStr">
        <is>
          <t>大虾基围虾王牌大虾厄瓜多尔白虾盐冻虾仁海洋大虾送礼顺丰包邮</t>
        </is>
      </c>
      <c r="I198" t="inlineStr">
        <is>
          <t>690aeb7be379430001e686ac</t>
        </is>
      </c>
      <c r="J198" t="inlineStr">
        <is>
          <t/>
        </is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inlineStr">
        <is>
          <t/>
        </is>
      </c>
      <c r="R198" t="inlineStr">
        <is>
          <t/>
        </is>
      </c>
      <c r="S198" t="n">
        <v>0.0</v>
      </c>
      <c r="T198" t="n">
        <v>0.0</v>
      </c>
      <c r="U198" t="n">
        <v>0.0</v>
      </c>
      <c r="V198" t="n">
        <v>0.0</v>
      </c>
      <c r="W198" t="inlineStr">
        <is>
          <t/>
        </is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1.0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5.0</v>
      </c>
      <c r="AL198" t="inlineStr">
        <is>
          <t/>
        </is>
      </c>
    </row>
    <row r="199">
      <c r="A199" t="inlineStr">
        <is>
          <t>自从碱脂买了这个大虾，一个月省好几百！</t>
        </is>
      </c>
      <c r="B199" t="inlineStr">
        <is>
          <t>690eb4c9000000000400296d</t>
        </is>
      </c>
      <c r="C199" s="198" t="n">
        <f>HYPERLINK("https://www.xiaohongshu.com/explore/690eb4c9000000000400296d?xsec_token=TBJajQDaP2lymAuuRX7yQPUfW1lw6BlFGaaTlJss229QE=&amp;xsec_source=pc_trdark","https://www.xiaohongshu.com/explore/690eb4c9000000000400296d?xsec_token=TBJajQDaP2lymAuuRX7yQPUfW1lw6BlFGaaTlJss229QE=&amp;xsec_source=pc_trdark")</f>
        <v>0.0</v>
      </c>
      <c r="D199" t="inlineStr">
        <is>
          <t>鲜水湾</t>
        </is>
      </c>
      <c r="E199" t="inlineStr">
        <is>
          <t>49316638994</t>
        </is>
      </c>
      <c r="F199" t="inlineStr">
        <is>
          <t>2025-11-08 11:11:05</t>
        </is>
      </c>
      <c r="G199" t="inlineStr">
        <is>
          <t>图文</t>
        </is>
      </c>
      <c r="H199" t="inlineStr">
        <is>
          <t>大虾基围虾王牌大虾厄瓜多尔白虾盐冻虾仁海洋大虾送礼顺丰包邮</t>
        </is>
      </c>
      <c r="I199" t="inlineStr">
        <is>
          <t>690aeb7be379430001e686ac</t>
        </is>
      </c>
      <c r="J199" t="inlineStr">
        <is>
          <t/>
        </is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inlineStr">
        <is>
          <t/>
        </is>
      </c>
      <c r="R199" t="inlineStr">
        <is>
          <t/>
        </is>
      </c>
      <c r="S199" t="n">
        <v>0.0</v>
      </c>
      <c r="T199" t="n">
        <v>0.0</v>
      </c>
      <c r="U199" t="n">
        <v>0.0</v>
      </c>
      <c r="V199" t="n">
        <v>0.0</v>
      </c>
      <c r="W199" t="inlineStr">
        <is>
          <t/>
        </is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1.0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1.0</v>
      </c>
      <c r="AL199" t="inlineStr">
        <is>
          <t/>
        </is>
      </c>
    </row>
    <row r="200">
      <c r="A200" t="inlineStr">
        <is>
          <t>别再砍价啦！20+💰1斤的大虾真没赚头</t>
        </is>
      </c>
      <c r="B200" t="inlineStr">
        <is>
          <t>690ea0dc0000000004002f4f</t>
        </is>
      </c>
      <c r="C200" s="199" t="n">
        <f>HYPERLINK("https://www.xiaohongshu.com/explore/690ea0dc0000000004002f4f?xsec_token=TBJajQDaP2lymAuuRX7yQPUewVaoUQEzemwtjRoH_ABNg=&amp;xsec_source=pc_trdark","https://www.xiaohongshu.com/explore/690ea0dc0000000004002f4f?xsec_token=TBJajQDaP2lymAuuRX7yQPUewVaoUQEzemwtjRoH_ABNg=&amp;xsec_source=pc_trdark")</f>
        <v>0.0</v>
      </c>
      <c r="D200" t="inlineStr">
        <is>
          <t>鲜水湾</t>
        </is>
      </c>
      <c r="E200" t="inlineStr">
        <is>
          <t>49316638994</t>
        </is>
      </c>
      <c r="F200" t="inlineStr">
        <is>
          <t>2025-11-08 09:46:04</t>
        </is>
      </c>
      <c r="G200" t="inlineStr">
        <is>
          <t>图文</t>
        </is>
      </c>
      <c r="H200" t="inlineStr">
        <is>
          <t>大虾基围虾王牌大虾厄瓜多尔白虾盐冻虾仁海洋大虾送礼顺丰包邮</t>
        </is>
      </c>
      <c r="I200" t="inlineStr">
        <is>
          <t>690aeb7be379430001e686ac</t>
        </is>
      </c>
      <c r="J200" t="inlineStr">
        <is>
          <t/>
        </is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inlineStr">
        <is>
          <t/>
        </is>
      </c>
      <c r="R200" t="inlineStr">
        <is>
          <t/>
        </is>
      </c>
      <c r="S200" t="n">
        <v>0.0</v>
      </c>
      <c r="T200" t="n">
        <v>0.0</v>
      </c>
      <c r="U200" t="n">
        <v>0.0</v>
      </c>
      <c r="V200" t="n">
        <v>0.0</v>
      </c>
      <c r="W200" t="inlineStr">
        <is>
          <t/>
        </is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1.0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1.0</v>
      </c>
      <c r="AL200" t="inlineStr">
        <is>
          <t/>
        </is>
      </c>
    </row>
    <row r="201">
      <c r="A201" t="inlineStr">
        <is>
          <t>真的会谢🥲对60多块的购买力有了新概念</t>
        </is>
      </c>
      <c r="B201" t="inlineStr">
        <is>
          <t>690e0de20000000007017008</t>
        </is>
      </c>
      <c r="C201" s="200" t="n">
        <f>HYPERLINK("https://www.xiaohongshu.com/explore/690e0de20000000007017008?xsec_token=TBJajQDaP2lymAuuRX7yQPUerY7FmGIH6-pDM1Bboe-O0=&amp;xsec_source=pc_trdark","https://www.xiaohongshu.com/explore/690e0de20000000007017008?xsec_token=TBJajQDaP2lymAuuRX7yQPUerY7FmGIH6-pDM1Bboe-O0=&amp;xsec_source=pc_trdark")</f>
        <v>0.0</v>
      </c>
      <c r="D201" t="inlineStr">
        <is>
          <t>鲜水湾甄选</t>
        </is>
      </c>
      <c r="E201" t="inlineStr">
        <is>
          <t>27401929161</t>
        </is>
      </c>
      <c r="F201" t="inlineStr">
        <is>
          <t>2025-11-07 23:18:58</t>
        </is>
      </c>
      <c r="G201" t="inlineStr">
        <is>
          <t>图文</t>
        </is>
      </c>
      <c r="H201" t="inlineStr">
        <is>
          <t>大虾基围虾王牌大虾厄瓜多尔白虾盐冻虾仁海洋大虾送礼顺丰包邮</t>
        </is>
      </c>
      <c r="I201" t="inlineStr">
        <is>
          <t>690aeb7be379430001e686ac</t>
        </is>
      </c>
      <c r="J201" t="inlineStr">
        <is>
          <t/>
        </is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inlineStr">
        <is>
          <t/>
        </is>
      </c>
      <c r="R201" t="inlineStr">
        <is>
          <t/>
        </is>
      </c>
      <c r="S201" t="n">
        <v>0.0</v>
      </c>
      <c r="T201" t="n">
        <v>0.0</v>
      </c>
      <c r="U201" t="n">
        <v>0.0</v>
      </c>
      <c r="V201" t="n">
        <v>0.0</v>
      </c>
      <c r="W201" t="inlineStr">
        <is>
          <t/>
        </is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1.0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4.0</v>
      </c>
      <c r="AL201" t="inlineStr">
        <is>
          <t/>
        </is>
      </c>
    </row>
    <row r="202">
      <c r="A202" t="inlineStr">
        <is>
          <t>低估60多块的购买力了，不到1r💰1只</t>
        </is>
      </c>
      <c r="B202" t="inlineStr">
        <is>
          <t>690d87950000000004028206</t>
        </is>
      </c>
      <c r="C202" s="201" t="n">
        <f>HYPERLINK("https://www.xiaohongshu.com/explore/690d87950000000004028206?xsec_token=TBD_zEgNllAsWvESEGX2jOc95H7mvkGIKTjG-blduADj0=&amp;xsec_source=pc_trdark","https://www.xiaohongshu.com/explore/690d87950000000004028206?xsec_token=TBD_zEgNllAsWvESEGX2jOc95H7mvkGIKTjG-blduADj0=&amp;xsec_source=pc_trdark")</f>
        <v>0.0</v>
      </c>
      <c r="D202" t="inlineStr">
        <is>
          <t>鲜水湾</t>
        </is>
      </c>
      <c r="E202" t="inlineStr">
        <is>
          <t>49316638994</t>
        </is>
      </c>
      <c r="F202" t="inlineStr">
        <is>
          <t>2025-11-07 13:45:57</t>
        </is>
      </c>
      <c r="G202" t="inlineStr">
        <is>
          <t>图文</t>
        </is>
      </c>
      <c r="H202" t="inlineStr">
        <is>
          <t>大虾基围虾王牌大虾厄瓜多尔白虾盐冻虾仁海洋大虾送礼顺丰包邮</t>
        </is>
      </c>
      <c r="I202" t="inlineStr">
        <is>
          <t>690aeb7be379430001e686ac</t>
        </is>
      </c>
      <c r="J202" t="inlineStr">
        <is>
          <t/>
        </is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inlineStr">
        <is>
          <t/>
        </is>
      </c>
      <c r="R202" t="inlineStr">
        <is>
          <t/>
        </is>
      </c>
      <c r="S202" t="n">
        <v>0.0</v>
      </c>
      <c r="T202" t="n">
        <v>0.0</v>
      </c>
      <c r="U202" t="n">
        <v>0.0</v>
      </c>
      <c r="V202" t="n">
        <v>0.0</v>
      </c>
      <c r="W202" t="inlineStr">
        <is>
          <t/>
        </is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1.0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1.0</v>
      </c>
      <c r="AL202" t="inlineStr">
        <is>
          <t/>
        </is>
      </c>
    </row>
    <row r="203">
      <c r="A203" t="inlineStr">
        <is>
          <t>区区300多，承包了我一个月的减脂餐</t>
        </is>
      </c>
      <c r="B203" t="inlineStr">
        <is>
          <t>694ff17d000000001e032ce6</t>
        </is>
      </c>
      <c r="C203" s="202" t="n">
        <f>HYPERLINK("https://www.xiaohongshu.com/explore/694ff17d000000001e032ce6?xsec_token=TBw7VvNlyMjIEifzsT4Z5tlE0BEdVjw__dTXCvF1jBl8Q=&amp;xsec_source=pc_trdark","https://www.xiaohongshu.com/explore/694ff17d000000001e032ce6?xsec_token=TBw7VvNlyMjIEifzsT4Z5tlE0BEdVjw__dTXCvF1jBl8Q=&amp;xsec_source=pc_trdark")</f>
        <v>0.0</v>
      </c>
      <c r="D203" t="inlineStr">
        <is>
          <t>鲜水湾</t>
        </is>
      </c>
      <c r="E203" t="inlineStr">
        <is>
          <t>49316638994</t>
        </is>
      </c>
      <c r="F203" t="inlineStr">
        <is>
          <t>2025-12-27 22:47:25</t>
        </is>
      </c>
      <c r="G203" t="inlineStr">
        <is>
          <t>图文</t>
        </is>
      </c>
      <c r="H203" t="inlineStr">
        <is>
          <t>智利三文鱼切块·整条三文鱼·深海鱼一人食健康饮食</t>
        </is>
      </c>
      <c r="I203" t="inlineStr">
        <is>
          <t>691ac562a524ee0001b51d7b</t>
        </is>
      </c>
      <c r="J203" t="inlineStr">
        <is>
          <t/>
        </is>
      </c>
      <c r="K203" t="n">
        <v>0.0</v>
      </c>
      <c r="L203" t="n">
        <v>0.0</v>
      </c>
      <c r="M203" t="n">
        <v>1.0</v>
      </c>
      <c r="N203" t="inlineStr">
        <is>
          <t/>
        </is>
      </c>
      <c r="O203" t="n">
        <v>1.0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inlineStr">
        <is>
          <t/>
        </is>
      </c>
      <c r="X203" t="n">
        <v>0.0</v>
      </c>
      <c r="Y203" t="n">
        <v>1.0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inlineStr">
        <is>
          <t/>
        </is>
      </c>
      <c r="AL203" t="inlineStr">
        <is>
          <t/>
        </is>
      </c>
    </row>
    <row r="204">
      <c r="A204" t="inlineStr">
        <is>
          <t>别傻了，大虾才是掉秤神器</t>
        </is>
      </c>
      <c r="B204" t="inlineStr">
        <is>
          <t>693e80da000000001f00cfc3</t>
        </is>
      </c>
      <c r="C204" s="203" t="n">
        <f>HYPERLINK("https://www.xiaohongshu.com/explore/693e80da000000001f00cfc3?xsec_token=TBoM4IjxTW7h2pIceDY6ppQLcrjiC_rUCvbP4KogwHdQw=&amp;xsec_source=pc_trdark","https://www.xiaohongshu.com/explore/693e80da000000001f00cfc3?xsec_token=TBoM4IjxTW7h2pIceDY6ppQLcrjiC_rUCvbP4KogwHdQw=&amp;xsec_source=pc_trdark")</f>
        <v>0.0</v>
      </c>
      <c r="D204" t="inlineStr">
        <is>
          <t>鲜水湾</t>
        </is>
      </c>
      <c r="E204" t="inlineStr">
        <is>
          <t>49316638994</t>
        </is>
      </c>
      <c r="F204" t="inlineStr">
        <is>
          <t>2025-12-14 17:18:18</t>
        </is>
      </c>
      <c r="G204" t="inlineStr">
        <is>
          <t>图文</t>
        </is>
      </c>
      <c r="H204" t="inlineStr">
        <is>
          <t>大虾基围虾王牌大虾厄瓜多尔白虾盐冻虾仁海洋大虾送礼顺丰包邮</t>
        </is>
      </c>
      <c r="I204" t="inlineStr">
        <is>
          <t>690aeb7be379430001e686ac</t>
        </is>
      </c>
      <c r="J204" t="inlineStr">
        <is>
          <t/>
        </is>
      </c>
      <c r="K204" t="n">
        <v>0.0</v>
      </c>
      <c r="L204" t="n">
        <v>0.0</v>
      </c>
      <c r="M204" t="n">
        <v>0.0</v>
      </c>
      <c r="N204" t="inlineStr">
        <is>
          <t/>
        </is>
      </c>
      <c r="O204" t="n">
        <v>0.0</v>
      </c>
      <c r="P204" t="n">
        <v>0.0</v>
      </c>
      <c r="Q204" t="inlineStr">
        <is>
          <t/>
        </is>
      </c>
      <c r="R204" t="inlineStr">
        <is>
          <t/>
        </is>
      </c>
      <c r="S204" t="n">
        <v>0.0</v>
      </c>
      <c r="T204" t="n">
        <v>0.0</v>
      </c>
      <c r="U204" t="n">
        <v>0.0</v>
      </c>
      <c r="V204" t="n">
        <v>0.0</v>
      </c>
      <c r="W204" t="inlineStr">
        <is>
          <t/>
        </is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inlineStr">
        <is>
          <t/>
        </is>
      </c>
      <c r="AL204" t="inlineStr">
        <is>
          <t/>
        </is>
      </c>
    </row>
    <row r="205">
      <c r="A205" t="inlineStr">
        <is>
          <t>已瘦30斤｜吃的简单真的会掉秤🫢</t>
        </is>
      </c>
      <c r="B205" t="inlineStr">
        <is>
          <t>693e0ff8000000001f008447</t>
        </is>
      </c>
      <c r="C205" s="204" t="n">
        <f>HYPERLINK("https://www.xiaohongshu.com/explore/693e0ff8000000001f008447?xsec_token=TBoM4IjxTW7h2pIceDY6ppQN8E9_r3iSLz0clFCwov7IM=&amp;xsec_source=pc_trdark","https://www.xiaohongshu.com/explore/693e0ff8000000001f008447?xsec_token=TBoM4IjxTW7h2pIceDY6ppQN8E9_r3iSLz0clFCwov7IM=&amp;xsec_source=pc_trdark")</f>
        <v>0.0</v>
      </c>
      <c r="D205" t="inlineStr">
        <is>
          <t>鲜水湾</t>
        </is>
      </c>
      <c r="E205" t="inlineStr">
        <is>
          <t>49316638994</t>
        </is>
      </c>
      <c r="F205" t="inlineStr">
        <is>
          <t>2025-12-14 09:16:40</t>
        </is>
      </c>
      <c r="G205" t="inlineStr">
        <is>
          <t>图文</t>
        </is>
      </c>
      <c r="H205" t="inlineStr">
        <is>
          <t>大虾基围虾王牌大虾厄瓜多尔白虾盐冻虾仁海洋大虾送礼顺丰包邮</t>
        </is>
      </c>
      <c r="I205" t="inlineStr">
        <is>
          <t>690aeb7be379430001e686ac</t>
        </is>
      </c>
      <c r="J205" t="inlineStr">
        <is>
          <t/>
        </is>
      </c>
      <c r="K205" t="n">
        <v>0.0</v>
      </c>
      <c r="L205" t="n">
        <v>0.0</v>
      </c>
      <c r="M205" t="n">
        <v>0.0</v>
      </c>
      <c r="N205" t="inlineStr">
        <is>
          <t/>
        </is>
      </c>
      <c r="O205" t="n">
        <v>0.0</v>
      </c>
      <c r="P205" t="n">
        <v>0.0</v>
      </c>
      <c r="Q205" t="inlineStr">
        <is>
          <t/>
        </is>
      </c>
      <c r="R205" t="inlineStr">
        <is>
          <t/>
        </is>
      </c>
      <c r="S205" t="n">
        <v>0.0</v>
      </c>
      <c r="T205" t="n">
        <v>0.0</v>
      </c>
      <c r="U205" t="n">
        <v>0.0</v>
      </c>
      <c r="V205" t="n">
        <v>0.0</v>
      </c>
      <c r="W205" t="inlineStr">
        <is>
          <t/>
        </is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inlineStr">
        <is>
          <t/>
        </is>
      </c>
      <c r="AL205" t="inlineStr">
        <is>
          <t/>
        </is>
      </c>
    </row>
    <row r="206">
      <c r="A206" t="inlineStr">
        <is>
          <t>5分钟搞定减脂餐 这大虾我能吃一辈子</t>
        </is>
      </c>
      <c r="B206" t="inlineStr">
        <is>
          <t>693cd4d3000000001e0326b5</t>
        </is>
      </c>
      <c r="C206" s="205" t="n">
        <f>HYPERLINK("https://www.xiaohongshu.com/explore/693cd4d3000000001e0326b5?xsec_token=TBby_8TUlAJfj-jHsmZvLUDVGN2j296rWGPtLCBOEDqd0=&amp;xsec_source=pc_trdark","https://www.xiaohongshu.com/explore/693cd4d3000000001e0326b5?xsec_token=TBby_8TUlAJfj-jHsmZvLUDVGN2j296rWGPtLCBOEDqd0=&amp;xsec_source=pc_trdark")</f>
        <v>0.0</v>
      </c>
      <c r="D206" t="inlineStr">
        <is>
          <t>鲜水湾</t>
        </is>
      </c>
      <c r="E206" t="inlineStr">
        <is>
          <t>49316638994</t>
        </is>
      </c>
      <c r="F206" t="inlineStr">
        <is>
          <t>2025-12-13 10:52:03</t>
        </is>
      </c>
      <c r="G206" t="inlineStr">
        <is>
          <t>图文</t>
        </is>
      </c>
      <c r="H206" t="inlineStr">
        <is>
          <t>大虾基围虾王牌大虾厄瓜多尔白虾盐冻虾仁海洋大虾送礼顺丰包邮</t>
        </is>
      </c>
      <c r="I206" t="inlineStr">
        <is>
          <t>690aeb7be379430001e686ac</t>
        </is>
      </c>
      <c r="J206" t="inlineStr">
        <is>
          <t/>
        </is>
      </c>
      <c r="K206" t="n">
        <v>0.0</v>
      </c>
      <c r="L206" t="n">
        <v>0.0</v>
      </c>
      <c r="M206" t="n">
        <v>0.0</v>
      </c>
      <c r="N206" t="inlineStr">
        <is>
          <t/>
        </is>
      </c>
      <c r="O206" t="n">
        <v>0.0</v>
      </c>
      <c r="P206" t="n">
        <v>0.0</v>
      </c>
      <c r="Q206" t="inlineStr">
        <is>
          <t/>
        </is>
      </c>
      <c r="R206" t="inlineStr">
        <is>
          <t/>
        </is>
      </c>
      <c r="S206" t="n">
        <v>0.0</v>
      </c>
      <c r="T206" t="n">
        <v>0.0</v>
      </c>
      <c r="U206" t="n">
        <v>0.0</v>
      </c>
      <c r="V206" t="n">
        <v>0.0</v>
      </c>
      <c r="W206" t="inlineStr">
        <is>
          <t/>
        </is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inlineStr">
        <is>
          <t/>
        </is>
      </c>
      <c r="AL206" t="inlineStr">
        <is>
          <t/>
        </is>
      </c>
    </row>
    <row r="207">
      <c r="A207" t="inlineStr">
        <is>
          <t>瘦都是我应得的</t>
        </is>
      </c>
      <c r="B207" t="inlineStr">
        <is>
          <t>693be0e4000000001e0245e6</t>
        </is>
      </c>
      <c r="C207" s="206" t="n">
        <f>HYPERLINK("https://www.xiaohongshu.com/explore/693be0e4000000001e0245e6?xsec_token=TBehUwc4QxLaaQbLqKc-ieHp1Lou3gSbUdzlo5u-TNukQ=&amp;xsec_source=pc_trdark","https://www.xiaohongshu.com/explore/693be0e4000000001e0245e6?xsec_token=TBehUwc4QxLaaQbLqKc-ieHp1Lou3gSbUdzlo5u-TNukQ=&amp;xsec_source=pc_trdark")</f>
        <v>0.0</v>
      </c>
      <c r="D207" t="inlineStr">
        <is>
          <t>鲜水湾</t>
        </is>
      </c>
      <c r="E207" t="inlineStr">
        <is>
          <t>49316638994</t>
        </is>
      </c>
      <c r="F207" t="inlineStr">
        <is>
          <t>2025-12-12 17:31:16</t>
        </is>
      </c>
      <c r="G207" t="inlineStr">
        <is>
          <t>图文</t>
        </is>
      </c>
      <c r="H207" t="inlineStr">
        <is>
          <t>大虾基围虾王牌大虾厄瓜多尔白虾盐冻虾仁海洋大虾送礼顺丰包邮</t>
        </is>
      </c>
      <c r="I207" t="inlineStr">
        <is>
          <t>690aeb7be379430001e686ac</t>
        </is>
      </c>
      <c r="J207" t="inlineStr">
        <is>
          <t/>
        </is>
      </c>
      <c r="K207" t="n">
        <v>0.0</v>
      </c>
      <c r="L207" t="n">
        <v>0.0</v>
      </c>
      <c r="M207" t="n">
        <v>0.0</v>
      </c>
      <c r="N207" t="inlineStr">
        <is>
          <t/>
        </is>
      </c>
      <c r="O207" t="n">
        <v>0.0</v>
      </c>
      <c r="P207" t="n">
        <v>0.0</v>
      </c>
      <c r="Q207" t="inlineStr">
        <is>
          <t/>
        </is>
      </c>
      <c r="R207" t="inlineStr">
        <is>
          <t/>
        </is>
      </c>
      <c r="S207" t="n">
        <v>0.0</v>
      </c>
      <c r="T207" t="n">
        <v>0.0</v>
      </c>
      <c r="U207" t="n">
        <v>0.0</v>
      </c>
      <c r="V207" t="n">
        <v>0.0</v>
      </c>
      <c r="W207" t="inlineStr">
        <is>
          <t/>
        </is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inlineStr">
        <is>
          <t/>
        </is>
      </c>
      <c r="AL207" t="inlineStr">
        <is>
          <t/>
        </is>
      </c>
    </row>
    <row r="208">
      <c r="A208" t="inlineStr">
        <is>
          <t>越吃越瘦的快乐，是整条三文鱼给的</t>
        </is>
      </c>
      <c r="B208" t="inlineStr">
        <is>
          <t>6937e457000000001e038158</t>
        </is>
      </c>
      <c r="C208" s="207" t="n">
        <f>HYPERLINK("https://www.xiaohongshu.com/explore/6937e457000000001e038158?xsec_token=TBm581DxyfKxLtHTMgt_7Xf1z8c1RGdlZUOUUVoH73L7c=&amp;xsec_source=pc_trdark","https://www.xiaohongshu.com/explore/6937e457000000001e038158?xsec_token=TBm581DxyfKxLtHTMgt_7Xf1z8c1RGdlZUOUUVoH73L7c=&amp;xsec_source=pc_trdark")</f>
        <v>0.0</v>
      </c>
      <c r="D208" t="inlineStr">
        <is>
          <t>鲜水湾</t>
        </is>
      </c>
      <c r="E208" t="inlineStr">
        <is>
          <t>49316638994</t>
        </is>
      </c>
      <c r="F208" t="inlineStr">
        <is>
          <t>2025-12-09 16:56:55</t>
        </is>
      </c>
      <c r="G208" t="inlineStr">
        <is>
          <t>图文</t>
        </is>
      </c>
      <c r="H208" t="inlineStr">
        <is>
          <t>智利三文鱼切块·整条三文鱼·深海鱼一人食健康饮食</t>
        </is>
      </c>
      <c r="I208" t="inlineStr">
        <is>
          <t>691ac562a524ee0001b51d7b</t>
        </is>
      </c>
      <c r="J208" t="inlineStr">
        <is>
          <t/>
        </is>
      </c>
      <c r="K208" t="n">
        <v>0.0</v>
      </c>
      <c r="L208" t="n">
        <v>0.0</v>
      </c>
      <c r="M208" t="n">
        <v>0.0</v>
      </c>
      <c r="N208" t="inlineStr">
        <is>
          <t/>
        </is>
      </c>
      <c r="O208" t="n">
        <v>0.0</v>
      </c>
      <c r="P208" t="n">
        <v>0.0</v>
      </c>
      <c r="Q208" t="inlineStr">
        <is>
          <t/>
        </is>
      </c>
      <c r="R208" t="inlineStr">
        <is>
          <t/>
        </is>
      </c>
      <c r="S208" t="n">
        <v>0.0</v>
      </c>
      <c r="T208" t="n">
        <v>0.0</v>
      </c>
      <c r="U208" t="n">
        <v>0.0</v>
      </c>
      <c r="V208" t="n">
        <v>0.0</v>
      </c>
      <c r="W208" t="inlineStr">
        <is>
          <t/>
        </is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inlineStr">
        <is>
          <t/>
        </is>
      </c>
      <c r="AL208" t="inlineStr">
        <is>
          <t/>
        </is>
      </c>
    </row>
    <row r="209">
      <c r="A209" t="inlineStr">
        <is>
          <t>太喜欢小红书了！比山姆还实惠</t>
        </is>
      </c>
      <c r="B209" t="inlineStr">
        <is>
          <t>69367f13000000001f005aef</t>
        </is>
      </c>
      <c r="C209" s="208" t="n">
        <f>HYPERLINK("https://www.xiaohongshu.com/explore/69367f13000000001f005aef?xsec_token=TBlR01uRP0dY963Q_AxX8vHBOKSHOJrXd3qrdXkuvz998=&amp;xsec_source=pc_trdark","https://www.xiaohongshu.com/explore/69367f13000000001f005aef?xsec_token=TBlR01uRP0dY963Q_AxX8vHBOKSHOJrXd3qrdXkuvz998=&amp;xsec_source=pc_trdark")</f>
        <v>0.0</v>
      </c>
      <c r="D209" t="inlineStr">
        <is>
          <t>鲜水湾</t>
        </is>
      </c>
      <c r="E209" t="inlineStr">
        <is>
          <t>49316638994</t>
        </is>
      </c>
      <c r="F209" t="inlineStr">
        <is>
          <t>2025-12-08 15:32:35</t>
        </is>
      </c>
      <c r="G209" t="inlineStr">
        <is>
          <t>图文</t>
        </is>
      </c>
      <c r="H209" t="inlineStr">
        <is>
          <t>智利三文鱼切块·整条三文鱼·深海鱼一人食健康饮食</t>
        </is>
      </c>
      <c r="I209" t="inlineStr">
        <is>
          <t>691ac562a524ee0001b51d7b</t>
        </is>
      </c>
      <c r="J209" t="inlineStr">
        <is>
          <t/>
        </is>
      </c>
      <c r="K209" t="n">
        <v>0.0</v>
      </c>
      <c r="L209" t="n">
        <v>0.0</v>
      </c>
      <c r="M209" t="n">
        <v>0.0</v>
      </c>
      <c r="N209" t="inlineStr">
        <is>
          <t/>
        </is>
      </c>
      <c r="O209" t="n">
        <v>0.0</v>
      </c>
      <c r="P209" t="n">
        <v>0.0</v>
      </c>
      <c r="Q209" t="inlineStr">
        <is>
          <t/>
        </is>
      </c>
      <c r="R209" t="inlineStr">
        <is>
          <t/>
        </is>
      </c>
      <c r="S209" t="n">
        <v>0.0</v>
      </c>
      <c r="T209" t="n">
        <v>0.0</v>
      </c>
      <c r="U209" t="n">
        <v>0.0</v>
      </c>
      <c r="V209" t="n">
        <v>0.0</v>
      </c>
      <c r="W209" t="inlineStr">
        <is>
          <t/>
        </is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inlineStr">
        <is>
          <t/>
        </is>
      </c>
      <c r="AL209" t="inlineStr">
        <is>
          <t/>
        </is>
      </c>
    </row>
    <row r="210">
      <c r="A210" t="inlineStr">
        <is>
          <t>在鲜水湾囤了整条三文鱼</t>
        </is>
      </c>
      <c r="B210" t="inlineStr">
        <is>
          <t>6931794a000000001e0341c1</t>
        </is>
      </c>
      <c r="C210" s="209" t="n">
        <f>HYPERLINK("https://www.xiaohongshu.com/explore/6931794a000000001e0341c1?xsec_token=TBE4JBHwTJxKVcqB99kbkXON1IMczlroWgeidikGIS-VU=&amp;xsec_source=pc_trdark","https://www.xiaohongshu.com/explore/6931794a000000001e0341c1?xsec_token=TBE4JBHwTJxKVcqB99kbkXON1IMczlroWgeidikGIS-VU=&amp;xsec_source=pc_trdark")</f>
        <v>0.0</v>
      </c>
      <c r="D210" t="inlineStr">
        <is>
          <t>鲜水湾</t>
        </is>
      </c>
      <c r="E210" t="inlineStr">
        <is>
          <t>49316638994</t>
        </is>
      </c>
      <c r="F210" t="inlineStr">
        <is>
          <t>2025-12-04 20:06:34</t>
        </is>
      </c>
      <c r="G210" t="inlineStr">
        <is>
          <t>图文</t>
        </is>
      </c>
      <c r="H210" t="inlineStr">
        <is>
          <t>智利三文鱼切块·整条三文鱼·深海鱼一人食健康饮食</t>
        </is>
      </c>
      <c r="I210" t="inlineStr">
        <is>
          <t>691ac562a524ee0001b51d7b</t>
        </is>
      </c>
      <c r="J210" t="inlineStr">
        <is>
          <t/>
        </is>
      </c>
      <c r="K210" t="n">
        <v>0.0</v>
      </c>
      <c r="L210" t="n">
        <v>0.0</v>
      </c>
      <c r="M210" t="n">
        <v>0.0</v>
      </c>
      <c r="N210" t="inlineStr">
        <is>
          <t/>
        </is>
      </c>
      <c r="O210" t="n">
        <v>0.0</v>
      </c>
      <c r="P210" t="n">
        <v>0.0</v>
      </c>
      <c r="Q210" t="inlineStr">
        <is>
          <t/>
        </is>
      </c>
      <c r="R210" t="inlineStr">
        <is>
          <t/>
        </is>
      </c>
      <c r="S210" t="n">
        <v>0.0</v>
      </c>
      <c r="T210" t="n">
        <v>0.0</v>
      </c>
      <c r="U210" t="n">
        <v>0.0</v>
      </c>
      <c r="V210" t="n">
        <v>0.0</v>
      </c>
      <c r="W210" t="inlineStr">
        <is>
          <t/>
        </is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inlineStr">
        <is>
          <t/>
        </is>
      </c>
      <c r="AL210" t="inlineStr">
        <is>
          <t/>
        </is>
      </c>
    </row>
    <row r="211">
      <c r="A211" t="inlineStr">
        <is>
          <t>79块钱💰以为没多少，实际够我吃半个月</t>
        </is>
      </c>
      <c r="B211" t="inlineStr">
        <is>
          <t>69313a79000000001f008142</t>
        </is>
      </c>
      <c r="C211" s="210" t="n">
        <f>HYPERLINK("https://www.xiaohongshu.com/explore/69313a79000000001f008142?xsec_token=TBE4JBHwTJxKVcqB99kbkXOCfjHVAQel4Nyp_x1ucs2EQ=&amp;xsec_source=pc_trdark","https://www.xiaohongshu.com/explore/69313a79000000001f008142?xsec_token=TBE4JBHwTJxKVcqB99kbkXOCfjHVAQel4Nyp_x1ucs2EQ=&amp;xsec_source=pc_trdark")</f>
        <v>0.0</v>
      </c>
      <c r="D211" t="inlineStr">
        <is>
          <t>鲜水湾</t>
        </is>
      </c>
      <c r="E211" t="inlineStr">
        <is>
          <t>49316638994</t>
        </is>
      </c>
      <c r="F211" t="inlineStr">
        <is>
          <t>2025-12-04 15:38:33</t>
        </is>
      </c>
      <c r="G211" t="inlineStr">
        <is>
          <t>图文</t>
        </is>
      </c>
      <c r="H211" t="inlineStr">
        <is>
          <t>大虾基围虾王牌大虾厄瓜多尔白虾盐冻虾仁海洋大虾送礼顺丰包邮</t>
        </is>
      </c>
      <c r="I211" t="inlineStr">
        <is>
          <t>690aeb7be379430001e686ac</t>
        </is>
      </c>
      <c r="J211" t="inlineStr">
        <is>
          <t/>
        </is>
      </c>
      <c r="K211" t="n">
        <v>0.0</v>
      </c>
      <c r="L211" t="n">
        <v>0.0</v>
      </c>
      <c r="M211" t="n">
        <v>0.0</v>
      </c>
      <c r="N211" t="inlineStr">
        <is>
          <t/>
        </is>
      </c>
      <c r="O211" t="n">
        <v>0.0</v>
      </c>
      <c r="P211" t="n">
        <v>0.0</v>
      </c>
      <c r="Q211" t="inlineStr">
        <is>
          <t/>
        </is>
      </c>
      <c r="R211" t="inlineStr">
        <is>
          <t/>
        </is>
      </c>
      <c r="S211" t="n">
        <v>0.0</v>
      </c>
      <c r="T211" t="n">
        <v>0.0</v>
      </c>
      <c r="U211" t="n">
        <v>0.0</v>
      </c>
      <c r="V211" t="n">
        <v>0.0</v>
      </c>
      <c r="W211" t="inlineStr">
        <is>
          <t/>
        </is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inlineStr">
        <is>
          <t/>
        </is>
      </c>
      <c r="AL211" t="inlineStr">
        <is>
          <t/>
        </is>
      </c>
    </row>
    <row r="212">
      <c r="A212" t="inlineStr">
        <is>
          <t>女孩们！真别小瞧这70块💰的威力</t>
        </is>
      </c>
      <c r="B212" t="inlineStr">
        <is>
          <t>692beb46000000001e021366</t>
        </is>
      </c>
      <c r="C212" s="211" t="n">
        <f>HYPERLINK("https://www.xiaohongshu.com/explore/692beb46000000001e021366?xsec_token=TBUOFn-dFmGFNcsP81XucxO926N8Yk-ONCECYkkO9-u5c=&amp;xsec_source=pc_trdark","https://www.xiaohongshu.com/explore/692beb46000000001e021366?xsec_token=TBUOFn-dFmGFNcsP81XucxO926N8Yk-ONCECYkkO9-u5c=&amp;xsec_source=pc_trdark")</f>
        <v>0.0</v>
      </c>
      <c r="D212" t="inlineStr">
        <is>
          <t>鲜水湾</t>
        </is>
      </c>
      <c r="E212" t="inlineStr">
        <is>
          <t>49316638994</t>
        </is>
      </c>
      <c r="F212" t="inlineStr">
        <is>
          <t>2025-11-30 14:59:18</t>
        </is>
      </c>
      <c r="G212" t="inlineStr">
        <is>
          <t>图文</t>
        </is>
      </c>
      <c r="H212" t="inlineStr">
        <is>
          <t>大虾基围虾王牌大虾厄瓜多尔白虾盐冻虾仁海洋大虾送礼顺丰包邮</t>
        </is>
      </c>
      <c r="I212" t="inlineStr">
        <is>
          <t>690aeb7be379430001e686ac</t>
        </is>
      </c>
      <c r="J212" t="inlineStr">
        <is>
          <t/>
        </is>
      </c>
      <c r="K212" t="n">
        <v>0.0</v>
      </c>
      <c r="L212" t="n">
        <v>0.0</v>
      </c>
      <c r="M212" t="n">
        <v>0.0</v>
      </c>
      <c r="N212" t="inlineStr">
        <is>
          <t/>
        </is>
      </c>
      <c r="O212" t="n">
        <v>0.0</v>
      </c>
      <c r="P212" t="n">
        <v>0.0</v>
      </c>
      <c r="Q212" t="inlineStr">
        <is>
          <t/>
        </is>
      </c>
      <c r="R212" t="inlineStr">
        <is>
          <t/>
        </is>
      </c>
      <c r="S212" t="n">
        <v>0.0</v>
      </c>
      <c r="T212" t="n">
        <v>0.0</v>
      </c>
      <c r="U212" t="n">
        <v>0.0</v>
      </c>
      <c r="V212" t="n">
        <v>0.0</v>
      </c>
      <c r="W212" t="inlineStr">
        <is>
          <t/>
        </is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inlineStr">
        <is>
          <t/>
        </is>
      </c>
      <c r="AL212" t="inlineStr">
        <is>
          <t/>
        </is>
      </c>
    </row>
    <row r="213">
      <c r="A213" t="inlineStr">
        <is>
          <t>向全世界安利我减脂期经常回购的大虾</t>
        </is>
      </c>
      <c r="B213" t="inlineStr">
        <is>
          <t>6925c1a9000000001e03b8a8</t>
        </is>
      </c>
      <c r="C213" s="212" t="n">
        <f>HYPERLINK("https://www.xiaohongshu.com/explore/6925c1a9000000001e03b8a8?xsec_token=TBVx22ZAFho_bBgysCIliGP5d16euiK77zamCeAqMcuTg=&amp;xsec_source=pc_trdark","https://www.xiaohongshu.com/explore/6925c1a9000000001e03b8a8?xsec_token=TBVx22ZAFho_bBgysCIliGP5d16euiK77zamCeAqMcuTg=&amp;xsec_source=pc_trdark")</f>
        <v>0.0</v>
      </c>
      <c r="D213" t="inlineStr">
        <is>
          <t>鲜水湾</t>
        </is>
      </c>
      <c r="E213" t="inlineStr">
        <is>
          <t>49316638994</t>
        </is>
      </c>
      <c r="F213" t="inlineStr">
        <is>
          <t>2025-11-25 22:48:09</t>
        </is>
      </c>
      <c r="G213" t="inlineStr">
        <is>
          <t>图文</t>
        </is>
      </c>
      <c r="H213" t="inlineStr">
        <is>
          <t>大虾基围虾王牌大虾厄瓜多尔白虾盐冻虾仁海洋大虾送礼顺丰包邮</t>
        </is>
      </c>
      <c r="I213" t="inlineStr">
        <is>
          <t>690aeb7be379430001e686ac</t>
        </is>
      </c>
      <c r="J213" t="inlineStr">
        <is>
          <t/>
        </is>
      </c>
      <c r="K213" t="n">
        <v>0.0</v>
      </c>
      <c r="L213" t="n">
        <v>0.0</v>
      </c>
      <c r="M213" t="n">
        <v>0.0</v>
      </c>
      <c r="N213" t="inlineStr">
        <is>
          <t/>
        </is>
      </c>
      <c r="O213" t="n">
        <v>0.0</v>
      </c>
      <c r="P213" t="n">
        <v>0.0</v>
      </c>
      <c r="Q213" t="inlineStr">
        <is>
          <t/>
        </is>
      </c>
      <c r="R213" t="inlineStr">
        <is>
          <t/>
        </is>
      </c>
      <c r="S213" t="n">
        <v>0.0</v>
      </c>
      <c r="T213" t="n">
        <v>0.0</v>
      </c>
      <c r="U213" t="n">
        <v>0.0</v>
      </c>
      <c r="V213" t="n">
        <v>0.0</v>
      </c>
      <c r="W213" t="inlineStr">
        <is>
          <t/>
        </is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inlineStr">
        <is>
          <t/>
        </is>
      </c>
      <c r="AL213" t="inlineStr">
        <is>
          <t/>
        </is>
      </c>
    </row>
    <row r="214">
      <c r="A214" t="inlineStr">
        <is>
          <t>太香了！60几块就能解决一周减脂餐</t>
        </is>
      </c>
      <c r="B214" t="inlineStr">
        <is>
          <t>6921cbae000000001e030d05</t>
        </is>
      </c>
      <c r="C214" s="213" t="n">
        <f>HYPERLINK("https://www.xiaohongshu.com/explore/6921cbae000000001e030d05?xsec_token=TBXRRyp7npeNirIt6SRYXfK_xDIww_vNSnp-NhdF1eW8k=&amp;xsec_source=pc_trdark","https://www.xiaohongshu.com/explore/6921cbae000000001e030d05?xsec_token=TBXRRyp7npeNirIt6SRYXfK_xDIww_vNSnp-NhdF1eW8k=&amp;xsec_source=pc_trdark")</f>
        <v>0.0</v>
      </c>
      <c r="D214" t="inlineStr">
        <is>
          <t>鲜水湾</t>
        </is>
      </c>
      <c r="E214" t="inlineStr">
        <is>
          <t>49316638994</t>
        </is>
      </c>
      <c r="F214" t="inlineStr">
        <is>
          <t>2025-11-22 22:41:50</t>
        </is>
      </c>
      <c r="G214" t="inlineStr">
        <is>
          <t>图文</t>
        </is>
      </c>
      <c r="H214" t="inlineStr">
        <is>
          <t>大虾基围虾王牌大虾厄瓜多尔白虾盐冻虾仁海洋大虾送礼顺丰包邮</t>
        </is>
      </c>
      <c r="I214" t="inlineStr">
        <is>
          <t>690aeb7be379430001e686ac</t>
        </is>
      </c>
      <c r="J214" t="inlineStr">
        <is>
          <t/>
        </is>
      </c>
      <c r="K214" t="n">
        <v>0.0</v>
      </c>
      <c r="L214" t="n">
        <v>0.0</v>
      </c>
      <c r="M214" t="n">
        <v>0.0</v>
      </c>
      <c r="N214" t="inlineStr">
        <is>
          <t/>
        </is>
      </c>
      <c r="O214" t="n">
        <v>0.0</v>
      </c>
      <c r="P214" t="n">
        <v>0.0</v>
      </c>
      <c r="Q214" t="inlineStr">
        <is>
          <t/>
        </is>
      </c>
      <c r="R214" t="inlineStr">
        <is>
          <t/>
        </is>
      </c>
      <c r="S214" t="n">
        <v>0.0</v>
      </c>
      <c r="T214" t="n">
        <v>0.0</v>
      </c>
      <c r="U214" t="n">
        <v>0.0</v>
      </c>
      <c r="V214" t="n">
        <v>0.0</v>
      </c>
      <c r="W214" t="inlineStr">
        <is>
          <t/>
        </is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inlineStr">
        <is>
          <t/>
        </is>
      </c>
      <c r="AL214" t="inlineStr">
        <is>
          <t/>
        </is>
      </c>
    </row>
    <row r="215">
      <c r="A215" t="inlineStr">
        <is>
          <t>70块承包半月夜宵！这虾比泡面还值😭</t>
        </is>
      </c>
      <c r="B215" t="inlineStr">
        <is>
          <t>6920750f000000001f00bac4</t>
        </is>
      </c>
      <c r="C215" s="214" t="n">
        <f>HYPERLINK("https://www.xiaohongshu.com/explore/6920750f000000001f00bac4?xsec_token=TBcFPi-sXQaNHkCFFlo4RRGUWWKBNJpCXMFlBfgp8VVvE=&amp;xsec_source=pc_trdark","https://www.xiaohongshu.com/explore/6920750f000000001f00bac4?xsec_token=TBcFPi-sXQaNHkCFFlo4RRGUWWKBNJpCXMFlBfgp8VVvE=&amp;xsec_source=pc_trdark")</f>
        <v>0.0</v>
      </c>
      <c r="D215" t="inlineStr">
        <is>
          <t>鲜水湾</t>
        </is>
      </c>
      <c r="E215" t="inlineStr">
        <is>
          <t>49316638994</t>
        </is>
      </c>
      <c r="F215" t="inlineStr">
        <is>
          <t>2025-11-21 22:19:59</t>
        </is>
      </c>
      <c r="G215" t="inlineStr">
        <is>
          <t>图文</t>
        </is>
      </c>
      <c r="H215" t="inlineStr">
        <is>
          <t>大虾基围虾王牌大虾厄瓜多尔白虾盐冻虾仁海洋大虾送礼顺丰包邮</t>
        </is>
      </c>
      <c r="I215" t="inlineStr">
        <is>
          <t>690aeb7be379430001e686ac</t>
        </is>
      </c>
      <c r="J215" t="inlineStr">
        <is>
          <t/>
        </is>
      </c>
      <c r="K215" t="n">
        <v>0.0</v>
      </c>
      <c r="L215" t="n">
        <v>0.0</v>
      </c>
      <c r="M215" t="n">
        <v>0.0</v>
      </c>
      <c r="N215" t="inlineStr">
        <is>
          <t/>
        </is>
      </c>
      <c r="O215" t="n">
        <v>0.0</v>
      </c>
      <c r="P215" t="n">
        <v>0.0</v>
      </c>
      <c r="Q215" t="inlineStr">
        <is>
          <t/>
        </is>
      </c>
      <c r="R215" t="inlineStr">
        <is>
          <t/>
        </is>
      </c>
      <c r="S215" t="n">
        <v>0.0</v>
      </c>
      <c r="T215" t="n">
        <v>0.0</v>
      </c>
      <c r="U215" t="n">
        <v>0.0</v>
      </c>
      <c r="V215" t="n">
        <v>0.0</v>
      </c>
      <c r="W215" t="inlineStr">
        <is>
          <t/>
        </is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inlineStr">
        <is>
          <t/>
        </is>
      </c>
      <c r="AL215" t="inlineStr">
        <is>
          <t/>
        </is>
      </c>
    </row>
    <row r="216">
      <c r="A216" t="inlineStr">
        <is>
          <t>有姐妹愿意试吃吗？5斤59.9，给地址就发顺丰</t>
        </is>
      </c>
      <c r="B216" t="inlineStr">
        <is>
          <t>691c3be3000000001e020c56</t>
        </is>
      </c>
      <c r="C216" s="215" t="n">
        <f>HYPERLINK("https://www.xiaohongshu.com/explore/691c3be3000000001e020c56?xsec_token=TBIS8v-01Optb7rxCGgHk_CSP4tPgm4H9-dXw-EPKuvaI=&amp;xsec_source=pc_trdark","https://www.xiaohongshu.com/explore/691c3be3000000001e020c56?xsec_token=TBIS8v-01Optb7rxCGgHk_CSP4tPgm4H9-dXw-EPKuvaI=&amp;xsec_source=pc_trdark")</f>
        <v>0.0</v>
      </c>
      <c r="D216" t="inlineStr">
        <is>
          <t>婉婉上班吃什么</t>
        </is>
      </c>
      <c r="E216" t="inlineStr">
        <is>
          <t>11434449706</t>
        </is>
      </c>
      <c r="F216" t="inlineStr">
        <is>
          <t>2025-11-18 17:26:59</t>
        </is>
      </c>
      <c r="G216" t="inlineStr">
        <is>
          <t>图文</t>
        </is>
      </c>
      <c r="H216" t="inlineStr">
        <is>
          <t>生蚝乳山生蚝海蛎子顺丰包邮</t>
        </is>
      </c>
      <c r="I216" t="inlineStr">
        <is>
          <t>690c70971b787900010866cc</t>
        </is>
      </c>
      <c r="J216" t="inlineStr">
        <is>
          <t/>
        </is>
      </c>
      <c r="K216" t="n">
        <v>0.0</v>
      </c>
      <c r="L216" t="n">
        <v>0.0</v>
      </c>
      <c r="M216" t="n">
        <v>0.0</v>
      </c>
      <c r="N216" t="inlineStr">
        <is>
          <t/>
        </is>
      </c>
      <c r="O216" t="n">
        <v>0.0</v>
      </c>
      <c r="P216" t="n">
        <v>0.0</v>
      </c>
      <c r="Q216" t="inlineStr">
        <is>
          <t/>
        </is>
      </c>
      <c r="R216" t="inlineStr">
        <is>
          <t/>
        </is>
      </c>
      <c r="S216" t="n">
        <v>0.0</v>
      </c>
      <c r="T216" t="n">
        <v>0.0</v>
      </c>
      <c r="U216" t="n">
        <v>0.0</v>
      </c>
      <c r="V216" t="n">
        <v>0.0</v>
      </c>
      <c r="W216" t="inlineStr">
        <is>
          <t/>
        </is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inlineStr">
        <is>
          <t/>
        </is>
      </c>
      <c r="AL216" t="inlineStr">
        <is>
          <t/>
        </is>
      </c>
    </row>
    <row r="217">
      <c r="A217" t="inlineStr">
        <is>
          <t>连不爱网购的老妈都催我囤大虾！</t>
        </is>
      </c>
      <c r="B217" t="inlineStr">
        <is>
          <t>691837c30000000004017464</t>
        </is>
      </c>
      <c r="C217" s="216" t="n">
        <f>HYPERLINK("https://www.xiaohongshu.com/explore/691837c30000000004017464?xsec_token=TB2jG8LClQLNxZisl2ii_FqJK3qqI7shX4ABma525rQKY=&amp;xsec_source=pc_trdark","https://www.xiaohongshu.com/explore/691837c30000000004017464?xsec_token=TB2jG8LClQLNxZisl2ii_FqJK3qqI7shX4ABma525rQKY=&amp;xsec_source=pc_trdark")</f>
        <v>0.0</v>
      </c>
      <c r="D217" t="inlineStr">
        <is>
          <t>鲜水湾</t>
        </is>
      </c>
      <c r="E217" t="inlineStr">
        <is>
          <t>49316638994</t>
        </is>
      </c>
      <c r="F217" t="inlineStr">
        <is>
          <t>2025-11-15 16:20:19</t>
        </is>
      </c>
      <c r="G217" t="inlineStr">
        <is>
          <t>图文</t>
        </is>
      </c>
      <c r="H217" t="inlineStr">
        <is>
          <t>大虾基围虾王牌大虾厄瓜多尔白虾盐冻虾仁海洋大虾送礼顺丰包邮</t>
        </is>
      </c>
      <c r="I217" t="inlineStr">
        <is>
          <t>690aeb7be379430001e686ac</t>
        </is>
      </c>
      <c r="J217" t="inlineStr">
        <is>
          <t/>
        </is>
      </c>
      <c r="K217" t="n">
        <v>0.0</v>
      </c>
      <c r="L217" t="n">
        <v>0.0</v>
      </c>
      <c r="M217" t="n">
        <v>0.0</v>
      </c>
      <c r="N217" t="inlineStr">
        <is>
          <t/>
        </is>
      </c>
      <c r="O217" t="n">
        <v>0.0</v>
      </c>
      <c r="P217" t="n">
        <v>0.0</v>
      </c>
      <c r="Q217" t="inlineStr">
        <is>
          <t/>
        </is>
      </c>
      <c r="R217" t="inlineStr">
        <is>
          <t/>
        </is>
      </c>
      <c r="S217" t="n">
        <v>0.0</v>
      </c>
      <c r="T217" t="n">
        <v>0.0</v>
      </c>
      <c r="U217" t="n">
        <v>0.0</v>
      </c>
      <c r="V217" t="n">
        <v>0.0</v>
      </c>
      <c r="W217" t="inlineStr">
        <is>
          <t/>
        </is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inlineStr">
        <is>
          <t/>
        </is>
      </c>
      <c r="AL217" t="inlineStr">
        <is>
          <t/>
        </is>
      </c>
    </row>
    <row r="218">
      <c r="A218" t="inlineStr">
        <is>
          <t>60+💰很适合上班族带饭的虾</t>
        </is>
      </c>
      <c r="B218" t="inlineStr">
        <is>
          <t>6916fd440000000004002b06</t>
        </is>
      </c>
      <c r="C218" s="217" t="n">
        <f>HYPERLINK("https://www.xiaohongshu.com/explore/6916fd440000000004002b06?xsec_token=TBHZiehrAOyLGw_5sWYDTDSSV1nrgE7qguoH2JB5X9l5I=&amp;xsec_source=pc_trdark","https://www.xiaohongshu.com/explore/6916fd440000000004002b06?xsec_token=TBHZiehrAOyLGw_5sWYDTDSSV1nrgE7qguoH2JB5X9l5I=&amp;xsec_source=pc_trdark")</f>
        <v>0.0</v>
      </c>
      <c r="D218" t="inlineStr">
        <is>
          <t>鲜水湾</t>
        </is>
      </c>
      <c r="E218" t="inlineStr">
        <is>
          <t>49316638994</t>
        </is>
      </c>
      <c r="F218" t="inlineStr">
        <is>
          <t>2025-11-14 17:58:28</t>
        </is>
      </c>
      <c r="G218" t="inlineStr">
        <is>
          <t>图文</t>
        </is>
      </c>
      <c r="H218" t="inlineStr">
        <is>
          <t>大虾基围虾王牌大虾厄瓜多尔白虾盐冻虾仁海洋大虾送礼顺丰包邮</t>
        </is>
      </c>
      <c r="I218" t="inlineStr">
        <is>
          <t>690aeb7be379430001e686ac</t>
        </is>
      </c>
      <c r="J218" t="inlineStr">
        <is>
          <t/>
        </is>
      </c>
      <c r="K218" t="n">
        <v>0.0</v>
      </c>
      <c r="L218" t="n">
        <v>0.0</v>
      </c>
      <c r="M218" t="n">
        <v>0.0</v>
      </c>
      <c r="N218" t="inlineStr">
        <is>
          <t/>
        </is>
      </c>
      <c r="O218" t="n">
        <v>0.0</v>
      </c>
      <c r="P218" t="n">
        <v>0.0</v>
      </c>
      <c r="Q218" t="inlineStr">
        <is>
          <t/>
        </is>
      </c>
      <c r="R218" t="inlineStr">
        <is>
          <t/>
        </is>
      </c>
      <c r="S218" t="n">
        <v>0.0</v>
      </c>
      <c r="T218" t="n">
        <v>0.0</v>
      </c>
      <c r="U218" t="n">
        <v>0.0</v>
      </c>
      <c r="V218" t="n">
        <v>0.0</v>
      </c>
      <c r="W218" t="inlineStr">
        <is>
          <t/>
        </is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inlineStr">
        <is>
          <t/>
        </is>
      </c>
      <c r="AL218" t="inlineStr">
        <is>
          <t/>
        </is>
      </c>
    </row>
    <row r="219">
      <c r="A219" t="inlineStr">
        <is>
          <t>不要低估60+💰的购买力，敞开吃吧…</t>
        </is>
      </c>
      <c r="B219" t="inlineStr">
        <is>
          <t>6915a71900000000050315c1</t>
        </is>
      </c>
      <c r="C219" s="218" t="n">
        <f>HYPERLINK("https://www.xiaohongshu.com/explore/6915a71900000000050315c1?xsec_token=TBAg-veJq-9HvX6LdnoJFXam1UmZ7vP4SKjS-YNGARor4=&amp;xsec_source=pc_trdark","https://www.xiaohongshu.com/explore/6915a71900000000050315c1?xsec_token=TBAg-veJq-9HvX6LdnoJFXam1UmZ7vP4SKjS-YNGARor4=&amp;xsec_source=pc_trdark")</f>
        <v>0.0</v>
      </c>
      <c r="D219" t="inlineStr">
        <is>
          <t>鲜水湾</t>
        </is>
      </c>
      <c r="E219" t="inlineStr">
        <is>
          <t>49316638994</t>
        </is>
      </c>
      <c r="F219" t="inlineStr">
        <is>
          <t>2025-11-13 17:38:33</t>
        </is>
      </c>
      <c r="G219" t="inlineStr">
        <is>
          <t>图文</t>
        </is>
      </c>
      <c r="H219" t="inlineStr">
        <is>
          <t>大虾基围虾王牌大虾厄瓜多尔白虾盐冻虾仁海洋大虾送礼顺丰包邮</t>
        </is>
      </c>
      <c r="I219" t="inlineStr">
        <is>
          <t>690aeb7be379430001e686ac</t>
        </is>
      </c>
      <c r="J219" t="inlineStr">
        <is>
          <t/>
        </is>
      </c>
      <c r="K219" t="n">
        <v>0.0</v>
      </c>
      <c r="L219" t="n">
        <v>0.0</v>
      </c>
      <c r="M219" t="n">
        <v>0.0</v>
      </c>
      <c r="N219" t="inlineStr">
        <is>
          <t/>
        </is>
      </c>
      <c r="O219" t="n">
        <v>0.0</v>
      </c>
      <c r="P219" t="n">
        <v>0.0</v>
      </c>
      <c r="Q219" t="inlineStr">
        <is>
          <t/>
        </is>
      </c>
      <c r="R219" t="inlineStr">
        <is>
          <t/>
        </is>
      </c>
      <c r="S219" t="n">
        <v>0.0</v>
      </c>
      <c r="T219" t="n">
        <v>0.0</v>
      </c>
      <c r="U219" t="n">
        <v>0.0</v>
      </c>
      <c r="V219" t="n">
        <v>0.0</v>
      </c>
      <c r="W219" t="inlineStr">
        <is>
          <t/>
        </is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inlineStr">
        <is>
          <t/>
        </is>
      </c>
      <c r="AL219" t="inlineStr">
        <is>
          <t/>
        </is>
      </c>
    </row>
    <row r="220">
      <c r="A220" t="inlineStr">
        <is>
          <t>一个撑死人，但热量很低的东西</t>
        </is>
      </c>
      <c r="B220" t="inlineStr">
        <is>
          <t>691536610000000005038349</t>
        </is>
      </c>
      <c r="C220" s="219" t="n">
        <f>HYPERLINK("https://www.xiaohongshu.com/explore/691536610000000005038349?xsec_token=TBAg-veJq-9HvX6LdnoJFXarZMzV1DxcevWIzpzDNO-ZI=&amp;xsec_source=pc_trdark","https://www.xiaohongshu.com/explore/691536610000000005038349?xsec_token=TBAg-veJq-9HvX6LdnoJFXarZMzV1DxcevWIzpzDNO-ZI=&amp;xsec_source=pc_trdark")</f>
        <v>0.0</v>
      </c>
      <c r="D220" t="inlineStr">
        <is>
          <t>鲜水湾</t>
        </is>
      </c>
      <c r="E220" t="inlineStr">
        <is>
          <t>49316638994</t>
        </is>
      </c>
      <c r="F220" t="inlineStr">
        <is>
          <t>2025-11-13 09:37:37</t>
        </is>
      </c>
      <c r="G220" t="inlineStr">
        <is>
          <t>图文</t>
        </is>
      </c>
      <c r="H220" t="inlineStr">
        <is>
          <t>大虾基围虾王牌大虾厄瓜多尔白虾盐冻虾仁海洋大虾送礼顺丰包邮</t>
        </is>
      </c>
      <c r="I220" t="inlineStr">
        <is>
          <t>690aeb7be379430001e686ac</t>
        </is>
      </c>
      <c r="J220" t="inlineStr">
        <is>
          <t/>
        </is>
      </c>
      <c r="K220" t="n">
        <v>0.0</v>
      </c>
      <c r="L220" t="n">
        <v>0.0</v>
      </c>
      <c r="M220" t="n">
        <v>0.0</v>
      </c>
      <c r="N220" t="inlineStr">
        <is>
          <t/>
        </is>
      </c>
      <c r="O220" t="n">
        <v>0.0</v>
      </c>
      <c r="P220" t="n">
        <v>0.0</v>
      </c>
      <c r="Q220" t="inlineStr">
        <is>
          <t/>
        </is>
      </c>
      <c r="R220" t="inlineStr">
        <is>
          <t/>
        </is>
      </c>
      <c r="S220" t="n">
        <v>0.0</v>
      </c>
      <c r="T220" t="n">
        <v>0.0</v>
      </c>
      <c r="U220" t="n">
        <v>0.0</v>
      </c>
      <c r="V220" t="n">
        <v>0.0</v>
      </c>
      <c r="W220" t="inlineStr">
        <is>
          <t/>
        </is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inlineStr">
        <is>
          <t/>
        </is>
      </c>
      <c r="AL220" t="inlineStr">
        <is>
          <t/>
        </is>
      </c>
    </row>
    <row r="221">
      <c r="A221" t="inlineStr">
        <is>
          <t>太香了！60几块就能买满满一箱大虾！</t>
        </is>
      </c>
      <c r="B221" t="inlineStr">
        <is>
          <t>69149d800000000004029271</t>
        </is>
      </c>
      <c r="C221" s="220" t="n">
        <f>HYPERLINK("https://www.xiaohongshu.com/explore/69149d800000000004029271?xsec_token=TBaXvlcWwd_4ttBIqZOUWAkxG2PWnf14AsrVjjjB_-7ek=&amp;xsec_source=pc_trdark","https://www.xiaohongshu.com/explore/69149d800000000004029271?xsec_token=TBaXvlcWwd_4ttBIqZOUWAkxG2PWnf14AsrVjjjB_-7ek=&amp;xsec_source=pc_trdark")</f>
        <v>0.0</v>
      </c>
      <c r="D221" t="inlineStr">
        <is>
          <t>鲜水湾</t>
        </is>
      </c>
      <c r="E221" t="inlineStr">
        <is>
          <t>49316638994</t>
        </is>
      </c>
      <c r="F221" t="inlineStr">
        <is>
          <t>2025-11-12 22:45:20</t>
        </is>
      </c>
      <c r="G221" t="inlineStr">
        <is>
          <t>图文</t>
        </is>
      </c>
      <c r="H221" t="inlineStr">
        <is>
          <t>大虾基围虾王牌大虾厄瓜多尔白虾盐冻虾仁海洋大虾送礼顺丰包邮</t>
        </is>
      </c>
      <c r="I221" t="inlineStr">
        <is>
          <t>690aeb7be379430001e686ac</t>
        </is>
      </c>
      <c r="J221" t="inlineStr">
        <is>
          <t/>
        </is>
      </c>
      <c r="K221" t="n">
        <v>0.0</v>
      </c>
      <c r="L221" t="n">
        <v>0.0</v>
      </c>
      <c r="M221" t="n">
        <v>0.0</v>
      </c>
      <c r="N221" t="inlineStr">
        <is>
          <t/>
        </is>
      </c>
      <c r="O221" t="n">
        <v>0.0</v>
      </c>
      <c r="P221" t="n">
        <v>0.0</v>
      </c>
      <c r="Q221" t="inlineStr">
        <is>
          <t/>
        </is>
      </c>
      <c r="R221" t="inlineStr">
        <is>
          <t/>
        </is>
      </c>
      <c r="S221" t="n">
        <v>0.0</v>
      </c>
      <c r="T221" t="n">
        <v>0.0</v>
      </c>
      <c r="U221" t="n">
        <v>0.0</v>
      </c>
      <c r="V221" t="n">
        <v>0.0</v>
      </c>
      <c r="W221" t="inlineStr">
        <is>
          <t/>
        </is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inlineStr">
        <is>
          <t/>
        </is>
      </c>
      <c r="AL221" t="inlineStr">
        <is>
          <t/>
        </is>
      </c>
    </row>
    <row r="222">
      <c r="A222" t="inlineStr">
        <is>
          <t>60几块钱的购买力，远比我想得多得多</t>
        </is>
      </c>
      <c r="B222" t="inlineStr">
        <is>
          <t>691441d10000000005030f68</t>
        </is>
      </c>
      <c r="C222" s="221" t="n">
        <f>HYPERLINK("https://www.xiaohongshu.com/explore/691441d10000000005030f68?xsec_token=TBaXvlcWwd_4ttBIqZOUWAk4TCcJLygE0Kvb13kaLE6xU=&amp;xsec_source=pc_trdark","https://www.xiaohongshu.com/explore/691441d10000000005030f68?xsec_token=TBaXvlcWwd_4ttBIqZOUWAk4TCcJLygE0Kvb13kaLE6xU=&amp;xsec_source=pc_trdark")</f>
        <v>0.0</v>
      </c>
      <c r="D222" t="inlineStr">
        <is>
          <t>鲜水湾</t>
        </is>
      </c>
      <c r="E222" t="inlineStr">
        <is>
          <t>49316638994</t>
        </is>
      </c>
      <c r="F222" t="inlineStr">
        <is>
          <t>2025-11-12 16:14:09</t>
        </is>
      </c>
      <c r="G222" t="inlineStr">
        <is>
          <t>图文</t>
        </is>
      </c>
      <c r="H222" t="inlineStr">
        <is>
          <t>大虾基围虾王牌大虾厄瓜多尔白虾盐冻虾仁海洋大虾送礼顺丰包邮</t>
        </is>
      </c>
      <c r="I222" t="inlineStr">
        <is>
          <t>690aeb7be379430001e686ac</t>
        </is>
      </c>
      <c r="J222" t="inlineStr">
        <is>
          <t/>
        </is>
      </c>
      <c r="K222" t="n">
        <v>0.0</v>
      </c>
      <c r="L222" t="n">
        <v>0.0</v>
      </c>
      <c r="M222" t="n">
        <v>0.0</v>
      </c>
      <c r="N222" t="inlineStr">
        <is>
          <t/>
        </is>
      </c>
      <c r="O222" t="n">
        <v>0.0</v>
      </c>
      <c r="P222" t="n">
        <v>0.0</v>
      </c>
      <c r="Q222" t="inlineStr">
        <is>
          <t/>
        </is>
      </c>
      <c r="R222" t="inlineStr">
        <is>
          <t/>
        </is>
      </c>
      <c r="S222" t="n">
        <v>0.0</v>
      </c>
      <c r="T222" t="n">
        <v>0.0</v>
      </c>
      <c r="U222" t="n">
        <v>0.0</v>
      </c>
      <c r="V222" t="n">
        <v>0.0</v>
      </c>
      <c r="W222" t="inlineStr">
        <is>
          <t/>
        </is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inlineStr">
        <is>
          <t/>
        </is>
      </c>
      <c r="AL222" t="inlineStr">
        <is>
          <t/>
        </is>
      </c>
    </row>
    <row r="223">
      <c r="A223" t="inlineStr">
        <is>
          <t>凭一己之力带动办公室回购了10箱</t>
        </is>
      </c>
      <c r="B223" t="inlineStr">
        <is>
          <t>69142b920000000004001b6b</t>
        </is>
      </c>
      <c r="C223" s="222" t="n">
        <f>HYPERLINK("https://www.xiaohongshu.com/explore/69142b920000000004001b6b?xsec_token=TBaXvlcWwd_4ttBIqZOUWAk9vdzY8ohUSZj3BrEk9v42s=&amp;xsec_source=pc_trdark","https://www.xiaohongshu.com/explore/69142b920000000004001b6b?xsec_token=TBaXvlcWwd_4ttBIqZOUWAk9vdzY8ohUSZj3BrEk9v42s=&amp;xsec_source=pc_trdark")</f>
        <v>0.0</v>
      </c>
      <c r="D223" t="inlineStr">
        <is>
          <t>鲜水湾</t>
        </is>
      </c>
      <c r="E223" t="inlineStr">
        <is>
          <t>49316638994</t>
        </is>
      </c>
      <c r="F223" t="inlineStr">
        <is>
          <t>2025-11-12 14:39:14</t>
        </is>
      </c>
      <c r="G223" t="inlineStr">
        <is>
          <t>图文</t>
        </is>
      </c>
      <c r="H223" t="inlineStr">
        <is>
          <t>大虾基围虾王牌大虾厄瓜多尔白虾盐冻虾仁海洋大虾送礼顺丰包邮</t>
        </is>
      </c>
      <c r="I223" t="inlineStr">
        <is>
          <t>690aeb7be379430001e686ac</t>
        </is>
      </c>
      <c r="J223" t="inlineStr">
        <is>
          <t/>
        </is>
      </c>
      <c r="K223" t="n">
        <v>0.0</v>
      </c>
      <c r="L223" t="n">
        <v>0.0</v>
      </c>
      <c r="M223" t="n">
        <v>0.0</v>
      </c>
      <c r="N223" t="inlineStr">
        <is>
          <t/>
        </is>
      </c>
      <c r="O223" t="n">
        <v>0.0</v>
      </c>
      <c r="P223" t="n">
        <v>0.0</v>
      </c>
      <c r="Q223" t="inlineStr">
        <is>
          <t/>
        </is>
      </c>
      <c r="R223" t="inlineStr">
        <is>
          <t/>
        </is>
      </c>
      <c r="S223" t="n">
        <v>0.0</v>
      </c>
      <c r="T223" t="n">
        <v>0.0</v>
      </c>
      <c r="U223" t="n">
        <v>0.0</v>
      </c>
      <c r="V223" t="n">
        <v>0.0</v>
      </c>
      <c r="W223" t="inlineStr">
        <is>
          <t/>
        </is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inlineStr">
        <is>
          <t/>
        </is>
      </c>
      <c r="AL223" t="inlineStr">
        <is>
          <t/>
        </is>
      </c>
    </row>
    <row r="224">
      <c r="A224" t="inlineStr">
        <is>
          <t>好吃我已经说累了，没看到就随缘吧！</t>
        </is>
      </c>
      <c r="B224" t="inlineStr">
        <is>
          <t>691417bd0000000005030f0d</t>
        </is>
      </c>
      <c r="C224" s="223" t="n">
        <f>HYPERLINK("https://www.xiaohongshu.com/explore/691417bd0000000005030f0d?xsec_token=TBaXvlcWwd_4ttBIqZOUWAk7TEQNKjvFHsyZ2f00p00MU=&amp;xsec_source=pc_trdark","https://www.xiaohongshu.com/explore/691417bd0000000005030f0d?xsec_token=TBaXvlcWwd_4ttBIqZOUWAk7TEQNKjvFHsyZ2f00p00MU=&amp;xsec_source=pc_trdark")</f>
        <v>0.0</v>
      </c>
      <c r="D224" t="inlineStr">
        <is>
          <t>鲜水湾</t>
        </is>
      </c>
      <c r="E224" t="inlineStr">
        <is>
          <t>49316638994</t>
        </is>
      </c>
      <c r="F224" t="inlineStr">
        <is>
          <t>2025-11-12 13:14:37</t>
        </is>
      </c>
      <c r="G224" t="inlineStr">
        <is>
          <t>图文</t>
        </is>
      </c>
      <c r="H224" t="inlineStr">
        <is>
          <t>大虾基围虾王牌大虾厄瓜多尔白虾盐冻虾仁海洋大虾送礼顺丰包邮</t>
        </is>
      </c>
      <c r="I224" t="inlineStr">
        <is>
          <t>690aeb7be379430001e686ac</t>
        </is>
      </c>
      <c r="J224" t="inlineStr">
        <is>
          <t/>
        </is>
      </c>
      <c r="K224" t="n">
        <v>0.0</v>
      </c>
      <c r="L224" t="n">
        <v>0.0</v>
      </c>
      <c r="M224" t="n">
        <v>0.0</v>
      </c>
      <c r="N224" t="inlineStr">
        <is>
          <t/>
        </is>
      </c>
      <c r="O224" t="n">
        <v>0.0</v>
      </c>
      <c r="P224" t="n">
        <v>0.0</v>
      </c>
      <c r="Q224" t="inlineStr">
        <is>
          <t/>
        </is>
      </c>
      <c r="R224" t="inlineStr">
        <is>
          <t/>
        </is>
      </c>
      <c r="S224" t="n">
        <v>0.0</v>
      </c>
      <c r="T224" t="n">
        <v>0.0</v>
      </c>
      <c r="U224" t="n">
        <v>0.0</v>
      </c>
      <c r="V224" t="n">
        <v>0.0</v>
      </c>
      <c r="W224" t="inlineStr">
        <is>
          <t/>
        </is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inlineStr">
        <is>
          <t/>
        </is>
      </c>
      <c r="AL224" t="inlineStr">
        <is>
          <t/>
        </is>
      </c>
    </row>
    <row r="225">
      <c r="A225" t="inlineStr">
        <is>
          <t>随手一买带动全办公室开始减酯</t>
        </is>
      </c>
      <c r="B225" t="inlineStr">
        <is>
          <t>6912ce19000000000401511c</t>
        </is>
      </c>
      <c r="C225" s="224" t="n">
        <f>HYPERLINK("https://www.xiaohongshu.com/explore/6912ce19000000000401511c?xsec_token=TBnZN0DmKGIQMnPXPN25j7p1p3SVu36K-RH3cJ0MoB2ls=&amp;xsec_source=pc_trdark","https://www.xiaohongshu.com/explore/6912ce19000000000401511c?xsec_token=TBnZN0DmKGIQMnPXPN25j7p1p3SVu36K-RH3cJ0MoB2ls=&amp;xsec_source=pc_trdark")</f>
        <v>0.0</v>
      </c>
      <c r="D225" t="inlineStr">
        <is>
          <t>鲜水湾</t>
        </is>
      </c>
      <c r="E225" t="inlineStr">
        <is>
          <t>49316638994</t>
        </is>
      </c>
      <c r="F225" t="inlineStr">
        <is>
          <t>2025-11-11 13:48:09</t>
        </is>
      </c>
      <c r="G225" t="inlineStr">
        <is>
          <t>图文</t>
        </is>
      </c>
      <c r="H225" t="inlineStr">
        <is>
          <t>大虾基围虾王牌大虾厄瓜多尔白虾盐冻虾仁海洋大虾送礼顺丰包邮</t>
        </is>
      </c>
      <c r="I225" t="inlineStr">
        <is>
          <t>690aeb7be379430001e686ac</t>
        </is>
      </c>
      <c r="J225" t="inlineStr">
        <is>
          <t/>
        </is>
      </c>
      <c r="K225" t="n">
        <v>0.0</v>
      </c>
      <c r="L225" t="n">
        <v>0.0</v>
      </c>
      <c r="M225" t="n">
        <v>0.0</v>
      </c>
      <c r="N225" t="inlineStr">
        <is>
          <t/>
        </is>
      </c>
      <c r="O225" t="n">
        <v>0.0</v>
      </c>
      <c r="P225" t="n">
        <v>0.0</v>
      </c>
      <c r="Q225" t="inlineStr">
        <is>
          <t/>
        </is>
      </c>
      <c r="R225" t="inlineStr">
        <is>
          <t/>
        </is>
      </c>
      <c r="S225" t="n">
        <v>0.0</v>
      </c>
      <c r="T225" t="n">
        <v>0.0</v>
      </c>
      <c r="U225" t="n">
        <v>0.0</v>
      </c>
      <c r="V225" t="n">
        <v>0.0</v>
      </c>
      <c r="W225" t="inlineStr">
        <is>
          <t/>
        </is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inlineStr">
        <is>
          <t/>
        </is>
      </c>
      <c r="AL225" t="inlineStr">
        <is>
          <t/>
        </is>
      </c>
    </row>
    <row r="226">
      <c r="A226" t="inlineStr">
        <is>
          <t>70块承包半月减酯晚餐，这虾比鸡胸肉还值！</t>
        </is>
      </c>
      <c r="B226" t="inlineStr">
        <is>
          <t>6912ace8000000000402b13c</t>
        </is>
      </c>
      <c r="C226" s="225" t="n">
        <f>HYPERLINK("https://www.xiaohongshu.com/explore/6912ace8000000000402b13c?xsec_token=TBnZN0DmKGIQMnPXPN25j7p5R48zN_711aWAsPlk28634=&amp;xsec_source=pc_trdark","https://www.xiaohongshu.com/explore/6912ace8000000000402b13c?xsec_token=TBnZN0DmKGIQMnPXPN25j7p5R48zN_711aWAsPlk28634=&amp;xsec_source=pc_trdark")</f>
        <v>0.0</v>
      </c>
      <c r="D226" t="inlineStr">
        <is>
          <t>鲜水湾</t>
        </is>
      </c>
      <c r="E226" t="inlineStr">
        <is>
          <t>49316638994</t>
        </is>
      </c>
      <c r="F226" t="inlineStr">
        <is>
          <t>2025-11-11 11:26:32</t>
        </is>
      </c>
      <c r="G226" t="inlineStr">
        <is>
          <t>图文</t>
        </is>
      </c>
      <c r="H226" t="inlineStr">
        <is>
          <t>大虾基围虾王牌大虾厄瓜多尔白虾盐冻虾仁海洋大虾送礼顺丰包邮</t>
        </is>
      </c>
      <c r="I226" t="inlineStr">
        <is>
          <t>690aeb7be379430001e686ac</t>
        </is>
      </c>
      <c r="J226" t="inlineStr">
        <is>
          <t/>
        </is>
      </c>
      <c r="K226" t="n">
        <v>0.0</v>
      </c>
      <c r="L226" t="n">
        <v>0.0</v>
      </c>
      <c r="M226" t="n">
        <v>0.0</v>
      </c>
      <c r="N226" t="inlineStr">
        <is>
          <t/>
        </is>
      </c>
      <c r="O226" t="n">
        <v>0.0</v>
      </c>
      <c r="P226" t="n">
        <v>0.0</v>
      </c>
      <c r="Q226" t="inlineStr">
        <is>
          <t/>
        </is>
      </c>
      <c r="R226" t="inlineStr">
        <is>
          <t/>
        </is>
      </c>
      <c r="S226" t="n">
        <v>0.0</v>
      </c>
      <c r="T226" t="n">
        <v>0.0</v>
      </c>
      <c r="U226" t="n">
        <v>0.0</v>
      </c>
      <c r="V226" t="n">
        <v>0.0</v>
      </c>
      <c r="W226" t="inlineStr">
        <is>
          <t/>
        </is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inlineStr">
        <is>
          <t/>
        </is>
      </c>
      <c r="AL226" t="inlineStr">
        <is>
          <t/>
        </is>
      </c>
    </row>
    <row r="227">
      <c r="A227" t="inlineStr">
        <is>
          <t>真的低估60多块的购买力，20多一斤赶紧冲</t>
        </is>
      </c>
      <c r="B227" t="inlineStr">
        <is>
          <t>691292660000000004007ce2</t>
        </is>
      </c>
      <c r="C227" s="226" t="n">
        <f>HYPERLINK("https://www.xiaohongshu.com/explore/691292660000000004007ce2?xsec_token=TBnZN0DmKGIQMnPXPN25j7pwWOMvxhl-fwhEn8oSqBanY=&amp;xsec_source=pc_trdark","https://www.xiaohongshu.com/explore/691292660000000004007ce2?xsec_token=TBnZN0DmKGIQMnPXPN25j7pwWOMvxhl-fwhEn8oSqBanY=&amp;xsec_source=pc_trdark")</f>
        <v>0.0</v>
      </c>
      <c r="D227" t="inlineStr">
        <is>
          <t>鲜水湾</t>
        </is>
      </c>
      <c r="E227" t="inlineStr">
        <is>
          <t>49316638994</t>
        </is>
      </c>
      <c r="F227" t="inlineStr">
        <is>
          <t>2025-11-11 09:33:26</t>
        </is>
      </c>
      <c r="G227" t="inlineStr">
        <is>
          <t>图文</t>
        </is>
      </c>
      <c r="H227" t="inlineStr">
        <is>
          <t>大虾基围虾王牌大虾厄瓜多尔白虾盐冻虾仁海洋大虾送礼顺丰包邮</t>
        </is>
      </c>
      <c r="I227" t="inlineStr">
        <is>
          <t>690aeb7be379430001e686ac</t>
        </is>
      </c>
      <c r="J227" t="inlineStr">
        <is>
          <t/>
        </is>
      </c>
      <c r="K227" t="n">
        <v>0.0</v>
      </c>
      <c r="L227" t="n">
        <v>0.0</v>
      </c>
      <c r="M227" t="n">
        <v>0.0</v>
      </c>
      <c r="N227" t="inlineStr">
        <is>
          <t/>
        </is>
      </c>
      <c r="O227" t="n">
        <v>0.0</v>
      </c>
      <c r="P227" t="n">
        <v>0.0</v>
      </c>
      <c r="Q227" t="inlineStr">
        <is>
          <t/>
        </is>
      </c>
      <c r="R227" t="inlineStr">
        <is>
          <t/>
        </is>
      </c>
      <c r="S227" t="n">
        <v>0.0</v>
      </c>
      <c r="T227" t="n">
        <v>0.0</v>
      </c>
      <c r="U227" t="n">
        <v>0.0</v>
      </c>
      <c r="V227" t="n">
        <v>0.0</v>
      </c>
      <c r="W227" t="inlineStr">
        <is>
          <t/>
        </is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inlineStr">
        <is>
          <t/>
        </is>
      </c>
      <c r="AL227" t="inlineStr">
        <is>
          <t/>
        </is>
      </c>
    </row>
    <row r="228">
      <c r="A228" t="inlineStr">
        <is>
          <t>对60几块钱的概念越来越模糊了</t>
        </is>
      </c>
      <c r="B228" t="inlineStr">
        <is>
          <t>6911df3c00000000040159fe</t>
        </is>
      </c>
      <c r="C228" s="227" t="n">
        <f>HYPERLINK("https://www.xiaohongshu.com/explore/6911df3c00000000040159fe?xsec_token=TBrsrV1jnhRUA39f7gREfx-PBbjoMfE3SRuDJCCHpYba8=&amp;xsec_source=pc_trdark","https://www.xiaohongshu.com/explore/6911df3c00000000040159fe?xsec_token=TBrsrV1jnhRUA39f7gREfx-PBbjoMfE3SRuDJCCHpYba8=&amp;xsec_source=pc_trdark")</f>
        <v>0.0</v>
      </c>
      <c r="D228" t="inlineStr">
        <is>
          <t>鲜水湾</t>
        </is>
      </c>
      <c r="E228" t="inlineStr">
        <is>
          <t>49316638994</t>
        </is>
      </c>
      <c r="F228" t="inlineStr">
        <is>
          <t>2025-11-10 20:49:00</t>
        </is>
      </c>
      <c r="G228" t="inlineStr">
        <is>
          <t>图文</t>
        </is>
      </c>
      <c r="H228" t="inlineStr">
        <is>
          <t>大虾基围虾王牌大虾厄瓜多尔白虾盐冻虾仁海洋大虾送礼顺丰包邮</t>
        </is>
      </c>
      <c r="I228" t="inlineStr">
        <is>
          <t>690aeb7be379430001e686ac</t>
        </is>
      </c>
      <c r="J228" t="inlineStr">
        <is>
          <t/>
        </is>
      </c>
      <c r="K228" t="n">
        <v>0.0</v>
      </c>
      <c r="L228" t="n">
        <v>0.0</v>
      </c>
      <c r="M228" t="n">
        <v>0.0</v>
      </c>
      <c r="N228" t="inlineStr">
        <is>
          <t/>
        </is>
      </c>
      <c r="O228" t="n">
        <v>0.0</v>
      </c>
      <c r="P228" t="n">
        <v>0.0</v>
      </c>
      <c r="Q228" t="inlineStr">
        <is>
          <t/>
        </is>
      </c>
      <c r="R228" t="inlineStr">
        <is>
          <t/>
        </is>
      </c>
      <c r="S228" t="n">
        <v>0.0</v>
      </c>
      <c r="T228" t="n">
        <v>0.0</v>
      </c>
      <c r="U228" t="n">
        <v>0.0</v>
      </c>
      <c r="V228" t="n">
        <v>0.0</v>
      </c>
      <c r="W228" t="inlineStr">
        <is>
          <t/>
        </is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inlineStr">
        <is>
          <t/>
        </is>
      </c>
      <c r="AL228" t="inlineStr">
        <is>
          <t/>
        </is>
      </c>
    </row>
    <row r="229">
      <c r="A229" t="inlineStr">
        <is>
          <t>原以为不便宜，其实70多3斤大虾太过瘾</t>
        </is>
      </c>
      <c r="B229" t="inlineStr">
        <is>
          <t>6911a9ec000000000400776e</t>
        </is>
      </c>
      <c r="C229" s="228" t="n">
        <f>HYPERLINK("https://www.xiaohongshu.com/explore/6911a9ec000000000400776e?xsec_token=TBrsrV1jnhRUA39f7gREfx-NDMNdCUZoelquOKT1cOnP0=&amp;xsec_source=pc_trdark","https://www.xiaohongshu.com/explore/6911a9ec000000000400776e?xsec_token=TBrsrV1jnhRUA39f7gREfx-NDMNdCUZoelquOKT1cOnP0=&amp;xsec_source=pc_trdark")</f>
        <v>0.0</v>
      </c>
      <c r="D229" t="inlineStr">
        <is>
          <t>鲜水湾</t>
        </is>
      </c>
      <c r="E229" t="inlineStr">
        <is>
          <t>49316638994</t>
        </is>
      </c>
      <c r="F229" t="inlineStr">
        <is>
          <t>2025-11-10 17:01:32</t>
        </is>
      </c>
      <c r="G229" t="inlineStr">
        <is>
          <t>图文</t>
        </is>
      </c>
      <c r="H229" t="inlineStr">
        <is>
          <t>大虾基围虾王牌大虾厄瓜多尔白虾盐冻虾仁海洋大虾送礼顺丰包邮</t>
        </is>
      </c>
      <c r="I229" t="inlineStr">
        <is>
          <t>690aeb7be379430001e686ac</t>
        </is>
      </c>
      <c r="J229" t="inlineStr">
        <is>
          <t/>
        </is>
      </c>
      <c r="K229" t="n">
        <v>0.0</v>
      </c>
      <c r="L229" t="n">
        <v>0.0</v>
      </c>
      <c r="M229" t="n">
        <v>0.0</v>
      </c>
      <c r="N229" t="inlineStr">
        <is>
          <t/>
        </is>
      </c>
      <c r="O229" t="n">
        <v>0.0</v>
      </c>
      <c r="P229" t="n">
        <v>0.0</v>
      </c>
      <c r="Q229" t="inlineStr">
        <is>
          <t/>
        </is>
      </c>
      <c r="R229" t="inlineStr">
        <is>
          <t/>
        </is>
      </c>
      <c r="S229" t="n">
        <v>0.0</v>
      </c>
      <c r="T229" t="n">
        <v>0.0</v>
      </c>
      <c r="U229" t="n">
        <v>0.0</v>
      </c>
      <c r="V229" t="n">
        <v>0.0</v>
      </c>
      <c r="W229" t="inlineStr">
        <is>
          <t/>
        </is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inlineStr">
        <is>
          <t/>
        </is>
      </c>
      <c r="AL229" t="inlineStr">
        <is>
          <t/>
        </is>
      </c>
    </row>
    <row r="230">
      <c r="A230" t="inlineStr">
        <is>
          <t>真心建议身材管理期的姐妹试试我家的大虾</t>
        </is>
      </c>
      <c r="B230" t="inlineStr">
        <is>
          <t>69115c820000000004013603</t>
        </is>
      </c>
      <c r="C230" s="229" t="n">
        <f>HYPERLINK("https://www.xiaohongshu.com/explore/69115c820000000004013603?xsec_token=TBrsrV1jnhRUA39f7gREfx-CYy7YvpUJRJgs-N3LJGr5A=&amp;xsec_source=pc_trdark","https://www.xiaohongshu.com/explore/69115c820000000004013603?xsec_token=TBrsrV1jnhRUA39f7gREfx-CYy7YvpUJRJgs-N3LJGr5A=&amp;xsec_source=pc_trdark")</f>
        <v>0.0</v>
      </c>
      <c r="D230" t="inlineStr">
        <is>
          <t>鲜水湾</t>
        </is>
      </c>
      <c r="E230" t="inlineStr">
        <is>
          <t>49316638994</t>
        </is>
      </c>
      <c r="F230" t="inlineStr">
        <is>
          <t>2025-11-10 11:31:14</t>
        </is>
      </c>
      <c r="G230" t="inlineStr">
        <is>
          <t>图文</t>
        </is>
      </c>
      <c r="H230" t="inlineStr">
        <is>
          <t>大虾基围虾王牌大虾厄瓜多尔白虾盐冻虾仁海洋大虾送礼顺丰包邮</t>
        </is>
      </c>
      <c r="I230" t="inlineStr">
        <is>
          <t>690aeb7be379430001e686ac</t>
        </is>
      </c>
      <c r="J230" t="inlineStr">
        <is>
          <t/>
        </is>
      </c>
      <c r="K230" t="n">
        <v>0.0</v>
      </c>
      <c r="L230" t="n">
        <v>0.0</v>
      </c>
      <c r="M230" t="n">
        <v>0.0</v>
      </c>
      <c r="N230" t="inlineStr">
        <is>
          <t/>
        </is>
      </c>
      <c r="O230" t="n">
        <v>0.0</v>
      </c>
      <c r="P230" t="n">
        <v>0.0</v>
      </c>
      <c r="Q230" t="inlineStr">
        <is>
          <t/>
        </is>
      </c>
      <c r="R230" t="inlineStr">
        <is>
          <t/>
        </is>
      </c>
      <c r="S230" t="n">
        <v>0.0</v>
      </c>
      <c r="T230" t="n">
        <v>0.0</v>
      </c>
      <c r="U230" t="n">
        <v>0.0</v>
      </c>
      <c r="V230" t="n">
        <v>0.0</v>
      </c>
      <c r="W230" t="inlineStr">
        <is>
          <t/>
        </is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inlineStr">
        <is>
          <t/>
        </is>
      </c>
      <c r="AL230" t="inlineStr">
        <is>
          <t/>
        </is>
      </c>
    </row>
    <row r="231">
      <c r="A231" t="inlineStr">
        <is>
          <t>原以为不便宜，其实60多三斤大虾太过瘾！</t>
        </is>
      </c>
      <c r="B231" t="inlineStr">
        <is>
          <t>6911558000000000040108e2</t>
        </is>
      </c>
      <c r="C231" s="230" t="n">
        <f>HYPERLINK("https://www.xiaohongshu.com/explore/6911558000000000040108e2?xsec_token=TBrsrV1jnhRUA39f7gREfx-FGlWHQ6Be4qbuClTbNxpnU=&amp;xsec_source=pc_trdark","https://www.xiaohongshu.com/explore/6911558000000000040108e2?xsec_token=TBrsrV1jnhRUA39f7gREfx-FGlWHQ6Be4qbuClTbNxpnU=&amp;xsec_source=pc_trdark")</f>
        <v>0.0</v>
      </c>
      <c r="D231" t="inlineStr">
        <is>
          <t>鲜水湾</t>
        </is>
      </c>
      <c r="E231" t="inlineStr">
        <is>
          <t>49316638994</t>
        </is>
      </c>
      <c r="F231" t="inlineStr">
        <is>
          <t>2025-11-10 11:01:20</t>
        </is>
      </c>
      <c r="G231" t="inlineStr">
        <is>
          <t>图文</t>
        </is>
      </c>
      <c r="H231" t="inlineStr">
        <is>
          <t>大虾基围虾王牌大虾厄瓜多尔白虾盐冻虾仁海洋大虾送礼顺丰包邮</t>
        </is>
      </c>
      <c r="I231" t="inlineStr">
        <is>
          <t>690aeb7be379430001e686ac</t>
        </is>
      </c>
      <c r="J231" t="inlineStr">
        <is>
          <t/>
        </is>
      </c>
      <c r="K231" t="n">
        <v>0.0</v>
      </c>
      <c r="L231" t="n">
        <v>0.0</v>
      </c>
      <c r="M231" t="n">
        <v>0.0</v>
      </c>
      <c r="N231" t="inlineStr">
        <is>
          <t/>
        </is>
      </c>
      <c r="O231" t="n">
        <v>0.0</v>
      </c>
      <c r="P231" t="n">
        <v>0.0</v>
      </c>
      <c r="Q231" t="inlineStr">
        <is>
          <t/>
        </is>
      </c>
      <c r="R231" t="inlineStr">
        <is>
          <t/>
        </is>
      </c>
      <c r="S231" t="n">
        <v>0.0</v>
      </c>
      <c r="T231" t="n">
        <v>0.0</v>
      </c>
      <c r="U231" t="n">
        <v>0.0</v>
      </c>
      <c r="V231" t="n">
        <v>0.0</v>
      </c>
      <c r="W231" t="inlineStr">
        <is>
          <t/>
        </is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inlineStr">
        <is>
          <t/>
        </is>
      </c>
      <c r="AL231" t="inlineStr">
        <is>
          <t/>
        </is>
      </c>
    </row>
    <row r="232">
      <c r="A232" t="inlineStr">
        <is>
          <t>60多块的购买力解决打工人十天的优质蛋白</t>
        </is>
      </c>
      <c r="B232" t="inlineStr">
        <is>
          <t>690f64e500000000040016dd</t>
        </is>
      </c>
      <c r="C232" s="231" t="n">
        <f>HYPERLINK("https://www.xiaohongshu.com/explore/690f64e500000000040016dd?xsec_token=TBl1ZK_PAsBDZJiqFwt7hIYd0XsoKhBXGAE0V7Cj8yyHU=&amp;xsec_source=pc_trdark","https://www.xiaohongshu.com/explore/690f64e500000000040016dd?xsec_token=TBl1ZK_PAsBDZJiqFwt7hIYd0XsoKhBXGAE0V7Cj8yyHU=&amp;xsec_source=pc_trdark")</f>
        <v>0.0</v>
      </c>
      <c r="D232" t="inlineStr">
        <is>
          <t>鲜水湾</t>
        </is>
      </c>
      <c r="E232" t="inlineStr">
        <is>
          <t>49316638994</t>
        </is>
      </c>
      <c r="F232" t="inlineStr">
        <is>
          <t>2025-11-08 23:42:29</t>
        </is>
      </c>
      <c r="G232" t="inlineStr">
        <is>
          <t>图文</t>
        </is>
      </c>
      <c r="H232" t="inlineStr">
        <is>
          <t>大虾基围虾王牌大虾厄瓜多尔白虾盐冻虾仁海洋大虾送礼顺丰包邮</t>
        </is>
      </c>
      <c r="I232" t="inlineStr">
        <is>
          <t>690aeb7be379430001e686ac</t>
        </is>
      </c>
      <c r="J232" t="inlineStr">
        <is>
          <t/>
        </is>
      </c>
      <c r="K232" t="n">
        <v>0.0</v>
      </c>
      <c r="L232" t="n">
        <v>0.0</v>
      </c>
      <c r="M232" t="n">
        <v>0.0</v>
      </c>
      <c r="N232" t="inlineStr">
        <is>
          <t/>
        </is>
      </c>
      <c r="O232" t="n">
        <v>0.0</v>
      </c>
      <c r="P232" t="n">
        <v>0.0</v>
      </c>
      <c r="Q232" t="inlineStr">
        <is>
          <t/>
        </is>
      </c>
      <c r="R232" t="inlineStr">
        <is>
          <t/>
        </is>
      </c>
      <c r="S232" t="n">
        <v>0.0</v>
      </c>
      <c r="T232" t="n">
        <v>0.0</v>
      </c>
      <c r="U232" t="n">
        <v>0.0</v>
      </c>
      <c r="V232" t="n">
        <v>0.0</v>
      </c>
      <c r="W232" t="inlineStr">
        <is>
          <t/>
        </is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inlineStr">
        <is>
          <t/>
        </is>
      </c>
      <c r="AL232" t="inlineStr">
        <is>
          <t/>
        </is>
      </c>
    </row>
    <row r="233">
      <c r="A233" t="inlineStr">
        <is>
          <t>70块💰承包半月夜宵，这虾比泡面还值！</t>
        </is>
      </c>
      <c r="B233" t="inlineStr">
        <is>
          <t>690e0ba400000000040036d1</t>
        </is>
      </c>
      <c r="C233" s="232" t="n">
        <f>HYPERLINK("https://www.xiaohongshu.com/explore/690e0ba400000000040036d1?xsec_token=TBJajQDaP2lymAuuRX7yQPUY3VOC-tszq6XPdiMtwpfcs=&amp;xsec_source=pc_trdark","https://www.xiaohongshu.com/explore/690e0ba400000000040036d1?xsec_token=TBJajQDaP2lymAuuRX7yQPUY3VOC-tszq6XPdiMtwpfcs=&amp;xsec_source=pc_trdark")</f>
        <v>0.0</v>
      </c>
      <c r="D233" t="inlineStr">
        <is>
          <t>鲜水湾</t>
        </is>
      </c>
      <c r="E233" t="inlineStr">
        <is>
          <t>49316638994</t>
        </is>
      </c>
      <c r="F233" t="inlineStr">
        <is>
          <t>2025-11-07 23:09:24</t>
        </is>
      </c>
      <c r="G233" t="inlineStr">
        <is>
          <t>图文</t>
        </is>
      </c>
      <c r="H233" t="inlineStr">
        <is>
          <t>大虾基围虾王牌大虾厄瓜多尔白虾盐冻虾仁海洋大虾送礼顺丰包邮</t>
        </is>
      </c>
      <c r="I233" t="inlineStr">
        <is>
          <t>690aeb7be379430001e686ac</t>
        </is>
      </c>
      <c r="J233" t="inlineStr">
        <is>
          <t/>
        </is>
      </c>
      <c r="K233" t="n">
        <v>0.0</v>
      </c>
      <c r="L233" t="n">
        <v>0.0</v>
      </c>
      <c r="M233" t="n">
        <v>0.0</v>
      </c>
      <c r="N233" t="inlineStr">
        <is>
          <t/>
        </is>
      </c>
      <c r="O233" t="n">
        <v>0.0</v>
      </c>
      <c r="P233" t="n">
        <v>0.0</v>
      </c>
      <c r="Q233" t="inlineStr">
        <is>
          <t/>
        </is>
      </c>
      <c r="R233" t="inlineStr">
        <is>
          <t/>
        </is>
      </c>
      <c r="S233" t="n">
        <v>0.0</v>
      </c>
      <c r="T233" t="n">
        <v>0.0</v>
      </c>
      <c r="U233" t="n">
        <v>0.0</v>
      </c>
      <c r="V233" t="n">
        <v>0.0</v>
      </c>
      <c r="W233" t="inlineStr">
        <is>
          <t/>
        </is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inlineStr">
        <is>
          <t/>
        </is>
      </c>
      <c r="AL2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2026-08-22T09:39:46Z</dcterms:created>
  <dc:creator>Apache POI</dc:creator>
</cp:coreProperties>
</file>