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笔记数据-(2025年11月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6">
    <font>
      <sz val="11.0"/>
      <color indexed="8"/>
      <name val="Calibri"/>
      <family val="2"/>
      <scheme val="minor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</cols>
  <sheetData>
    <row r="1">
      <c r="A1" t="inlineStr">
        <is>
          <t>笔记标题</t>
        </is>
      </c>
      <c r="B1" t="inlineStr">
        <is>
          <t>笔记ID</t>
        </is>
      </c>
      <c r="C1" t="inlineStr">
        <is>
          <t>笔记链接</t>
        </is>
      </c>
      <c r="D1" t="inlineStr">
        <is>
          <t>作者昵称</t>
        </is>
      </c>
      <c r="E1" t="inlineStr">
        <is>
          <t>作者xhs_ID</t>
        </is>
      </c>
      <c r="F1" t="inlineStr">
        <is>
          <t>笔记创建时间</t>
        </is>
      </c>
      <c r="G1" t="inlineStr">
        <is>
          <t>笔记类型</t>
        </is>
      </c>
      <c r="H1" t="inlineStr">
        <is>
          <t>关联商品名称</t>
        </is>
      </c>
      <c r="I1" t="inlineStr">
        <is>
          <t>关联商品ID</t>
        </is>
      </c>
      <c r="J1" t="inlineStr">
        <is>
          <t>视频时长（秒）</t>
        </is>
      </c>
      <c r="K1" t="inlineStr">
        <is>
          <t>笔记支付金额</t>
        </is>
      </c>
      <c r="L1" t="inlineStr">
        <is>
          <t>笔记支付订单数</t>
        </is>
      </c>
      <c r="M1" t="inlineStr">
        <is>
          <t>笔记商品点击次数</t>
        </is>
      </c>
      <c r="N1" t="inlineStr">
        <is>
          <t>笔记商品点击率（PV）</t>
        </is>
      </c>
      <c r="O1" t="inlineStr">
        <is>
          <t>笔记商品点击人数</t>
        </is>
      </c>
      <c r="P1" t="inlineStr">
        <is>
          <t>笔记支付人数</t>
        </is>
      </c>
      <c r="Q1" t="inlineStr">
        <is>
          <t>笔记支付转化率（PV）</t>
        </is>
      </c>
      <c r="R1" t="inlineStr">
        <is>
          <t>笔记支付转化率（UV）</t>
        </is>
      </c>
      <c r="S1" t="inlineStr">
        <is>
          <t>笔记退款金额（退款时间）</t>
        </is>
      </c>
      <c r="T1" t="inlineStr">
        <is>
          <t>笔记退款订单数（退款时间）</t>
        </is>
      </c>
      <c r="U1" t="inlineStr">
        <is>
          <t>笔记退款人数（退款时间）</t>
        </is>
      </c>
      <c r="V1" t="inlineStr">
        <is>
          <t>笔记退款金额（支付时间）</t>
        </is>
      </c>
      <c r="W1" t="inlineStr">
        <is>
          <t>笔记退款率（支付时间）</t>
        </is>
      </c>
      <c r="X1" t="inlineStr">
        <is>
          <t>笔记退款订单数（支付时间）</t>
        </is>
      </c>
      <c r="Y1" t="inlineStr">
        <is>
          <t>笔记加购件数</t>
        </is>
      </c>
      <c r="Z1" t="inlineStr">
        <is>
          <t>引流店铺主页次数</t>
        </is>
      </c>
      <c r="AA1" t="inlineStr">
        <is>
          <t>引流店铺主页支付金额</t>
        </is>
      </c>
      <c r="AB1" t="inlineStr">
        <is>
          <t>引流直播间次数</t>
        </is>
      </c>
      <c r="AC1" t="inlineStr">
        <is>
          <t>引流直播间支付金额</t>
        </is>
      </c>
      <c r="AD1" t="inlineStr">
        <is>
          <t>笔记阅读数</t>
        </is>
      </c>
      <c r="AE1" t="inlineStr">
        <is>
          <t>点赞次数</t>
        </is>
      </c>
      <c r="AF1" t="inlineStr">
        <is>
          <t>收藏次数</t>
        </is>
      </c>
      <c r="AG1" t="inlineStr">
        <is>
          <t>评论次数</t>
        </is>
      </c>
      <c r="AH1" t="inlineStr">
        <is>
          <t>分享次数</t>
        </is>
      </c>
      <c r="AI1" t="inlineStr">
        <is>
          <t>笔记点击关注次数</t>
        </is>
      </c>
      <c r="AJ1" t="inlineStr">
        <is>
          <t>弹幕次数</t>
        </is>
      </c>
      <c r="AK1" t="inlineStr">
        <is>
          <t>平均阅读时长（观播时长）</t>
        </is>
      </c>
      <c r="AL1" t="inlineStr">
        <is>
          <t>完播率（PV）</t>
        </is>
      </c>
    </row>
    <row r="2">
      <c r="A2" t="inlineStr">
        <is>
          <t>这么大的生蚝你能吃几个？</t>
        </is>
      </c>
      <c r="B2" t="inlineStr">
        <is>
          <t>691fc5ba000000000d00dc1c</t>
        </is>
      </c>
      <c r="C2" s="1" t="n">
        <f>HYPERLINK("https://www.xiaohongshu.com/explore/691fc5ba000000000d00dc1c?xsec_token=TB9t7o6BDguR_qahx6dS5pPXFWnUerXqHlE57ibpG65j0=&amp;xsec_source=pc_trdark","https://www.xiaohongshu.com/explore/691fc5ba000000000d00dc1c?xsec_token=TB9t7o6BDguR_qahx6dS5pPXFWnUerXqHlE57ibpG65j0=&amp;xsec_source=pc_trdark")</f>
        <v>0.0</v>
      </c>
      <c r="D2" t="inlineStr">
        <is>
          <t>婉婉上班吃什么</t>
        </is>
      </c>
      <c r="E2" t="inlineStr">
        <is>
          <t>11434449706</t>
        </is>
      </c>
      <c r="F2" t="inlineStr">
        <is>
          <t>2025-11-21 09:51:54</t>
        </is>
      </c>
      <c r="G2" t="inlineStr">
        <is>
          <t>视频</t>
        </is>
      </c>
      <c r="H2" t="inlineStr">
        <is>
          <t>生蚝乳山生蚝海蛎子顺丰包邮</t>
        </is>
      </c>
      <c r="I2" t="inlineStr">
        <is>
          <t>690c70971b787900010866cc</t>
        </is>
      </c>
      <c r="J2" t="n">
        <v>16.0</v>
      </c>
      <c r="K2" t="n">
        <v>179.7</v>
      </c>
      <c r="L2" t="n">
        <v>3.0</v>
      </c>
      <c r="M2" t="n">
        <v>84.0</v>
      </c>
      <c r="N2" t="inlineStr">
        <is>
          <t>0.031122638014079287</t>
        </is>
      </c>
      <c r="O2" t="n">
        <v>77.0</v>
      </c>
      <c r="P2" t="n">
        <v>3.0</v>
      </c>
      <c r="Q2" t="inlineStr">
        <is>
          <t>0.03571428571428571</t>
        </is>
      </c>
      <c r="R2" t="inlineStr">
        <is>
          <t>0.03896103896103896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9.0</v>
      </c>
      <c r="Z2" t="n">
        <v>6.0</v>
      </c>
      <c r="AA2" t="n">
        <v>0.0</v>
      </c>
      <c r="AB2" t="n">
        <v>1.0</v>
      </c>
      <c r="AC2" t="n">
        <v>0.0</v>
      </c>
      <c r="AD2" t="n">
        <v>2699.0</v>
      </c>
      <c r="AE2" t="n">
        <v>11.0</v>
      </c>
      <c r="AF2" t="n">
        <v>5.0</v>
      </c>
      <c r="AG2" t="n">
        <v>6.0</v>
      </c>
      <c r="AH2" t="n">
        <v>0.0</v>
      </c>
      <c r="AI2" t="n">
        <v>1.0</v>
      </c>
      <c r="AJ2" t="n">
        <v>0.0</v>
      </c>
      <c r="AK2" t="n">
        <v>7.61170804001482</v>
      </c>
      <c r="AL2" t="n">
        <v>0.2883031301482702</v>
      </c>
    </row>
    <row r="3">
      <c r="A3" t="inlineStr">
        <is>
          <t>爆浆的生蚝能吃吗？</t>
        </is>
      </c>
      <c r="B3" t="inlineStr">
        <is>
          <t>691ed184000000001f008fde</t>
        </is>
      </c>
      <c r="C3" s="2" t="n">
        <f>HYPERLINK("https://www.xiaohongshu.com/explore/691ed184000000001f008fde?xsec_token=TBP5gqTrG7DCZJhae0kWWz8FB-IXxbZH93VjaVQAM6cMc=&amp;xsec_source=pc_trdark","https://www.xiaohongshu.com/explore/691ed184000000001f008fde?xsec_token=TBP5gqTrG7DCZJhae0kWWz8FB-IXxbZH93VjaVQAM6cMc=&amp;xsec_source=pc_trdark")</f>
        <v>0.0</v>
      </c>
      <c r="D3" t="inlineStr">
        <is>
          <t>婉婉上班吃什么</t>
        </is>
      </c>
      <c r="E3" t="inlineStr">
        <is>
          <t>11434449706</t>
        </is>
      </c>
      <c r="F3" t="inlineStr">
        <is>
          <t>2025-11-20 17:29:55</t>
        </is>
      </c>
      <c r="G3" t="inlineStr">
        <is>
          <t>视频</t>
        </is>
      </c>
      <c r="H3" t="inlineStr">
        <is>
          <t>生蚝乳山生蚝海蛎子顺丰包邮</t>
        </is>
      </c>
      <c r="I3" t="inlineStr">
        <is>
          <t>690c70971b787900010866cc</t>
        </is>
      </c>
      <c r="J3" t="n">
        <v>33.0</v>
      </c>
      <c r="K3" t="n">
        <v>0.0</v>
      </c>
      <c r="L3" t="n">
        <v>0.0</v>
      </c>
      <c r="M3" t="n">
        <v>40.0</v>
      </c>
      <c r="N3" t="inlineStr">
        <is>
          <t>0.017817371937639197</t>
        </is>
      </c>
      <c r="O3" t="n">
        <v>37.0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inlineStr">
        <is>
          <t/>
        </is>
      </c>
      <c r="X3" t="n">
        <v>0.0</v>
      </c>
      <c r="Y3" t="n">
        <v>1.0</v>
      </c>
      <c r="Z3" t="n">
        <v>10.0</v>
      </c>
      <c r="AA3" t="n">
        <v>0.0</v>
      </c>
      <c r="AB3" t="n">
        <v>0.0</v>
      </c>
      <c r="AC3" t="n">
        <v>0.0</v>
      </c>
      <c r="AD3" t="n">
        <v>2245.0</v>
      </c>
      <c r="AE3" t="n">
        <v>14.0</v>
      </c>
      <c r="AF3" t="n">
        <v>1.0</v>
      </c>
      <c r="AG3" t="n">
        <v>0.0</v>
      </c>
      <c r="AH3" t="n">
        <v>2.0</v>
      </c>
      <c r="AI3" t="n">
        <v>1.0</v>
      </c>
      <c r="AJ3" t="n">
        <v>0.0</v>
      </c>
      <c r="AK3" t="n">
        <v>21.701559020044545</v>
      </c>
      <c r="AL3" t="n">
        <v>0.4294683968187526</v>
      </c>
    </row>
    <row r="4">
      <c r="A4" t="inlineStr">
        <is>
          <t>我爸说便宜卖吧，反正就这一季 59.9五斤</t>
        </is>
      </c>
      <c r="B4" t="inlineStr">
        <is>
          <t>691ebdcb000000001e002b14</t>
        </is>
      </c>
      <c r="C4" s="3" t="n">
        <f>HYPERLINK("https://www.xiaohongshu.com/explore/691ebdcb000000001e002b14?xsec_token=TBP5gqTrG7DCZJhae0kWWz8MreBPBR2VXWtg4UwlogV50=&amp;xsec_source=pc_trdark","https://www.xiaohongshu.com/explore/691ebdcb000000001e002b14?xsec_token=TBP5gqTrG7DCZJhae0kWWz8MreBPBR2VXWtg4UwlogV50=&amp;xsec_source=pc_trdark")</f>
        <v>0.0</v>
      </c>
      <c r="D4" t="inlineStr">
        <is>
          <t>婉婉上班吃什么</t>
        </is>
      </c>
      <c r="E4" t="inlineStr">
        <is>
          <t>11434449706</t>
        </is>
      </c>
      <c r="F4" t="inlineStr">
        <is>
          <t>2025-11-20 15:05:47</t>
        </is>
      </c>
      <c r="G4" t="inlineStr">
        <is>
          <t>视频</t>
        </is>
      </c>
      <c r="H4" t="inlineStr">
        <is>
          <t>生蚝乳山生蚝海蛎子顺丰包邮</t>
        </is>
      </c>
      <c r="I4" t="inlineStr">
        <is>
          <t>690c70971b787900010866cc</t>
        </is>
      </c>
      <c r="J4" t="n">
        <v>30.0</v>
      </c>
      <c r="K4" t="n">
        <v>0.0</v>
      </c>
      <c r="L4" t="n">
        <v>0.0</v>
      </c>
      <c r="M4" t="n">
        <v>88.0</v>
      </c>
      <c r="N4" t="inlineStr">
        <is>
          <t>0.05605095541401274</t>
        </is>
      </c>
      <c r="O4" t="n">
        <v>76.0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inlineStr">
        <is>
          <t/>
        </is>
      </c>
      <c r="X4" t="n">
        <v>0.0</v>
      </c>
      <c r="Y4" t="n">
        <v>11.0</v>
      </c>
      <c r="Z4" t="n">
        <v>6.0</v>
      </c>
      <c r="AA4" t="n">
        <v>0.0</v>
      </c>
      <c r="AB4" t="n">
        <v>0.0</v>
      </c>
      <c r="AC4" t="n">
        <v>0.0</v>
      </c>
      <c r="AD4" t="n">
        <v>1570.0</v>
      </c>
      <c r="AE4" t="n">
        <v>10.0</v>
      </c>
      <c r="AF4" t="n">
        <v>2.0</v>
      </c>
      <c r="AG4" t="n">
        <v>2.0</v>
      </c>
      <c r="AH4" t="n">
        <v>7.0</v>
      </c>
      <c r="AI4" t="n">
        <v>1.0</v>
      </c>
      <c r="AJ4" t="n">
        <v>0.0</v>
      </c>
      <c r="AK4" t="n">
        <v>10.971337579617835</v>
      </c>
      <c r="AL4" t="n">
        <v>0.1636029411764706</v>
      </c>
    </row>
    <row r="5">
      <c r="A5" t="inlineStr">
        <is>
          <t>59.9r到手5斤，大小一个价，喜欢的来尝尝</t>
        </is>
      </c>
      <c r="B5" t="inlineStr">
        <is>
          <t>691a7ea200000000050388b4</t>
        </is>
      </c>
      <c r="C5" s="4" t="n">
        <f>HYPERLINK("https://www.xiaohongshu.com/explore/691a7ea200000000050388b4?xsec_token=TB7_xX17zVvyJQL8hbcdzoIN866HpH48suQ8lZBcFNk0Q=&amp;xsec_source=pc_trdark","https://www.xiaohongshu.com/explore/691a7ea200000000050388b4?xsec_token=TB7_xX17zVvyJQL8hbcdzoIN866HpH48suQ8lZBcFNk0Q=&amp;xsec_source=pc_trdark")</f>
        <v>0.0</v>
      </c>
      <c r="D5" t="inlineStr">
        <is>
          <t>婉婉上班吃什么</t>
        </is>
      </c>
      <c r="E5" t="inlineStr">
        <is>
          <t>11434449706</t>
        </is>
      </c>
      <c r="F5" t="inlineStr">
        <is>
          <t>2025-11-17 11:47:00</t>
        </is>
      </c>
      <c r="G5" t="inlineStr">
        <is>
          <t>视频</t>
        </is>
      </c>
      <c r="H5" t="inlineStr">
        <is>
          <t>生蚝乳山生蚝海蛎子顺丰包邮</t>
        </is>
      </c>
      <c r="I5" t="inlineStr">
        <is>
          <t>690c70971b787900010866cc</t>
        </is>
      </c>
      <c r="J5" t="n">
        <v>28.0</v>
      </c>
      <c r="K5" t="n">
        <v>1198.4</v>
      </c>
      <c r="L5" t="n">
        <v>16.0</v>
      </c>
      <c r="M5" t="n">
        <v>158.0</v>
      </c>
      <c r="N5" t="inlineStr">
        <is>
          <t>0.11643330876934414</t>
        </is>
      </c>
      <c r="O5" t="n">
        <v>141.0</v>
      </c>
      <c r="P5" t="n">
        <v>16.0</v>
      </c>
      <c r="Q5" t="inlineStr">
        <is>
          <t>0.10126582278481013</t>
        </is>
      </c>
      <c r="R5" t="inlineStr">
        <is>
          <t>0.11347517730496454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20.0</v>
      </c>
      <c r="Z5" t="n">
        <v>23.0</v>
      </c>
      <c r="AA5" t="n">
        <v>0.0</v>
      </c>
      <c r="AB5" t="n">
        <v>0.0</v>
      </c>
      <c r="AC5" t="n">
        <v>0.0</v>
      </c>
      <c r="AD5" t="n">
        <v>1357.0</v>
      </c>
      <c r="AE5" t="n">
        <v>19.0</v>
      </c>
      <c r="AF5" t="n">
        <v>5.0</v>
      </c>
      <c r="AG5" t="n">
        <v>4.0</v>
      </c>
      <c r="AH5" t="n">
        <v>4.0</v>
      </c>
      <c r="AI5" t="n">
        <v>4.0</v>
      </c>
      <c r="AJ5" t="n">
        <v>0.0</v>
      </c>
      <c r="AK5" t="n">
        <v>15.184229918938836</v>
      </c>
      <c r="AL5" t="inlineStr">
        <is>
          <t>0.21530802738021157</t>
        </is>
      </c>
    </row>
    <row r="6">
      <c r="A6" t="inlineStr">
        <is>
          <t>有人爱吃生蚝吗？</t>
        </is>
      </c>
      <c r="B6" t="inlineStr">
        <is>
          <t>691e96e5000000001b0336b0</t>
        </is>
      </c>
      <c r="C6" s="5" t="n">
        <f>HYPERLINK("https://www.xiaohongshu.com/explore/691e96e5000000001b0336b0?xsec_token=TBP5gqTrG7DCZJhae0kWWz8E3gK_-i3XaMhK6pJ0ZsMR0=&amp;xsec_source=pc_trdark","https://www.xiaohongshu.com/explore/691e96e5000000001b0336b0?xsec_token=TBP5gqTrG7DCZJhae0kWWz8E3gK_-i3XaMhK6pJ0ZsMR0=&amp;xsec_source=pc_trdark")</f>
        <v>0.0</v>
      </c>
      <c r="D6" t="inlineStr">
        <is>
          <t>婉婉上班吃什么</t>
        </is>
      </c>
      <c r="E6" t="inlineStr">
        <is>
          <t>11434449706</t>
        </is>
      </c>
      <c r="F6" t="inlineStr">
        <is>
          <t>2025-11-20 12:19:49</t>
        </is>
      </c>
      <c r="G6" t="inlineStr">
        <is>
          <t>视频</t>
        </is>
      </c>
      <c r="H6" t="inlineStr">
        <is>
          <t>生蚝乳山生蚝海蛎子顺丰包邮</t>
        </is>
      </c>
      <c r="I6" t="inlineStr">
        <is>
          <t>690c70971b787900010866cc</t>
        </is>
      </c>
      <c r="J6" t="n">
        <v>26.0</v>
      </c>
      <c r="K6" t="n">
        <v>119.8</v>
      </c>
      <c r="L6" t="n">
        <v>2.0</v>
      </c>
      <c r="M6" t="n">
        <v>46.0</v>
      </c>
      <c r="N6" t="inlineStr">
        <is>
          <t>0.042279411764705885</t>
        </is>
      </c>
      <c r="O6" t="n">
        <v>41.0</v>
      </c>
      <c r="P6" t="n">
        <v>2.0</v>
      </c>
      <c r="Q6" t="inlineStr">
        <is>
          <t>0.043478260869565216</t>
        </is>
      </c>
      <c r="R6" t="inlineStr">
        <is>
          <t>0.04878048780487805</t>
        </is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6.0</v>
      </c>
      <c r="Z6" t="n">
        <v>5.0</v>
      </c>
      <c r="AA6" t="n">
        <v>0.0</v>
      </c>
      <c r="AB6" t="n">
        <v>0.0</v>
      </c>
      <c r="AC6" t="n">
        <v>0.0</v>
      </c>
      <c r="AD6" t="n">
        <v>1088.0</v>
      </c>
      <c r="AE6" t="n">
        <v>2.0</v>
      </c>
      <c r="AF6" t="n">
        <v>0.0</v>
      </c>
      <c r="AG6" t="n">
        <v>1.0</v>
      </c>
      <c r="AH6" t="n">
        <v>0.0</v>
      </c>
      <c r="AI6" t="n">
        <v>0.0</v>
      </c>
      <c r="AJ6" t="n">
        <v>0.0</v>
      </c>
      <c r="AK6" t="n">
        <v>6.965992647058823</v>
      </c>
      <c r="AL6" t="inlineStr">
        <is>
          <t>0.10796645702306079</t>
        </is>
      </c>
    </row>
    <row r="7">
      <c r="A7" t="inlineStr">
        <is>
          <t>这么大的乳山生蚝你能吃几个？</t>
        </is>
      </c>
      <c r="B7" t="inlineStr">
        <is>
          <t>69226d6e000000001d03ec8c</t>
        </is>
      </c>
      <c r="C7" s="6" t="n">
        <f>HYPERLINK("https://www.xiaohongshu.com/explore/69226d6e000000001d03ec8c?xsec_token=TBE5pHIrkzq8Q5V7PHhpUNB5T5qqIMUi8lG3Wczb5nJ38=&amp;xsec_source=pc_trdark","https://www.xiaohongshu.com/explore/69226d6e000000001d03ec8c?xsec_token=TBE5pHIrkzq8Q5V7PHhpUNB5T5qqIMUi8lG3Wczb5nJ38=&amp;xsec_source=pc_trdark")</f>
        <v>0.0</v>
      </c>
      <c r="D7" t="inlineStr">
        <is>
          <t>婉婉上班吃什么</t>
        </is>
      </c>
      <c r="E7" t="inlineStr">
        <is>
          <t>11434449706</t>
        </is>
      </c>
      <c r="F7" t="inlineStr">
        <is>
          <t>2025-11-23 10:11:58</t>
        </is>
      </c>
      <c r="G7" t="inlineStr">
        <is>
          <t>视频</t>
        </is>
      </c>
      <c r="H7" t="inlineStr">
        <is>
          <t>生蚝乳山生蚝海蛎子顺丰包邮</t>
        </is>
      </c>
      <c r="I7" t="inlineStr">
        <is>
          <t>690c70971b787900010866cc</t>
        </is>
      </c>
      <c r="J7" t="n">
        <v>16.0</v>
      </c>
      <c r="K7" t="n">
        <v>0.0</v>
      </c>
      <c r="L7" t="n">
        <v>0.0</v>
      </c>
      <c r="M7" t="n">
        <v>45.0</v>
      </c>
      <c r="N7" t="inlineStr">
        <is>
          <t>0.04653567735263702</t>
        </is>
      </c>
      <c r="O7" t="n">
        <v>40.0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inlineStr">
        <is>
          <t/>
        </is>
      </c>
      <c r="X7" t="n">
        <v>0.0</v>
      </c>
      <c r="Y7" t="n">
        <v>5.0</v>
      </c>
      <c r="Z7" t="n">
        <v>10.0</v>
      </c>
      <c r="AA7" t="n">
        <v>0.0</v>
      </c>
      <c r="AB7" t="n">
        <v>0.0</v>
      </c>
      <c r="AC7" t="n">
        <v>0.0</v>
      </c>
      <c r="AD7" t="n">
        <v>967.0</v>
      </c>
      <c r="AE7" t="n">
        <v>8.0</v>
      </c>
      <c r="AF7" t="n">
        <v>1.0</v>
      </c>
      <c r="AG7" t="n">
        <v>3.0</v>
      </c>
      <c r="AH7" t="n">
        <v>4.0</v>
      </c>
      <c r="AI7" t="n">
        <v>1.0</v>
      </c>
      <c r="AJ7" t="n">
        <v>0.0</v>
      </c>
      <c r="AK7" t="n">
        <v>9.339193381592555</v>
      </c>
      <c r="AL7" t="inlineStr">
        <is>
          <t>0.27911275415896486</t>
        </is>
      </c>
    </row>
    <row r="8">
      <c r="A8" t="inlineStr">
        <is>
          <t>不要低估50💰的购买力，敞开吃吧……</t>
        </is>
      </c>
      <c r="B8" t="inlineStr">
        <is>
          <t>691dcca3000000001f00d933</t>
        </is>
      </c>
      <c r="C8" s="7" t="n">
        <f>HYPERLINK("https://www.xiaohongshu.com/explore/691dcca3000000001f00d933?xsec_token=TBfJie4P5Jl9AylR95m8dPVEOjESP3RSw2zKhQaeR8JJ0=&amp;xsec_source=pc_trdark","https://www.xiaohongshu.com/explore/691dcca3000000001f00d933?xsec_token=TBfJie4P5Jl9AylR95m8dPVEOjESP3RSw2zKhQaeR8JJ0=&amp;xsec_source=pc_trdark")</f>
        <v>0.0</v>
      </c>
      <c r="D8" t="inlineStr">
        <is>
          <t>婉婉上班吃什么</t>
        </is>
      </c>
      <c r="E8" t="inlineStr">
        <is>
          <t>11434449706</t>
        </is>
      </c>
      <c r="F8" t="inlineStr">
        <is>
          <t>2025-11-19 21:56:51</t>
        </is>
      </c>
      <c r="G8" t="inlineStr">
        <is>
          <t>视频</t>
        </is>
      </c>
      <c r="H8" t="inlineStr">
        <is>
          <t>生蚝乳山生蚝海蛎子顺丰包邮</t>
        </is>
      </c>
      <c r="I8" t="inlineStr">
        <is>
          <t>690c70971b787900010866cc</t>
        </is>
      </c>
      <c r="J8" t="n">
        <v>29.0</v>
      </c>
      <c r="K8" t="n">
        <v>59.9</v>
      </c>
      <c r="L8" t="n">
        <v>1.0</v>
      </c>
      <c r="M8" t="n">
        <v>49.0</v>
      </c>
      <c r="N8" t="inlineStr">
        <is>
          <t>0.062261753494282084</t>
        </is>
      </c>
      <c r="O8" t="n">
        <v>45.0</v>
      </c>
      <c r="P8" t="n">
        <v>1.0</v>
      </c>
      <c r="Q8" t="inlineStr">
        <is>
          <t>0.02040816326530612</t>
        </is>
      </c>
      <c r="R8" t="inlineStr">
        <is>
          <t>0.022222222222222223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1.0</v>
      </c>
      <c r="Z8" t="n">
        <v>4.0</v>
      </c>
      <c r="AA8" t="n">
        <v>0.0</v>
      </c>
      <c r="AB8" t="n">
        <v>0.0</v>
      </c>
      <c r="AC8" t="n">
        <v>0.0</v>
      </c>
      <c r="AD8" t="n">
        <v>787.0</v>
      </c>
      <c r="AE8" t="n">
        <v>3.0</v>
      </c>
      <c r="AF8" t="n">
        <v>1.0</v>
      </c>
      <c r="AG8" t="n">
        <v>1.0</v>
      </c>
      <c r="AH8" t="n">
        <v>2.0</v>
      </c>
      <c r="AI8" t="n">
        <v>2.0</v>
      </c>
      <c r="AJ8" t="n">
        <v>0.0</v>
      </c>
      <c r="AK8" t="n">
        <v>6.7725540025412965</v>
      </c>
      <c r="AL8" t="inlineStr">
        <is>
          <t>0.08494783904619971</t>
        </is>
      </c>
    </row>
    <row r="9">
      <c r="A9" t="inlineStr">
        <is>
          <t>60块的购买力又刷新了我的认知！</t>
        </is>
      </c>
      <c r="B9" t="inlineStr">
        <is>
          <t>6916ee160000000005012c8b</t>
        </is>
      </c>
      <c r="C9" s="8" t="n">
        <f>HYPERLINK("https://www.xiaohongshu.com/explore/6916ee160000000005012c8b?xsec_token=TBHZiehrAOyLGw_5sWYDTDSeI0v6Sx52eesnzvEiyObhc=&amp;xsec_source=pc_trdark","https://www.xiaohongshu.com/explore/6916ee160000000005012c8b?xsec_token=TBHZiehrAOyLGw_5sWYDTDSeI0v6Sx52eesnzvEiyObhc=&amp;xsec_source=pc_trdark")</f>
        <v>0.0</v>
      </c>
      <c r="D9" t="inlineStr">
        <is>
          <t>婉婉上班吃什么</t>
        </is>
      </c>
      <c r="E9" t="inlineStr">
        <is>
          <t>11434449706</t>
        </is>
      </c>
      <c r="F9" t="inlineStr">
        <is>
          <t>2025-11-14 16:53:42</t>
        </is>
      </c>
      <c r="G9" t="inlineStr">
        <is>
          <t>视频</t>
        </is>
      </c>
      <c r="H9" t="inlineStr">
        <is>
          <t>生蚝乳山生蚝海蛎子顺丰包邮</t>
        </is>
      </c>
      <c r="I9" t="inlineStr">
        <is>
          <t>690c70971b787900010866cc</t>
        </is>
      </c>
      <c r="J9" t="n">
        <v>14.0</v>
      </c>
      <c r="K9" t="n">
        <v>269.6</v>
      </c>
      <c r="L9" t="n">
        <v>4.0</v>
      </c>
      <c r="M9" t="n">
        <v>71.0</v>
      </c>
      <c r="N9" t="inlineStr">
        <is>
          <t>0.09033078880407125</t>
        </is>
      </c>
      <c r="O9" t="n">
        <v>63.0</v>
      </c>
      <c r="P9" t="n">
        <v>4.0</v>
      </c>
      <c r="Q9" t="inlineStr">
        <is>
          <t>0.056338028169014086</t>
        </is>
      </c>
      <c r="R9" t="inlineStr">
        <is>
          <t>0.06349206349206349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6.0</v>
      </c>
      <c r="Z9" t="n">
        <v>16.0</v>
      </c>
      <c r="AA9" t="n">
        <v>59.9</v>
      </c>
      <c r="AB9" t="n">
        <v>0.0</v>
      </c>
      <c r="AC9" t="n">
        <v>0.0</v>
      </c>
      <c r="AD9" t="n">
        <v>786.0</v>
      </c>
      <c r="AE9" t="n">
        <v>6.0</v>
      </c>
      <c r="AF9" t="n">
        <v>2.0</v>
      </c>
      <c r="AG9" t="n">
        <v>1.0</v>
      </c>
      <c r="AH9" t="n">
        <v>0.0</v>
      </c>
      <c r="AI9" t="n">
        <v>2.0</v>
      </c>
      <c r="AJ9" t="n">
        <v>0.0</v>
      </c>
      <c r="AK9" t="n">
        <v>9.945292620865139</v>
      </c>
      <c r="AL9" t="n">
        <v>0.3123209169054441</v>
      </c>
    </row>
    <row r="10">
      <c r="A10" t="inlineStr">
        <is>
          <t>这么大的生蚝你能吃几个？</t>
        </is>
      </c>
      <c r="B10" t="inlineStr">
        <is>
          <t>6923f964000000001e027c8f</t>
        </is>
      </c>
      <c r="C10" s="9" t="n">
        <f>HYPERLINK("https://www.xiaohongshu.com/explore/6923f964000000001e027c8f?xsec_token=TBBxL79LDzc6WqpUNHJD-EhWwcY2GgAg9WSXeLoqYOhgc=&amp;xsec_source=pc_trdark","https://www.xiaohongshu.com/explore/6923f964000000001e027c8f?xsec_token=TBBxL79LDzc6WqpUNHJD-EhWwcY2GgAg9WSXeLoqYOhgc=&amp;xsec_source=pc_trdark")</f>
        <v>0.0</v>
      </c>
      <c r="D10" t="inlineStr">
        <is>
          <t>婉婉上班吃什么</t>
        </is>
      </c>
      <c r="E10" t="inlineStr">
        <is>
          <t>11434449706</t>
        </is>
      </c>
      <c r="F10" t="inlineStr">
        <is>
          <t>2025-11-24 14:21:24</t>
        </is>
      </c>
      <c r="G10" t="inlineStr">
        <is>
          <t>视频</t>
        </is>
      </c>
      <c r="H10" t="inlineStr">
        <is>
          <t>生蚝乳山生蚝海蛎子顺丰包邮</t>
        </is>
      </c>
      <c r="I10" t="inlineStr">
        <is>
          <t>690c70971b787900010866cc</t>
        </is>
      </c>
      <c r="J10" t="n">
        <v>16.0</v>
      </c>
      <c r="K10" t="n">
        <v>59.9</v>
      </c>
      <c r="L10" t="n">
        <v>1.0</v>
      </c>
      <c r="M10" t="n">
        <v>23.0</v>
      </c>
      <c r="N10" t="inlineStr">
        <is>
          <t>0.030831099195710455</t>
        </is>
      </c>
      <c r="O10" t="n">
        <v>22.0</v>
      </c>
      <c r="P10" t="n">
        <v>1.0</v>
      </c>
      <c r="Q10" t="inlineStr">
        <is>
          <t>0.043478260869565216</t>
        </is>
      </c>
      <c r="R10" t="inlineStr">
        <is>
          <t>0.045454545454545456</t>
        </is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4.0</v>
      </c>
      <c r="Z10" t="n">
        <v>17.0</v>
      </c>
      <c r="AA10" t="n">
        <v>0.0</v>
      </c>
      <c r="AB10" t="n">
        <v>0.0</v>
      </c>
      <c r="AC10" t="n">
        <v>0.0</v>
      </c>
      <c r="AD10" t="n">
        <v>746.0</v>
      </c>
      <c r="AE10" t="n">
        <v>7.0</v>
      </c>
      <c r="AF10" t="n">
        <v>2.0</v>
      </c>
      <c r="AG10" t="n">
        <v>1.0</v>
      </c>
      <c r="AH10" t="n">
        <v>0.0</v>
      </c>
      <c r="AI10" t="n">
        <v>0.0</v>
      </c>
      <c r="AJ10" t="n">
        <v>0.0</v>
      </c>
      <c r="AK10" t="n">
        <v>9.986595174262735</v>
      </c>
      <c r="AL10" t="n">
        <v>0.3032994923857868</v>
      </c>
    </row>
    <row r="11">
      <c r="A11" t="inlineStr">
        <is>
          <t>又到吃生蚝的季节了！🔥</t>
        </is>
      </c>
      <c r="B11" t="inlineStr">
        <is>
          <t>691090c7000000000503163c</t>
        </is>
      </c>
      <c r="C11" s="10" t="n">
        <f>HYPERLINK("https://www.xiaohongshu.com/explore/691090c7000000000503163c?xsec_token=TBUjpd2w0LBMv9oJsd0xbTvJFCxAqWbZPRJB7jhMDNDKk=&amp;xsec_source=pc_trdark","https://www.xiaohongshu.com/explore/691090c7000000000503163c?xsec_token=TBUjpd2w0LBMv9oJsd0xbTvJFCxAqWbZPRJB7jhMDNDKk=&amp;xsec_source=pc_trdark")</f>
        <v>0.0</v>
      </c>
      <c r="D11" t="inlineStr">
        <is>
          <t>婉婉上班吃什么</t>
        </is>
      </c>
      <c r="E11" t="inlineStr">
        <is>
          <t>11434449706</t>
        </is>
      </c>
      <c r="F11" t="inlineStr">
        <is>
          <t>2025-11-09 21:01:59</t>
        </is>
      </c>
      <c r="G11" t="inlineStr">
        <is>
          <t>视频</t>
        </is>
      </c>
      <c r="H11" t="inlineStr">
        <is>
          <t>生蚝乳山生蚝海蛎子顺丰包邮</t>
        </is>
      </c>
      <c r="I11" t="inlineStr">
        <is>
          <t>690c70971b787900010866cc</t>
        </is>
      </c>
      <c r="J11" t="n">
        <v>95.0</v>
      </c>
      <c r="K11" t="n">
        <v>549.1999999999999</v>
      </c>
      <c r="L11" t="n">
        <v>8.0</v>
      </c>
      <c r="M11" t="n">
        <v>63.0</v>
      </c>
      <c r="N11" t="inlineStr">
        <is>
          <t>0.08559782608695653</t>
        </is>
      </c>
      <c r="O11" t="n">
        <v>54.0</v>
      </c>
      <c r="P11" t="n">
        <v>8.0</v>
      </c>
      <c r="Q11" t="inlineStr">
        <is>
          <t>0.12698412698412698</t>
        </is>
      </c>
      <c r="R11" t="inlineStr">
        <is>
          <t>0.14814814814814814</t>
        </is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3.0</v>
      </c>
      <c r="Z11" t="n">
        <v>10.0</v>
      </c>
      <c r="AA11" t="n">
        <v>0.0</v>
      </c>
      <c r="AB11" t="n">
        <v>0.0</v>
      </c>
      <c r="AC11" t="n">
        <v>0.0</v>
      </c>
      <c r="AD11" t="n">
        <v>736.0</v>
      </c>
      <c r="AE11" t="n">
        <v>7.0</v>
      </c>
      <c r="AF11" t="n">
        <v>3.0</v>
      </c>
      <c r="AG11" t="n">
        <v>5.0</v>
      </c>
      <c r="AH11" t="n">
        <v>1.0</v>
      </c>
      <c r="AI11" t="n">
        <v>2.0</v>
      </c>
      <c r="AJ11" t="n">
        <v>0.0</v>
      </c>
      <c r="AK11" t="n">
        <v>17.233695652173914</v>
      </c>
      <c r="AL11" t="inlineStr">
        <is>
          <t>0.058823529411764705</t>
        </is>
      </c>
    </row>
    <row r="12">
      <c r="A12" t="inlineStr">
        <is>
          <t>59.9r到手5斤，大小一个价，喜欢的来尝尝</t>
        </is>
      </c>
      <c r="B12" t="inlineStr">
        <is>
          <t>69255a3e000000001e02599d</t>
        </is>
      </c>
      <c r="C12" s="11" t="n">
        <f>HYPERLINK("https://www.xiaohongshu.com/explore/69255a3e000000001e02599d?xsec_token=TBVx22ZAFho_bBgysCIliGP2XtefPNSKlizIM-CsqTrj0=&amp;xsec_source=pc_trdark","https://www.xiaohongshu.com/explore/69255a3e000000001e02599d?xsec_token=TBVx22ZAFho_bBgysCIliGP2XtefPNSKlizIM-CsqTrj0=&amp;xsec_source=pc_trdark")</f>
        <v>0.0</v>
      </c>
      <c r="D12" t="inlineStr">
        <is>
          <t>婉婉上班吃什么</t>
        </is>
      </c>
      <c r="E12" t="inlineStr">
        <is>
          <t>11434449706</t>
        </is>
      </c>
      <c r="F12" t="inlineStr">
        <is>
          <t>2025-11-25 15:26:54</t>
        </is>
      </c>
      <c r="G12" t="inlineStr">
        <is>
          <t>视频</t>
        </is>
      </c>
      <c r="H12" t="inlineStr">
        <is>
          <t>生蚝乳山生蚝海蛎子顺丰包邮</t>
        </is>
      </c>
      <c r="I12" t="inlineStr">
        <is>
          <t>690c70971b787900010866cc</t>
        </is>
      </c>
      <c r="J12" t="n">
        <v>28.0</v>
      </c>
      <c r="K12" t="n">
        <v>299.5</v>
      </c>
      <c r="L12" t="n">
        <v>5.0</v>
      </c>
      <c r="M12" t="n">
        <v>113.0</v>
      </c>
      <c r="N12" t="inlineStr">
        <is>
          <t>0.15586206896551724</t>
        </is>
      </c>
      <c r="O12" t="n">
        <v>106.0</v>
      </c>
      <c r="P12" t="n">
        <v>5.0</v>
      </c>
      <c r="Q12" t="inlineStr">
        <is>
          <t>0.04424778761061947</t>
        </is>
      </c>
      <c r="R12" t="inlineStr">
        <is>
          <t>0.04716981132075472</t>
        </is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8.0</v>
      </c>
      <c r="Z12" t="n">
        <v>17.0</v>
      </c>
      <c r="AA12" t="n">
        <v>59.9</v>
      </c>
      <c r="AB12" t="n">
        <v>0.0</v>
      </c>
      <c r="AC12" t="n">
        <v>0.0</v>
      </c>
      <c r="AD12" t="n">
        <v>725.0</v>
      </c>
      <c r="AE12" t="n">
        <v>7.0</v>
      </c>
      <c r="AF12" t="n">
        <v>3.0</v>
      </c>
      <c r="AG12" t="n">
        <v>2.0</v>
      </c>
      <c r="AH12" t="n">
        <v>0.0</v>
      </c>
      <c r="AI12" t="n">
        <v>0.0</v>
      </c>
      <c r="AJ12" t="n">
        <v>0.0</v>
      </c>
      <c r="AK12" t="n">
        <v>14.202758620689655</v>
      </c>
      <c r="AL12" t="n">
        <v>0.2064102564102564</v>
      </c>
    </row>
    <row r="13">
      <c r="A13" t="inlineStr">
        <is>
          <t>这么大的生蚝你能吃几个？</t>
        </is>
      </c>
      <c r="B13" t="inlineStr">
        <is>
          <t>6925754f000000001e02c06b</t>
        </is>
      </c>
      <c r="C13" s="12" t="n">
        <f>HYPERLINK("https://www.xiaohongshu.com/explore/6925754f000000001e02c06b?xsec_token=TBVx22ZAFho_bBgysCIliGP3vqKLftKs_THH_Wnmk1JDk=&amp;xsec_source=pc_trdark","https://www.xiaohongshu.com/explore/6925754f000000001e02c06b?xsec_token=TBVx22ZAFho_bBgysCIliGP3vqKLftKs_THH_Wnmk1JDk=&amp;xsec_source=pc_trdark")</f>
        <v>0.0</v>
      </c>
      <c r="D13" t="inlineStr">
        <is>
          <t>婉婉上班吃什么</t>
        </is>
      </c>
      <c r="E13" t="inlineStr">
        <is>
          <t>11434449706</t>
        </is>
      </c>
      <c r="F13" t="inlineStr">
        <is>
          <t>2025-11-25 17:22:23</t>
        </is>
      </c>
      <c r="G13" t="inlineStr">
        <is>
          <t>视频</t>
        </is>
      </c>
      <c r="H13" t="inlineStr">
        <is>
          <t>生蚝乳山生蚝海蛎子顺丰包邮</t>
        </is>
      </c>
      <c r="I13" t="inlineStr">
        <is>
          <t>690c70971b787900010866cc</t>
        </is>
      </c>
      <c r="J13" t="n">
        <v>15.0</v>
      </c>
      <c r="K13" t="n">
        <v>0.0</v>
      </c>
      <c r="L13" t="n">
        <v>0.0</v>
      </c>
      <c r="M13" t="n">
        <v>11.0</v>
      </c>
      <c r="N13" t="inlineStr">
        <is>
          <t>0.015256588072122053</t>
        </is>
      </c>
      <c r="O13" t="n">
        <v>9.0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inlineStr">
        <is>
          <t/>
        </is>
      </c>
      <c r="X13" t="n">
        <v>0.0</v>
      </c>
      <c r="Y13" t="n">
        <v>2.0</v>
      </c>
      <c r="Z13" t="n">
        <v>3.0</v>
      </c>
      <c r="AA13" t="n">
        <v>0.0</v>
      </c>
      <c r="AB13" t="n">
        <v>0.0</v>
      </c>
      <c r="AC13" t="n">
        <v>0.0</v>
      </c>
      <c r="AD13" t="n">
        <v>721.0</v>
      </c>
      <c r="AE13" t="n">
        <v>4.0</v>
      </c>
      <c r="AF13" t="n">
        <v>0.0</v>
      </c>
      <c r="AG13" t="n">
        <v>1.0</v>
      </c>
      <c r="AH13" t="n">
        <v>0.0</v>
      </c>
      <c r="AI13" t="n">
        <v>0.0</v>
      </c>
      <c r="AJ13" t="n">
        <v>0.0</v>
      </c>
      <c r="AK13" t="n">
        <v>4.464632454923717</v>
      </c>
      <c r="AL13" t="n">
        <v>0.1902071563088512</v>
      </c>
    </row>
    <row r="14">
      <c r="A14" t="inlineStr">
        <is>
          <t>生蚝一箱也是码头价，运费算我的！</t>
        </is>
      </c>
      <c r="B14" t="inlineStr">
        <is>
          <t>6916f793000000001b0218c5</t>
        </is>
      </c>
      <c r="C14" s="13" t="n">
        <f>HYPERLINK("https://www.xiaohongshu.com/explore/6916f793000000001b0218c5?xsec_token=TBHZiehrAOyLGw_5sWYDTDSWrChgb-eZfgntb9OL-2Tjw=&amp;xsec_source=pc_trdark","https://www.xiaohongshu.com/explore/6916f793000000001b0218c5?xsec_token=TBHZiehrAOyLGw_5sWYDTDSWrChgb-eZfgntb9OL-2Tjw=&amp;xsec_source=pc_trdark")</f>
        <v>0.0</v>
      </c>
      <c r="D14" t="inlineStr">
        <is>
          <t>婉婉上班吃什么</t>
        </is>
      </c>
      <c r="E14" t="inlineStr">
        <is>
          <t>11434449706</t>
        </is>
      </c>
      <c r="F14" t="inlineStr">
        <is>
          <t>2025-11-14 17:34:11</t>
        </is>
      </c>
      <c r="G14" t="inlineStr">
        <is>
          <t>视频</t>
        </is>
      </c>
      <c r="H14" t="inlineStr">
        <is>
          <t>生蚝乳山生蚝海蛎子顺丰包邮</t>
        </is>
      </c>
      <c r="I14" t="inlineStr">
        <is>
          <t>690c70971b787900010866cc</t>
        </is>
      </c>
      <c r="J14" t="n">
        <v>30.0</v>
      </c>
      <c r="K14" t="n">
        <v>339.5</v>
      </c>
      <c r="L14" t="n">
        <v>5.0</v>
      </c>
      <c r="M14" t="n">
        <v>134.0</v>
      </c>
      <c r="N14" t="inlineStr">
        <is>
          <t>0.18873239436619718</t>
        </is>
      </c>
      <c r="O14" t="n">
        <v>118.0</v>
      </c>
      <c r="P14" t="n">
        <v>5.0</v>
      </c>
      <c r="Q14" t="inlineStr">
        <is>
          <t>0.03731343283582089</t>
        </is>
      </c>
      <c r="R14" t="n">
        <v>0.0423728813559322</v>
      </c>
      <c r="S14" t="n">
        <v>79.9</v>
      </c>
      <c r="T14" t="n">
        <v>1.0</v>
      </c>
      <c r="U14" t="n">
        <v>1.0</v>
      </c>
      <c r="V14" t="n">
        <v>79.9</v>
      </c>
      <c r="W14" t="inlineStr">
        <is>
          <t>0.23534609720176733</t>
        </is>
      </c>
      <c r="X14" t="n">
        <v>1.0</v>
      </c>
      <c r="Y14" t="n">
        <v>14.0</v>
      </c>
      <c r="Z14" t="n">
        <v>24.0</v>
      </c>
      <c r="AA14" t="n">
        <v>0.0</v>
      </c>
      <c r="AB14" t="n">
        <v>2.0</v>
      </c>
      <c r="AC14" t="n">
        <v>0.0</v>
      </c>
      <c r="AD14" t="n">
        <v>710.0</v>
      </c>
      <c r="AE14" t="n">
        <v>4.0</v>
      </c>
      <c r="AF14" t="n">
        <v>2.0</v>
      </c>
      <c r="AG14" t="n">
        <v>1.0</v>
      </c>
      <c r="AH14" t="n">
        <v>1.0</v>
      </c>
      <c r="AI14" t="n">
        <v>2.0</v>
      </c>
      <c r="AJ14" t="n">
        <v>0.0</v>
      </c>
      <c r="AK14" t="n">
        <v>16.89718309859155</v>
      </c>
      <c r="AL14" t="inlineStr">
        <is>
          <t>0.23258426966292134</t>
        </is>
      </c>
    </row>
    <row r="15">
      <c r="A15" t="inlineStr">
        <is>
          <t>没招了，我爸让我在网上卖生蚝，谁买啊🥲</t>
        </is>
      </c>
      <c r="B15" t="inlineStr">
        <is>
          <t>691c462f000000001e007a24</t>
        </is>
      </c>
      <c r="C15" s="14" t="n">
        <f>HYPERLINK("https://www.xiaohongshu.com/explore/691c462f000000001e007a24?xsec_token=TBIS8v-01Optb7rxCGgHk_CUD45soF8KRG4e2bLv4cw1c=&amp;xsec_source=pc_trdark","https://www.xiaohongshu.com/explore/691c462f000000001e007a24?xsec_token=TBIS8v-01Optb7rxCGgHk_CUD45soF8KRG4e2bLv4cw1c=&amp;xsec_source=pc_trdark")</f>
        <v>0.0</v>
      </c>
      <c r="D15" t="inlineStr">
        <is>
          <t>婉婉上班吃什么</t>
        </is>
      </c>
      <c r="E15" t="inlineStr">
        <is>
          <t>11434449706</t>
        </is>
      </c>
      <c r="F15" t="inlineStr">
        <is>
          <t>2025-11-18 19:10:50</t>
        </is>
      </c>
      <c r="G15" t="inlineStr">
        <is>
          <t>视频</t>
        </is>
      </c>
      <c r="H15" t="inlineStr">
        <is>
          <t>生蚝乳山生蚝海蛎子顺丰包邮</t>
        </is>
      </c>
      <c r="I15" t="inlineStr">
        <is>
          <t>690c70971b787900010866cc</t>
        </is>
      </c>
      <c r="J15" t="n">
        <v>28.0</v>
      </c>
      <c r="K15" t="n">
        <v>179.7</v>
      </c>
      <c r="L15" t="n">
        <v>3.0</v>
      </c>
      <c r="M15" t="n">
        <v>77.0</v>
      </c>
      <c r="N15" t="inlineStr">
        <is>
          <t>0.11475409836065574</t>
        </is>
      </c>
      <c r="O15" t="n">
        <v>67.0</v>
      </c>
      <c r="P15" t="n">
        <v>3.0</v>
      </c>
      <c r="Q15" t="inlineStr">
        <is>
          <t>0.03896103896103896</t>
        </is>
      </c>
      <c r="R15" t="inlineStr">
        <is>
          <t>0.04477611940298507</t>
        </is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15.0</v>
      </c>
      <c r="Z15" t="n">
        <v>17.0</v>
      </c>
      <c r="AA15" t="n">
        <v>0.0</v>
      </c>
      <c r="AB15" t="n">
        <v>0.0</v>
      </c>
      <c r="AC15" t="n">
        <v>0.0</v>
      </c>
      <c r="AD15" t="n">
        <v>671.0</v>
      </c>
      <c r="AE15" t="n">
        <v>4.0</v>
      </c>
      <c r="AF15" t="n">
        <v>1.0</v>
      </c>
      <c r="AG15" t="n">
        <v>1.0</v>
      </c>
      <c r="AH15" t="n">
        <v>1.0</v>
      </c>
      <c r="AI15" t="n">
        <v>3.0</v>
      </c>
      <c r="AJ15" t="n">
        <v>0.0</v>
      </c>
      <c r="AK15" t="n">
        <v>11.965722801788376</v>
      </c>
      <c r="AL15" t="inlineStr">
        <is>
          <t>0.17622377622377622</t>
        </is>
      </c>
    </row>
    <row r="16">
      <c r="A16" t="inlineStr">
        <is>
          <t>这么大的生蚝你能吃几个？</t>
        </is>
      </c>
      <c r="B16" t="inlineStr">
        <is>
          <t>69267780000000001e00ebe8</t>
        </is>
      </c>
      <c r="C16" s="15" t="n">
        <f>HYPERLINK("https://www.xiaohongshu.com/explore/69267780000000001e00ebe8?xsec_token=TBFGqkDRGUjajy3y4pB3XfUk7gFCFbQ7a9uJhZbleSDnM=&amp;xsec_source=pc_trdark","https://www.xiaohongshu.com/explore/69267780000000001e00ebe8?xsec_token=TBFGqkDRGUjajy3y4pB3XfUk7gFCFbQ7a9uJhZbleSDnM=&amp;xsec_source=pc_trdark")</f>
        <v>0.0</v>
      </c>
      <c r="D16" t="inlineStr">
        <is>
          <t>婉婉上班吃什么</t>
        </is>
      </c>
      <c r="E16" t="inlineStr">
        <is>
          <t>11434449706</t>
        </is>
      </c>
      <c r="F16" t="inlineStr">
        <is>
          <t>2025-11-26 11:44:00</t>
        </is>
      </c>
      <c r="G16" t="inlineStr">
        <is>
          <t>视频</t>
        </is>
      </c>
      <c r="H16" t="inlineStr">
        <is>
          <t>生蚝乳山生蚝海蛎子顺丰包邮</t>
        </is>
      </c>
      <c r="I16" t="inlineStr">
        <is>
          <t>690c70971b787900010866cc</t>
        </is>
      </c>
      <c r="J16" t="n">
        <v>16.0</v>
      </c>
      <c r="K16" t="n">
        <v>0.0</v>
      </c>
      <c r="L16" t="n">
        <v>0.0</v>
      </c>
      <c r="M16" t="n">
        <v>20.0</v>
      </c>
      <c r="N16" t="inlineStr">
        <is>
          <t>0.029940119760479042</t>
        </is>
      </c>
      <c r="O16" t="n">
        <v>20.0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inlineStr">
        <is>
          <t/>
        </is>
      </c>
      <c r="X16" t="n">
        <v>0.0</v>
      </c>
      <c r="Y16" t="n">
        <v>0.0</v>
      </c>
      <c r="Z16" t="n">
        <v>5.0</v>
      </c>
      <c r="AA16" t="n">
        <v>0.0</v>
      </c>
      <c r="AB16" t="n">
        <v>0.0</v>
      </c>
      <c r="AC16" t="n">
        <v>0.0</v>
      </c>
      <c r="AD16" t="n">
        <v>668.0</v>
      </c>
      <c r="AE16" t="n">
        <v>3.0</v>
      </c>
      <c r="AF16" t="n">
        <v>1.0</v>
      </c>
      <c r="AG16" t="n">
        <v>1.0</v>
      </c>
      <c r="AH16" t="n">
        <v>0.0</v>
      </c>
      <c r="AI16" t="n">
        <v>1.0</v>
      </c>
      <c r="AJ16" t="n">
        <v>0.0</v>
      </c>
      <c r="AK16" t="n">
        <v>5.293413173652695</v>
      </c>
      <c r="AL16" t="inlineStr">
        <is>
          <t>0.19047619047619047</t>
        </is>
      </c>
    </row>
    <row r="17">
      <c r="A17" t="inlineStr">
        <is>
          <t>生蚝一箱也是码头价，运费算我的！</t>
        </is>
      </c>
      <c r="B17" t="inlineStr">
        <is>
          <t>690f0fb000000000040010a4</t>
        </is>
      </c>
      <c r="C17" s="16" t="n">
        <f>HYPERLINK("https://www.xiaohongshu.com/explore/690f0fb000000000040010a4?xsec_token=TBl1ZK_PAsBDZJiqFwt7hIYQszxXJoeWc8SEgNEByDut0=&amp;xsec_source=pc_trdark","https://www.xiaohongshu.com/explore/690f0fb000000000040010a4?xsec_token=TBl1ZK_PAsBDZJiqFwt7hIYQszxXJoeWc8SEgNEByDut0=&amp;xsec_source=pc_trdark")</f>
        <v>0.0</v>
      </c>
      <c r="D17" t="inlineStr">
        <is>
          <t>婉婉上班吃什么</t>
        </is>
      </c>
      <c r="E17" t="inlineStr">
        <is>
          <t>11434449706</t>
        </is>
      </c>
      <c r="F17" t="inlineStr">
        <is>
          <t>2025-11-08 17:38:56</t>
        </is>
      </c>
      <c r="G17" t="inlineStr">
        <is>
          <t>视频</t>
        </is>
      </c>
      <c r="H17" t="inlineStr">
        <is>
          <t>生蚝乳山生蚝海蛎子顺丰包邮</t>
        </is>
      </c>
      <c r="I17" t="inlineStr">
        <is>
          <t>690c70971b787900010866cc</t>
        </is>
      </c>
      <c r="J17" t="n">
        <v>26.0</v>
      </c>
      <c r="K17" t="n">
        <v>0.0</v>
      </c>
      <c r="L17" t="n">
        <v>0.0</v>
      </c>
      <c r="M17" t="n">
        <v>30.0</v>
      </c>
      <c r="N17" t="inlineStr">
        <is>
          <t>0.05110732538330494</t>
        </is>
      </c>
      <c r="O17" t="n">
        <v>27.0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inlineStr">
        <is>
          <t/>
        </is>
      </c>
      <c r="X17" t="n">
        <v>0.0</v>
      </c>
      <c r="Y17" t="n">
        <v>4.0</v>
      </c>
      <c r="Z17" t="n">
        <v>15.0</v>
      </c>
      <c r="AA17" t="n">
        <v>0.0</v>
      </c>
      <c r="AB17" t="n">
        <v>0.0</v>
      </c>
      <c r="AC17" t="n">
        <v>0.0</v>
      </c>
      <c r="AD17" t="n">
        <v>587.0</v>
      </c>
      <c r="AE17" t="n">
        <v>1.0</v>
      </c>
      <c r="AF17" t="n">
        <v>1.0</v>
      </c>
      <c r="AG17" t="n">
        <v>1.0</v>
      </c>
      <c r="AH17" t="n">
        <v>0.0</v>
      </c>
      <c r="AI17" t="n">
        <v>0.0</v>
      </c>
      <c r="AJ17" t="n">
        <v>0.0</v>
      </c>
      <c r="AK17" t="n">
        <v>8.482112436115843</v>
      </c>
      <c r="AL17" t="inlineStr">
        <is>
          <t>0.11092985318107668</t>
        </is>
      </c>
    </row>
    <row r="18">
      <c r="A18" t="inlineStr">
        <is>
          <t>这么大的生蚝你能吃几只？</t>
        </is>
      </c>
      <c r="B18" t="inlineStr">
        <is>
          <t>6925cf4b000000001e03bc4d</t>
        </is>
      </c>
      <c r="C18" s="17" t="n">
        <f>HYPERLINK("https://www.xiaohongshu.com/explore/6925cf4b000000001e03bc4d?xsec_token=TBVx22ZAFho_bBgysCIliGP2k3jP77PzJI8Ic3cm6L0jk=&amp;xsec_source=pc_trdark","https://www.xiaohongshu.com/explore/6925cf4b000000001e03bc4d?xsec_token=TBVx22ZAFho_bBgysCIliGP2k3jP77PzJI8Ic3cm6L0jk=&amp;xsec_source=pc_trdark")</f>
        <v>0.0</v>
      </c>
      <c r="D18" t="inlineStr">
        <is>
          <t>婉婉上班吃什么</t>
        </is>
      </c>
      <c r="E18" t="inlineStr">
        <is>
          <t>11434449706</t>
        </is>
      </c>
      <c r="F18" t="inlineStr">
        <is>
          <t>2025-11-25 23:46:19</t>
        </is>
      </c>
      <c r="G18" t="inlineStr">
        <is>
          <t>视频</t>
        </is>
      </c>
      <c r="H18" t="inlineStr">
        <is>
          <t>生蚝乳山生蚝海蛎子顺丰包邮</t>
        </is>
      </c>
      <c r="I18" t="inlineStr">
        <is>
          <t>690c70971b787900010866cc</t>
        </is>
      </c>
      <c r="J18" t="n">
        <v>16.0</v>
      </c>
      <c r="K18" t="n">
        <v>0.0</v>
      </c>
      <c r="L18" t="n">
        <v>0.0</v>
      </c>
      <c r="M18" t="n">
        <v>8.0</v>
      </c>
      <c r="N18" t="inlineStr">
        <is>
          <t>0.013816925734024179</t>
        </is>
      </c>
      <c r="O18" t="n">
        <v>8.0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inlineStr">
        <is>
          <t/>
        </is>
      </c>
      <c r="X18" t="n">
        <v>0.0</v>
      </c>
      <c r="Y18" t="n">
        <v>0.0</v>
      </c>
      <c r="Z18" t="n">
        <v>6.0</v>
      </c>
      <c r="AA18" t="n">
        <v>0.0</v>
      </c>
      <c r="AB18" t="n">
        <v>0.0</v>
      </c>
      <c r="AC18" t="n">
        <v>0.0</v>
      </c>
      <c r="AD18" t="n">
        <v>579.0</v>
      </c>
      <c r="AE18" t="n">
        <v>1.0</v>
      </c>
      <c r="AF18" t="n">
        <v>0.0</v>
      </c>
      <c r="AG18" t="n">
        <v>1.0</v>
      </c>
      <c r="AH18" t="n">
        <v>1.0</v>
      </c>
      <c r="AI18" t="n">
        <v>0.0</v>
      </c>
      <c r="AJ18" t="n">
        <v>0.0</v>
      </c>
      <c r="AK18" t="n">
        <v>5.037996545768567</v>
      </c>
      <c r="AL18" t="n">
        <v>0.1510791366906475</v>
      </c>
    </row>
    <row r="19">
      <c r="A19" t="inlineStr">
        <is>
          <t>跟风买的！50+一箱的生蚝是真的肥！</t>
        </is>
      </c>
      <c r="B19" t="inlineStr">
        <is>
          <t>69153e6b0000000005002992</t>
        </is>
      </c>
      <c r="C19" s="18" t="n">
        <f>HYPERLINK("https://www.xiaohongshu.com/explore/69153e6b0000000005002992?xsec_token=TBAg-veJq-9HvX6LdnoJFXatoMwJKXk0eA6yFWEwD8dLc=&amp;xsec_source=pc_trdark","https://www.xiaohongshu.com/explore/69153e6b0000000005002992?xsec_token=TBAg-veJq-9HvX6LdnoJFXatoMwJKXk0eA6yFWEwD8dLc=&amp;xsec_source=pc_trdark")</f>
        <v>0.0</v>
      </c>
      <c r="D19" t="inlineStr">
        <is>
          <t>婉婉上班吃什么</t>
        </is>
      </c>
      <c r="E19" t="inlineStr">
        <is>
          <t>11434449706</t>
        </is>
      </c>
      <c r="F19" t="inlineStr">
        <is>
          <t>2025-11-13 10:11:56</t>
        </is>
      </c>
      <c r="G19" t="inlineStr">
        <is>
          <t>视频</t>
        </is>
      </c>
      <c r="H19" t="inlineStr">
        <is>
          <t>生蚝乳山生蚝海蛎子顺丰包邮</t>
        </is>
      </c>
      <c r="I19" t="inlineStr">
        <is>
          <t>690c70971b787900010866cc</t>
        </is>
      </c>
      <c r="J19" t="n">
        <v>29.0</v>
      </c>
      <c r="K19" t="n">
        <v>219.7</v>
      </c>
      <c r="L19" t="n">
        <v>3.0</v>
      </c>
      <c r="M19" t="n">
        <v>25.0</v>
      </c>
      <c r="N19" t="inlineStr">
        <is>
          <t>0.043402777777777776</t>
        </is>
      </c>
      <c r="O19" t="n">
        <v>23.0</v>
      </c>
      <c r="P19" t="n">
        <v>3.0</v>
      </c>
      <c r="Q19" t="n">
        <v>0.12</v>
      </c>
      <c r="R19" t="inlineStr">
        <is>
          <t>0.13043478260869565</t>
        </is>
      </c>
      <c r="S19" t="n">
        <v>54.9</v>
      </c>
      <c r="T19" t="n">
        <v>1.0</v>
      </c>
      <c r="U19" t="n">
        <v>1.0</v>
      </c>
      <c r="V19" t="n">
        <v>54.9</v>
      </c>
      <c r="W19" t="inlineStr">
        <is>
          <t>0.24988620846609014</t>
        </is>
      </c>
      <c r="X19" t="n">
        <v>1.0</v>
      </c>
      <c r="Y19" t="n">
        <v>7.0</v>
      </c>
      <c r="Z19" t="n">
        <v>4.0</v>
      </c>
      <c r="AA19" t="n">
        <v>0.0</v>
      </c>
      <c r="AB19" t="n">
        <v>0.0</v>
      </c>
      <c r="AC19" t="n">
        <v>0.0</v>
      </c>
      <c r="AD19" t="n">
        <v>576.0</v>
      </c>
      <c r="AE19" t="n">
        <v>3.0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8.340277777777779</v>
      </c>
      <c r="AL19" t="inlineStr">
        <is>
          <t>0.10440456769983687</t>
        </is>
      </c>
    </row>
    <row r="20">
      <c r="A20" t="inlineStr">
        <is>
          <t>我q。。。谁还没吃过这个乳山生蚝啊</t>
        </is>
      </c>
      <c r="B20" t="inlineStr">
        <is>
          <t>69145aa20000000004014a85</t>
        </is>
      </c>
      <c r="C20" s="19" t="n">
        <f>HYPERLINK("https://www.xiaohongshu.com/explore/69145aa20000000004014a85?xsec_token=TBaXvlcWwd_4ttBIqZOUWAkz5HweXigRbEy4Q2wvSxZeE=&amp;xsec_source=pc_trdark","https://www.xiaohongshu.com/explore/69145aa20000000004014a85?xsec_token=TBaXvlcWwd_4ttBIqZOUWAkz5HweXigRbEy4Q2wvSxZeE=&amp;xsec_source=pc_trdark")</f>
        <v>0.0</v>
      </c>
      <c r="D20" t="inlineStr">
        <is>
          <t>婉婉上班吃什么</t>
        </is>
      </c>
      <c r="E20" t="inlineStr">
        <is>
          <t>11434449706</t>
        </is>
      </c>
      <c r="F20" t="inlineStr">
        <is>
          <t>2025-11-12 18:00:02</t>
        </is>
      </c>
      <c r="G20" t="inlineStr">
        <is>
          <t>视频</t>
        </is>
      </c>
      <c r="H20" t="inlineStr">
        <is>
          <t>生蚝乳山生蚝海蛎子顺丰包邮</t>
        </is>
      </c>
      <c r="I20" t="inlineStr">
        <is>
          <t>690c70971b787900010866cc</t>
        </is>
      </c>
      <c r="J20" t="n">
        <v>22.0</v>
      </c>
      <c r="K20" t="n">
        <v>0.0</v>
      </c>
      <c r="L20" t="n">
        <v>0.0</v>
      </c>
      <c r="M20" t="n">
        <v>10.0</v>
      </c>
      <c r="N20" t="inlineStr">
        <is>
          <t>0.019455252918287938</t>
        </is>
      </c>
      <c r="O20" t="n">
        <v>9.0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inlineStr">
        <is>
          <t/>
        </is>
      </c>
      <c r="X20" t="n">
        <v>0.0</v>
      </c>
      <c r="Y20" t="n">
        <v>0.0</v>
      </c>
      <c r="Z20" t="n">
        <v>2.0</v>
      </c>
      <c r="AA20" t="n">
        <v>0.0</v>
      </c>
      <c r="AB20" t="n">
        <v>0.0</v>
      </c>
      <c r="AC20" t="n">
        <v>0.0</v>
      </c>
      <c r="AD20" t="n">
        <v>514.0</v>
      </c>
      <c r="AE20" t="n">
        <v>2.0</v>
      </c>
      <c r="AF20" t="n">
        <v>2.0</v>
      </c>
      <c r="AG20" t="n">
        <v>0.0</v>
      </c>
      <c r="AH20" t="n">
        <v>0.0</v>
      </c>
      <c r="AI20" t="n">
        <v>0.0</v>
      </c>
      <c r="AJ20" t="n">
        <v>0.0</v>
      </c>
      <c r="AK20" t="n">
        <v>7.377431906614786</v>
      </c>
      <c r="AL20" t="inlineStr">
        <is>
          <t>0.12162162162162163</t>
        </is>
      </c>
    </row>
    <row r="21">
      <c r="A21" t="inlineStr">
        <is>
          <t>不要低估50💰的购买力，敞开吃吧……</t>
        </is>
      </c>
      <c r="B21" t="inlineStr">
        <is>
          <t>691c04390000000019025de9</t>
        </is>
      </c>
      <c r="C21" s="20" t="n">
        <f>HYPERLINK("https://www.xiaohongshu.com/explore/691c04390000000019025de9?xsec_token=TBIS8v-01Optb7rxCGgHk_CVmK85B0bSrdPFgldP-p7Po=&amp;xsec_source=pc_trdark","https://www.xiaohongshu.com/explore/691c04390000000019025de9?xsec_token=TBIS8v-01Optb7rxCGgHk_CVmK85B0bSrdPFgldP-p7Po=&amp;xsec_source=pc_trdark")</f>
        <v>0.0</v>
      </c>
      <c r="D21" t="inlineStr">
        <is>
          <t>婉婉上班吃什么</t>
        </is>
      </c>
      <c r="E21" t="inlineStr">
        <is>
          <t>11434449706</t>
        </is>
      </c>
      <c r="F21" t="inlineStr">
        <is>
          <t>2025-11-18 13:29:29</t>
        </is>
      </c>
      <c r="G21" t="inlineStr">
        <is>
          <t>视频</t>
        </is>
      </c>
      <c r="H21" t="inlineStr">
        <is>
          <t>生蚝乳山生蚝海蛎子顺丰包邮</t>
        </is>
      </c>
      <c r="I21" t="inlineStr">
        <is>
          <t>690c70971b787900010866cc</t>
        </is>
      </c>
      <c r="J21" t="n">
        <v>33.0</v>
      </c>
      <c r="K21" t="n">
        <v>89.9</v>
      </c>
      <c r="L21" t="n">
        <v>1.0</v>
      </c>
      <c r="M21" t="n">
        <v>44.0</v>
      </c>
      <c r="N21" t="inlineStr">
        <is>
          <t>0.08661417322834646</t>
        </is>
      </c>
      <c r="O21" t="n">
        <v>42.0</v>
      </c>
      <c r="P21" t="n">
        <v>1.0</v>
      </c>
      <c r="Q21" t="inlineStr">
        <is>
          <t>0.022727272727272728</t>
        </is>
      </c>
      <c r="R21" t="inlineStr">
        <is>
          <t>0.023809523809523808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6.0</v>
      </c>
      <c r="Z21" t="n">
        <v>4.0</v>
      </c>
      <c r="AA21" t="n">
        <v>0.0</v>
      </c>
      <c r="AB21" t="n">
        <v>0.0</v>
      </c>
      <c r="AC21" t="n">
        <v>0.0</v>
      </c>
      <c r="AD21" t="n">
        <v>508.0</v>
      </c>
      <c r="AE21" t="n">
        <v>4.0</v>
      </c>
      <c r="AF21" t="n">
        <v>0.0</v>
      </c>
      <c r="AG21" t="n">
        <v>1.0</v>
      </c>
      <c r="AH21" t="n">
        <v>1.0</v>
      </c>
      <c r="AI21" t="n">
        <v>2.0</v>
      </c>
      <c r="AJ21" t="n">
        <v>0.0</v>
      </c>
      <c r="AK21" t="n">
        <v>14.281496062992126</v>
      </c>
      <c r="AL21" t="inlineStr">
        <is>
          <t>0.15090090090090091</t>
        </is>
      </c>
    </row>
    <row r="22">
      <c r="A22" t="inlineStr">
        <is>
          <t>备孕姐妹冲！我家冷水蚝 59.9 元 5 斤</t>
        </is>
      </c>
      <c r="B22" t="inlineStr">
        <is>
          <t>6915949e000000000703b57a</t>
        </is>
      </c>
      <c r="C22" s="21" t="n">
        <f>HYPERLINK("https://www.xiaohongshu.com/explore/6915949e000000000703b57a?xsec_token=TBAg-veJq-9HvX6LdnoJFXah9og5KD9gcwieVsF90eyPI=&amp;xsec_source=pc_trdark","https://www.xiaohongshu.com/explore/6915949e000000000703b57a?xsec_token=TBAg-veJq-9HvX6LdnoJFXah9og5KD9gcwieVsF90eyPI=&amp;xsec_source=pc_trdark")</f>
        <v>0.0</v>
      </c>
      <c r="D22" t="inlineStr">
        <is>
          <t>婉婉上班吃什么</t>
        </is>
      </c>
      <c r="E22" t="inlineStr">
        <is>
          <t>11434449706</t>
        </is>
      </c>
      <c r="F22" t="inlineStr">
        <is>
          <t>2025-11-13 16:19:42</t>
        </is>
      </c>
      <c r="G22" t="inlineStr">
        <is>
          <t>视频</t>
        </is>
      </c>
      <c r="H22" t="inlineStr">
        <is>
          <t>生蚝乳山生蚝海蛎子顺丰包邮</t>
        </is>
      </c>
      <c r="I22" t="inlineStr">
        <is>
          <t>690c70971b787900010866cc</t>
        </is>
      </c>
      <c r="J22" t="n">
        <v>14.0</v>
      </c>
      <c r="K22" t="n">
        <v>179.7</v>
      </c>
      <c r="L22" t="n">
        <v>3.0</v>
      </c>
      <c r="M22" t="n">
        <v>28.0</v>
      </c>
      <c r="N22" t="inlineStr">
        <is>
          <t>0.06378132118451026</t>
        </is>
      </c>
      <c r="O22" t="n">
        <v>23.0</v>
      </c>
      <c r="P22" t="n">
        <v>3.0</v>
      </c>
      <c r="Q22" t="inlineStr">
        <is>
          <t>0.10714285714285714</t>
        </is>
      </c>
      <c r="R22" t="inlineStr">
        <is>
          <t>0.13043478260869565</t>
        </is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2.0</v>
      </c>
      <c r="Z22" t="n">
        <v>3.0</v>
      </c>
      <c r="AA22" t="n">
        <v>59.9</v>
      </c>
      <c r="AB22" t="n">
        <v>0.0</v>
      </c>
      <c r="AC22" t="n">
        <v>0.0</v>
      </c>
      <c r="AD22" t="n">
        <v>439.0</v>
      </c>
      <c r="AE22" t="n">
        <v>2.0</v>
      </c>
      <c r="AF22" t="n">
        <v>1.0</v>
      </c>
      <c r="AG22" t="n">
        <v>0.0</v>
      </c>
      <c r="AH22" t="n">
        <v>1.0</v>
      </c>
      <c r="AI22" t="n">
        <v>0.0</v>
      </c>
      <c r="AJ22" t="n">
        <v>0.0</v>
      </c>
      <c r="AK22" t="n">
        <v>8.660592255125284</v>
      </c>
      <c r="AL22" t="n">
        <v>0.2574626865671642</v>
      </c>
    </row>
    <row r="23">
      <c r="A23" t="inlineStr">
        <is>
          <t>用生蚝下个面，也太过瘾了吧！涮锅也好吃！</t>
        </is>
      </c>
      <c r="B23" t="inlineStr">
        <is>
          <t>691a7b380000000007021be5</t>
        </is>
      </c>
      <c r="C23" s="22" t="n">
        <f>HYPERLINK("https://www.xiaohongshu.com/explore/691a7b380000000007021be5?xsec_token=TB7_xX17zVvyJQL8hbcdzoILpsC0BUfoexbMLpoY2g7Gk=&amp;xsec_source=pc_trdark","https://www.xiaohongshu.com/explore/691a7b380000000007021be5?xsec_token=TB7_xX17zVvyJQL8hbcdzoILpsC0BUfoexbMLpoY2g7Gk=&amp;xsec_source=pc_trdark")</f>
        <v>0.0</v>
      </c>
      <c r="D23" t="inlineStr">
        <is>
          <t>婉婉上班吃什么</t>
        </is>
      </c>
      <c r="E23" t="inlineStr">
        <is>
          <t>11434449706</t>
        </is>
      </c>
      <c r="F23" t="inlineStr">
        <is>
          <t>2025-11-17 10:32:41</t>
        </is>
      </c>
      <c r="G23" t="inlineStr">
        <is>
          <t>视频</t>
        </is>
      </c>
      <c r="H23" t="inlineStr">
        <is>
          <t>生蚝乳山生蚝海蛎子顺丰包邮</t>
        </is>
      </c>
      <c r="I23" t="inlineStr">
        <is>
          <t>690c70971b787900010866cc</t>
        </is>
      </c>
      <c r="J23" t="n">
        <v>60.0</v>
      </c>
      <c r="K23" t="n">
        <v>0.0</v>
      </c>
      <c r="L23" t="n">
        <v>0.0</v>
      </c>
      <c r="M23" t="n">
        <v>3.0</v>
      </c>
      <c r="N23" t="inlineStr">
        <is>
          <t>0.0072992700729927005</t>
        </is>
      </c>
      <c r="O23" t="n">
        <v>3.0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inlineStr">
        <is>
          <t/>
        </is>
      </c>
      <c r="X23" t="n">
        <v>0.0</v>
      </c>
      <c r="Y23" t="n">
        <v>0.0</v>
      </c>
      <c r="Z23" t="n">
        <v>2.0</v>
      </c>
      <c r="AA23" t="n">
        <v>0.0</v>
      </c>
      <c r="AB23" t="n">
        <v>0.0</v>
      </c>
      <c r="AC23" t="n">
        <v>0.0</v>
      </c>
      <c r="AD23" t="n">
        <v>411.0</v>
      </c>
      <c r="AE23" t="n">
        <v>3.0</v>
      </c>
      <c r="AF23" t="n">
        <v>2.0</v>
      </c>
      <c r="AG23" t="n">
        <v>1.0</v>
      </c>
      <c r="AH23" t="n">
        <v>0.0</v>
      </c>
      <c r="AI23" t="n">
        <v>1.0</v>
      </c>
      <c r="AJ23" t="n">
        <v>0.0</v>
      </c>
      <c r="AK23" t="n">
        <v>14.265206812652067</v>
      </c>
      <c r="AL23" t="inlineStr">
        <is>
          <t>0.10094637223974763</t>
        </is>
      </c>
    </row>
    <row r="24">
      <c r="A24" t="inlineStr">
        <is>
          <t>原产地海蛎子直发！这海蛎子真的肥到没边了</t>
        </is>
      </c>
      <c r="B24" t="inlineStr">
        <is>
          <t>6912feac000000000302d5f9</t>
        </is>
      </c>
      <c r="C24" s="23" t="n">
        <f>HYPERLINK("https://www.xiaohongshu.com/explore/6912feac000000000302d5f9?xsec_token=TBnZN0DmKGIQMnPXPN25j7p48mbHqVct7EZyY-hUxfDfg=&amp;xsec_source=pc_trdark","https://www.xiaohongshu.com/explore/6912feac000000000302d5f9?xsec_token=TBnZN0DmKGIQMnPXPN25j7p48mbHqVct7EZyY-hUxfDfg=&amp;xsec_source=pc_trdark")</f>
        <v>0.0</v>
      </c>
      <c r="D24" t="inlineStr">
        <is>
          <t>婉婉上班吃什么</t>
        </is>
      </c>
      <c r="E24" t="inlineStr">
        <is>
          <t>11434449706</t>
        </is>
      </c>
      <c r="F24" t="inlineStr">
        <is>
          <t>2025-11-11 17:15:24</t>
        </is>
      </c>
      <c r="G24" t="inlineStr">
        <is>
          <t>视频</t>
        </is>
      </c>
      <c r="H24" t="inlineStr">
        <is>
          <t>生蚝乳山生蚝海蛎子顺丰包邮</t>
        </is>
      </c>
      <c r="I24" t="inlineStr">
        <is>
          <t>690c70971b787900010866cc</t>
        </is>
      </c>
      <c r="J24" t="n">
        <v>19.0</v>
      </c>
      <c r="K24" t="n">
        <v>159.8</v>
      </c>
      <c r="L24" t="n">
        <v>2.0</v>
      </c>
      <c r="M24" t="n">
        <v>28.0</v>
      </c>
      <c r="N24" t="inlineStr">
        <is>
          <t>0.07329842931937172</t>
        </is>
      </c>
      <c r="O24" t="n">
        <v>22.0</v>
      </c>
      <c r="P24" t="n">
        <v>2.0</v>
      </c>
      <c r="Q24" t="inlineStr">
        <is>
          <t>0.07142857142857142</t>
        </is>
      </c>
      <c r="R24" t="inlineStr">
        <is>
          <t>0.09090909090909091</t>
        </is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6.0</v>
      </c>
      <c r="Z24" t="n">
        <v>4.0</v>
      </c>
      <c r="AA24" t="n">
        <v>0.0</v>
      </c>
      <c r="AB24" t="n">
        <v>0.0</v>
      </c>
      <c r="AC24" t="n">
        <v>0.0</v>
      </c>
      <c r="AD24" t="n">
        <v>382.0</v>
      </c>
      <c r="AE24" t="n">
        <v>3.0</v>
      </c>
      <c r="AF24" t="n">
        <v>0.0</v>
      </c>
      <c r="AG24" t="n">
        <v>0.0</v>
      </c>
      <c r="AH24" t="n">
        <v>1.0</v>
      </c>
      <c r="AI24" t="n">
        <v>0.0</v>
      </c>
      <c r="AJ24" t="n">
        <v>0.0</v>
      </c>
      <c r="AK24" t="n">
        <v>8.772251308900524</v>
      </c>
      <c r="AL24" t="n">
        <v>0.195852534562212</v>
      </c>
    </row>
    <row r="25">
      <c r="A25" t="inlineStr">
        <is>
          <t>不要低估50💰的购买力，敞开吃吧……</t>
        </is>
      </c>
      <c r="B25" t="inlineStr">
        <is>
          <t>6916f37a00000000050114f9</t>
        </is>
      </c>
      <c r="C25" s="24" t="n">
        <f>HYPERLINK("https://www.xiaohongshu.com/explore/6916f37a00000000050114f9?xsec_token=TBHZiehrAOyLGw_5sWYDTDSTqbGta5UKl_XO9bysarN8A=&amp;xsec_source=pc_trdark","https://www.xiaohongshu.com/explore/6916f37a00000000050114f9?xsec_token=TBHZiehrAOyLGw_5sWYDTDSTqbGta5UKl_XO9bysarN8A=&amp;xsec_source=pc_trdark")</f>
        <v>0.0</v>
      </c>
      <c r="D25" t="inlineStr">
        <is>
          <t>婉婉上班吃什么</t>
        </is>
      </c>
      <c r="E25" t="inlineStr">
        <is>
          <t>11434449706</t>
        </is>
      </c>
      <c r="F25" t="inlineStr">
        <is>
          <t>2025-11-14 18:16:26</t>
        </is>
      </c>
      <c r="G25" t="inlineStr">
        <is>
          <t>视频</t>
        </is>
      </c>
      <c r="H25" t="inlineStr">
        <is>
          <t>生蚝乳山生蚝海蛎子顺丰包邮</t>
        </is>
      </c>
      <c r="I25" t="inlineStr">
        <is>
          <t>690c70971b787900010866cc</t>
        </is>
      </c>
      <c r="J25" t="n">
        <v>23.0</v>
      </c>
      <c r="K25" t="n">
        <v>159.8</v>
      </c>
      <c r="L25" t="n">
        <v>2.0</v>
      </c>
      <c r="M25" t="n">
        <v>52.0</v>
      </c>
      <c r="N25" t="inlineStr">
        <is>
          <t>0.13978494623655913</t>
        </is>
      </c>
      <c r="O25" t="n">
        <v>46.0</v>
      </c>
      <c r="P25" t="n">
        <v>2.0</v>
      </c>
      <c r="Q25" t="inlineStr">
        <is>
          <t>0.038461538461538464</t>
        </is>
      </c>
      <c r="R25" t="inlineStr">
        <is>
          <t>0.043478260869565216</t>
        </is>
      </c>
      <c r="S25" t="n">
        <v>94.9</v>
      </c>
      <c r="T25" t="n">
        <v>1.0</v>
      </c>
      <c r="U25" t="n">
        <v>1.0</v>
      </c>
      <c r="V25" t="n">
        <v>94.9</v>
      </c>
      <c r="W25" t="n">
        <v>0.5938673341677096</v>
      </c>
      <c r="X25" t="n">
        <v>1.0</v>
      </c>
      <c r="Y25" t="n">
        <v>4.0</v>
      </c>
      <c r="Z25" t="n">
        <v>5.0</v>
      </c>
      <c r="AA25" t="n">
        <v>0.0</v>
      </c>
      <c r="AB25" t="n">
        <v>0.0</v>
      </c>
      <c r="AC25" t="n">
        <v>0.0</v>
      </c>
      <c r="AD25" t="n">
        <v>372.0</v>
      </c>
      <c r="AE25" t="n">
        <v>3.0</v>
      </c>
      <c r="AF25" t="n">
        <v>1.0</v>
      </c>
      <c r="AG25" t="n">
        <v>1.0</v>
      </c>
      <c r="AH25" t="n">
        <v>0.0</v>
      </c>
      <c r="AI25" t="n">
        <v>1.0</v>
      </c>
      <c r="AJ25" t="n">
        <v>0.0</v>
      </c>
      <c r="AK25" t="n">
        <v>10.744623655913978</v>
      </c>
      <c r="AL25" t="inlineStr">
        <is>
          <t>0.22691292875989447</t>
        </is>
      </c>
    </row>
    <row r="26">
      <c r="A26" t="inlineStr">
        <is>
          <t>对60几块钱的概念越来越模糊了</t>
        </is>
      </c>
      <c r="B26" t="inlineStr">
        <is>
          <t>69183e3c0000000004006b70</t>
        </is>
      </c>
      <c r="C26" s="25" t="n">
        <f>HYPERLINK("https://www.xiaohongshu.com/explore/69183e3c0000000004006b70?xsec_token=TB2jG8LClQLNxZisl2ii_FqC3p32S6OzT1pH3_buH1iFI=&amp;xsec_source=pc_trdark","https://www.xiaohongshu.com/explore/69183e3c0000000004006b70?xsec_token=TB2jG8LClQLNxZisl2ii_FqC3p32S6OzT1pH3_buH1iFI=&amp;xsec_source=pc_trdark")</f>
        <v>0.0</v>
      </c>
      <c r="D26" t="inlineStr">
        <is>
          <t>鲜水湾</t>
        </is>
      </c>
      <c r="E26" t="inlineStr">
        <is>
          <t>49316638994</t>
        </is>
      </c>
      <c r="F26" t="inlineStr">
        <is>
          <t>2025-11-15 16:47:56</t>
        </is>
      </c>
      <c r="G26" t="inlineStr">
        <is>
          <t>图文</t>
        </is>
      </c>
      <c r="H26" t="inlineStr">
        <is>
          <t>大虾基围虾王牌大虾厄瓜多尔白虾盐冻虾仁海洋大虾送礼顺丰包邮</t>
        </is>
      </c>
      <c r="I26" t="inlineStr">
        <is>
          <t>690aeb7be379430001e686ac</t>
        </is>
      </c>
      <c r="J26" t="inlineStr">
        <is>
          <t/>
        </is>
      </c>
      <c r="K26" t="n">
        <v>139.8</v>
      </c>
      <c r="L26" t="n">
        <v>2.0</v>
      </c>
      <c r="M26" t="n">
        <v>64.0</v>
      </c>
      <c r="N26" t="inlineStr">
        <is>
          <t>0.17582417582417584</t>
        </is>
      </c>
      <c r="O26" t="n">
        <v>55.0</v>
      </c>
      <c r="P26" t="n">
        <v>2.0</v>
      </c>
      <c r="Q26" t="n">
        <v>0.03125</v>
      </c>
      <c r="R26" t="inlineStr">
        <is>
          <t>0.03636363636363636</t>
        </is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15.0</v>
      </c>
      <c r="Z26" t="n">
        <v>9.0</v>
      </c>
      <c r="AA26" t="n">
        <v>0.0</v>
      </c>
      <c r="AB26" t="n">
        <v>0.0</v>
      </c>
      <c r="AC26" t="n">
        <v>0.0</v>
      </c>
      <c r="AD26" t="n">
        <v>364.0</v>
      </c>
      <c r="AE26" t="n">
        <v>3.0</v>
      </c>
      <c r="AF26" t="n">
        <v>1.0</v>
      </c>
      <c r="AG26" t="n">
        <v>0.0</v>
      </c>
      <c r="AH26" t="n">
        <v>1.0</v>
      </c>
      <c r="AI26" t="n">
        <v>0.0</v>
      </c>
      <c r="AJ26" t="n">
        <v>0.0</v>
      </c>
      <c r="AK26" t="n">
        <v>8.263736263736265</v>
      </c>
      <c r="AL26" t="inlineStr">
        <is>
          <t/>
        </is>
      </c>
    </row>
    <row r="27">
      <c r="A27" t="inlineStr">
        <is>
          <t>我爸让我通知各位，乳山超大生蚝59.9r5斤</t>
        </is>
      </c>
      <c r="B27" t="inlineStr">
        <is>
          <t>691aeb55000000000503963f</t>
        </is>
      </c>
      <c r="C27" s="26" t="n">
        <f>HYPERLINK("https://www.xiaohongshu.com/explore/691aeb55000000000503963f?xsec_token=TB7_xX17zVvyJQL8hbcdzoIIZGDpO49cFO6D2BJLllgv0=&amp;xsec_source=pc_trdark","https://www.xiaohongshu.com/explore/691aeb55000000000503963f?xsec_token=TB7_xX17zVvyJQL8hbcdzoIIZGDpO49cFO6D2BJLllgv0=&amp;xsec_source=pc_trdark")</f>
        <v>0.0</v>
      </c>
      <c r="D27" t="inlineStr">
        <is>
          <t>婉婉上班吃什么</t>
        </is>
      </c>
      <c r="E27" t="inlineStr">
        <is>
          <t>11434449706</t>
        </is>
      </c>
      <c r="F27" t="inlineStr">
        <is>
          <t>2025-11-17 17:31:01</t>
        </is>
      </c>
      <c r="G27" t="inlineStr">
        <is>
          <t>视频</t>
        </is>
      </c>
      <c r="H27" t="inlineStr">
        <is>
          <t>生蚝乳山生蚝海蛎子顺丰包邮</t>
        </is>
      </c>
      <c r="I27" t="inlineStr">
        <is>
          <t>690c70971b787900010866cc</t>
        </is>
      </c>
      <c r="J27" t="n">
        <v>33.0</v>
      </c>
      <c r="K27" t="n">
        <v>219.7</v>
      </c>
      <c r="L27" t="n">
        <v>3.0</v>
      </c>
      <c r="M27" t="n">
        <v>33.0</v>
      </c>
      <c r="N27" t="inlineStr">
        <is>
          <t>0.09705882352941177</t>
        </is>
      </c>
      <c r="O27" t="n">
        <v>29.0</v>
      </c>
      <c r="P27" t="n">
        <v>3.0</v>
      </c>
      <c r="Q27" t="inlineStr">
        <is>
          <t>0.09090909090909091</t>
        </is>
      </c>
      <c r="R27" t="inlineStr">
        <is>
          <t>0.10344827586206896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5.0</v>
      </c>
      <c r="Z27" t="n">
        <v>7.0</v>
      </c>
      <c r="AA27" t="n">
        <v>0.0</v>
      </c>
      <c r="AB27" t="n">
        <v>1.0</v>
      </c>
      <c r="AC27" t="n">
        <v>0.0</v>
      </c>
      <c r="AD27" t="n">
        <v>340.0</v>
      </c>
      <c r="AE27" t="n">
        <v>3.0</v>
      </c>
      <c r="AF27" t="n">
        <v>0.0</v>
      </c>
      <c r="AG27" t="n">
        <v>2.0</v>
      </c>
      <c r="AH27" t="n">
        <v>1.0</v>
      </c>
      <c r="AI27" t="n">
        <v>1.0</v>
      </c>
      <c r="AJ27" t="n">
        <v>0.0</v>
      </c>
      <c r="AK27" t="n">
        <v>8.976470588235294</v>
      </c>
      <c r="AL27" t="inlineStr">
        <is>
          <t>0.08814589665653495</t>
        </is>
      </c>
    </row>
    <row r="28">
      <c r="A28" t="inlineStr">
        <is>
          <t>我爸让我赶紧宣传一下,50+一箱了！包活包肥</t>
        </is>
      </c>
      <c r="B28" t="inlineStr">
        <is>
          <t>690ea68e0000000003010d38</t>
        </is>
      </c>
      <c r="C28" s="27" t="n">
        <f>HYPERLINK("https://www.xiaohongshu.com/explore/690ea68e0000000003010d38?xsec_token=TBJajQDaP2lymAuuRX7yQPUSIuWDt-m9GrDAvbEcbHo7M=&amp;xsec_source=pc_trdark","https://www.xiaohongshu.com/explore/690ea68e0000000003010d38?xsec_token=TBJajQDaP2lymAuuRX7yQPUSIuWDt-m9GrDAvbEcbHo7M=&amp;xsec_source=pc_trdark")</f>
        <v>0.0</v>
      </c>
      <c r="D28" t="inlineStr">
        <is>
          <t>婉婉上班吃什么</t>
        </is>
      </c>
      <c r="E28" t="inlineStr">
        <is>
          <t>11434449706</t>
        </is>
      </c>
      <c r="F28" t="inlineStr">
        <is>
          <t>2025-11-08 10:10:22</t>
        </is>
      </c>
      <c r="G28" t="inlineStr">
        <is>
          <t>视频</t>
        </is>
      </c>
      <c r="H28" t="inlineStr">
        <is>
          <t>生蚝乳山生蚝海蛎子顺丰包邮</t>
        </is>
      </c>
      <c r="I28" t="inlineStr">
        <is>
          <t>690c70971b787900010866cc</t>
        </is>
      </c>
      <c r="J28" t="n">
        <v>30.0</v>
      </c>
      <c r="K28" t="n">
        <v>99.9</v>
      </c>
      <c r="L28" t="n">
        <v>1.0</v>
      </c>
      <c r="M28" t="n">
        <v>46.0</v>
      </c>
      <c r="N28" t="inlineStr">
        <is>
          <t>0.14511041009463724</t>
        </is>
      </c>
      <c r="O28" t="n">
        <v>38.0</v>
      </c>
      <c r="P28" t="n">
        <v>1.0</v>
      </c>
      <c r="Q28" t="inlineStr">
        <is>
          <t>0.021739130434782608</t>
        </is>
      </c>
      <c r="R28" t="inlineStr">
        <is>
          <t>0.02631578947368421</t>
        </is>
      </c>
      <c r="S28" t="n">
        <v>99.9</v>
      </c>
      <c r="T28" t="n">
        <v>1.0</v>
      </c>
      <c r="U28" t="n">
        <v>1.0</v>
      </c>
      <c r="V28" t="n">
        <v>99.9</v>
      </c>
      <c r="W28" t="n">
        <v>1.0</v>
      </c>
      <c r="X28" t="n">
        <v>1.0</v>
      </c>
      <c r="Y28" t="n">
        <v>4.0</v>
      </c>
      <c r="Z28" t="n">
        <v>6.0</v>
      </c>
      <c r="AA28" t="n">
        <v>0.0</v>
      </c>
      <c r="AB28" t="n">
        <v>0.0</v>
      </c>
      <c r="AC28" t="n">
        <v>0.0</v>
      </c>
      <c r="AD28" t="n">
        <v>317.0</v>
      </c>
      <c r="AE28" t="n">
        <v>2.0</v>
      </c>
      <c r="AF28" t="n">
        <v>1.0</v>
      </c>
      <c r="AG28" t="n">
        <v>1.0</v>
      </c>
      <c r="AH28" t="n">
        <v>0.0</v>
      </c>
      <c r="AI28" t="n">
        <v>0.0</v>
      </c>
      <c r="AJ28" t="n">
        <v>0.0</v>
      </c>
      <c r="AK28" t="n">
        <v>12.031545741324921</v>
      </c>
      <c r="AL28" t="inlineStr">
        <is>
          <t>0.17681159420289855</t>
        </is>
      </c>
    </row>
    <row r="29">
      <c r="A29" t="inlineStr">
        <is>
          <t>70块承包半月减酯晚餐，这虾比鸡胸肉还值！</t>
        </is>
      </c>
      <c r="B29" t="inlineStr">
        <is>
          <t>6912ace8000000000402b13c</t>
        </is>
      </c>
      <c r="C29" s="28" t="n">
        <f>HYPERLINK("https://www.xiaohongshu.com/explore/6912ace8000000000402b13c?xsec_token=TBnZN0DmKGIQMnPXPN25j7p5R48zN_711aWAsPlk28634=&amp;xsec_source=pc_trdark","https://www.xiaohongshu.com/explore/6912ace8000000000402b13c?xsec_token=TBnZN0DmKGIQMnPXPN25j7p5R48zN_711aWAsPlk28634=&amp;xsec_source=pc_trdark")</f>
        <v>0.0</v>
      </c>
      <c r="D29" t="inlineStr">
        <is>
          <t>鲜水湾</t>
        </is>
      </c>
      <c r="E29" t="inlineStr">
        <is>
          <t>49316638994</t>
        </is>
      </c>
      <c r="F29" t="inlineStr">
        <is>
          <t>2025-11-11 11:26:32</t>
        </is>
      </c>
      <c r="G29" t="inlineStr">
        <is>
          <t>图文</t>
        </is>
      </c>
      <c r="H29" t="inlineStr">
        <is>
          <t>大虾基围虾王牌大虾厄瓜多尔白虾盐冻虾仁海洋大虾送礼顺丰包邮</t>
        </is>
      </c>
      <c r="I29" t="inlineStr">
        <is>
          <t>690aeb7be379430001e686ac</t>
        </is>
      </c>
      <c r="J29" t="inlineStr">
        <is>
          <t/>
        </is>
      </c>
      <c r="K29" t="n">
        <v>139.8</v>
      </c>
      <c r="L29" t="n">
        <v>2.0</v>
      </c>
      <c r="M29" t="n">
        <v>61.0</v>
      </c>
      <c r="N29" t="inlineStr">
        <is>
          <t>0.20469798657718122</t>
        </is>
      </c>
      <c r="O29" t="n">
        <v>50.0</v>
      </c>
      <c r="P29" t="n">
        <v>2.0</v>
      </c>
      <c r="Q29" t="inlineStr">
        <is>
          <t>0.03278688524590164</t>
        </is>
      </c>
      <c r="R29" t="n">
        <v>0.04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11.0</v>
      </c>
      <c r="Z29" t="n">
        <v>5.0</v>
      </c>
      <c r="AA29" t="n">
        <v>0.0</v>
      </c>
      <c r="AB29" t="n">
        <v>0.0</v>
      </c>
      <c r="AC29" t="n">
        <v>0.0</v>
      </c>
      <c r="AD29" t="n">
        <v>298.0</v>
      </c>
      <c r="AE29" t="n">
        <v>2.0</v>
      </c>
      <c r="AF29" t="n">
        <v>0.0</v>
      </c>
      <c r="AG29" t="n">
        <v>1.0</v>
      </c>
      <c r="AH29" t="n">
        <v>2.0</v>
      </c>
      <c r="AI29" t="n">
        <v>0.0</v>
      </c>
      <c r="AJ29" t="n">
        <v>0.0</v>
      </c>
      <c r="AK29" t="n">
        <v>10.87248322147651</v>
      </c>
      <c r="AL29" t="inlineStr">
        <is>
          <t/>
        </is>
      </c>
    </row>
    <row r="30">
      <c r="A30" t="inlineStr">
        <is>
          <t>不愧是10w网友认证过的乳山生蚝 ?太绝了！</t>
        </is>
      </c>
      <c r="B30" t="inlineStr">
        <is>
          <t>691a79eb0000000007021690</t>
        </is>
      </c>
      <c r="C30" s="29" t="n">
        <f>HYPERLINK("https://www.xiaohongshu.com/explore/691a79eb0000000007021690?xsec_token=TB7_xX17zVvyJQL8hbcdzoIH0Hg5sHUedXiVWPK2J0n74=&amp;xsec_source=pc_trdark","https://www.xiaohongshu.com/explore/691a79eb0000000007021690?xsec_token=TB7_xX17zVvyJQL8hbcdzoIH0Hg5sHUedXiVWPK2J0n74=&amp;xsec_source=pc_trdark")</f>
        <v>0.0</v>
      </c>
      <c r="D30" t="inlineStr">
        <is>
          <t>婉婉上班吃什么</t>
        </is>
      </c>
      <c r="E30" t="inlineStr">
        <is>
          <t>11434449706</t>
        </is>
      </c>
      <c r="F30" t="inlineStr">
        <is>
          <t>2025-11-17 09:27:07</t>
        </is>
      </c>
      <c r="G30" t="inlineStr">
        <is>
          <t>视频</t>
        </is>
      </c>
      <c r="H30" t="inlineStr">
        <is>
          <t>生蚝乳山生蚝海蛎子顺丰包邮</t>
        </is>
      </c>
      <c r="I30" t="inlineStr">
        <is>
          <t>690c70971b787900010866cc</t>
        </is>
      </c>
      <c r="J30" t="n">
        <v>25.0</v>
      </c>
      <c r="K30" t="n">
        <v>0.0</v>
      </c>
      <c r="L30" t="n">
        <v>0.0</v>
      </c>
      <c r="M30" t="n">
        <v>24.0</v>
      </c>
      <c r="N30" t="inlineStr">
        <is>
          <t>0.08695652173913043</t>
        </is>
      </c>
      <c r="O30" t="n">
        <v>22.0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inlineStr">
        <is>
          <t/>
        </is>
      </c>
      <c r="X30" t="n">
        <v>0.0</v>
      </c>
      <c r="Y30" t="n">
        <v>1.0</v>
      </c>
      <c r="Z30" t="n">
        <v>0.0</v>
      </c>
      <c r="AA30" t="n">
        <v>0.0</v>
      </c>
      <c r="AB30" t="n">
        <v>0.0</v>
      </c>
      <c r="AC30" t="n">
        <v>0.0</v>
      </c>
      <c r="AD30" t="n">
        <v>276.0</v>
      </c>
      <c r="AE30" t="n">
        <v>1.0</v>
      </c>
      <c r="AF30" t="n">
        <v>1.0</v>
      </c>
      <c r="AG30" t="n">
        <v>1.0</v>
      </c>
      <c r="AH30" t="n">
        <v>1.0</v>
      </c>
      <c r="AI30" t="n">
        <v>0.0</v>
      </c>
      <c r="AJ30" t="n">
        <v>0.0</v>
      </c>
      <c r="AK30" t="n">
        <v>10.376811594202898</v>
      </c>
      <c r="AL30" t="inlineStr">
        <is>
          <t>0.17229729729729729</t>
        </is>
      </c>
    </row>
    <row r="31">
      <c r="A31" t="inlineStr">
        <is>
          <t>说一个撑死人但热量很低的东西</t>
        </is>
      </c>
      <c r="B31" t="inlineStr">
        <is>
          <t>6912f5760000000005001201</t>
        </is>
      </c>
      <c r="C31" s="30" t="n">
        <f>HYPERLINK("https://www.xiaohongshu.com/explore/6912f5760000000005001201?xsec_token=TBnZN0DmKGIQMnPXPN25j7p8hJBwnFk_A2WnB_UFtZgSg=&amp;xsec_source=pc_trdark","https://www.xiaohongshu.com/explore/6912f5760000000005001201?xsec_token=TBnZN0DmKGIQMnPXPN25j7p8hJBwnFk_A2WnB_UFtZgSg=&amp;xsec_source=pc_trdark")</f>
        <v>0.0</v>
      </c>
      <c r="D31" t="inlineStr">
        <is>
          <t>鲜水湾</t>
        </is>
      </c>
      <c r="E31" t="inlineStr">
        <is>
          <t>49316638994</t>
        </is>
      </c>
      <c r="F31" t="inlineStr">
        <is>
          <t>2025-11-11 16:36:06</t>
        </is>
      </c>
      <c r="G31" t="inlineStr">
        <is>
          <t>图文</t>
        </is>
      </c>
      <c r="H31" t="inlineStr">
        <is>
          <t>大虾基围虾王牌大虾厄瓜多尔白虾盐冻虾仁海洋大虾送礼顺丰包邮</t>
        </is>
      </c>
      <c r="I31" t="inlineStr">
        <is>
          <t>690aeb7be379430001e686ac</t>
        </is>
      </c>
      <c r="J31" t="inlineStr">
        <is>
          <t/>
        </is>
      </c>
      <c r="K31" t="n">
        <v>69.9</v>
      </c>
      <c r="L31" t="n">
        <v>1.0</v>
      </c>
      <c r="M31" t="n">
        <v>46.0</v>
      </c>
      <c r="N31" t="inlineStr">
        <is>
          <t>0.16974169741697417</t>
        </is>
      </c>
      <c r="O31" t="n">
        <v>36.0</v>
      </c>
      <c r="P31" t="n">
        <v>1.0</v>
      </c>
      <c r="Q31" t="inlineStr">
        <is>
          <t>0.021739130434782608</t>
        </is>
      </c>
      <c r="R31" t="inlineStr">
        <is>
          <t>0.027777777777777776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14.0</v>
      </c>
      <c r="Z31" t="n">
        <v>8.0</v>
      </c>
      <c r="AA31" t="n">
        <v>0.0</v>
      </c>
      <c r="AB31" t="n">
        <v>0.0</v>
      </c>
      <c r="AC31" t="n">
        <v>0.0</v>
      </c>
      <c r="AD31" t="n">
        <v>271.0</v>
      </c>
      <c r="AE31" t="n">
        <v>4.0</v>
      </c>
      <c r="AF31" t="n">
        <v>2.0</v>
      </c>
      <c r="AG31" t="n">
        <v>4.0</v>
      </c>
      <c r="AH31" t="n">
        <v>0.0</v>
      </c>
      <c r="AI31" t="n">
        <v>2.0</v>
      </c>
      <c r="AJ31" t="n">
        <v>0.0</v>
      </c>
      <c r="AK31" t="n">
        <v>8.18450184501845</v>
      </c>
      <c r="AL31" t="inlineStr">
        <is>
          <t/>
        </is>
      </c>
    </row>
    <row r="32">
      <c r="A32" t="inlineStr">
        <is>
          <t>不要低估60+💰的购买力，敞开吃吧…</t>
        </is>
      </c>
      <c r="B32" t="inlineStr">
        <is>
          <t>6915a71900000000050315c1</t>
        </is>
      </c>
      <c r="C32" s="31" t="n">
        <f>HYPERLINK("https://www.xiaohongshu.com/explore/6915a71900000000050315c1?xsec_token=TBAg-veJq-9HvX6LdnoJFXam1UmZ7vP4SKjS-YNGARor4=&amp;xsec_source=pc_trdark","https://www.xiaohongshu.com/explore/6915a71900000000050315c1?xsec_token=TBAg-veJq-9HvX6LdnoJFXam1UmZ7vP4SKjS-YNGARor4=&amp;xsec_source=pc_trdark")</f>
        <v>0.0</v>
      </c>
      <c r="D32" t="inlineStr">
        <is>
          <t>鲜水湾</t>
        </is>
      </c>
      <c r="E32" t="inlineStr">
        <is>
          <t>49316638994</t>
        </is>
      </c>
      <c r="F32" t="inlineStr">
        <is>
          <t>2025-11-13 17:38:33</t>
        </is>
      </c>
      <c r="G32" t="inlineStr">
        <is>
          <t>图文</t>
        </is>
      </c>
      <c r="H32" t="inlineStr">
        <is>
          <t>大虾基围虾王牌大虾厄瓜多尔白虾盐冻虾仁海洋大虾送礼顺丰包邮</t>
        </is>
      </c>
      <c r="I32" t="inlineStr">
        <is>
          <t>690aeb7be379430001e686ac</t>
        </is>
      </c>
      <c r="J32" t="inlineStr">
        <is>
          <t/>
        </is>
      </c>
      <c r="K32" t="n">
        <v>69.9</v>
      </c>
      <c r="L32" t="n">
        <v>1.0</v>
      </c>
      <c r="M32" t="n">
        <v>53.0</v>
      </c>
      <c r="N32" t="n">
        <v>0.2190082644628099</v>
      </c>
      <c r="O32" t="n">
        <v>44.0</v>
      </c>
      <c r="P32" t="n">
        <v>1.0</v>
      </c>
      <c r="Q32" t="inlineStr">
        <is>
          <t>0.018867924528301886</t>
        </is>
      </c>
      <c r="R32" t="inlineStr">
        <is>
          <t>0.022727272727272728</t>
        </is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8.0</v>
      </c>
      <c r="Z32" t="n">
        <v>17.0</v>
      </c>
      <c r="AA32" t="n">
        <v>69.9</v>
      </c>
      <c r="AB32" t="n">
        <v>0.0</v>
      </c>
      <c r="AC32" t="n">
        <v>0.0</v>
      </c>
      <c r="AD32" t="n">
        <v>242.0</v>
      </c>
      <c r="AE32" t="n">
        <v>4.0</v>
      </c>
      <c r="AF32" t="n">
        <v>1.0</v>
      </c>
      <c r="AG32" t="n">
        <v>0.0</v>
      </c>
      <c r="AH32" t="n">
        <v>0.0</v>
      </c>
      <c r="AI32" t="n">
        <v>0.0</v>
      </c>
      <c r="AJ32" t="n">
        <v>0.0</v>
      </c>
      <c r="AK32" t="n">
        <v>9.90495867768595</v>
      </c>
      <c r="AL32" t="inlineStr">
        <is>
          <t/>
        </is>
      </c>
    </row>
    <row r="33">
      <c r="A33" t="inlineStr">
        <is>
          <t>懂事的姐妹已经给男朋友安排起来了......</t>
        </is>
      </c>
      <c r="B33" t="inlineStr">
        <is>
          <t>6912caf4000000000301ad06</t>
        </is>
      </c>
      <c r="C33" s="32" t="n">
        <f>HYPERLINK("https://www.xiaohongshu.com/explore/6912caf4000000000301ad06?xsec_token=TBnZN0DmKGIQMnPXPN25j7p5Y62lX9J2JSUhOPF9i86vE=&amp;xsec_source=pc_trdark","https://www.xiaohongshu.com/explore/6912caf4000000000301ad06?xsec_token=TBnZN0DmKGIQMnPXPN25j7p5Y62lX9J2JSUhOPF9i86vE=&amp;xsec_source=pc_trdark")</f>
        <v>0.0</v>
      </c>
      <c r="D33" t="inlineStr">
        <is>
          <t>婉婉上班吃什么</t>
        </is>
      </c>
      <c r="E33" t="inlineStr">
        <is>
          <t>11434449706</t>
        </is>
      </c>
      <c r="F33" t="inlineStr">
        <is>
          <t>2025-11-11 13:34:44</t>
        </is>
      </c>
      <c r="G33" t="inlineStr">
        <is>
          <t>视频</t>
        </is>
      </c>
      <c r="H33" t="inlineStr">
        <is>
          <t>生蚝乳山生蚝海蛎子顺丰包邮</t>
        </is>
      </c>
      <c r="I33" t="inlineStr">
        <is>
          <t>690c70971b787900010866cc</t>
        </is>
      </c>
      <c r="J33" t="n">
        <v>24.0</v>
      </c>
      <c r="K33" t="n">
        <v>0.0</v>
      </c>
      <c r="L33" t="n">
        <v>0.0</v>
      </c>
      <c r="M33" t="n">
        <v>2.0</v>
      </c>
      <c r="N33" t="inlineStr">
        <is>
          <t>0.00966183574879227</t>
        </is>
      </c>
      <c r="O33" t="n">
        <v>2.0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inlineStr">
        <is>
          <t/>
        </is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207.0</v>
      </c>
      <c r="AE33" t="n">
        <v>0.0</v>
      </c>
      <c r="AF33" t="n">
        <v>1.0</v>
      </c>
      <c r="AG33" t="n">
        <v>1.0</v>
      </c>
      <c r="AH33" t="n">
        <v>1.0</v>
      </c>
      <c r="AI33" t="n">
        <v>0.0</v>
      </c>
      <c r="AJ33" t="n">
        <v>0.0</v>
      </c>
      <c r="AK33" t="n">
        <v>9.004830917874395</v>
      </c>
      <c r="AL33" t="inlineStr">
        <is>
          <t>0.15311004784688995</t>
        </is>
      </c>
    </row>
    <row r="34">
      <c r="A34" t="inlineStr">
        <is>
          <t>真心建议姐妹们尝尝这个三倍体生蚝！</t>
        </is>
      </c>
      <c r="B34" t="inlineStr">
        <is>
          <t>6916983e00000000070142da</t>
        </is>
      </c>
      <c r="C34" s="33" t="n">
        <f>HYPERLINK("https://www.xiaohongshu.com/explore/6916983e00000000070142da?xsec_token=TBHZiehrAOyLGw_5sWYDTDSe4rKUHPLiLaUlfZ0sWdDd0=&amp;xsec_source=pc_trdark","https://www.xiaohongshu.com/explore/6916983e00000000070142da?xsec_token=TBHZiehrAOyLGw_5sWYDTDSe4rKUHPLiLaUlfZ0sWdDd0=&amp;xsec_source=pc_trdark")</f>
        <v>0.0</v>
      </c>
      <c r="D34" t="inlineStr">
        <is>
          <t>婉婉上班吃什么</t>
        </is>
      </c>
      <c r="E34" t="inlineStr">
        <is>
          <t>11434449706</t>
        </is>
      </c>
      <c r="F34" t="inlineStr">
        <is>
          <t>2025-11-14 10:47:26</t>
        </is>
      </c>
      <c r="G34" t="inlineStr">
        <is>
          <t>视频</t>
        </is>
      </c>
      <c r="H34" t="inlineStr">
        <is>
          <t>生蚝乳山生蚝海蛎子顺丰包邮</t>
        </is>
      </c>
      <c r="I34" t="inlineStr">
        <is>
          <t>690c70971b787900010866cc</t>
        </is>
      </c>
      <c r="J34" t="n">
        <v>41.0</v>
      </c>
      <c r="K34" t="n">
        <v>0.0</v>
      </c>
      <c r="L34" t="n">
        <v>0.0</v>
      </c>
      <c r="M34" t="n">
        <v>11.0</v>
      </c>
      <c r="N34" t="inlineStr">
        <is>
          <t>0.05527638190954774</t>
        </is>
      </c>
      <c r="O34" t="n">
        <v>10.0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inlineStr">
        <is>
          <t/>
        </is>
      </c>
      <c r="X34" t="n">
        <v>0.0</v>
      </c>
      <c r="Y34" t="n">
        <v>1.0</v>
      </c>
      <c r="Z34" t="n">
        <v>0.0</v>
      </c>
      <c r="AA34" t="n">
        <v>0.0</v>
      </c>
      <c r="AB34" t="n">
        <v>0.0</v>
      </c>
      <c r="AC34" t="n">
        <v>0.0</v>
      </c>
      <c r="AD34" t="n">
        <v>199.0</v>
      </c>
      <c r="AE34" t="n">
        <v>0.0</v>
      </c>
      <c r="AF34" t="n">
        <v>0.0</v>
      </c>
      <c r="AG34" t="n">
        <v>0.0</v>
      </c>
      <c r="AH34" t="n">
        <v>1.0</v>
      </c>
      <c r="AI34" t="n">
        <v>0.0</v>
      </c>
      <c r="AJ34" t="n">
        <v>0.0</v>
      </c>
      <c r="AK34" t="n">
        <v>7.909547738693467</v>
      </c>
      <c r="AL34" t="inlineStr">
        <is>
          <t>0.06951871657754011</t>
        </is>
      </c>
    </row>
    <row r="35">
      <c r="A35" t="inlineStr">
        <is>
          <t>没招了，我妈让我在网上卖，谁买啊🥲</t>
        </is>
      </c>
      <c r="B35" t="inlineStr">
        <is>
          <t>6911a66d0000000004002444</t>
        </is>
      </c>
      <c r="C35" s="34" t="n">
        <f>HYPERLINK("https://www.xiaohongshu.com/explore/6911a66d0000000004002444?xsec_token=TBrsrV1jnhRUA39f7gREfx-DSs2aoYkBZUAeponFZ3Bsc=&amp;xsec_source=pc_trdark","https://www.xiaohongshu.com/explore/6911a66d0000000004002444?xsec_token=TBrsrV1jnhRUA39f7gREfx-DSs2aoYkBZUAeponFZ3Bsc=&amp;xsec_source=pc_trdark")</f>
        <v>0.0</v>
      </c>
      <c r="D35" t="inlineStr">
        <is>
          <t>婉婉上班吃什么</t>
        </is>
      </c>
      <c r="E35" t="inlineStr">
        <is>
          <t>11434449706</t>
        </is>
      </c>
      <c r="F35" t="inlineStr">
        <is>
          <t>2025-11-10 16:46:37</t>
        </is>
      </c>
      <c r="G35" t="inlineStr">
        <is>
          <t>视频</t>
        </is>
      </c>
      <c r="H35" t="inlineStr">
        <is>
          <t>生蚝乳山生蚝海蛎子顺丰包邮</t>
        </is>
      </c>
      <c r="I35" t="inlineStr">
        <is>
          <t>690c70971b787900010866cc</t>
        </is>
      </c>
      <c r="J35" t="n">
        <v>14.0</v>
      </c>
      <c r="K35" t="n">
        <v>0.0</v>
      </c>
      <c r="L35" t="n">
        <v>0.0</v>
      </c>
      <c r="M35" t="n">
        <v>22.0</v>
      </c>
      <c r="N35" t="n">
        <v>0.1164021164021164</v>
      </c>
      <c r="O35" t="n">
        <v>20.0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inlineStr">
        <is>
          <t/>
        </is>
      </c>
      <c r="X35" t="n">
        <v>0.0</v>
      </c>
      <c r="Y35" t="n">
        <v>2.0</v>
      </c>
      <c r="Z35" t="n">
        <v>2.0</v>
      </c>
      <c r="AA35" t="n">
        <v>0.0</v>
      </c>
      <c r="AB35" t="n">
        <v>0.0</v>
      </c>
      <c r="AC35" t="n">
        <v>0.0</v>
      </c>
      <c r="AD35" t="n">
        <v>189.0</v>
      </c>
      <c r="AE35" t="n">
        <v>0.0</v>
      </c>
      <c r="AF35" t="n">
        <v>0.0</v>
      </c>
      <c r="AG35" t="n">
        <v>1.0</v>
      </c>
      <c r="AH35" t="n">
        <v>0.0</v>
      </c>
      <c r="AI35" t="n">
        <v>0.0</v>
      </c>
      <c r="AJ35" t="n">
        <v>0.0</v>
      </c>
      <c r="AK35" t="n">
        <v>6.8201058201058204</v>
      </c>
      <c r="AL35" t="inlineStr">
        <is>
          <t>0.23943661971830985</t>
        </is>
      </c>
    </row>
    <row r="36">
      <c r="A36" t="inlineStr">
        <is>
          <t>不要低估50💰的购买力，敞开吃吧……</t>
        </is>
      </c>
      <c r="B36" t="inlineStr">
        <is>
          <t>69169a18000000000702364f</t>
        </is>
      </c>
      <c r="C36" s="35" t="n">
        <f>HYPERLINK("https://www.xiaohongshu.com/explore/69169a18000000000702364f?xsec_token=TBHZiehrAOyLGw_5sWYDTDSTUCZyiZ3OcqJJtpc6kKFPo=&amp;xsec_source=pc_trdark","https://www.xiaohongshu.com/explore/69169a18000000000702364f?xsec_token=TBHZiehrAOyLGw_5sWYDTDSTUCZyiZ3OcqJJtpc6kKFPo=&amp;xsec_source=pc_trdark")</f>
        <v>0.0</v>
      </c>
      <c r="D36" t="inlineStr">
        <is>
          <t>婉婉上班吃什么</t>
        </is>
      </c>
      <c r="E36" t="inlineStr">
        <is>
          <t>11434449706</t>
        </is>
      </c>
      <c r="F36" t="inlineStr">
        <is>
          <t>2025-11-14 11:55:00</t>
        </is>
      </c>
      <c r="G36" t="inlineStr">
        <is>
          <t>视频</t>
        </is>
      </c>
      <c r="H36" t="inlineStr">
        <is>
          <t>生蚝乳山生蚝海蛎子顺丰包邮</t>
        </is>
      </c>
      <c r="I36" t="inlineStr">
        <is>
          <t>690c70971b787900010866cc</t>
        </is>
      </c>
      <c r="J36" t="n">
        <v>30.0</v>
      </c>
      <c r="K36" t="n">
        <v>0.0</v>
      </c>
      <c r="L36" t="n">
        <v>0.0</v>
      </c>
      <c r="M36" t="n">
        <v>9.0</v>
      </c>
      <c r="N36" t="inlineStr">
        <is>
          <t>0.05113636363636364</t>
        </is>
      </c>
      <c r="O36" t="n">
        <v>9.0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inlineStr">
        <is>
          <t/>
        </is>
      </c>
      <c r="X36" t="n">
        <v>0.0</v>
      </c>
      <c r="Y36" t="n">
        <v>1.0</v>
      </c>
      <c r="Z36" t="n">
        <v>0.0</v>
      </c>
      <c r="AA36" t="n">
        <v>0.0</v>
      </c>
      <c r="AB36" t="n">
        <v>0.0</v>
      </c>
      <c r="AC36" t="n">
        <v>0.0</v>
      </c>
      <c r="AD36" t="n">
        <v>176.0</v>
      </c>
      <c r="AE36" t="n">
        <v>0.0</v>
      </c>
      <c r="AF36" t="n">
        <v>1.0</v>
      </c>
      <c r="AG36" t="n">
        <v>0.0</v>
      </c>
      <c r="AH36" t="n">
        <v>0.0</v>
      </c>
      <c r="AI36" t="n">
        <v>0.0</v>
      </c>
      <c r="AJ36" t="n">
        <v>0.0</v>
      </c>
      <c r="AK36" t="n">
        <v>7.7897727272727275</v>
      </c>
      <c r="AL36" t="inlineStr">
        <is>
          <t>0.06896551724137931</t>
        </is>
      </c>
    </row>
    <row r="37">
      <c r="A37" t="inlineStr">
        <is>
          <t>好吃我已经说累了，没看到就随缘吧</t>
        </is>
      </c>
      <c r="B37" t="inlineStr">
        <is>
          <t>69141ff30000000004004dac</t>
        </is>
      </c>
      <c r="C37" s="36" t="n">
        <f>HYPERLINK("https://www.xiaohongshu.com/explore/69141ff30000000004004dac?xsec_token=TBaXvlcWwd_4ttBIqZOUWAk2BjKO4Cr5CifWDaQ8pvdtM=&amp;xsec_source=pc_trdark","https://www.xiaohongshu.com/explore/69141ff30000000004004dac?xsec_token=TBaXvlcWwd_4ttBIqZOUWAk2BjKO4Cr5CifWDaQ8pvdtM=&amp;xsec_source=pc_trdark")</f>
        <v>0.0</v>
      </c>
      <c r="D37" t="inlineStr">
        <is>
          <t>婉婉上班吃什么</t>
        </is>
      </c>
      <c r="E37" t="inlineStr">
        <is>
          <t>11434449706</t>
        </is>
      </c>
      <c r="F37" t="inlineStr">
        <is>
          <t>2025-11-12 13:49:39</t>
        </is>
      </c>
      <c r="G37" t="inlineStr">
        <is>
          <t>视频</t>
        </is>
      </c>
      <c r="H37" t="inlineStr">
        <is>
          <t>生蚝乳山生蚝海蛎子顺丰包邮</t>
        </is>
      </c>
      <c r="I37" t="inlineStr">
        <is>
          <t>690c70971b787900010866cc</t>
        </is>
      </c>
      <c r="J37" t="n">
        <v>17.0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inlineStr">
        <is>
          <t/>
        </is>
      </c>
      <c r="R37" t="inlineStr">
        <is>
          <t/>
        </is>
      </c>
      <c r="S37" t="n">
        <v>0.0</v>
      </c>
      <c r="T37" t="n">
        <v>0.0</v>
      </c>
      <c r="U37" t="n">
        <v>0.0</v>
      </c>
      <c r="V37" t="n">
        <v>0.0</v>
      </c>
      <c r="W37" t="inlineStr">
        <is>
          <t/>
        </is>
      </c>
      <c r="X37" t="n">
        <v>0.0</v>
      </c>
      <c r="Y37" t="n">
        <v>0.0</v>
      </c>
      <c r="Z37" t="n">
        <v>1.0</v>
      </c>
      <c r="AA37" t="n">
        <v>0.0</v>
      </c>
      <c r="AB37" t="n">
        <v>0.0</v>
      </c>
      <c r="AC37" t="n">
        <v>0.0</v>
      </c>
      <c r="AD37" t="n">
        <v>168.0</v>
      </c>
      <c r="AE37" t="n">
        <v>1.0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6.863095238095238</v>
      </c>
      <c r="AL37" t="inlineStr">
        <is>
          <t>0.15730337078651685</t>
        </is>
      </c>
    </row>
    <row r="38">
      <c r="A38" t="inlineStr">
        <is>
          <t>没招了，我爸让我在网上卖，谁买啊🥲</t>
        </is>
      </c>
      <c r="B38" t="inlineStr">
        <is>
          <t>69141aad000000000700bda1</t>
        </is>
      </c>
      <c r="C38" s="37" t="n">
        <f>HYPERLINK("https://www.xiaohongshu.com/explore/69141aad000000000700bda1?xsec_token=TBaXvlcWwd_4ttBIqZOUWAk91Hv6khx9PhVzX9T74Lm0w=&amp;xsec_source=pc_trdark","https://www.xiaohongshu.com/explore/69141aad000000000700bda1?xsec_token=TBaXvlcWwd_4ttBIqZOUWAk91Hv6khx9PhVzX9T74Lm0w=&amp;xsec_source=pc_trdark")</f>
        <v>0.0</v>
      </c>
      <c r="D38" t="inlineStr">
        <is>
          <t>婉婉上班吃什么</t>
        </is>
      </c>
      <c r="E38" t="inlineStr">
        <is>
          <t>11434449706</t>
        </is>
      </c>
      <c r="F38" t="inlineStr">
        <is>
          <t>2025-11-12 13:27:09</t>
        </is>
      </c>
      <c r="G38" t="inlineStr">
        <is>
          <t>视频</t>
        </is>
      </c>
      <c r="H38" t="inlineStr">
        <is>
          <t>生蚝乳山生蚝海蛎子顺丰包邮</t>
        </is>
      </c>
      <c r="I38" t="inlineStr">
        <is>
          <t>690c70971b787900010866cc</t>
        </is>
      </c>
      <c r="J38" t="n">
        <v>19.0</v>
      </c>
      <c r="K38" t="n">
        <v>0.0</v>
      </c>
      <c r="L38" t="n">
        <v>0.0</v>
      </c>
      <c r="M38" t="n">
        <v>11.0</v>
      </c>
      <c r="N38" t="inlineStr">
        <is>
          <t>0.06790123456790123</t>
        </is>
      </c>
      <c r="O38" t="n">
        <v>8.0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inlineStr">
        <is>
          <t/>
        </is>
      </c>
      <c r="X38" t="n">
        <v>0.0</v>
      </c>
      <c r="Y38" t="n">
        <v>0.0</v>
      </c>
      <c r="Z38" t="n">
        <v>1.0</v>
      </c>
      <c r="AA38" t="n">
        <v>0.0</v>
      </c>
      <c r="AB38" t="n">
        <v>0.0</v>
      </c>
      <c r="AC38" t="n">
        <v>0.0</v>
      </c>
      <c r="AD38" t="n">
        <v>162.0</v>
      </c>
      <c r="AE38" t="n">
        <v>1.0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6.2407407407407405</v>
      </c>
      <c r="AL38" t="inlineStr">
        <is>
          <t>0.10365853658536585</t>
        </is>
      </c>
    </row>
    <row r="39">
      <c r="A39" t="inlineStr">
        <is>
          <t>这一口含金量谁懂🥹🥹🥹</t>
        </is>
      </c>
      <c r="B39" t="inlineStr">
        <is>
          <t>690d96940000000004011cda</t>
        </is>
      </c>
      <c r="C39" s="38" t="n">
        <f>HYPERLINK("https://www.xiaohongshu.com/explore/690d96940000000004011cda?xsec_token=TBD_zEgNllAsWvESEGX2jOczHcUOImRfQZszSUQd6aLQc=&amp;xsec_source=pc_trdark","https://www.xiaohongshu.com/explore/690d96940000000004011cda?xsec_token=TBD_zEgNllAsWvESEGX2jOczHcUOImRfQZszSUQd6aLQc=&amp;xsec_source=pc_trdark")</f>
        <v>0.0</v>
      </c>
      <c r="D39" t="inlineStr">
        <is>
          <t>婉婉上班吃什么</t>
        </is>
      </c>
      <c r="E39" t="inlineStr">
        <is>
          <t>11434449706</t>
        </is>
      </c>
      <c r="F39" t="inlineStr">
        <is>
          <t>2025-11-07 14:49:56</t>
        </is>
      </c>
      <c r="G39" t="inlineStr">
        <is>
          <t>视频</t>
        </is>
      </c>
      <c r="H39" t="inlineStr">
        <is>
          <t>生蚝乳山生蚝海蛎子顺丰包邮</t>
        </is>
      </c>
      <c r="I39" t="inlineStr">
        <is>
          <t>690c70971b787900010866cc</t>
        </is>
      </c>
      <c r="J39" t="n">
        <v>36.0</v>
      </c>
      <c r="K39" t="n">
        <v>0.0</v>
      </c>
      <c r="L39" t="n">
        <v>0.0</v>
      </c>
      <c r="M39" t="n">
        <v>12.0</v>
      </c>
      <c r="N39" t="inlineStr">
        <is>
          <t>0.07947019867549669</t>
        </is>
      </c>
      <c r="O39" t="n">
        <v>4.0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inlineStr">
        <is>
          <t/>
        </is>
      </c>
      <c r="X39" t="n">
        <v>0.0</v>
      </c>
      <c r="Y39" t="n">
        <v>0.0</v>
      </c>
      <c r="Z39" t="n">
        <v>1.0</v>
      </c>
      <c r="AA39" t="n">
        <v>0.0</v>
      </c>
      <c r="AB39" t="n">
        <v>0.0</v>
      </c>
      <c r="AC39" t="n">
        <v>0.0</v>
      </c>
      <c r="AD39" t="n">
        <v>151.0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11.596026490066226</v>
      </c>
      <c r="AL39" t="inlineStr">
        <is>
          <t>0.13793103448275862</t>
        </is>
      </c>
    </row>
    <row r="40">
      <c r="A40" t="inlineStr">
        <is>
          <t>感谢小红书，让我感受到69.9吃一周的快乐！</t>
        </is>
      </c>
      <c r="B40" t="inlineStr">
        <is>
          <t>6913ee9d0000000007016882</t>
        </is>
      </c>
      <c r="C40" s="39" t="n">
        <f>HYPERLINK("https://www.xiaohongshu.com/explore/6913ee9d0000000007016882?xsec_token=TBuRf-kx9cRMi3U9rbAm1Pe8DVCyJ3Zxqwm_4r98psAvs=&amp;xsec_source=pc_trdark","https://www.xiaohongshu.com/explore/6913ee9d0000000007016882?xsec_token=TBuRf-kx9cRMi3U9rbAm1Pe8DVCyJ3Zxqwm_4r98psAvs=&amp;xsec_source=pc_trdark")</f>
        <v>0.0</v>
      </c>
      <c r="D40" t="inlineStr">
        <is>
          <t>鲜水湾甄选</t>
        </is>
      </c>
      <c r="E40" t="inlineStr">
        <is>
          <t>27401929161</t>
        </is>
      </c>
      <c r="F40" t="inlineStr">
        <is>
          <t>2025-11-12 10:19:09</t>
        </is>
      </c>
      <c r="G40" t="inlineStr">
        <is>
          <t>图文</t>
        </is>
      </c>
      <c r="H40" t="inlineStr">
        <is>
          <t>大虾基围虾王牌大虾厄瓜多尔白虾盐冻虾仁海洋大虾送礼顺丰包邮</t>
        </is>
      </c>
      <c r="I40" t="inlineStr">
        <is>
          <t>690aeb7be379430001e686ac</t>
        </is>
      </c>
      <c r="J40" t="inlineStr">
        <is>
          <t/>
        </is>
      </c>
      <c r="K40" t="n">
        <v>309.6</v>
      </c>
      <c r="L40" t="n">
        <v>4.0</v>
      </c>
      <c r="M40" t="n">
        <v>30.0</v>
      </c>
      <c r="N40" t="n">
        <v>0.2127659574468085</v>
      </c>
      <c r="O40" t="n">
        <v>24.0</v>
      </c>
      <c r="P40" t="n">
        <v>4.0</v>
      </c>
      <c r="Q40" t="inlineStr">
        <is>
          <t>0.13333333333333333</t>
        </is>
      </c>
      <c r="R40" t="inlineStr">
        <is>
          <t>0.16666666666666666</t>
        </is>
      </c>
      <c r="S40" t="n">
        <v>10.0</v>
      </c>
      <c r="T40" t="n">
        <v>1.0</v>
      </c>
      <c r="U40" t="n">
        <v>1.0</v>
      </c>
      <c r="V40" t="n">
        <v>10.0</v>
      </c>
      <c r="W40" t="inlineStr">
        <is>
          <t>0.03229974160206718</t>
        </is>
      </c>
      <c r="X40" t="n">
        <v>1.0</v>
      </c>
      <c r="Y40" t="n">
        <v>11.0</v>
      </c>
      <c r="Z40" t="n">
        <v>4.0</v>
      </c>
      <c r="AA40" t="n">
        <v>0.0</v>
      </c>
      <c r="AB40" t="n">
        <v>0.0</v>
      </c>
      <c r="AC40" t="n">
        <v>0.0</v>
      </c>
      <c r="AD40" t="n">
        <v>141.0</v>
      </c>
      <c r="AE40" t="n">
        <v>1.0</v>
      </c>
      <c r="AF40" t="n">
        <v>0.0</v>
      </c>
      <c r="AG40" t="n">
        <v>0.0</v>
      </c>
      <c r="AH40" t="n">
        <v>2.0</v>
      </c>
      <c r="AI40" t="n">
        <v>0.0</v>
      </c>
      <c r="AJ40" t="n">
        <v>0.0</v>
      </c>
      <c r="AK40" t="n">
        <v>10.319148936170214</v>
      </c>
      <c r="AL40" t="inlineStr">
        <is>
          <t/>
        </is>
      </c>
    </row>
    <row r="41">
      <c r="A41" t="inlineStr">
        <is>
          <t>巨惊艳❗️乳山真有好生蚝</t>
        </is>
      </c>
      <c r="B41" t="inlineStr">
        <is>
          <t>691c9929000000001f00e731</t>
        </is>
      </c>
      <c r="C41" s="40" t="n">
        <f>HYPERLINK("https://www.xiaohongshu.com/explore/691c9929000000001f00e731?xsec_token=TBIS8v-01Optb7rxCGgHk_CYuHmRqFoAej7AxOXXyebHw=&amp;xsec_source=pc_trdark","https://www.xiaohongshu.com/explore/691c9929000000001f00e731?xsec_token=TBIS8v-01Optb7rxCGgHk_CYuHmRqFoAej7AxOXXyebHw=&amp;xsec_source=pc_trdark")</f>
        <v>0.0</v>
      </c>
      <c r="D41" t="inlineStr">
        <is>
          <t>婉婉上班吃什么</t>
        </is>
      </c>
      <c r="E41" t="inlineStr">
        <is>
          <t>11434449706</t>
        </is>
      </c>
      <c r="F41" t="inlineStr">
        <is>
          <t>2025-11-19 00:04:57</t>
        </is>
      </c>
      <c r="G41" t="inlineStr">
        <is>
          <t>图文</t>
        </is>
      </c>
      <c r="H41" t="inlineStr">
        <is>
          <t>生蚝乳山生蚝海蛎子顺丰包邮</t>
        </is>
      </c>
      <c r="I41" t="inlineStr">
        <is>
          <t>690c70971b787900010866cc</t>
        </is>
      </c>
      <c r="J41" t="inlineStr">
        <is>
          <t/>
        </is>
      </c>
      <c r="K41" t="n">
        <v>59.9</v>
      </c>
      <c r="L41" t="n">
        <v>1.0</v>
      </c>
      <c r="M41" t="n">
        <v>12.0</v>
      </c>
      <c r="N41" t="inlineStr">
        <is>
          <t>0.08633093525179857</t>
        </is>
      </c>
      <c r="O41" t="n">
        <v>9.0</v>
      </c>
      <c r="P41" t="n">
        <v>1.0</v>
      </c>
      <c r="Q41" t="inlineStr">
        <is>
          <t>0.08333333333333333</t>
        </is>
      </c>
      <c r="R41" t="n">
        <v>0.1111111111111111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1.0</v>
      </c>
      <c r="Z41" t="n">
        <v>2.0</v>
      </c>
      <c r="AA41" t="n">
        <v>0.0</v>
      </c>
      <c r="AB41" t="n">
        <v>0.0</v>
      </c>
      <c r="AC41" t="n">
        <v>0.0</v>
      </c>
      <c r="AD41" t="n">
        <v>139.0</v>
      </c>
      <c r="AE41" t="n">
        <v>0.0</v>
      </c>
      <c r="AF41" t="n">
        <v>0.0</v>
      </c>
      <c r="AG41" t="n">
        <v>1.0</v>
      </c>
      <c r="AH41" t="n">
        <v>1.0</v>
      </c>
      <c r="AI41" t="n">
        <v>0.0</v>
      </c>
      <c r="AJ41" t="n">
        <v>0.0</v>
      </c>
      <c r="AK41" t="n">
        <v>5.474820143884892</v>
      </c>
      <c r="AL41" t="inlineStr">
        <is>
          <t/>
        </is>
      </c>
    </row>
    <row r="42">
      <c r="A42" t="inlineStr">
        <is>
          <t>看着平平无奇，大虾减酯吃属实高调</t>
        </is>
      </c>
      <c r="B42" t="inlineStr">
        <is>
          <t>6915f2e80000000004011f79</t>
        </is>
      </c>
      <c r="C42" s="41" t="n">
        <f>HYPERLINK("https://www.xiaohongshu.com/explore/6915f2e80000000004011f79?xsec_token=TBAg-veJq-9HvX6LdnoJFXatNOHb01KWFRfK1Xd1kSRNA=&amp;xsec_source=pc_trdark","https://www.xiaohongshu.com/explore/6915f2e80000000004011f79?xsec_token=TBAg-veJq-9HvX6LdnoJFXatNOHb01KWFRfK1Xd1kSRNA=&amp;xsec_source=pc_trdark")</f>
        <v>0.0</v>
      </c>
      <c r="D42" t="inlineStr">
        <is>
          <t>鲜水湾</t>
        </is>
      </c>
      <c r="E42" t="inlineStr">
        <is>
          <t>49316638994</t>
        </is>
      </c>
      <c r="F42" t="inlineStr">
        <is>
          <t>2025-11-13 23:02:00</t>
        </is>
      </c>
      <c r="G42" t="inlineStr">
        <is>
          <t>图文</t>
        </is>
      </c>
      <c r="H42" t="inlineStr">
        <is>
          <t>大虾基围虾王牌大虾厄瓜多尔白虾盐冻虾仁海洋大虾送礼顺丰包邮</t>
        </is>
      </c>
      <c r="I42" t="inlineStr">
        <is>
          <t>690aeb7be379430001e686ac</t>
        </is>
      </c>
      <c r="J42" t="inlineStr">
        <is>
          <t/>
        </is>
      </c>
      <c r="K42" t="n">
        <v>0.0</v>
      </c>
      <c r="L42" t="n">
        <v>0.0</v>
      </c>
      <c r="M42" t="n">
        <v>19.0</v>
      </c>
      <c r="N42" t="n">
        <v>0.2235294117647059</v>
      </c>
      <c r="O42" t="n">
        <v>13.0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inlineStr">
        <is>
          <t/>
        </is>
      </c>
      <c r="X42" t="n">
        <v>0.0</v>
      </c>
      <c r="Y42" t="n">
        <v>1.0</v>
      </c>
      <c r="Z42" t="n">
        <v>0.0</v>
      </c>
      <c r="AA42" t="n">
        <v>0.0</v>
      </c>
      <c r="AB42" t="n">
        <v>0.0</v>
      </c>
      <c r="AC42" t="n">
        <v>0.0</v>
      </c>
      <c r="AD42" t="n">
        <v>85.0</v>
      </c>
      <c r="AE42" t="n">
        <v>0.0</v>
      </c>
      <c r="AF42" t="n">
        <v>1.0</v>
      </c>
      <c r="AG42" t="n">
        <v>0.0</v>
      </c>
      <c r="AH42" t="n">
        <v>3.0</v>
      </c>
      <c r="AI42" t="n">
        <v>0.0</v>
      </c>
      <c r="AJ42" t="n">
        <v>0.0</v>
      </c>
      <c r="AK42" t="n">
        <v>6.682352941176471</v>
      </c>
      <c r="AL42" t="inlineStr">
        <is>
          <t/>
        </is>
      </c>
    </row>
    <row r="43">
      <c r="A43" t="inlineStr">
        <is>
          <t>爸妈眼里的奢侈品，我的平价大虾😂</t>
        </is>
      </c>
      <c r="B43" t="inlineStr">
        <is>
          <t>691d6969000000001d03a42c</t>
        </is>
      </c>
      <c r="C43" s="42" t="n">
        <f>HYPERLINK("https://www.xiaohongshu.com/explore/691d6969000000001d03a42c?xsec_token=TBfJie4P5Jl9AylR95m8dPVMenHpSgXv-v868LiyyHrgU=&amp;xsec_source=pc_trdark","https://www.xiaohongshu.com/explore/691d6969000000001d03a42c?xsec_token=TBfJie4P5Jl9AylR95m8dPVMenHpSgXv-v868LiyyHrgU=&amp;xsec_source=pc_trdark")</f>
        <v>0.0</v>
      </c>
      <c r="D43" t="inlineStr">
        <is>
          <t>鲜水湾甄选</t>
        </is>
      </c>
      <c r="E43" t="inlineStr">
        <is>
          <t>27401929161</t>
        </is>
      </c>
      <c r="F43" t="inlineStr">
        <is>
          <t>2025-11-19 14:53:29</t>
        </is>
      </c>
      <c r="G43" t="inlineStr">
        <is>
          <t>图文</t>
        </is>
      </c>
      <c r="H43" t="inlineStr">
        <is>
          <t>大虾基围虾王牌大虾厄瓜多尔白虾盐冻虾仁海洋大虾送礼顺丰包邮</t>
        </is>
      </c>
      <c r="I43" t="inlineStr">
        <is>
          <t>690aeb7be379430001e686ac</t>
        </is>
      </c>
      <c r="J43" t="inlineStr">
        <is>
          <t/>
        </is>
      </c>
      <c r="K43" t="n">
        <v>0.0</v>
      </c>
      <c r="L43" t="n">
        <v>0.0</v>
      </c>
      <c r="M43" t="n">
        <v>18.0</v>
      </c>
      <c r="N43" t="inlineStr">
        <is>
          <t>0.23076923076923078</t>
        </is>
      </c>
      <c r="O43" t="n">
        <v>12.0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inlineStr">
        <is>
          <t/>
        </is>
      </c>
      <c r="X43" t="n">
        <v>0.0</v>
      </c>
      <c r="Y43" t="n">
        <v>2.0</v>
      </c>
      <c r="Z43" t="n">
        <v>1.0</v>
      </c>
      <c r="AA43" t="n">
        <v>0.0</v>
      </c>
      <c r="AB43" t="n">
        <v>0.0</v>
      </c>
      <c r="AC43" t="n">
        <v>0.0</v>
      </c>
      <c r="AD43" t="n">
        <v>78.0</v>
      </c>
      <c r="AE43" t="n">
        <v>1.0</v>
      </c>
      <c r="AF43" t="n">
        <v>0.0</v>
      </c>
      <c r="AG43" t="n">
        <v>0.0</v>
      </c>
      <c r="AH43" t="n">
        <v>1.0</v>
      </c>
      <c r="AI43" t="n">
        <v>0.0</v>
      </c>
      <c r="AJ43" t="n">
        <v>0.0</v>
      </c>
      <c r="AK43" t="n">
        <v>18.102564102564102</v>
      </c>
      <c r="AL43" t="inlineStr">
        <is>
          <t/>
        </is>
      </c>
    </row>
    <row r="44">
      <c r="A44" t="inlineStr">
        <is>
          <t>太香了！60多就能买满满一箱大虾！</t>
        </is>
      </c>
      <c r="B44" t="inlineStr">
        <is>
          <t>6915760a0000000004013483</t>
        </is>
      </c>
      <c r="C44" s="43" t="n">
        <f>HYPERLINK("https://www.xiaohongshu.com/explore/6915760a0000000004013483?xsec_token=TBAg-veJq-9HvX6LdnoJFXanh0ElIUwIIMEaByNHvqITs=&amp;xsec_source=pc_trdark","https://www.xiaohongshu.com/explore/6915760a0000000004013483?xsec_token=TBAg-veJq-9HvX6LdnoJFXanh0ElIUwIIMEaByNHvqITs=&amp;xsec_source=pc_trdark")</f>
        <v>0.0</v>
      </c>
      <c r="D44" t="inlineStr">
        <is>
          <t>鲜水湾</t>
        </is>
      </c>
      <c r="E44" t="inlineStr">
        <is>
          <t>49316638994</t>
        </is>
      </c>
      <c r="F44" t="inlineStr">
        <is>
          <t>2025-11-13 14:09:14</t>
        </is>
      </c>
      <c r="G44" t="inlineStr">
        <is>
          <t>图文</t>
        </is>
      </c>
      <c r="H44" t="inlineStr">
        <is>
          <t>大虾基围虾王牌大虾厄瓜多尔白虾盐冻虾仁海洋大虾送礼顺丰包邮</t>
        </is>
      </c>
      <c r="I44" t="inlineStr">
        <is>
          <t>690aeb7be379430001e686ac</t>
        </is>
      </c>
      <c r="J44" t="inlineStr">
        <is>
          <t/>
        </is>
      </c>
      <c r="K44" t="n">
        <v>79.9</v>
      </c>
      <c r="L44" t="n">
        <v>1.0</v>
      </c>
      <c r="M44" t="n">
        <v>23.0</v>
      </c>
      <c r="N44" t="n">
        <v>0.3150684931506849</v>
      </c>
      <c r="O44" t="n">
        <v>21.0</v>
      </c>
      <c r="P44" t="n">
        <v>1.0</v>
      </c>
      <c r="Q44" t="inlineStr">
        <is>
          <t>0.043478260869565216</t>
        </is>
      </c>
      <c r="R44" t="inlineStr">
        <is>
          <t>0.047619047619047616</t>
        </is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4.0</v>
      </c>
      <c r="Z44" t="n">
        <v>4.0</v>
      </c>
      <c r="AA44" t="n">
        <v>0.0</v>
      </c>
      <c r="AB44" t="n">
        <v>0.0</v>
      </c>
      <c r="AC44" t="n">
        <v>0.0</v>
      </c>
      <c r="AD44" t="n">
        <v>73.0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9.424657534246576</v>
      </c>
      <c r="AL44" t="inlineStr">
        <is>
          <t/>
        </is>
      </c>
    </row>
    <row r="45">
      <c r="A45" t="inlineStr">
        <is>
          <t>好吃我已经说累了，没看到就随缘吧！</t>
        </is>
      </c>
      <c r="B45" t="inlineStr">
        <is>
          <t>691417bd0000000005030f0d</t>
        </is>
      </c>
      <c r="C45" s="44" t="n">
        <f>HYPERLINK("https://www.xiaohongshu.com/explore/691417bd0000000005030f0d?xsec_token=TBaXvlcWwd_4ttBIqZOUWAk7TEQNKjvFHsyZ2f00p00MU=&amp;xsec_source=pc_trdark","https://www.xiaohongshu.com/explore/691417bd0000000005030f0d?xsec_token=TBaXvlcWwd_4ttBIqZOUWAk7TEQNKjvFHsyZ2f00p00MU=&amp;xsec_source=pc_trdark")</f>
        <v>0.0</v>
      </c>
      <c r="D45" t="inlineStr">
        <is>
          <t>鲜水湾</t>
        </is>
      </c>
      <c r="E45" t="inlineStr">
        <is>
          <t>49316638994</t>
        </is>
      </c>
      <c r="F45" t="inlineStr">
        <is>
          <t>2025-11-12 13:14:37</t>
        </is>
      </c>
      <c r="G45" t="inlineStr">
        <is>
          <t>图文</t>
        </is>
      </c>
      <c r="H45" t="inlineStr">
        <is>
          <t>大虾基围虾王牌大虾厄瓜多尔白虾盐冻虾仁海洋大虾送礼顺丰包邮</t>
        </is>
      </c>
      <c r="I45" t="inlineStr">
        <is>
          <t>690aeb7be379430001e686ac</t>
        </is>
      </c>
      <c r="J45" t="inlineStr">
        <is>
          <t/>
        </is>
      </c>
      <c r="K45" t="n">
        <v>0.0</v>
      </c>
      <c r="L45" t="n">
        <v>0.0</v>
      </c>
      <c r="M45" t="n">
        <v>9.0</v>
      </c>
      <c r="N45" t="n">
        <v>0.1267605633802817</v>
      </c>
      <c r="O45" t="n">
        <v>7.0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inlineStr">
        <is>
          <t/>
        </is>
      </c>
      <c r="X45" t="n">
        <v>0.0</v>
      </c>
      <c r="Y45" t="n">
        <v>4.0</v>
      </c>
      <c r="Z45" t="n">
        <v>0.0</v>
      </c>
      <c r="AA45" t="n">
        <v>0.0</v>
      </c>
      <c r="AB45" t="n">
        <v>0.0</v>
      </c>
      <c r="AC45" t="n">
        <v>0.0</v>
      </c>
      <c r="AD45" t="n">
        <v>71.0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6.887323943661972</v>
      </c>
      <c r="AL45" t="inlineStr">
        <is>
          <t/>
        </is>
      </c>
    </row>
    <row r="46">
      <c r="A46" t="inlineStr">
        <is>
          <t>在办公室吃虾，结果整个公司都被种草了🥺</t>
        </is>
      </c>
      <c r="B46" t="inlineStr">
        <is>
          <t>69154f1a0000000004011889</t>
        </is>
      </c>
      <c r="C46" s="45" t="n">
        <f>HYPERLINK("https://www.xiaohongshu.com/explore/69154f1a0000000004011889?xsec_token=TBAg-veJq-9HvX6LdnoJFXasyK0CljA2XvM9Bauv3uBSI=&amp;xsec_source=pc_trdark","https://www.xiaohongshu.com/explore/69154f1a0000000004011889?xsec_token=TBAg-veJq-9HvX6LdnoJFXasyK0CljA2XvM9Bauv3uBSI=&amp;xsec_source=pc_trdark")</f>
        <v>0.0</v>
      </c>
      <c r="D46" t="inlineStr">
        <is>
          <t>鲜水湾</t>
        </is>
      </c>
      <c r="E46" t="inlineStr">
        <is>
          <t>49316638994</t>
        </is>
      </c>
      <c r="F46" t="inlineStr">
        <is>
          <t>2025-11-13 11:23:06</t>
        </is>
      </c>
      <c r="G46" t="inlineStr">
        <is>
          <t>图文</t>
        </is>
      </c>
      <c r="H46" t="inlineStr">
        <is>
          <t>大虾基围虾王牌大虾厄瓜多尔白虾盐冻虾仁海洋大虾送礼顺丰包邮</t>
        </is>
      </c>
      <c r="I46" t="inlineStr">
        <is>
          <t>690aeb7be379430001e686ac</t>
        </is>
      </c>
      <c r="J46" t="inlineStr">
        <is>
          <t/>
        </is>
      </c>
      <c r="K46" t="n">
        <v>0.0</v>
      </c>
      <c r="L46" t="n">
        <v>0.0</v>
      </c>
      <c r="M46" t="n">
        <v>10.0</v>
      </c>
      <c r="N46" t="inlineStr">
        <is>
          <t>0.14925373134328357</t>
        </is>
      </c>
      <c r="O46" t="n">
        <v>8.0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inlineStr">
        <is>
          <t/>
        </is>
      </c>
      <c r="X46" t="n">
        <v>0.0</v>
      </c>
      <c r="Y46" t="n">
        <v>1.0</v>
      </c>
      <c r="Z46" t="n">
        <v>1.0</v>
      </c>
      <c r="AA46" t="n">
        <v>0.0</v>
      </c>
      <c r="AB46" t="n">
        <v>0.0</v>
      </c>
      <c r="AC46" t="n">
        <v>0.0</v>
      </c>
      <c r="AD46" t="n">
        <v>67.0</v>
      </c>
      <c r="AE46" t="n">
        <v>0.0</v>
      </c>
      <c r="AF46" t="n">
        <v>0.0</v>
      </c>
      <c r="AG46" t="n">
        <v>0.0</v>
      </c>
      <c r="AH46" t="n">
        <v>1.0</v>
      </c>
      <c r="AI46" t="n">
        <v>0.0</v>
      </c>
      <c r="AJ46" t="n">
        <v>0.0</v>
      </c>
      <c r="AK46" t="n">
        <v>7.626865671641791</v>
      </c>
      <c r="AL46" t="inlineStr">
        <is>
          <t/>
        </is>
      </c>
    </row>
    <row r="47">
      <c r="A47" t="inlineStr">
        <is>
          <t>女孩们，千万别小瞧60块的购买力</t>
        </is>
      </c>
      <c r="B47" t="inlineStr">
        <is>
          <t>691426fb0000000007039a15</t>
        </is>
      </c>
      <c r="C47" s="46" t="n">
        <f>HYPERLINK("https://www.xiaohongshu.com/explore/691426fb0000000007039a15?xsec_token=TBaXvlcWwd_4ttBIqZOUWAk-rRiUTIHwOdDE-46MSMzQs=&amp;xsec_source=pc_trdark","https://www.xiaohongshu.com/explore/691426fb0000000007039a15?xsec_token=TBaXvlcWwd_4ttBIqZOUWAk-rRiUTIHwOdDE-46MSMzQs=&amp;xsec_source=pc_trdark")</f>
        <v>0.0</v>
      </c>
      <c r="D47" t="inlineStr">
        <is>
          <t>鲜水湾甄选</t>
        </is>
      </c>
      <c r="E47" t="inlineStr">
        <is>
          <t>27401929161</t>
        </is>
      </c>
      <c r="F47" t="inlineStr">
        <is>
          <t>2025-11-12 14:19:39</t>
        </is>
      </c>
      <c r="G47" t="inlineStr">
        <is>
          <t>图文</t>
        </is>
      </c>
      <c r="H47" t="inlineStr">
        <is>
          <t>大虾基围虾王牌大虾厄瓜多尔白虾盐冻虾仁海洋大虾送礼顺丰包邮</t>
        </is>
      </c>
      <c r="I47" t="inlineStr">
        <is>
          <t>690aeb7be379430001e686ac</t>
        </is>
      </c>
      <c r="J47" t="inlineStr">
        <is>
          <t/>
        </is>
      </c>
      <c r="K47" t="n">
        <v>0.0</v>
      </c>
      <c r="L47" t="n">
        <v>0.0</v>
      </c>
      <c r="M47" t="n">
        <v>11.0</v>
      </c>
      <c r="N47" t="n">
        <v>0.1746031746031746</v>
      </c>
      <c r="O47" t="n">
        <v>9.0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inlineStr">
        <is>
          <t/>
        </is>
      </c>
      <c r="X47" t="n">
        <v>0.0</v>
      </c>
      <c r="Y47" t="n">
        <v>1.0</v>
      </c>
      <c r="Z47" t="n">
        <v>3.0</v>
      </c>
      <c r="AA47" t="n">
        <v>0.0</v>
      </c>
      <c r="AB47" t="n">
        <v>0.0</v>
      </c>
      <c r="AC47" t="n">
        <v>0.0</v>
      </c>
      <c r="AD47" t="n">
        <v>63.0</v>
      </c>
      <c r="AE47" t="n">
        <v>0.0</v>
      </c>
      <c r="AF47" t="n">
        <v>0.0</v>
      </c>
      <c r="AG47" t="n">
        <v>1.0</v>
      </c>
      <c r="AH47" t="n">
        <v>2.0</v>
      </c>
      <c r="AI47" t="n">
        <v>0.0</v>
      </c>
      <c r="AJ47" t="n">
        <v>0.0</v>
      </c>
      <c r="AK47" t="n">
        <v>13.88888888888889</v>
      </c>
      <c r="AL47" t="inlineStr">
        <is>
          <t/>
        </is>
      </c>
    </row>
    <row r="48">
      <c r="A48" t="inlineStr">
        <is>
          <t>太香了！60几块就能买满满一箱大虾！</t>
        </is>
      </c>
      <c r="B48" t="inlineStr">
        <is>
          <t>69149d800000000004029271</t>
        </is>
      </c>
      <c r="C48" s="47" t="n">
        <f>HYPERLINK("https://www.xiaohongshu.com/explore/69149d800000000004029271?xsec_token=TBaXvlcWwd_4ttBIqZOUWAkxG2PWnf14AsrVjjjB_-7ek=&amp;xsec_source=pc_trdark","https://www.xiaohongshu.com/explore/69149d800000000004029271?xsec_token=TBaXvlcWwd_4ttBIqZOUWAkxG2PWnf14AsrVjjjB_-7ek=&amp;xsec_source=pc_trdark")</f>
        <v>0.0</v>
      </c>
      <c r="D48" t="inlineStr">
        <is>
          <t>鲜水湾</t>
        </is>
      </c>
      <c r="E48" t="inlineStr">
        <is>
          <t>49316638994</t>
        </is>
      </c>
      <c r="F48" t="inlineStr">
        <is>
          <t>2025-11-12 22:45:20</t>
        </is>
      </c>
      <c r="G48" t="inlineStr">
        <is>
          <t>图文</t>
        </is>
      </c>
      <c r="H48" t="inlineStr">
        <is>
          <t>大虾基围虾王牌大虾厄瓜多尔白虾盐冻虾仁海洋大虾送礼顺丰包邮</t>
        </is>
      </c>
      <c r="I48" t="inlineStr">
        <is>
          <t>690aeb7be379430001e686ac</t>
        </is>
      </c>
      <c r="J48" t="inlineStr">
        <is>
          <t/>
        </is>
      </c>
      <c r="K48" t="n">
        <v>0.0</v>
      </c>
      <c r="L48" t="n">
        <v>0.0</v>
      </c>
      <c r="M48" t="n">
        <v>20.0</v>
      </c>
      <c r="N48" t="inlineStr">
        <is>
          <t>0.32786885245901637</t>
        </is>
      </c>
      <c r="O48" t="n">
        <v>18.0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inlineStr">
        <is>
          <t/>
        </is>
      </c>
      <c r="X48" t="n">
        <v>0.0</v>
      </c>
      <c r="Y48" t="n">
        <v>2.0</v>
      </c>
      <c r="Z48" t="n">
        <v>3.0</v>
      </c>
      <c r="AA48" t="n">
        <v>0.0</v>
      </c>
      <c r="AB48" t="n">
        <v>0.0</v>
      </c>
      <c r="AC48" t="n">
        <v>0.0</v>
      </c>
      <c r="AD48" t="n">
        <v>61.0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8.60655737704918</v>
      </c>
      <c r="AL48" t="inlineStr">
        <is>
          <t/>
        </is>
      </c>
    </row>
    <row r="49">
      <c r="A49" t="inlineStr">
        <is>
          <t>对不起，减酯人的白月光，真的不踩雷</t>
        </is>
      </c>
      <c r="B49" t="inlineStr">
        <is>
          <t>6914588500000000040292dc</t>
        </is>
      </c>
      <c r="C49" s="48" t="n">
        <f>HYPERLINK("https://www.xiaohongshu.com/explore/6914588500000000040292dc?xsec_token=TBaXvlcWwd_4ttBIqZOUWAk0YJ_nBpwGV4KfCEu0alswI=&amp;xsec_source=pc_trdark","https://www.xiaohongshu.com/explore/6914588500000000040292dc?xsec_token=TBaXvlcWwd_4ttBIqZOUWAk0YJ_nBpwGV4KfCEu0alswI=&amp;xsec_source=pc_trdark")</f>
        <v>0.0</v>
      </c>
      <c r="D49" t="inlineStr">
        <is>
          <t>鲜水湾</t>
        </is>
      </c>
      <c r="E49" t="inlineStr">
        <is>
          <t>49316638994</t>
        </is>
      </c>
      <c r="F49" t="inlineStr">
        <is>
          <t>2025-11-12 17:51:01</t>
        </is>
      </c>
      <c r="G49" t="inlineStr">
        <is>
          <t>图文</t>
        </is>
      </c>
      <c r="H49" t="inlineStr">
        <is>
          <t>大虾基围虾王牌大虾厄瓜多尔白虾盐冻虾仁海洋大虾送礼顺丰包邮</t>
        </is>
      </c>
      <c r="I49" t="inlineStr">
        <is>
          <t>690aeb7be379430001e686ac</t>
        </is>
      </c>
      <c r="J49" t="inlineStr">
        <is>
          <t/>
        </is>
      </c>
      <c r="K49" t="n">
        <v>0.0</v>
      </c>
      <c r="L49" t="n">
        <v>0.0</v>
      </c>
      <c r="M49" t="n">
        <v>4.0</v>
      </c>
      <c r="N49" t="inlineStr">
        <is>
          <t>0.06779661016949153</t>
        </is>
      </c>
      <c r="O49" t="n">
        <v>4.0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inlineStr">
        <is>
          <t/>
        </is>
      </c>
      <c r="X49" t="n">
        <v>0.0</v>
      </c>
      <c r="Y49" t="n">
        <v>0.0</v>
      </c>
      <c r="Z49" t="n">
        <v>3.0</v>
      </c>
      <c r="AA49" t="n">
        <v>0.0</v>
      </c>
      <c r="AB49" t="n">
        <v>0.0</v>
      </c>
      <c r="AC49" t="n">
        <v>0.0</v>
      </c>
      <c r="AD49" t="n">
        <v>59.0</v>
      </c>
      <c r="AE49" t="n">
        <v>1.0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7.135593220338983</v>
      </c>
      <c r="AL49" t="inlineStr">
        <is>
          <t/>
        </is>
      </c>
    </row>
    <row r="50">
      <c r="A50" t="inlineStr">
        <is>
          <t>低估60💰多块的购买力了不到1r一只</t>
        </is>
      </c>
      <c r="B50" t="inlineStr">
        <is>
          <t>690c9bfa000000000700c012</t>
        </is>
      </c>
      <c r="C50" s="49" t="n">
        <f>HYPERLINK("https://www.xiaohongshu.com/explore/690c9bfa000000000700c012?xsec_token=TBTB2S0a1UEDOz_-oBsbNp_hFYxMjciyx0QOf5AXMnI4E=&amp;xsec_source=pc_trdark","https://www.xiaohongshu.com/explore/690c9bfa000000000700c012?xsec_token=TBTB2S0a1UEDOz_-oBsbNp_hFYxMjciyx0QOf5AXMnI4E=&amp;xsec_source=pc_trdark")</f>
        <v>0.0</v>
      </c>
      <c r="D50" t="inlineStr">
        <is>
          <t>鲜水湾甄选</t>
        </is>
      </c>
      <c r="E50" t="inlineStr">
        <is>
          <t>27401929161</t>
        </is>
      </c>
      <c r="F50" t="inlineStr">
        <is>
          <t>2025-11-06 21:00:43</t>
        </is>
      </c>
      <c r="G50" t="inlineStr">
        <is>
          <t>图文</t>
        </is>
      </c>
      <c r="H50" t="inlineStr">
        <is>
          <t>大虾基围虾王牌大虾厄瓜多尔白虾盐冻虾仁海洋大虾送礼顺丰包邮</t>
        </is>
      </c>
      <c r="I50" t="inlineStr">
        <is>
          <t>690aeb7be379430001e686ac</t>
        </is>
      </c>
      <c r="J50" t="inlineStr">
        <is>
          <t/>
        </is>
      </c>
      <c r="K50" t="n">
        <v>79.9</v>
      </c>
      <c r="L50" t="n">
        <v>1.0</v>
      </c>
      <c r="M50" t="n">
        <v>19.0</v>
      </c>
      <c r="N50" t="n">
        <v>0.3392857142857143</v>
      </c>
      <c r="O50" t="n">
        <v>15.0</v>
      </c>
      <c r="P50" t="n">
        <v>1.0</v>
      </c>
      <c r="Q50" t="inlineStr">
        <is>
          <t>0.05263157894736842</t>
        </is>
      </c>
      <c r="R50" t="inlineStr">
        <is>
          <t>0.06666666666666667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3.0</v>
      </c>
      <c r="Z50" t="n">
        <v>2.0</v>
      </c>
      <c r="AA50" t="n">
        <v>0.0</v>
      </c>
      <c r="AB50" t="n">
        <v>0.0</v>
      </c>
      <c r="AC50" t="n">
        <v>0.0</v>
      </c>
      <c r="AD50" t="n">
        <v>56.0</v>
      </c>
      <c r="AE50" t="n">
        <v>0.0</v>
      </c>
      <c r="AF50" t="n">
        <v>0.0</v>
      </c>
      <c r="AG50" t="n">
        <v>1.0</v>
      </c>
      <c r="AH50" t="n">
        <v>1.0</v>
      </c>
      <c r="AI50" t="n">
        <v>0.0</v>
      </c>
      <c r="AJ50" t="n">
        <v>0.0</v>
      </c>
      <c r="AK50" t="n">
        <v>15.428571428571429</v>
      </c>
      <c r="AL50" t="inlineStr">
        <is>
          <t/>
        </is>
      </c>
    </row>
    <row r="51">
      <c r="A51" t="inlineStr">
        <is>
          <t>真的会谢🥲对60多块的购买力有了新概念</t>
        </is>
      </c>
      <c r="B51" t="inlineStr">
        <is>
          <t>690e0de20000000007017008</t>
        </is>
      </c>
      <c r="C51" s="50" t="n">
        <f>HYPERLINK("https://www.xiaohongshu.com/explore/690e0de20000000007017008?xsec_token=TBJajQDaP2lymAuuRX7yQPUerY7FmGIH6-pDM1Bboe-O0=&amp;xsec_source=pc_trdark","https://www.xiaohongshu.com/explore/690e0de20000000007017008?xsec_token=TBJajQDaP2lymAuuRX7yQPUerY7FmGIH6-pDM1Bboe-O0=&amp;xsec_source=pc_trdark")</f>
        <v>0.0</v>
      </c>
      <c r="D51" t="inlineStr">
        <is>
          <t>鲜水湾甄选</t>
        </is>
      </c>
      <c r="E51" t="inlineStr">
        <is>
          <t>27401929161</t>
        </is>
      </c>
      <c r="F51" t="inlineStr">
        <is>
          <t>2025-11-07 23:18:58</t>
        </is>
      </c>
      <c r="G51" t="inlineStr">
        <is>
          <t>图文</t>
        </is>
      </c>
      <c r="H51" t="inlineStr">
        <is>
          <t>大虾基围虾王牌大虾厄瓜多尔白虾盐冻虾仁海洋大虾送礼顺丰包邮</t>
        </is>
      </c>
      <c r="I51" t="inlineStr">
        <is>
          <t>690aeb7be379430001e686ac</t>
        </is>
      </c>
      <c r="J51" t="inlineStr">
        <is>
          <t/>
        </is>
      </c>
      <c r="K51" t="n">
        <v>0.0</v>
      </c>
      <c r="L51" t="n">
        <v>0.0</v>
      </c>
      <c r="M51" t="n">
        <v>9.0</v>
      </c>
      <c r="N51" t="inlineStr">
        <is>
          <t>0.16363636363636364</t>
        </is>
      </c>
      <c r="O51" t="n">
        <v>8.0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inlineStr">
        <is>
          <t/>
        </is>
      </c>
      <c r="X51" t="n">
        <v>0.0</v>
      </c>
      <c r="Y51" t="n">
        <v>0.0</v>
      </c>
      <c r="Z51" t="n">
        <v>4.0</v>
      </c>
      <c r="AA51" t="n">
        <v>0.0</v>
      </c>
      <c r="AB51" t="n">
        <v>0.0</v>
      </c>
      <c r="AC51" t="n">
        <v>0.0</v>
      </c>
      <c r="AD51" t="n">
        <v>55.0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5.872727272727273</v>
      </c>
      <c r="AL51" t="inlineStr">
        <is>
          <t/>
        </is>
      </c>
    </row>
    <row r="52">
      <c r="A52" t="inlineStr">
        <is>
          <t>低估60多块的购买力了，不到1r💰1只</t>
        </is>
      </c>
      <c r="B52" t="inlineStr">
        <is>
          <t>690d87950000000004028206</t>
        </is>
      </c>
      <c r="C52" s="51" t="n">
        <f>HYPERLINK("https://www.xiaohongshu.com/explore/690d87950000000004028206?xsec_token=TBD_zEgNllAsWvESEGX2jOc95H7mvkGIKTjG-blduADj0=&amp;xsec_source=pc_trdark","https://www.xiaohongshu.com/explore/690d87950000000004028206?xsec_token=TBD_zEgNllAsWvESEGX2jOc95H7mvkGIKTjG-blduADj0=&amp;xsec_source=pc_trdark")</f>
        <v>0.0</v>
      </c>
      <c r="D52" t="inlineStr">
        <is>
          <t>鲜水湾</t>
        </is>
      </c>
      <c r="E52" t="inlineStr">
        <is>
          <t>49316638994</t>
        </is>
      </c>
      <c r="F52" t="inlineStr">
        <is>
          <t>2025-11-07 13:45:57</t>
        </is>
      </c>
      <c r="G52" t="inlineStr">
        <is>
          <t>图文</t>
        </is>
      </c>
      <c r="H52" t="inlineStr">
        <is>
          <t>大虾基围虾王牌大虾厄瓜多尔白虾盐冻虾仁海洋大虾送礼顺丰包邮</t>
        </is>
      </c>
      <c r="I52" t="inlineStr">
        <is>
          <t>690aeb7be379430001e686ac</t>
        </is>
      </c>
      <c r="J52" t="inlineStr">
        <is>
          <t/>
        </is>
      </c>
      <c r="K52" t="n">
        <v>489.3</v>
      </c>
      <c r="L52" t="n">
        <v>7.0</v>
      </c>
      <c r="M52" t="n">
        <v>17.0</v>
      </c>
      <c r="N52" t="n">
        <v>0.3090909090909091</v>
      </c>
      <c r="O52" t="n">
        <v>12.0</v>
      </c>
      <c r="P52" t="n">
        <v>7.0</v>
      </c>
      <c r="Q52" t="n">
        <v>0.4117647058823529</v>
      </c>
      <c r="R52" t="n">
        <v>0.5833333333333334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1.0</v>
      </c>
      <c r="Z52" t="n">
        <v>1.0</v>
      </c>
      <c r="AA52" t="n">
        <v>0.0</v>
      </c>
      <c r="AB52" t="n">
        <v>0.0</v>
      </c>
      <c r="AC52" t="n">
        <v>0.0</v>
      </c>
      <c r="AD52" t="n">
        <v>55.0</v>
      </c>
      <c r="AE52" t="n">
        <v>2.0</v>
      </c>
      <c r="AF52" t="n">
        <v>1.0</v>
      </c>
      <c r="AG52" t="n">
        <v>8.0</v>
      </c>
      <c r="AH52" t="n">
        <v>5.0</v>
      </c>
      <c r="AI52" t="n">
        <v>0.0</v>
      </c>
      <c r="AJ52" t="n">
        <v>0.0</v>
      </c>
      <c r="AK52" t="n">
        <v>15.363636363636363</v>
      </c>
      <c r="AL52" t="inlineStr">
        <is>
          <t/>
        </is>
      </c>
    </row>
    <row r="53">
      <c r="A53" t="inlineStr">
        <is>
          <t>终于知道年轻人爱大虾的理由了……</t>
        </is>
      </c>
      <c r="B53" t="inlineStr">
        <is>
          <t>691185f4000000000703b57a</t>
        </is>
      </c>
      <c r="C53" s="52" t="n">
        <f>HYPERLINK("https://www.xiaohongshu.com/explore/691185f4000000000703b57a?xsec_token=TBrsrV1jnhRUA39f7gREfx-NTLmV1A7aUV7O42PPhiFzo=&amp;xsec_source=pc_trdark","https://www.xiaohongshu.com/explore/691185f4000000000703b57a?xsec_token=TBrsrV1jnhRUA39f7gREfx-NTLmV1A7aUV7O42PPhiFzo=&amp;xsec_source=pc_trdark")</f>
        <v>0.0</v>
      </c>
      <c r="D53" t="inlineStr">
        <is>
          <t>鲜水湾甄选</t>
        </is>
      </c>
      <c r="E53" t="inlineStr">
        <is>
          <t>27401929161</t>
        </is>
      </c>
      <c r="F53" t="inlineStr">
        <is>
          <t>2025-11-10 14:28:04</t>
        </is>
      </c>
      <c r="G53" t="inlineStr">
        <is>
          <t>图文</t>
        </is>
      </c>
      <c r="H53" t="inlineStr">
        <is>
          <t>大虾基围虾王牌大虾厄瓜多尔白虾盐冻虾仁海洋大虾送礼顺丰包邮</t>
        </is>
      </c>
      <c r="I53" t="inlineStr">
        <is>
          <t>690aeb7be379430001e686ac</t>
        </is>
      </c>
      <c r="J53" t="inlineStr">
        <is>
          <t/>
        </is>
      </c>
      <c r="K53" t="n">
        <v>309.6</v>
      </c>
      <c r="L53" t="n">
        <v>4.0</v>
      </c>
      <c r="M53" t="n">
        <v>16.0</v>
      </c>
      <c r="N53" t="n">
        <v>0.3018867924528302</v>
      </c>
      <c r="O53" t="n">
        <v>9.0</v>
      </c>
      <c r="P53" t="n">
        <v>4.0</v>
      </c>
      <c r="Q53" t="n">
        <v>0.25</v>
      </c>
      <c r="R53" t="n">
        <v>0.4444444444444444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2.0</v>
      </c>
      <c r="Z53" t="n">
        <v>5.0</v>
      </c>
      <c r="AA53" t="n">
        <v>0.0</v>
      </c>
      <c r="AB53" t="n">
        <v>0.0</v>
      </c>
      <c r="AC53" t="n">
        <v>0.0</v>
      </c>
      <c r="AD53" t="n">
        <v>53.0</v>
      </c>
      <c r="AE53" t="n">
        <v>2.0</v>
      </c>
      <c r="AF53" t="n">
        <v>2.0</v>
      </c>
      <c r="AG53" t="n">
        <v>1.0</v>
      </c>
      <c r="AH53" t="n">
        <v>2.0</v>
      </c>
      <c r="AI53" t="n">
        <v>0.0</v>
      </c>
      <c r="AJ53" t="n">
        <v>0.0</v>
      </c>
      <c r="AK53" t="n">
        <v>12.660377358490566</v>
      </c>
      <c r="AL53" t="inlineStr">
        <is>
          <t/>
        </is>
      </c>
    </row>
    <row r="54">
      <c r="A54" t="inlineStr">
        <is>
          <t>有姐妹愿意试吃吗？5斤59.9，给地址就发顺丰</t>
        </is>
      </c>
      <c r="B54" t="inlineStr">
        <is>
          <t>691c3be3000000001e020c56</t>
        </is>
      </c>
      <c r="C54" s="53" t="n">
        <f>HYPERLINK("https://www.xiaohongshu.com/explore/691c3be3000000001e020c56?xsec_token=TBIS8v-01Optb7rxCGgHk_CSP4tPgm4H9-dXw-EPKuvaI=&amp;xsec_source=pc_trdark","https://www.xiaohongshu.com/explore/691c3be3000000001e020c56?xsec_token=TBIS8v-01Optb7rxCGgHk_CSP4tPgm4H9-dXw-EPKuvaI=&amp;xsec_source=pc_trdark")</f>
        <v>0.0</v>
      </c>
      <c r="D54" t="inlineStr">
        <is>
          <t>婉婉上班吃什么</t>
        </is>
      </c>
      <c r="E54" t="inlineStr">
        <is>
          <t>11434449706</t>
        </is>
      </c>
      <c r="F54" t="inlineStr">
        <is>
          <t>2025-11-18 17:26:59</t>
        </is>
      </c>
      <c r="G54" t="inlineStr">
        <is>
          <t>图文</t>
        </is>
      </c>
      <c r="H54" t="inlineStr">
        <is>
          <t>生蚝乳山生蚝海蛎子顺丰包邮</t>
        </is>
      </c>
      <c r="I54" t="inlineStr">
        <is>
          <t>690c70971b787900010866cc</t>
        </is>
      </c>
      <c r="J54" t="inlineStr">
        <is>
          <t/>
        </is>
      </c>
      <c r="K54" t="n">
        <v>0.0</v>
      </c>
      <c r="L54" t="n">
        <v>0.0</v>
      </c>
      <c r="M54" t="n">
        <v>1.0</v>
      </c>
      <c r="N54" t="n">
        <v>0.02</v>
      </c>
      <c r="O54" t="n">
        <v>1.0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inlineStr">
        <is>
          <t/>
        </is>
      </c>
      <c r="X54" t="n">
        <v>0.0</v>
      </c>
      <c r="Y54" t="n">
        <v>0.0</v>
      </c>
      <c r="Z54" t="n">
        <v>1.0</v>
      </c>
      <c r="AA54" t="n">
        <v>0.0</v>
      </c>
      <c r="AB54" t="n">
        <v>0.0</v>
      </c>
      <c r="AC54" t="n">
        <v>0.0</v>
      </c>
      <c r="AD54" t="n">
        <v>50.0</v>
      </c>
      <c r="AE54" t="n">
        <v>0.0</v>
      </c>
      <c r="AF54" t="n">
        <v>0.0</v>
      </c>
      <c r="AG54" t="n">
        <v>1.0</v>
      </c>
      <c r="AH54" t="n">
        <v>0.0</v>
      </c>
      <c r="AI54" t="n">
        <v>0.0</v>
      </c>
      <c r="AJ54" t="n">
        <v>0.0</v>
      </c>
      <c r="AK54" t="n">
        <v>5.56</v>
      </c>
      <c r="AL54" t="inlineStr">
        <is>
          <t/>
        </is>
      </c>
    </row>
    <row r="55">
      <c r="A55" t="inlineStr">
        <is>
          <t>60+💰很适合上班族带饭的虾</t>
        </is>
      </c>
      <c r="B55" t="inlineStr">
        <is>
          <t>6916fd440000000004002b06</t>
        </is>
      </c>
      <c r="C55" s="54" t="n">
        <f>HYPERLINK("https://www.xiaohongshu.com/explore/6916fd440000000004002b06?xsec_token=TBHZiehrAOyLGw_5sWYDTDSSV1nrgE7qguoH2JB5X9l5I=&amp;xsec_source=pc_trdark","https://www.xiaohongshu.com/explore/6916fd440000000004002b06?xsec_token=TBHZiehrAOyLGw_5sWYDTDSSV1nrgE7qguoH2JB5X9l5I=&amp;xsec_source=pc_trdark")</f>
        <v>0.0</v>
      </c>
      <c r="D55" t="inlineStr">
        <is>
          <t>鲜水湾</t>
        </is>
      </c>
      <c r="E55" t="inlineStr">
        <is>
          <t>49316638994</t>
        </is>
      </c>
      <c r="F55" t="inlineStr">
        <is>
          <t>2025-11-14 17:58:28</t>
        </is>
      </c>
      <c r="G55" t="inlineStr">
        <is>
          <t>图文</t>
        </is>
      </c>
      <c r="H55" t="inlineStr">
        <is>
          <t>大虾基围虾王牌大虾厄瓜多尔白虾盐冻虾仁海洋大虾送礼顺丰包邮</t>
        </is>
      </c>
      <c r="I55" t="inlineStr">
        <is>
          <t>690aeb7be379430001e686ac</t>
        </is>
      </c>
      <c r="J55" t="inlineStr">
        <is>
          <t/>
        </is>
      </c>
      <c r="K55" t="n">
        <v>0.0</v>
      </c>
      <c r="L55" t="n">
        <v>0.0</v>
      </c>
      <c r="M55" t="n">
        <v>9.0</v>
      </c>
      <c r="N55" t="n">
        <v>0.18</v>
      </c>
      <c r="O55" t="n">
        <v>6.0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inlineStr">
        <is>
          <t/>
        </is>
      </c>
      <c r="X55" t="n">
        <v>0.0</v>
      </c>
      <c r="Y55" t="n">
        <v>3.0</v>
      </c>
      <c r="Z55" t="n">
        <v>3.0</v>
      </c>
      <c r="AA55" t="n">
        <v>0.0</v>
      </c>
      <c r="AB55" t="n">
        <v>0.0</v>
      </c>
      <c r="AC55" t="n">
        <v>0.0</v>
      </c>
      <c r="AD55" t="n">
        <v>50.0</v>
      </c>
      <c r="AE55" t="n">
        <v>1.0</v>
      </c>
      <c r="AF55" t="n">
        <v>0.0</v>
      </c>
      <c r="AG55" t="n">
        <v>0.0</v>
      </c>
      <c r="AH55" t="n">
        <v>4.0</v>
      </c>
      <c r="AI55" t="n">
        <v>0.0</v>
      </c>
      <c r="AJ55" t="n">
        <v>0.0</v>
      </c>
      <c r="AK55" t="n">
        <v>9.2</v>
      </c>
      <c r="AL55" t="inlineStr">
        <is>
          <t/>
        </is>
      </c>
    </row>
    <row r="56">
      <c r="A56" t="inlineStr">
        <is>
          <t>真心建议姐妹们多吃生蚝~</t>
        </is>
      </c>
      <c r="B56" t="inlineStr">
        <is>
          <t>6912dc5b00000000050030ab</t>
        </is>
      </c>
      <c r="C56" s="55" t="n">
        <f>HYPERLINK("https://www.xiaohongshu.com/explore/6912dc5b00000000050030ab?xsec_token=TBnZN0DmKGIQMnPXPN25j7p4AfRWnw36ya6ox1GOcpdss=&amp;xsec_source=pc_trdark","https://www.xiaohongshu.com/explore/6912dc5b00000000050030ab?xsec_token=TBnZN0DmKGIQMnPXPN25j7p4AfRWnw36ya6ox1GOcpdss=&amp;xsec_source=pc_trdark")</f>
        <v>0.0</v>
      </c>
      <c r="D56" t="inlineStr">
        <is>
          <t>婉婉上班吃什么</t>
        </is>
      </c>
      <c r="E56" t="inlineStr">
        <is>
          <t>11434449706</t>
        </is>
      </c>
      <c r="F56" t="inlineStr">
        <is>
          <t>2025-11-11 14:48:59</t>
        </is>
      </c>
      <c r="G56" t="inlineStr">
        <is>
          <t>视频</t>
        </is>
      </c>
      <c r="H56" t="inlineStr">
        <is>
          <t>生蚝乳山生蚝海蛎子顺丰包邮</t>
        </is>
      </c>
      <c r="I56" t="inlineStr">
        <is>
          <t>690c70971b787900010866cc</t>
        </is>
      </c>
      <c r="J56" t="n">
        <v>19.0</v>
      </c>
      <c r="K56" t="n">
        <v>59.9</v>
      </c>
      <c r="L56" t="n">
        <v>1.0</v>
      </c>
      <c r="M56" t="n">
        <v>3.0</v>
      </c>
      <c r="N56" t="inlineStr">
        <is>
          <t>0.061224489795918366</t>
        </is>
      </c>
      <c r="O56" t="n">
        <v>1.0</v>
      </c>
      <c r="P56" t="n">
        <v>1.0</v>
      </c>
      <c r="Q56" t="n">
        <v>0.3333333333333333</v>
      </c>
      <c r="R56" t="n">
        <v>1.0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1.0</v>
      </c>
      <c r="Z56" t="n">
        <v>0.0</v>
      </c>
      <c r="AA56" t="n">
        <v>0.0</v>
      </c>
      <c r="AB56" t="n">
        <v>0.0</v>
      </c>
      <c r="AC56" t="n">
        <v>0.0</v>
      </c>
      <c r="AD56" t="n">
        <v>49.0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10.040816326530612</v>
      </c>
      <c r="AL56" t="inlineStr">
        <is>
          <t>0.22807017543859648</t>
        </is>
      </c>
    </row>
    <row r="57">
      <c r="A57" t="inlineStr">
        <is>
          <t>破案了！！！怪不得身材瘦的女生都喜欢吃虾</t>
        </is>
      </c>
      <c r="B57" t="inlineStr">
        <is>
          <t>6913fbb10000000005010120</t>
        </is>
      </c>
      <c r="C57" s="56" t="n">
        <f>HYPERLINK("https://www.xiaohongshu.com/explore/6913fbb10000000005010120?xsec_token=TBuRf-kx9cRMi3U9rbAm1Pe-2l94JterWmSi6Vd5TOvKs=&amp;xsec_source=pc_trdark","https://www.xiaohongshu.com/explore/6913fbb10000000005010120?xsec_token=TBuRf-kx9cRMi3U9rbAm1Pe-2l94JterWmSi6Vd5TOvKs=&amp;xsec_source=pc_trdark")</f>
        <v>0.0</v>
      </c>
      <c r="D57" t="inlineStr">
        <is>
          <t>鲜水湾</t>
        </is>
      </c>
      <c r="E57" t="inlineStr">
        <is>
          <t>49316638994</t>
        </is>
      </c>
      <c r="F57" t="inlineStr">
        <is>
          <t>2025-11-12 11:14:57</t>
        </is>
      </c>
      <c r="G57" t="inlineStr">
        <is>
          <t>图文</t>
        </is>
      </c>
      <c r="H57" t="inlineStr">
        <is>
          <t>大虾基围虾王牌大虾厄瓜多尔白虾盐冻虾仁海洋大虾送礼顺丰包邮</t>
        </is>
      </c>
      <c r="I57" t="inlineStr">
        <is>
          <t>690aeb7be379430001e686ac</t>
        </is>
      </c>
      <c r="J57" t="inlineStr">
        <is>
          <t/>
        </is>
      </c>
      <c r="K57" t="n">
        <v>0.0</v>
      </c>
      <c r="L57" t="n">
        <v>0.0</v>
      </c>
      <c r="M57" t="n">
        <v>7.0</v>
      </c>
      <c r="N57" t="inlineStr">
        <is>
          <t>0.15217391304347827</t>
        </is>
      </c>
      <c r="O57" t="n">
        <v>7.0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inlineStr">
        <is>
          <t/>
        </is>
      </c>
      <c r="X57" t="n">
        <v>0.0</v>
      </c>
      <c r="Y57" t="n">
        <v>0.0</v>
      </c>
      <c r="Z57" t="n">
        <v>1.0</v>
      </c>
      <c r="AA57" t="n">
        <v>0.0</v>
      </c>
      <c r="AB57" t="n">
        <v>0.0</v>
      </c>
      <c r="AC57" t="n">
        <v>0.0</v>
      </c>
      <c r="AD57" t="n">
        <v>46.0</v>
      </c>
      <c r="AE57" t="n">
        <v>0.0</v>
      </c>
      <c r="AF57" t="n">
        <v>0.0</v>
      </c>
      <c r="AG57" t="n">
        <v>0.0</v>
      </c>
      <c r="AH57" t="n">
        <v>2.0</v>
      </c>
      <c r="AI57" t="n">
        <v>0.0</v>
      </c>
      <c r="AJ57" t="n">
        <v>0.0</v>
      </c>
      <c r="AK57" t="n">
        <v>10.456521739130435</v>
      </c>
      <c r="AL57" t="inlineStr">
        <is>
          <t/>
        </is>
      </c>
    </row>
    <row r="58">
      <c r="A58" t="inlineStr">
        <is>
          <t>随手一买带动全办公室开始减酯</t>
        </is>
      </c>
      <c r="B58" t="inlineStr">
        <is>
          <t>6912ce19000000000401511c</t>
        </is>
      </c>
      <c r="C58" s="57" t="n">
        <f>HYPERLINK("https://www.xiaohongshu.com/explore/6912ce19000000000401511c?xsec_token=TBnZN0DmKGIQMnPXPN25j7p1p3SVu36K-RH3cJ0MoB2ls=&amp;xsec_source=pc_trdark","https://www.xiaohongshu.com/explore/6912ce19000000000401511c?xsec_token=TBnZN0DmKGIQMnPXPN25j7p1p3SVu36K-RH3cJ0MoB2ls=&amp;xsec_source=pc_trdark")</f>
        <v>0.0</v>
      </c>
      <c r="D58" t="inlineStr">
        <is>
          <t>鲜水湾</t>
        </is>
      </c>
      <c r="E58" t="inlineStr">
        <is>
          <t>49316638994</t>
        </is>
      </c>
      <c r="F58" t="inlineStr">
        <is>
          <t>2025-11-11 13:48:09</t>
        </is>
      </c>
      <c r="G58" t="inlineStr">
        <is>
          <t>图文</t>
        </is>
      </c>
      <c r="H58" t="inlineStr">
        <is>
          <t>大虾基围虾王牌大虾厄瓜多尔白虾盐冻虾仁海洋大虾送礼顺丰包邮</t>
        </is>
      </c>
      <c r="I58" t="inlineStr">
        <is>
          <t>690aeb7be379430001e686ac</t>
        </is>
      </c>
      <c r="J58" t="inlineStr">
        <is>
          <t/>
        </is>
      </c>
      <c r="K58" t="n">
        <v>0.0</v>
      </c>
      <c r="L58" t="n">
        <v>0.0</v>
      </c>
      <c r="M58" t="n">
        <v>5.0</v>
      </c>
      <c r="N58" t="inlineStr">
        <is>
          <t>0.10869565217391304</t>
        </is>
      </c>
      <c r="O58" t="n">
        <v>2.0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inlineStr">
        <is>
          <t/>
        </is>
      </c>
      <c r="X58" t="n">
        <v>0.0</v>
      </c>
      <c r="Y58" t="n">
        <v>0.0</v>
      </c>
      <c r="Z58" t="n">
        <v>2.0</v>
      </c>
      <c r="AA58" t="n">
        <v>0.0</v>
      </c>
      <c r="AB58" t="n">
        <v>0.0</v>
      </c>
      <c r="AC58" t="n">
        <v>0.0</v>
      </c>
      <c r="AD58" t="n">
        <v>46.0</v>
      </c>
      <c r="AE58" t="n">
        <v>1.0</v>
      </c>
      <c r="AF58" t="n">
        <v>0.0</v>
      </c>
      <c r="AG58" t="n">
        <v>1.0</v>
      </c>
      <c r="AH58" t="n">
        <v>0.0</v>
      </c>
      <c r="AI58" t="n">
        <v>0.0</v>
      </c>
      <c r="AJ58" t="n">
        <v>0.0</v>
      </c>
      <c r="AK58" t="n">
        <v>8.673913043478262</v>
      </c>
      <c r="AL58" t="inlineStr">
        <is>
          <t/>
        </is>
      </c>
    </row>
    <row r="59">
      <c r="A59" t="inlineStr">
        <is>
          <t>凭一己之力带动办公室回购了10箱</t>
        </is>
      </c>
      <c r="B59" t="inlineStr">
        <is>
          <t>69142b920000000004001b6b</t>
        </is>
      </c>
      <c r="C59" s="58" t="n">
        <f>HYPERLINK("https://www.xiaohongshu.com/explore/69142b920000000004001b6b?xsec_token=TBaXvlcWwd_4ttBIqZOUWAk9vdzY8ohUSZj3BrEk9v42s=&amp;xsec_source=pc_trdark","https://www.xiaohongshu.com/explore/69142b920000000004001b6b?xsec_token=TBaXvlcWwd_4ttBIqZOUWAk9vdzY8ohUSZj3BrEk9v42s=&amp;xsec_source=pc_trdark")</f>
        <v>0.0</v>
      </c>
      <c r="D59" t="inlineStr">
        <is>
          <t>鲜水湾</t>
        </is>
      </c>
      <c r="E59" t="inlineStr">
        <is>
          <t>49316638994</t>
        </is>
      </c>
      <c r="F59" t="inlineStr">
        <is>
          <t>2025-11-12 14:39:14</t>
        </is>
      </c>
      <c r="G59" t="inlineStr">
        <is>
          <t>图文</t>
        </is>
      </c>
      <c r="H59" t="inlineStr">
        <is>
          <t>大虾基围虾王牌大虾厄瓜多尔白虾盐冻虾仁海洋大虾送礼顺丰包邮</t>
        </is>
      </c>
      <c r="I59" t="inlineStr">
        <is>
          <t>690aeb7be379430001e686ac</t>
        </is>
      </c>
      <c r="J59" t="inlineStr">
        <is>
          <t/>
        </is>
      </c>
      <c r="K59" t="n">
        <v>0.0</v>
      </c>
      <c r="L59" t="n">
        <v>0.0</v>
      </c>
      <c r="M59" t="n">
        <v>12.0</v>
      </c>
      <c r="N59" t="n">
        <v>0.2926829268292683</v>
      </c>
      <c r="O59" t="n">
        <v>9.0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inlineStr">
        <is>
          <t/>
        </is>
      </c>
      <c r="X59" t="n">
        <v>0.0</v>
      </c>
      <c r="Y59" t="n">
        <v>2.0</v>
      </c>
      <c r="Z59" t="n">
        <v>0.0</v>
      </c>
      <c r="AA59" t="n">
        <v>0.0</v>
      </c>
      <c r="AB59" t="n">
        <v>0.0</v>
      </c>
      <c r="AC59" t="n">
        <v>0.0</v>
      </c>
      <c r="AD59" t="n">
        <v>41.0</v>
      </c>
      <c r="AE59" t="n">
        <v>1.0</v>
      </c>
      <c r="AF59" t="n">
        <v>0.0</v>
      </c>
      <c r="AG59" t="n">
        <v>1.0</v>
      </c>
      <c r="AH59" t="n">
        <v>0.0</v>
      </c>
      <c r="AI59" t="n">
        <v>0.0</v>
      </c>
      <c r="AJ59" t="n">
        <v>0.0</v>
      </c>
      <c r="AK59" t="n">
        <v>12.439024390243903</v>
      </c>
      <c r="AL59" t="inlineStr">
        <is>
          <t/>
        </is>
      </c>
    </row>
    <row r="60">
      <c r="A60" t="inlineStr">
        <is>
          <t>对60几块钱的概念越来越模糊了</t>
        </is>
      </c>
      <c r="B60" t="inlineStr">
        <is>
          <t>6911df3c00000000040159fe</t>
        </is>
      </c>
      <c r="C60" s="59" t="n">
        <f>HYPERLINK("https://www.xiaohongshu.com/explore/6911df3c00000000040159fe?xsec_token=TBrsrV1jnhRUA39f7gREfx-PBbjoMfE3SRuDJCCHpYba8=&amp;xsec_source=pc_trdark","https://www.xiaohongshu.com/explore/6911df3c00000000040159fe?xsec_token=TBrsrV1jnhRUA39f7gREfx-PBbjoMfE3SRuDJCCHpYba8=&amp;xsec_source=pc_trdark")</f>
        <v>0.0</v>
      </c>
      <c r="D60" t="inlineStr">
        <is>
          <t>鲜水湾</t>
        </is>
      </c>
      <c r="E60" t="inlineStr">
        <is>
          <t>49316638994</t>
        </is>
      </c>
      <c r="F60" t="inlineStr">
        <is>
          <t>2025-11-10 20:49:00</t>
        </is>
      </c>
      <c r="G60" t="inlineStr">
        <is>
          <t>图文</t>
        </is>
      </c>
      <c r="H60" t="inlineStr">
        <is>
          <t>大虾基围虾王牌大虾厄瓜多尔白虾盐冻虾仁海洋大虾送礼顺丰包邮</t>
        </is>
      </c>
      <c r="I60" t="inlineStr">
        <is>
          <t>690aeb7be379430001e686ac</t>
        </is>
      </c>
      <c r="J60" t="inlineStr">
        <is>
          <t/>
        </is>
      </c>
      <c r="K60" t="n">
        <v>0.0</v>
      </c>
      <c r="L60" t="n">
        <v>0.0</v>
      </c>
      <c r="M60" t="n">
        <v>13.0</v>
      </c>
      <c r="N60" t="n">
        <v>0.325</v>
      </c>
      <c r="O60" t="n">
        <v>10.0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inlineStr">
        <is>
          <t/>
        </is>
      </c>
      <c r="X60" t="n">
        <v>0.0</v>
      </c>
      <c r="Y60" t="n">
        <v>2.0</v>
      </c>
      <c r="Z60" t="n">
        <v>2.0</v>
      </c>
      <c r="AA60" t="n">
        <v>0.0</v>
      </c>
      <c r="AB60" t="n">
        <v>0.0</v>
      </c>
      <c r="AC60" t="n">
        <v>0.0</v>
      </c>
      <c r="AD60" t="n">
        <v>40.0</v>
      </c>
      <c r="AE60" t="n">
        <v>0.0</v>
      </c>
      <c r="AF60" t="n">
        <v>0.0</v>
      </c>
      <c r="AG60" t="n">
        <v>1.0</v>
      </c>
      <c r="AH60" t="n">
        <v>2.0</v>
      </c>
      <c r="AI60" t="n">
        <v>0.0</v>
      </c>
      <c r="AJ60" t="n">
        <v>0.0</v>
      </c>
      <c r="AK60" t="n">
        <v>9.1</v>
      </c>
      <c r="AL60" t="inlineStr">
        <is>
          <t/>
        </is>
      </c>
    </row>
    <row r="61">
      <c r="A61" t="inlineStr">
        <is>
          <t>原以为不便宜，其实70多3斤大虾太过瘾</t>
        </is>
      </c>
      <c r="B61" t="inlineStr">
        <is>
          <t>6911a9ec000000000400776e</t>
        </is>
      </c>
      <c r="C61" s="60" t="n">
        <f>HYPERLINK("https://www.xiaohongshu.com/explore/6911a9ec000000000400776e?xsec_token=TBrsrV1jnhRUA39f7gREfx-NDMNdCUZoelquOKT1cOnP0=&amp;xsec_source=pc_trdark","https://www.xiaohongshu.com/explore/6911a9ec000000000400776e?xsec_token=TBrsrV1jnhRUA39f7gREfx-NDMNdCUZoelquOKT1cOnP0=&amp;xsec_source=pc_trdark")</f>
        <v>0.0</v>
      </c>
      <c r="D61" t="inlineStr">
        <is>
          <t>鲜水湾</t>
        </is>
      </c>
      <c r="E61" t="inlineStr">
        <is>
          <t>49316638994</t>
        </is>
      </c>
      <c r="F61" t="inlineStr">
        <is>
          <t>2025-11-10 17:01:32</t>
        </is>
      </c>
      <c r="G61" t="inlineStr">
        <is>
          <t>图文</t>
        </is>
      </c>
      <c r="H61" t="inlineStr">
        <is>
          <t>大虾基围虾王牌大虾厄瓜多尔白虾盐冻虾仁海洋大虾送礼顺丰包邮</t>
        </is>
      </c>
      <c r="I61" t="inlineStr">
        <is>
          <t>690aeb7be379430001e686ac</t>
        </is>
      </c>
      <c r="J61" t="inlineStr">
        <is>
          <t/>
        </is>
      </c>
      <c r="K61" t="n">
        <v>0.0</v>
      </c>
      <c r="L61" t="n">
        <v>0.0</v>
      </c>
      <c r="M61" t="n">
        <v>4.0</v>
      </c>
      <c r="N61" t="inlineStr">
        <is>
          <t>0.10810810810810811</t>
        </is>
      </c>
      <c r="O61" t="n">
        <v>3.0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inlineStr">
        <is>
          <t/>
        </is>
      </c>
      <c r="X61" t="n">
        <v>0.0</v>
      </c>
      <c r="Y61" t="n">
        <v>0.0</v>
      </c>
      <c r="Z61" t="n">
        <v>4.0</v>
      </c>
      <c r="AA61" t="n">
        <v>0.0</v>
      </c>
      <c r="AB61" t="n">
        <v>0.0</v>
      </c>
      <c r="AC61" t="n">
        <v>0.0</v>
      </c>
      <c r="AD61" t="n">
        <v>37.0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5.27027027027027</v>
      </c>
      <c r="AL61" t="inlineStr">
        <is>
          <t/>
        </is>
      </c>
    </row>
    <row r="62">
      <c r="A62" t="inlineStr">
        <is>
          <t>为什么网上减脂的人很少吃虾啊？</t>
        </is>
      </c>
      <c r="B62" t="inlineStr">
        <is>
          <t>69287242000000001e02637f</t>
        </is>
      </c>
      <c r="C62" s="61" t="n">
        <f>HYPERLINK("https://www.xiaohongshu.com/explore/69287242000000001e02637f?xsec_token=TB7YCQGJ8vrzp8yv38IzH520xd3NiOBFPrjaWgOz9Kc7A=&amp;xsec_source=pc_trdark","https://www.xiaohongshu.com/explore/69287242000000001e02637f?xsec_token=TB7YCQGJ8vrzp8yv38IzH520xd3NiOBFPrjaWgOz9Kc7A=&amp;xsec_source=pc_trdark")</f>
        <v>0.0</v>
      </c>
      <c r="D62" t="inlineStr">
        <is>
          <t>鲜水湾</t>
        </is>
      </c>
      <c r="E62" t="inlineStr">
        <is>
          <t>49316638994</t>
        </is>
      </c>
      <c r="F62" t="inlineStr">
        <is>
          <t>2025-11-27 23:46:10</t>
        </is>
      </c>
      <c r="G62" t="inlineStr">
        <is>
          <t>图文</t>
        </is>
      </c>
      <c r="H62" t="inlineStr">
        <is>
          <t>大虾基围虾王牌大虾厄瓜多尔白虾盐冻虾仁海洋大虾送礼顺丰包邮</t>
        </is>
      </c>
      <c r="I62" t="inlineStr">
        <is>
          <t>690aeb7be379430001e686ac</t>
        </is>
      </c>
      <c r="J62" t="inlineStr">
        <is>
          <t/>
        </is>
      </c>
      <c r="K62" t="n">
        <v>0.0</v>
      </c>
      <c r="L62" t="n">
        <v>0.0</v>
      </c>
      <c r="M62" t="n">
        <v>6.0</v>
      </c>
      <c r="N62" t="inlineStr">
        <is>
          <t>0.17142857142857143</t>
        </is>
      </c>
      <c r="O62" t="n">
        <v>6.0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inlineStr">
        <is>
          <t/>
        </is>
      </c>
      <c r="X62" t="n">
        <v>0.0</v>
      </c>
      <c r="Y62" t="n">
        <v>3.0</v>
      </c>
      <c r="Z62" t="n">
        <v>0.0</v>
      </c>
      <c r="AA62" t="n">
        <v>0.0</v>
      </c>
      <c r="AB62" t="n">
        <v>0.0</v>
      </c>
      <c r="AC62" t="n">
        <v>0.0</v>
      </c>
      <c r="AD62" t="n">
        <v>35.0</v>
      </c>
      <c r="AE62" t="n">
        <v>0.0</v>
      </c>
      <c r="AF62" t="n">
        <v>0.0</v>
      </c>
      <c r="AG62" t="n">
        <v>0.0</v>
      </c>
      <c r="AH62" t="n">
        <v>2.0</v>
      </c>
      <c r="AI62" t="n">
        <v>0.0</v>
      </c>
      <c r="AJ62" t="n">
        <v>0.0</v>
      </c>
      <c r="AK62" t="n">
        <v>6.3428571428571425</v>
      </c>
      <c r="AL62" t="inlineStr">
        <is>
          <t/>
        </is>
      </c>
    </row>
    <row r="63">
      <c r="A63" t="inlineStr">
        <is>
          <t>新店开业❗️69.9💰3斤海洋大虾</t>
        </is>
      </c>
      <c r="B63" t="inlineStr">
        <is>
          <t>691dce53000000001e02d187</t>
        </is>
      </c>
      <c r="C63" s="62" t="n">
        <f>HYPERLINK("https://www.xiaohongshu.com/explore/691dce53000000001e02d187?xsec_token=TBfJie4P5Jl9AylR95m8dPVDgQ-Ha3QDdSqFX56jLyr08=&amp;xsec_source=pc_trdark","https://www.xiaohongshu.com/explore/691dce53000000001e02d187?xsec_token=TBfJie4P5Jl9AylR95m8dPVDgQ-Ha3QDdSqFX56jLyr08=&amp;xsec_source=pc_trdark")</f>
        <v>0.0</v>
      </c>
      <c r="D63" t="inlineStr">
        <is>
          <t>鲜水湾</t>
        </is>
      </c>
      <c r="E63" t="inlineStr">
        <is>
          <t>49316638994</t>
        </is>
      </c>
      <c r="F63" t="inlineStr">
        <is>
          <t>2025-11-19 22:04:03</t>
        </is>
      </c>
      <c r="G63" t="inlineStr">
        <is>
          <t>图文</t>
        </is>
      </c>
      <c r="H63" t="inlineStr">
        <is>
          <t>大虾基围虾王牌大虾厄瓜多尔白虾盐冻虾仁海洋大虾送礼顺丰包邮</t>
        </is>
      </c>
      <c r="I63" t="inlineStr">
        <is>
          <t>690aeb7be379430001e686ac</t>
        </is>
      </c>
      <c r="J63" t="inlineStr">
        <is>
          <t/>
        </is>
      </c>
      <c r="K63" t="n">
        <v>79.9</v>
      </c>
      <c r="L63" t="n">
        <v>1.0</v>
      </c>
      <c r="M63" t="n">
        <v>12.0</v>
      </c>
      <c r="N63" t="inlineStr">
        <is>
          <t>0.34285714285714286</t>
        </is>
      </c>
      <c r="O63" t="n">
        <v>7.0</v>
      </c>
      <c r="P63" t="n">
        <v>1.0</v>
      </c>
      <c r="Q63" t="inlineStr">
        <is>
          <t>0.08333333333333333</t>
        </is>
      </c>
      <c r="R63" t="inlineStr">
        <is>
          <t>0.14285714285714285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1.0</v>
      </c>
      <c r="Z63" t="n">
        <v>3.0</v>
      </c>
      <c r="AA63" t="n">
        <v>0.0</v>
      </c>
      <c r="AB63" t="n">
        <v>0.0</v>
      </c>
      <c r="AC63" t="n">
        <v>0.0</v>
      </c>
      <c r="AD63" t="n">
        <v>35.0</v>
      </c>
      <c r="AE63" t="n">
        <v>0.0</v>
      </c>
      <c r="AF63" t="n">
        <v>0.0</v>
      </c>
      <c r="AG63" t="n">
        <v>0.0</v>
      </c>
      <c r="AH63" t="n">
        <v>2.0</v>
      </c>
      <c r="AI63" t="n">
        <v>0.0</v>
      </c>
      <c r="AJ63" t="n">
        <v>0.0</v>
      </c>
      <c r="AK63" t="n">
        <v>8.085714285714285</v>
      </c>
      <c r="AL63" t="inlineStr">
        <is>
          <t/>
        </is>
      </c>
    </row>
    <row r="64">
      <c r="A64" t="inlineStr">
        <is>
          <t>健身党的优质蛋白！60多的大虾超划算</t>
        </is>
      </c>
      <c r="B64" t="inlineStr">
        <is>
          <t>6913e42a00000000050133fc</t>
        </is>
      </c>
      <c r="C64" s="63" t="n">
        <f>HYPERLINK("https://www.xiaohongshu.com/explore/6913e42a00000000050133fc?xsec_token=TBuRf-kx9cRMi3U9rbAm1Pe6WLdTVG4Xw6AsmAU7FAU5w=&amp;xsec_source=pc_trdark","https://www.xiaohongshu.com/explore/6913e42a00000000050133fc?xsec_token=TBuRf-kx9cRMi3U9rbAm1Pe6WLdTVG4Xw6AsmAU7FAU5w=&amp;xsec_source=pc_trdark")</f>
        <v>0.0</v>
      </c>
      <c r="D64" t="inlineStr">
        <is>
          <t>鲜水湾</t>
        </is>
      </c>
      <c r="E64" t="inlineStr">
        <is>
          <t>49316638994</t>
        </is>
      </c>
      <c r="F64" t="inlineStr">
        <is>
          <t>2025-11-12 09:34:34</t>
        </is>
      </c>
      <c r="G64" t="inlineStr">
        <is>
          <t>图文</t>
        </is>
      </c>
      <c r="H64" t="inlineStr">
        <is>
          <t>大虾基围虾王牌大虾厄瓜多尔白虾盐冻虾仁海洋大虾送礼顺丰包邮</t>
        </is>
      </c>
      <c r="I64" t="inlineStr">
        <is>
          <t>690aeb7be379430001e686ac</t>
        </is>
      </c>
      <c r="J64" t="inlineStr">
        <is>
          <t/>
        </is>
      </c>
      <c r="K64" t="n">
        <v>159.8</v>
      </c>
      <c r="L64" t="n">
        <v>2.0</v>
      </c>
      <c r="M64" t="n">
        <v>3.0</v>
      </c>
      <c r="N64" t="n">
        <v>0.0967741935483871</v>
      </c>
      <c r="O64" t="n">
        <v>2.0</v>
      </c>
      <c r="P64" t="n">
        <v>2.0</v>
      </c>
      <c r="Q64" t="n">
        <v>0.6666666666666666</v>
      </c>
      <c r="R64" t="n">
        <v>1.0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1.0</v>
      </c>
      <c r="Z64" t="n">
        <v>2.0</v>
      </c>
      <c r="AA64" t="n">
        <v>0.0</v>
      </c>
      <c r="AB64" t="n">
        <v>0.0</v>
      </c>
      <c r="AC64" t="n">
        <v>0.0</v>
      </c>
      <c r="AD64" t="n">
        <v>31.0</v>
      </c>
      <c r="AE64" t="n">
        <v>0.0</v>
      </c>
      <c r="AF64" t="n">
        <v>0.0</v>
      </c>
      <c r="AG64" t="n">
        <v>0.0</v>
      </c>
      <c r="AH64" t="n">
        <v>2.0</v>
      </c>
      <c r="AI64" t="n">
        <v>0.0</v>
      </c>
      <c r="AJ64" t="n">
        <v>0.0</v>
      </c>
      <c r="AK64" t="n">
        <v>9.258064516129032</v>
      </c>
      <c r="AL64" t="inlineStr">
        <is>
          <t/>
        </is>
      </c>
    </row>
    <row r="65">
      <c r="A65" t="inlineStr">
        <is>
          <t>别再砍价啦！20+💰1斤的大虾真没赚头</t>
        </is>
      </c>
      <c r="B65" t="inlineStr">
        <is>
          <t>690ea0dc0000000004002f4f</t>
        </is>
      </c>
      <c r="C65" s="64" t="n">
        <f>HYPERLINK("https://www.xiaohongshu.com/explore/690ea0dc0000000004002f4f?xsec_token=TBJajQDaP2lymAuuRX7yQPUewVaoUQEzemwtjRoH_ABNg=&amp;xsec_source=pc_trdark","https://www.xiaohongshu.com/explore/690ea0dc0000000004002f4f?xsec_token=TBJajQDaP2lymAuuRX7yQPUewVaoUQEzemwtjRoH_ABNg=&amp;xsec_source=pc_trdark")</f>
        <v>0.0</v>
      </c>
      <c r="D65" t="inlineStr">
        <is>
          <t>鲜水湾</t>
        </is>
      </c>
      <c r="E65" t="inlineStr">
        <is>
          <t>49316638994</t>
        </is>
      </c>
      <c r="F65" t="inlineStr">
        <is>
          <t>2025-11-08 09:46:04</t>
        </is>
      </c>
      <c r="G65" t="inlineStr">
        <is>
          <t>图文</t>
        </is>
      </c>
      <c r="H65" t="inlineStr">
        <is>
          <t>大虾基围虾王牌大虾厄瓜多尔白虾盐冻虾仁海洋大虾送礼顺丰包邮</t>
        </is>
      </c>
      <c r="I65" t="inlineStr">
        <is>
          <t>690aeb7be379430001e686ac</t>
        </is>
      </c>
      <c r="J65" t="inlineStr">
        <is>
          <t/>
        </is>
      </c>
      <c r="K65" t="n">
        <v>69.9</v>
      </c>
      <c r="L65" t="n">
        <v>1.0</v>
      </c>
      <c r="M65" t="n">
        <v>9.0</v>
      </c>
      <c r="N65" t="n">
        <v>0.2903225806451613</v>
      </c>
      <c r="O65" t="n">
        <v>9.0</v>
      </c>
      <c r="P65" t="n">
        <v>1.0</v>
      </c>
      <c r="Q65" t="n">
        <v>0.1111111111111111</v>
      </c>
      <c r="R65" t="n">
        <v>0.1111111111111111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31.0</v>
      </c>
      <c r="AE65" t="n">
        <v>0.0</v>
      </c>
      <c r="AF65" t="n">
        <v>0.0</v>
      </c>
      <c r="AG65" t="n">
        <v>0.0</v>
      </c>
      <c r="AH65" t="n">
        <v>1.0</v>
      </c>
      <c r="AI65" t="n">
        <v>0.0</v>
      </c>
      <c r="AJ65" t="n">
        <v>0.0</v>
      </c>
      <c r="AK65" t="n">
        <v>7.419354838709677</v>
      </c>
      <c r="AL65" t="inlineStr">
        <is>
          <t/>
        </is>
      </c>
    </row>
    <row r="66">
      <c r="A66" t="inlineStr">
        <is>
          <t>低估60多块的购买力了，不到一块💰一只</t>
        </is>
      </c>
      <c r="B66" t="inlineStr">
        <is>
          <t>69271d5b000000001e030027</t>
        </is>
      </c>
      <c r="C66" s="65" t="n">
        <f>HYPERLINK("https://www.xiaohongshu.com/explore/69271d5b000000001e030027?xsec_token=TBLaSXRlY1LuZckfwFBOoYph40dfB80hCcDYQn9fvVAKU=&amp;xsec_source=pc_trdark","https://www.xiaohongshu.com/explore/69271d5b000000001e030027?xsec_token=TBLaSXRlY1LuZckfwFBOoYph40dfB80hCcDYQn9fvVAKU=&amp;xsec_source=pc_trdark")</f>
        <v>0.0</v>
      </c>
      <c r="D66" t="inlineStr">
        <is>
          <t>鲜水湾</t>
        </is>
      </c>
      <c r="E66" t="inlineStr">
        <is>
          <t>49316638994</t>
        </is>
      </c>
      <c r="F66" t="inlineStr">
        <is>
          <t>2025-11-26 23:31:40</t>
        </is>
      </c>
      <c r="G66" t="inlineStr">
        <is>
          <t>图文</t>
        </is>
      </c>
      <c r="H66" t="inlineStr">
        <is>
          <t>大虾基围虾王牌大虾厄瓜多尔白虾盐冻虾仁海洋大虾送礼顺丰包邮</t>
        </is>
      </c>
      <c r="I66" t="inlineStr">
        <is>
          <t>690aeb7be379430001e686ac</t>
        </is>
      </c>
      <c r="J66" t="inlineStr">
        <is>
          <t/>
        </is>
      </c>
      <c r="K66" t="n">
        <v>0.0</v>
      </c>
      <c r="L66" t="n">
        <v>0.0</v>
      </c>
      <c r="M66" t="n">
        <v>3.0</v>
      </c>
      <c r="N66" t="inlineStr">
        <is>
          <t>0.10344827586206896</t>
        </is>
      </c>
      <c r="O66" t="n">
        <v>3.0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inlineStr">
        <is>
          <t/>
        </is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29.0</v>
      </c>
      <c r="AE66" t="n">
        <v>2.0</v>
      </c>
      <c r="AF66" t="n">
        <v>0.0</v>
      </c>
      <c r="AG66" t="n">
        <v>0.0</v>
      </c>
      <c r="AH66" t="n">
        <v>2.0</v>
      </c>
      <c r="AI66" t="n">
        <v>0.0</v>
      </c>
      <c r="AJ66" t="n">
        <v>0.0</v>
      </c>
      <c r="AK66" t="n">
        <v>5.586206896551724</v>
      </c>
      <c r="AL66" t="inlineStr">
        <is>
          <t/>
        </is>
      </c>
    </row>
    <row r="67">
      <c r="A67" t="inlineStr">
        <is>
          <t>误以为很贵，实际60多三大斤真的过瘾！</t>
        </is>
      </c>
      <c r="B67" t="inlineStr">
        <is>
          <t>691746070000000005032d43</t>
        </is>
      </c>
      <c r="C67" s="66" t="n">
        <f>HYPERLINK("https://www.xiaohongshu.com/explore/691746070000000005032d43?xsec_token=TBLSBfqZexCmmruTMJXuhniyb3522Q1EebKfRQ6O65R4I=&amp;xsec_source=pc_trdark","https://www.xiaohongshu.com/explore/691746070000000005032d43?xsec_token=TBLSBfqZexCmmruTMJXuhniyb3522Q1EebKfRQ6O65R4I=&amp;xsec_source=pc_trdark")</f>
        <v>0.0</v>
      </c>
      <c r="D67" t="inlineStr">
        <is>
          <t>鲜水湾</t>
        </is>
      </c>
      <c r="E67" t="inlineStr">
        <is>
          <t>49316638994</t>
        </is>
      </c>
      <c r="F67" t="inlineStr">
        <is>
          <t>2025-11-14 23:08:55</t>
        </is>
      </c>
      <c r="G67" t="inlineStr">
        <is>
          <t>图文</t>
        </is>
      </c>
      <c r="H67" t="inlineStr">
        <is>
          <t>大虾基围虾王牌大虾厄瓜多尔白虾盐冻虾仁海洋大虾送礼顺丰包邮</t>
        </is>
      </c>
      <c r="I67" t="inlineStr">
        <is>
          <t>690aeb7be379430001e686ac</t>
        </is>
      </c>
      <c r="J67" t="inlineStr">
        <is>
          <t/>
        </is>
      </c>
      <c r="K67" t="n">
        <v>0.0</v>
      </c>
      <c r="L67" t="n">
        <v>0.0</v>
      </c>
      <c r="M67" t="n">
        <v>3.0</v>
      </c>
      <c r="N67" t="inlineStr">
        <is>
          <t>0.10344827586206896</t>
        </is>
      </c>
      <c r="O67" t="n">
        <v>3.0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inlineStr">
        <is>
          <t/>
        </is>
      </c>
      <c r="X67" t="n">
        <v>0.0</v>
      </c>
      <c r="Y67" t="n">
        <v>0.0</v>
      </c>
      <c r="Z67" t="n">
        <v>1.0</v>
      </c>
      <c r="AA67" t="n">
        <v>0.0</v>
      </c>
      <c r="AB67" t="n">
        <v>0.0</v>
      </c>
      <c r="AC67" t="n">
        <v>0.0</v>
      </c>
      <c r="AD67" t="n">
        <v>29.0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14.172413793103448</v>
      </c>
      <c r="AL67" t="inlineStr">
        <is>
          <t/>
        </is>
      </c>
    </row>
    <row r="68">
      <c r="A68" t="inlineStr">
        <is>
          <t>真的低估60多块的购买力，20多一斤赶紧冲</t>
        </is>
      </c>
      <c r="B68" t="inlineStr">
        <is>
          <t>691292660000000004007ce2</t>
        </is>
      </c>
      <c r="C68" s="67" t="n">
        <f>HYPERLINK("https://www.xiaohongshu.com/explore/691292660000000004007ce2?xsec_token=TBnZN0DmKGIQMnPXPN25j7pwWOMvxhl-fwhEn8oSqBanY=&amp;xsec_source=pc_trdark","https://www.xiaohongshu.com/explore/691292660000000004007ce2?xsec_token=TBnZN0DmKGIQMnPXPN25j7pwWOMvxhl-fwhEn8oSqBanY=&amp;xsec_source=pc_trdark")</f>
        <v>0.0</v>
      </c>
      <c r="D68" t="inlineStr">
        <is>
          <t>鲜水湾</t>
        </is>
      </c>
      <c r="E68" t="inlineStr">
        <is>
          <t>49316638994</t>
        </is>
      </c>
      <c r="F68" t="inlineStr">
        <is>
          <t>2025-11-11 09:33:26</t>
        </is>
      </c>
      <c r="G68" t="inlineStr">
        <is>
          <t>图文</t>
        </is>
      </c>
      <c r="H68" t="inlineStr">
        <is>
          <t>大虾基围虾王牌大虾厄瓜多尔白虾盐冻虾仁海洋大虾送礼顺丰包邮</t>
        </is>
      </c>
      <c r="I68" t="inlineStr">
        <is>
          <t>690aeb7be379430001e686ac</t>
        </is>
      </c>
      <c r="J68" t="inlineStr">
        <is>
          <t/>
        </is>
      </c>
      <c r="K68" t="n">
        <v>0.0</v>
      </c>
      <c r="L68" t="n">
        <v>0.0</v>
      </c>
      <c r="M68" t="n">
        <v>4.0</v>
      </c>
      <c r="N68" t="inlineStr">
        <is>
          <t>0.14285714285714285</t>
        </is>
      </c>
      <c r="O68" t="n">
        <v>2.0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inlineStr">
        <is>
          <t/>
        </is>
      </c>
      <c r="X68" t="n">
        <v>0.0</v>
      </c>
      <c r="Y68" t="n">
        <v>1.0</v>
      </c>
      <c r="Z68" t="n">
        <v>3.0</v>
      </c>
      <c r="AA68" t="n">
        <v>0.0</v>
      </c>
      <c r="AB68" t="n">
        <v>0.0</v>
      </c>
      <c r="AC68" t="n">
        <v>0.0</v>
      </c>
      <c r="AD68" t="n">
        <v>28.0</v>
      </c>
      <c r="AE68" t="n">
        <v>0.0</v>
      </c>
      <c r="AF68" t="n">
        <v>0.0</v>
      </c>
      <c r="AG68" t="n">
        <v>1.0</v>
      </c>
      <c r="AH68" t="n">
        <v>2.0</v>
      </c>
      <c r="AI68" t="n">
        <v>0.0</v>
      </c>
      <c r="AJ68" t="n">
        <v>0.0</v>
      </c>
      <c r="AK68" t="n">
        <v>6.607142857142857</v>
      </c>
      <c r="AL68" t="inlineStr">
        <is>
          <t/>
        </is>
      </c>
    </row>
    <row r="69">
      <c r="A69" t="inlineStr">
        <is>
          <t>一个撑死人，但热量很低的东西</t>
        </is>
      </c>
      <c r="B69" t="inlineStr">
        <is>
          <t>691536610000000005038349</t>
        </is>
      </c>
      <c r="C69" s="68" t="n">
        <f>HYPERLINK("https://www.xiaohongshu.com/explore/691536610000000005038349?xsec_token=TBAg-veJq-9HvX6LdnoJFXarZMzV1DxcevWIzpzDNO-ZI=&amp;xsec_source=pc_trdark","https://www.xiaohongshu.com/explore/691536610000000005038349?xsec_token=TBAg-veJq-9HvX6LdnoJFXarZMzV1DxcevWIzpzDNO-ZI=&amp;xsec_source=pc_trdark")</f>
        <v>0.0</v>
      </c>
      <c r="D69" t="inlineStr">
        <is>
          <t>鲜水湾</t>
        </is>
      </c>
      <c r="E69" t="inlineStr">
        <is>
          <t>49316638994</t>
        </is>
      </c>
      <c r="F69" t="inlineStr">
        <is>
          <t>2025-11-13 09:37:37</t>
        </is>
      </c>
      <c r="G69" t="inlineStr">
        <is>
          <t>图文</t>
        </is>
      </c>
      <c r="H69" t="inlineStr">
        <is>
          <t>大虾基围虾王牌大虾厄瓜多尔白虾盐冻虾仁海洋大虾送礼顺丰包邮</t>
        </is>
      </c>
      <c r="I69" t="inlineStr">
        <is>
          <t>690aeb7be379430001e686ac</t>
        </is>
      </c>
      <c r="J69" t="inlineStr">
        <is>
          <t/>
        </is>
      </c>
      <c r="K69" t="n">
        <v>0.0</v>
      </c>
      <c r="L69" t="n">
        <v>0.0</v>
      </c>
      <c r="M69" t="n">
        <v>4.0</v>
      </c>
      <c r="N69" t="inlineStr">
        <is>
          <t>0.14814814814814814</t>
        </is>
      </c>
      <c r="O69" t="n">
        <v>1.0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inlineStr">
        <is>
          <t/>
        </is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27.0</v>
      </c>
      <c r="AE69" t="n">
        <v>0.0</v>
      </c>
      <c r="AF69" t="n">
        <v>0.0</v>
      </c>
      <c r="AG69" t="n">
        <v>0.0</v>
      </c>
      <c r="AH69" t="n">
        <v>4.0</v>
      </c>
      <c r="AI69" t="n">
        <v>0.0</v>
      </c>
      <c r="AJ69" t="n">
        <v>0.0</v>
      </c>
      <c r="AK69" t="n">
        <v>5.814814814814815</v>
      </c>
      <c r="AL69" t="inlineStr">
        <is>
          <t/>
        </is>
      </c>
    </row>
    <row r="70">
      <c r="A70" t="inlineStr">
        <is>
          <t>60几块钱的购买力，远比我想得多得多</t>
        </is>
      </c>
      <c r="B70" t="inlineStr">
        <is>
          <t>691441d10000000005030f68</t>
        </is>
      </c>
      <c r="C70" s="69" t="n">
        <f>HYPERLINK("https://www.xiaohongshu.com/explore/691441d10000000005030f68?xsec_token=TBaXvlcWwd_4ttBIqZOUWAk4TCcJLygE0Kvb13kaLE6xU=&amp;xsec_source=pc_trdark","https://www.xiaohongshu.com/explore/691441d10000000005030f68?xsec_token=TBaXvlcWwd_4ttBIqZOUWAk4TCcJLygE0Kvb13kaLE6xU=&amp;xsec_source=pc_trdark")</f>
        <v>0.0</v>
      </c>
      <c r="D70" t="inlineStr">
        <is>
          <t>鲜水湾</t>
        </is>
      </c>
      <c r="E70" t="inlineStr">
        <is>
          <t>49316638994</t>
        </is>
      </c>
      <c r="F70" t="inlineStr">
        <is>
          <t>2025-11-12 16:14:09</t>
        </is>
      </c>
      <c r="G70" t="inlineStr">
        <is>
          <t>图文</t>
        </is>
      </c>
      <c r="H70" t="inlineStr">
        <is>
          <t>大虾基围虾王牌大虾厄瓜多尔白虾盐冻虾仁海洋大虾送礼顺丰包邮</t>
        </is>
      </c>
      <c r="I70" t="inlineStr">
        <is>
          <t>690aeb7be379430001e686ac</t>
        </is>
      </c>
      <c r="J70" t="inlineStr">
        <is>
          <t/>
        </is>
      </c>
      <c r="K70" t="n">
        <v>0.0</v>
      </c>
      <c r="L70" t="n">
        <v>0.0</v>
      </c>
      <c r="M70" t="n">
        <v>6.0</v>
      </c>
      <c r="N70" t="n">
        <v>0.2222222222222222</v>
      </c>
      <c r="O70" t="n">
        <v>5.0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inlineStr">
        <is>
          <t/>
        </is>
      </c>
      <c r="X70" t="n">
        <v>0.0</v>
      </c>
      <c r="Y70" t="n">
        <v>0.0</v>
      </c>
      <c r="Z70" t="n">
        <v>2.0</v>
      </c>
      <c r="AA70" t="n">
        <v>0.0</v>
      </c>
      <c r="AB70" t="n">
        <v>0.0</v>
      </c>
      <c r="AC70" t="n">
        <v>0.0</v>
      </c>
      <c r="AD70" t="n">
        <v>27.0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9.962962962962964</v>
      </c>
      <c r="AL70" t="inlineStr">
        <is>
          <t/>
        </is>
      </c>
    </row>
    <row r="71">
      <c r="A71" t="inlineStr">
        <is>
          <t>控体人看到了嘛！上班带饭真的超简单</t>
        </is>
      </c>
      <c r="B71" t="inlineStr">
        <is>
          <t>691988350000000005039d0a</t>
        </is>
      </c>
      <c r="C71" s="70" t="n">
        <f>HYPERLINK("https://www.xiaohongshu.com/explore/691988350000000005039d0a?xsec_token=TB2xQZ9GExXu1-ypvMpLTYcAi3PmHc60D8TJtvFnEXAVU=&amp;xsec_source=pc_trdark","https://www.xiaohongshu.com/explore/691988350000000005039d0a?xsec_token=TB2xQZ9GExXu1-ypvMpLTYcAi3PmHc60D8TJtvFnEXAVU=&amp;xsec_source=pc_trdark")</f>
        <v>0.0</v>
      </c>
      <c r="D71" t="inlineStr">
        <is>
          <t>鲜水湾</t>
        </is>
      </c>
      <c r="E71" t="inlineStr">
        <is>
          <t>49316638994</t>
        </is>
      </c>
      <c r="F71" t="inlineStr">
        <is>
          <t>2025-11-16 16:15:49</t>
        </is>
      </c>
      <c r="G71" t="inlineStr">
        <is>
          <t>图文</t>
        </is>
      </c>
      <c r="H71" t="inlineStr">
        <is>
          <t>大虾基围虾王牌大虾厄瓜多尔白虾盐冻虾仁海洋大虾送礼顺丰包邮</t>
        </is>
      </c>
      <c r="I71" t="inlineStr">
        <is>
          <t>690aeb7be379430001e686ac</t>
        </is>
      </c>
      <c r="J71" t="inlineStr">
        <is>
          <t/>
        </is>
      </c>
      <c r="K71" t="n">
        <v>0.0</v>
      </c>
      <c r="L71" t="n">
        <v>0.0</v>
      </c>
      <c r="M71" t="n">
        <v>3.0</v>
      </c>
      <c r="N71" t="n">
        <v>0.125</v>
      </c>
      <c r="O71" t="n">
        <v>3.0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inlineStr">
        <is>
          <t/>
        </is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24.0</v>
      </c>
      <c r="AE71" t="n">
        <v>0.0</v>
      </c>
      <c r="AF71" t="n">
        <v>0.0</v>
      </c>
      <c r="AG71" t="n">
        <v>0.0</v>
      </c>
      <c r="AH71" t="n">
        <v>2.0</v>
      </c>
      <c r="AI71" t="n">
        <v>0.0</v>
      </c>
      <c r="AJ71" t="n">
        <v>0.0</v>
      </c>
      <c r="AK71" t="n">
        <v>6.0</v>
      </c>
      <c r="AL71" t="inlineStr">
        <is>
          <t/>
        </is>
      </c>
    </row>
    <row r="72">
      <c r="A72" t="inlineStr">
        <is>
          <t>60几块钱吃一周！减脂党狂喜😋</t>
        </is>
      </c>
      <c r="B72" t="inlineStr">
        <is>
          <t>690eea290000000005010648</t>
        </is>
      </c>
      <c r="C72" s="71" t="n">
        <f>HYPERLINK("https://www.xiaohongshu.com/explore/690eea290000000005010648?xsec_token=TBJajQDaP2lymAuuRX7yQPUSNwrT9mYjhT3qSQpl_x9Kg=&amp;xsec_source=pc_trdark","https://www.xiaohongshu.com/explore/690eea290000000005010648?xsec_token=TBJajQDaP2lymAuuRX7yQPUSNwrT9mYjhT3qSQpl_x9Kg=&amp;xsec_source=pc_trdark")</f>
        <v>0.0</v>
      </c>
      <c r="D72" t="inlineStr">
        <is>
          <t>鲜水湾</t>
        </is>
      </c>
      <c r="E72" t="inlineStr">
        <is>
          <t>49316638994</t>
        </is>
      </c>
      <c r="F72" t="inlineStr">
        <is>
          <t>2025-11-08 14:58:49</t>
        </is>
      </c>
      <c r="G72" t="inlineStr">
        <is>
          <t>图文</t>
        </is>
      </c>
      <c r="H72" t="inlineStr">
        <is>
          <t>大虾基围虾王牌大虾厄瓜多尔白虾盐冻虾仁海洋大虾送礼顺丰包邮</t>
        </is>
      </c>
      <c r="I72" t="inlineStr">
        <is>
          <t>690aeb7be379430001e686ac</t>
        </is>
      </c>
      <c r="J72" t="inlineStr">
        <is>
          <t/>
        </is>
      </c>
      <c r="K72" t="n">
        <v>0.0</v>
      </c>
      <c r="L72" t="n">
        <v>0.0</v>
      </c>
      <c r="M72" t="n">
        <v>6.0</v>
      </c>
      <c r="N72" t="n">
        <v>0.2857142857142857</v>
      </c>
      <c r="O72" t="n">
        <v>3.0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inlineStr">
        <is>
          <t/>
        </is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21.0</v>
      </c>
      <c r="AE72" t="n">
        <v>1.0</v>
      </c>
      <c r="AF72" t="n">
        <v>0.0</v>
      </c>
      <c r="AG72" t="n">
        <v>0.0</v>
      </c>
      <c r="AH72" t="n">
        <v>2.0</v>
      </c>
      <c r="AI72" t="n">
        <v>0.0</v>
      </c>
      <c r="AJ72" t="n">
        <v>0.0</v>
      </c>
      <c r="AK72" t="n">
        <v>5.0476190476190474</v>
      </c>
      <c r="AL72" t="inlineStr">
        <is>
          <t/>
        </is>
      </c>
    </row>
    <row r="73">
      <c r="A73" t="inlineStr">
        <is>
          <t>60多块的购买力解决上班族十天的优质蛋白</t>
        </is>
      </c>
      <c r="B73" t="inlineStr">
        <is>
          <t>6913498d0000000004003e56</t>
        </is>
      </c>
      <c r="C73" s="72" t="n">
        <f>HYPERLINK("https://www.xiaohongshu.com/explore/6913498d0000000004003e56?xsec_token=TBuRf-kx9cRMi3U9rbAm1Pe6Y7t0mc0gMNlSQ5U3k5_mc=&amp;xsec_source=pc_trdark","https://www.xiaohongshu.com/explore/6913498d0000000004003e56?xsec_token=TBuRf-kx9cRMi3U9rbAm1Pe6Y7t0mc0gMNlSQ5U3k5_mc=&amp;xsec_source=pc_trdark")</f>
        <v>0.0</v>
      </c>
      <c r="D73" t="inlineStr">
        <is>
          <t>鲜水湾</t>
        </is>
      </c>
      <c r="E73" t="inlineStr">
        <is>
          <t>49316638994</t>
        </is>
      </c>
      <c r="F73" t="inlineStr">
        <is>
          <t>2025-11-11 22:34:53</t>
        </is>
      </c>
      <c r="G73" t="inlineStr">
        <is>
          <t>图文</t>
        </is>
      </c>
      <c r="H73" t="inlineStr">
        <is>
          <t>大虾基围虾王牌大虾厄瓜多尔白虾盐冻虾仁海洋大虾送礼顺丰包邮</t>
        </is>
      </c>
      <c r="I73" t="inlineStr">
        <is>
          <t>690aeb7be379430001e686ac</t>
        </is>
      </c>
      <c r="J73" t="inlineStr">
        <is>
          <t/>
        </is>
      </c>
      <c r="K73" t="n">
        <v>0.0</v>
      </c>
      <c r="L73" t="n">
        <v>0.0</v>
      </c>
      <c r="M73" t="n">
        <v>2.0</v>
      </c>
      <c r="N73" t="n">
        <v>0.1</v>
      </c>
      <c r="O73" t="n">
        <v>2.0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inlineStr">
        <is>
          <t/>
        </is>
      </c>
      <c r="X73" t="n">
        <v>0.0</v>
      </c>
      <c r="Y73" t="n">
        <v>0.0</v>
      </c>
      <c r="Z73" t="n">
        <v>3.0</v>
      </c>
      <c r="AA73" t="n">
        <v>0.0</v>
      </c>
      <c r="AB73" t="n">
        <v>0.0</v>
      </c>
      <c r="AC73" t="n">
        <v>0.0</v>
      </c>
      <c r="AD73" t="n">
        <v>20.0</v>
      </c>
      <c r="AE73" t="n">
        <v>0.0</v>
      </c>
      <c r="AF73" t="n">
        <v>0.0</v>
      </c>
      <c r="AG73" t="n">
        <v>1.0</v>
      </c>
      <c r="AH73" t="n">
        <v>2.0</v>
      </c>
      <c r="AI73" t="n">
        <v>0.0</v>
      </c>
      <c r="AJ73" t="n">
        <v>0.0</v>
      </c>
      <c r="AK73" t="n">
        <v>8.65</v>
      </c>
      <c r="AL73" t="inlineStr">
        <is>
          <t/>
        </is>
      </c>
    </row>
    <row r="74">
      <c r="A74" t="inlineStr">
        <is>
          <t>剥壳停不下来！Q弹鲜甜的大虾太绝了</t>
        </is>
      </c>
      <c r="B74" t="inlineStr">
        <is>
          <t>691d5e13000000001e032699</t>
        </is>
      </c>
      <c r="C74" s="73" t="n">
        <f>HYPERLINK("https://www.xiaohongshu.com/explore/691d5e13000000001e032699?xsec_token=TBfJie4P5Jl9AylR95m8dPVE7EZuDaB2Ew_HLIS6mqC7Y=&amp;xsec_source=pc_trdark","https://www.xiaohongshu.com/explore/691d5e13000000001e032699?xsec_token=TBfJie4P5Jl9AylR95m8dPVE7EZuDaB2Ew_HLIS6mqC7Y=&amp;xsec_source=pc_trdark")</f>
        <v>0.0</v>
      </c>
      <c r="D74" t="inlineStr">
        <is>
          <t>鲜水湾</t>
        </is>
      </c>
      <c r="E74" t="inlineStr">
        <is>
          <t>49316638994</t>
        </is>
      </c>
      <c r="F74" t="inlineStr">
        <is>
          <t>2025-11-19 14:05:07</t>
        </is>
      </c>
      <c r="G74" t="inlineStr">
        <is>
          <t>图文</t>
        </is>
      </c>
      <c r="H74" t="inlineStr">
        <is>
          <t>大虾基围虾王牌大虾厄瓜多尔白虾盐冻虾仁海洋大虾送礼顺丰包邮</t>
        </is>
      </c>
      <c r="I74" t="inlineStr">
        <is>
          <t>690aeb7be379430001e686ac</t>
        </is>
      </c>
      <c r="J74" t="inlineStr">
        <is>
          <t/>
        </is>
      </c>
      <c r="K74" t="n">
        <v>0.0</v>
      </c>
      <c r="L74" t="n">
        <v>0.0</v>
      </c>
      <c r="M74" t="n">
        <v>2.0</v>
      </c>
      <c r="N74" t="inlineStr">
        <is>
          <t>0.11764705882352941</t>
        </is>
      </c>
      <c r="O74" t="n">
        <v>2.0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inlineStr">
        <is>
          <t/>
        </is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17.0</v>
      </c>
      <c r="AE74" t="n">
        <v>0.0</v>
      </c>
      <c r="AF74" t="n">
        <v>0.0</v>
      </c>
      <c r="AG74" t="n">
        <v>0.0</v>
      </c>
      <c r="AH74" t="n">
        <v>1.0</v>
      </c>
      <c r="AI74" t="n">
        <v>0.0</v>
      </c>
      <c r="AJ74" t="n">
        <v>0.0</v>
      </c>
      <c r="AK74" t="n">
        <v>7.9411764705882355</v>
      </c>
      <c r="AL74" t="inlineStr">
        <is>
          <t/>
        </is>
      </c>
    </row>
    <row r="75">
      <c r="A75" t="inlineStr">
        <is>
          <t>太香了！60几块就能解决一周减脂餐</t>
        </is>
      </c>
      <c r="B75" t="inlineStr">
        <is>
          <t>6921cbae000000001e030d05</t>
        </is>
      </c>
      <c r="C75" s="74" t="n">
        <f>HYPERLINK("https://www.xiaohongshu.com/explore/6921cbae000000001e030d05?xsec_token=TBXRRyp7npeNirIt6SRYXfK_xDIww_vNSnp-NhdF1eW8k=&amp;xsec_source=pc_trdark","https://www.xiaohongshu.com/explore/6921cbae000000001e030d05?xsec_token=TBXRRyp7npeNirIt6SRYXfK_xDIww_vNSnp-NhdF1eW8k=&amp;xsec_source=pc_trdark")</f>
        <v>0.0</v>
      </c>
      <c r="D75" t="inlineStr">
        <is>
          <t>鲜水湾</t>
        </is>
      </c>
      <c r="E75" t="inlineStr">
        <is>
          <t>49316638994</t>
        </is>
      </c>
      <c r="F75" t="inlineStr">
        <is>
          <t>2025-11-22 22:41:50</t>
        </is>
      </c>
      <c r="G75" t="inlineStr">
        <is>
          <t>图文</t>
        </is>
      </c>
      <c r="H75" t="inlineStr">
        <is>
          <t>大虾基围虾王牌大虾厄瓜多尔白虾盐冻虾仁海洋大虾送礼顺丰包邮</t>
        </is>
      </c>
      <c r="I75" t="inlineStr">
        <is>
          <t>690aeb7be379430001e686ac</t>
        </is>
      </c>
      <c r="J75" t="inlineStr">
        <is>
          <t/>
        </is>
      </c>
      <c r="K75" t="n">
        <v>0.0</v>
      </c>
      <c r="L75" t="n">
        <v>0.0</v>
      </c>
      <c r="M75" t="n">
        <v>4.0</v>
      </c>
      <c r="N75" t="n">
        <v>0.25</v>
      </c>
      <c r="O75" t="n">
        <v>3.0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inlineStr">
        <is>
          <t/>
        </is>
      </c>
      <c r="X75" t="n">
        <v>0.0</v>
      </c>
      <c r="Y75" t="n">
        <v>1.0</v>
      </c>
      <c r="Z75" t="n">
        <v>0.0</v>
      </c>
      <c r="AA75" t="n">
        <v>0.0</v>
      </c>
      <c r="AB75" t="n">
        <v>0.0</v>
      </c>
      <c r="AC75" t="n">
        <v>0.0</v>
      </c>
      <c r="AD75" t="n">
        <v>16.0</v>
      </c>
      <c r="AE75" t="n">
        <v>0.0</v>
      </c>
      <c r="AF75" t="n">
        <v>0.0</v>
      </c>
      <c r="AG75" t="n">
        <v>0.0</v>
      </c>
      <c r="AH75" t="n">
        <v>3.0</v>
      </c>
      <c r="AI75" t="n">
        <v>0.0</v>
      </c>
      <c r="AJ75" t="n">
        <v>0.0</v>
      </c>
      <c r="AK75" t="n">
        <v>8.9375</v>
      </c>
      <c r="AL75" t="inlineStr">
        <is>
          <t/>
        </is>
      </c>
    </row>
    <row r="76">
      <c r="A76" t="inlineStr">
        <is>
          <t>原以为不便宜，其实60多三斤大虾太过瘾！</t>
        </is>
      </c>
      <c r="B76" t="inlineStr">
        <is>
          <t>6911558000000000040108e2</t>
        </is>
      </c>
      <c r="C76" s="75" t="n">
        <f>HYPERLINK("https://www.xiaohongshu.com/explore/6911558000000000040108e2?xsec_token=TBrsrV1jnhRUA39f7gREfx-FGlWHQ6Be4qbuClTbNxpnU=&amp;xsec_source=pc_trdark","https://www.xiaohongshu.com/explore/6911558000000000040108e2?xsec_token=TBrsrV1jnhRUA39f7gREfx-FGlWHQ6Be4qbuClTbNxpnU=&amp;xsec_source=pc_trdark")</f>
        <v>0.0</v>
      </c>
      <c r="D76" t="inlineStr">
        <is>
          <t>鲜水湾</t>
        </is>
      </c>
      <c r="E76" t="inlineStr">
        <is>
          <t>49316638994</t>
        </is>
      </c>
      <c r="F76" t="inlineStr">
        <is>
          <t>2025-11-10 11:01:20</t>
        </is>
      </c>
      <c r="G76" t="inlineStr">
        <is>
          <t>图文</t>
        </is>
      </c>
      <c r="H76" t="inlineStr">
        <is>
          <t>大虾基围虾王牌大虾厄瓜多尔白虾盐冻虾仁海洋大虾送礼顺丰包邮</t>
        </is>
      </c>
      <c r="I76" t="inlineStr">
        <is>
          <t>690aeb7be379430001e686ac</t>
        </is>
      </c>
      <c r="J76" t="inlineStr">
        <is>
          <t/>
        </is>
      </c>
      <c r="K76" t="n">
        <v>0.0</v>
      </c>
      <c r="L76" t="n">
        <v>0.0</v>
      </c>
      <c r="M76" t="n">
        <v>5.0</v>
      </c>
      <c r="N76" t="n">
        <v>0.3125</v>
      </c>
      <c r="O76" t="n">
        <v>3.0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inlineStr">
        <is>
          <t/>
        </is>
      </c>
      <c r="X76" t="n">
        <v>0.0</v>
      </c>
      <c r="Y76" t="n">
        <v>1.0</v>
      </c>
      <c r="Z76" t="n">
        <v>4.0</v>
      </c>
      <c r="AA76" t="n">
        <v>0.0</v>
      </c>
      <c r="AB76" t="n">
        <v>0.0</v>
      </c>
      <c r="AC76" t="n">
        <v>0.0</v>
      </c>
      <c r="AD76" t="n">
        <v>16.0</v>
      </c>
      <c r="AE76" t="n">
        <v>0.0</v>
      </c>
      <c r="AF76" t="n">
        <v>0.0</v>
      </c>
      <c r="AG76" t="n">
        <v>0.0</v>
      </c>
      <c r="AH76" t="n">
        <v>2.0</v>
      </c>
      <c r="AI76" t="n">
        <v>0.0</v>
      </c>
      <c r="AJ76" t="n">
        <v>0.0</v>
      </c>
      <c r="AK76" t="n">
        <v>8.75</v>
      </c>
      <c r="AL76" t="inlineStr">
        <is>
          <t/>
        </is>
      </c>
    </row>
    <row r="77">
      <c r="A77" t="inlineStr">
        <is>
          <t>自从碱脂买了这个大虾，一个月省好几百！</t>
        </is>
      </c>
      <c r="B77" t="inlineStr">
        <is>
          <t>690eb4c9000000000400296d</t>
        </is>
      </c>
      <c r="C77" s="76" t="n">
        <f>HYPERLINK("https://www.xiaohongshu.com/explore/690eb4c9000000000400296d?xsec_token=TBJajQDaP2lymAuuRX7yQPUfW1lw6BlFGaaTlJss229QE=&amp;xsec_source=pc_trdark","https://www.xiaohongshu.com/explore/690eb4c9000000000400296d?xsec_token=TBJajQDaP2lymAuuRX7yQPUfW1lw6BlFGaaTlJss229QE=&amp;xsec_source=pc_trdark")</f>
        <v>0.0</v>
      </c>
      <c r="D77" t="inlineStr">
        <is>
          <t>鲜水湾</t>
        </is>
      </c>
      <c r="E77" t="inlineStr">
        <is>
          <t>49316638994</t>
        </is>
      </c>
      <c r="F77" t="inlineStr">
        <is>
          <t>2025-11-08 11:11:05</t>
        </is>
      </c>
      <c r="G77" t="inlineStr">
        <is>
          <t>图文</t>
        </is>
      </c>
      <c r="H77" t="inlineStr">
        <is>
          <t>大虾基围虾王牌大虾厄瓜多尔白虾盐冻虾仁海洋大虾送礼顺丰包邮</t>
        </is>
      </c>
      <c r="I77" t="inlineStr">
        <is>
          <t>690aeb7be379430001e686ac</t>
        </is>
      </c>
      <c r="J77" t="inlineStr">
        <is>
          <t/>
        </is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inlineStr">
        <is>
          <t/>
        </is>
      </c>
      <c r="R77" t="inlineStr">
        <is>
          <t/>
        </is>
      </c>
      <c r="S77" t="n">
        <v>0.0</v>
      </c>
      <c r="T77" t="n">
        <v>0.0</v>
      </c>
      <c r="U77" t="n">
        <v>0.0</v>
      </c>
      <c r="V77" t="n">
        <v>0.0</v>
      </c>
      <c r="W77" t="inlineStr">
        <is>
          <t/>
        </is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16.0</v>
      </c>
      <c r="AE77" t="n">
        <v>0.0</v>
      </c>
      <c r="AF77" t="n">
        <v>0.0</v>
      </c>
      <c r="AG77" t="n">
        <v>0.0</v>
      </c>
      <c r="AH77" t="n">
        <v>1.0</v>
      </c>
      <c r="AI77" t="n">
        <v>0.0</v>
      </c>
      <c r="AJ77" t="n">
        <v>0.0</v>
      </c>
      <c r="AK77" t="n">
        <v>4.25</v>
      </c>
      <c r="AL77" t="inlineStr">
        <is>
          <t/>
        </is>
      </c>
    </row>
    <row r="78">
      <c r="A78" t="inlineStr">
        <is>
          <t>以为60💰很贵，结果够我一周减脂餐了！</t>
        </is>
      </c>
      <c r="B78" t="inlineStr">
        <is>
          <t>690d7e7d000000000700a650</t>
        </is>
      </c>
      <c r="C78" s="77" t="n">
        <f>HYPERLINK("https://www.xiaohongshu.com/explore/690d7e7d000000000700a650?xsec_token=TBD_zEgNllAsWvESEGX2jOc5UOMulaKQRz13FJ0B_8hhU=&amp;xsec_source=pc_trdark","https://www.xiaohongshu.com/explore/690d7e7d000000000700a650?xsec_token=TBD_zEgNllAsWvESEGX2jOc5UOMulaKQRz13FJ0B_8hhU=&amp;xsec_source=pc_trdark")</f>
        <v>0.0</v>
      </c>
      <c r="D78" t="inlineStr">
        <is>
          <t>鲜水湾甄选</t>
        </is>
      </c>
      <c r="E78" t="inlineStr">
        <is>
          <t>27401929161</t>
        </is>
      </c>
      <c r="F78" t="inlineStr">
        <is>
          <t>2025-11-07 13:07:09</t>
        </is>
      </c>
      <c r="G78" t="inlineStr">
        <is>
          <t>图文</t>
        </is>
      </c>
      <c r="H78" t="inlineStr">
        <is>
          <t>大虾基围虾王牌大虾厄瓜多尔白虾盐冻虾仁海洋大虾送礼顺丰包邮</t>
        </is>
      </c>
      <c r="I78" t="inlineStr">
        <is>
          <t>690aeb7be379430001e686ac</t>
        </is>
      </c>
      <c r="J78" t="inlineStr">
        <is>
          <t/>
        </is>
      </c>
      <c r="K78" t="n">
        <v>0.0</v>
      </c>
      <c r="L78" t="n">
        <v>0.0</v>
      </c>
      <c r="M78" t="n">
        <v>2.0</v>
      </c>
      <c r="N78" t="n">
        <v>0.125</v>
      </c>
      <c r="O78" t="n">
        <v>2.0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inlineStr">
        <is>
          <t/>
        </is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16.0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24.9375</v>
      </c>
      <c r="AL78" t="inlineStr">
        <is>
          <t/>
        </is>
      </c>
    </row>
    <row r="79">
      <c r="A79" t="inlineStr">
        <is>
          <t>试吃之后发现！这大虾性价比太高了！</t>
        </is>
      </c>
      <c r="B79" t="inlineStr">
        <is>
          <t>6912fb9000000000070381c2</t>
        </is>
      </c>
      <c r="C79" s="78" t="n">
        <f>HYPERLINK("https://www.xiaohongshu.com/explore/6912fb9000000000070381c2?xsec_token=TBnZN0DmKGIQMnPXPN25j7p69jPzcOqG277sS6kgKXBY8=&amp;xsec_source=pc_trdark","https://www.xiaohongshu.com/explore/6912fb9000000000070381c2?xsec_token=TBnZN0DmKGIQMnPXPN25j7p69jPzcOqG277sS6kgKXBY8=&amp;xsec_source=pc_trdark")</f>
        <v>0.0</v>
      </c>
      <c r="D79" t="inlineStr">
        <is>
          <t>鲜水湾甄选</t>
        </is>
      </c>
      <c r="E79" t="inlineStr">
        <is>
          <t>27401929161</t>
        </is>
      </c>
      <c r="F79" t="inlineStr">
        <is>
          <t>2025-11-11 17:02:08</t>
        </is>
      </c>
      <c r="G79" t="inlineStr">
        <is>
          <t>图文</t>
        </is>
      </c>
      <c r="H79" t="inlineStr">
        <is>
          <t>大虾基围虾王牌大虾厄瓜多尔白虾盐冻虾仁海洋大虾送礼顺丰包邮</t>
        </is>
      </c>
      <c r="I79" t="inlineStr">
        <is>
          <t>690aeb7be379430001e686ac</t>
        </is>
      </c>
      <c r="J79" t="inlineStr">
        <is>
          <t/>
        </is>
      </c>
      <c r="K79" t="n">
        <v>0.0</v>
      </c>
      <c r="L79" t="n">
        <v>0.0</v>
      </c>
      <c r="M79" t="n">
        <v>2.0</v>
      </c>
      <c r="N79" t="inlineStr">
        <is>
          <t>0.13333333333333333</t>
        </is>
      </c>
      <c r="O79" t="n">
        <v>2.0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inlineStr">
        <is>
          <t/>
        </is>
      </c>
      <c r="X79" t="n">
        <v>0.0</v>
      </c>
      <c r="Y79" t="n">
        <v>0.0</v>
      </c>
      <c r="Z79" t="n">
        <v>1.0</v>
      </c>
      <c r="AA79" t="n">
        <v>0.0</v>
      </c>
      <c r="AB79" t="n">
        <v>0.0</v>
      </c>
      <c r="AC79" t="n">
        <v>0.0</v>
      </c>
      <c r="AD79" t="n">
        <v>15.0</v>
      </c>
      <c r="AE79" t="n">
        <v>0.0</v>
      </c>
      <c r="AF79" t="n">
        <v>0.0</v>
      </c>
      <c r="AG79" t="n">
        <v>0.0</v>
      </c>
      <c r="AH79" t="n">
        <v>2.0</v>
      </c>
      <c r="AI79" t="n">
        <v>0.0</v>
      </c>
      <c r="AJ79" t="n">
        <v>0.0</v>
      </c>
      <c r="AK79" t="n">
        <v>6.133333333333334</v>
      </c>
      <c r="AL79" t="inlineStr">
        <is>
          <t/>
        </is>
      </c>
    </row>
    <row r="80">
      <c r="A80" t="inlineStr">
        <is>
          <t>我爸说：海捕大虾你早卖24一斤，早就爆单了❗️</t>
        </is>
      </c>
      <c r="B80" t="inlineStr">
        <is>
          <t>6924018a000000001f00bee4</t>
        </is>
      </c>
      <c r="C80" s="79" t="n">
        <f>HYPERLINK("https://www.xiaohongshu.com/explore/6924018a000000001f00bee4?xsec_token=TB0c3tEqPt7plwTa5OTb5KF2vD7fofgLkVLTt7KAa-wig=&amp;xsec_source=pc_trdark","https://www.xiaohongshu.com/explore/6924018a000000001f00bee4?xsec_token=TB0c3tEqPt7plwTa5OTb5KF2vD7fofgLkVLTt7KAa-wig=&amp;xsec_source=pc_trdark")</f>
        <v>0.0</v>
      </c>
      <c r="D80" t="inlineStr">
        <is>
          <t>鲜水湾</t>
        </is>
      </c>
      <c r="E80" t="inlineStr">
        <is>
          <t>49316638994</t>
        </is>
      </c>
      <c r="F80" t="inlineStr">
        <is>
          <t>2025-11-24 14:56:10</t>
        </is>
      </c>
      <c r="G80" t="inlineStr">
        <is>
          <t>图文</t>
        </is>
      </c>
      <c r="H80" t="inlineStr">
        <is>
          <t>大虾基围虾王牌大虾厄瓜多尔白虾盐冻虾仁海洋大虾送礼顺丰包邮</t>
        </is>
      </c>
      <c r="I80" t="inlineStr">
        <is>
          <t>690aeb7be379430001e686ac</t>
        </is>
      </c>
      <c r="J80" t="inlineStr">
        <is>
          <t/>
        </is>
      </c>
      <c r="K80" t="n">
        <v>0.0</v>
      </c>
      <c r="L80" t="n">
        <v>0.0</v>
      </c>
      <c r="M80" t="n">
        <v>2.0</v>
      </c>
      <c r="N80" t="inlineStr">
        <is>
          <t>0.14285714285714285</t>
        </is>
      </c>
      <c r="O80" t="n">
        <v>2.0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inlineStr">
        <is>
          <t/>
        </is>
      </c>
      <c r="X80" t="n">
        <v>0.0</v>
      </c>
      <c r="Y80" t="n">
        <v>1.0</v>
      </c>
      <c r="Z80" t="n">
        <v>0.0</v>
      </c>
      <c r="AA80" t="n">
        <v>0.0</v>
      </c>
      <c r="AB80" t="n">
        <v>0.0</v>
      </c>
      <c r="AC80" t="n">
        <v>0.0</v>
      </c>
      <c r="AD80" t="n">
        <v>14.0</v>
      </c>
      <c r="AE80" t="n">
        <v>0.0</v>
      </c>
      <c r="AF80" t="n">
        <v>0.0</v>
      </c>
      <c r="AG80" t="n">
        <v>0.0</v>
      </c>
      <c r="AH80" t="n">
        <v>2.0</v>
      </c>
      <c r="AI80" t="n">
        <v>0.0</v>
      </c>
      <c r="AJ80" t="n">
        <v>0.0</v>
      </c>
      <c r="AK80" t="n">
        <v>4.571428571428571</v>
      </c>
      <c r="AL80" t="inlineStr">
        <is>
          <t/>
        </is>
      </c>
    </row>
    <row r="81">
      <c r="A81" t="inlineStr">
        <is>
          <t>一个能撑死人，但热量很低的东西</t>
        </is>
      </c>
      <c r="B81" t="inlineStr">
        <is>
          <t>69231eff000000001e022941</t>
        </is>
      </c>
      <c r="C81" s="80" t="n">
        <f>HYPERLINK("https://www.xiaohongshu.com/explore/69231eff000000001e022941?xsec_token=TBBxL79LDzc6WqpUNHJD-EhcFqaVjs_EY-zYiTuVgkqhk=&amp;xsec_source=pc_trdark","https://www.xiaohongshu.com/explore/69231eff000000001e022941?xsec_token=TBBxL79LDzc6WqpUNHJD-EhcFqaVjs_EY-zYiTuVgkqhk=&amp;xsec_source=pc_trdark")</f>
        <v>0.0</v>
      </c>
      <c r="D81" t="inlineStr">
        <is>
          <t>鲜水湾</t>
        </is>
      </c>
      <c r="E81" t="inlineStr">
        <is>
          <t>49316638994</t>
        </is>
      </c>
      <c r="F81" t="inlineStr">
        <is>
          <t>2025-11-23 22:49:35</t>
        </is>
      </c>
      <c r="G81" t="inlineStr">
        <is>
          <t>图文</t>
        </is>
      </c>
      <c r="H81" t="inlineStr">
        <is>
          <t>大虾基围虾王牌大虾厄瓜多尔白虾盐冻虾仁海洋大虾送礼顺丰包邮</t>
        </is>
      </c>
      <c r="I81" t="inlineStr">
        <is>
          <t>690aeb7be379430001e686ac</t>
        </is>
      </c>
      <c r="J81" t="inlineStr">
        <is>
          <t/>
        </is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inlineStr">
        <is>
          <t/>
        </is>
      </c>
      <c r="R81" t="inlineStr">
        <is>
          <t/>
        </is>
      </c>
      <c r="S81" t="n">
        <v>0.0</v>
      </c>
      <c r="T81" t="n">
        <v>0.0</v>
      </c>
      <c r="U81" t="n">
        <v>0.0</v>
      </c>
      <c r="V81" t="n">
        <v>0.0</v>
      </c>
      <c r="W81" t="inlineStr">
        <is>
          <t/>
        </is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14.0</v>
      </c>
      <c r="AE81" t="n">
        <v>0.0</v>
      </c>
      <c r="AF81" t="n">
        <v>0.0</v>
      </c>
      <c r="AG81" t="n">
        <v>0.0</v>
      </c>
      <c r="AH81" t="n">
        <v>2.0</v>
      </c>
      <c r="AI81" t="n">
        <v>0.0</v>
      </c>
      <c r="AJ81" t="n">
        <v>0.0</v>
      </c>
      <c r="AK81" t="n">
        <v>4.071428571428571</v>
      </c>
      <c r="AL81" t="inlineStr">
        <is>
          <t/>
        </is>
      </c>
    </row>
    <row r="82">
      <c r="A82" t="inlineStr">
        <is>
          <t>我承认它是冷冻虾，但口感依旧吊打活虾</t>
        </is>
      </c>
      <c r="B82" t="inlineStr">
        <is>
          <t>691d3244000000001e022987</t>
        </is>
      </c>
      <c r="C82" s="81" t="n">
        <f>HYPERLINK("https://www.xiaohongshu.com/explore/691d3244000000001e022987?xsec_token=TBfJie4P5Jl9AylR95m8dPVCh6Mg80LBBLw3XEH6DNBDs=&amp;xsec_source=pc_trdark","https://www.xiaohongshu.com/explore/691d3244000000001e022987?xsec_token=TBfJie4P5Jl9AylR95m8dPVCh6Mg80LBBLw3XEH6DNBDs=&amp;xsec_source=pc_trdark")</f>
        <v>0.0</v>
      </c>
      <c r="D82" t="inlineStr">
        <is>
          <t>鲜水湾</t>
        </is>
      </c>
      <c r="E82" t="inlineStr">
        <is>
          <t>49316638994</t>
        </is>
      </c>
      <c r="F82" t="inlineStr">
        <is>
          <t>2025-11-19 10:58:12</t>
        </is>
      </c>
      <c r="G82" t="inlineStr">
        <is>
          <t>图文</t>
        </is>
      </c>
      <c r="H82" t="inlineStr">
        <is>
          <t>大虾基围虾王牌大虾厄瓜多尔白虾盐冻虾仁海洋大虾送礼顺丰包邮</t>
        </is>
      </c>
      <c r="I82" t="inlineStr">
        <is>
          <t>690aeb7be379430001e686ac</t>
        </is>
      </c>
      <c r="J82" t="inlineStr">
        <is>
          <t/>
        </is>
      </c>
      <c r="K82" t="n">
        <v>0.0</v>
      </c>
      <c r="L82" t="n">
        <v>0.0</v>
      </c>
      <c r="M82" t="n">
        <v>2.0</v>
      </c>
      <c r="N82" t="inlineStr">
        <is>
          <t>0.14285714285714285</t>
        </is>
      </c>
      <c r="O82" t="n">
        <v>2.0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inlineStr">
        <is>
          <t/>
        </is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14.0</v>
      </c>
      <c r="AE82" t="n">
        <v>0.0</v>
      </c>
      <c r="AF82" t="n">
        <v>0.0</v>
      </c>
      <c r="AG82" t="n">
        <v>0.0</v>
      </c>
      <c r="AH82" t="n">
        <v>1.0</v>
      </c>
      <c r="AI82" t="n">
        <v>0.0</v>
      </c>
      <c r="AJ82" t="n">
        <v>0.0</v>
      </c>
      <c r="AK82" t="n">
        <v>9.0</v>
      </c>
      <c r="AL82" t="inlineStr">
        <is>
          <t/>
        </is>
      </c>
    </row>
    <row r="83">
      <c r="A83" t="inlineStr">
        <is>
          <t>别再说60💰几块不经花！这购买力绝了</t>
        </is>
      </c>
      <c r="B83" t="inlineStr">
        <is>
          <t>69108c100000000005033662</t>
        </is>
      </c>
      <c r="C83" s="82" t="n">
        <f>HYPERLINK("https://www.xiaohongshu.com/explore/69108c100000000005033662?xsec_token=TBUjpd2w0LBMv9oJsd0xbTvDxNATomzkMcLkLP6lCwAbI=&amp;xsec_source=pc_trdark","https://www.xiaohongshu.com/explore/69108c100000000005033662?xsec_token=TBUjpd2w0LBMv9oJsd0xbTvDxNATomzkMcLkLP6lCwAbI=&amp;xsec_source=pc_trdark")</f>
        <v>0.0</v>
      </c>
      <c r="D83" t="inlineStr">
        <is>
          <t>鲜水湾</t>
        </is>
      </c>
      <c r="E83" t="inlineStr">
        <is>
          <t>49316638994</t>
        </is>
      </c>
      <c r="F83" t="inlineStr">
        <is>
          <t>2025-11-09 20:41:52</t>
        </is>
      </c>
      <c r="G83" t="inlineStr">
        <is>
          <t>图文</t>
        </is>
      </c>
      <c r="H83" t="inlineStr">
        <is>
          <t>大虾基围虾王牌大虾厄瓜多尔白虾盐冻虾仁海洋大虾送礼顺丰包邮</t>
        </is>
      </c>
      <c r="I83" t="inlineStr">
        <is>
          <t>690aeb7be379430001e686ac</t>
        </is>
      </c>
      <c r="J83" t="inlineStr">
        <is>
          <t/>
        </is>
      </c>
      <c r="K83" t="n">
        <v>0.0</v>
      </c>
      <c r="L83" t="n">
        <v>0.0</v>
      </c>
      <c r="M83" t="n">
        <v>2.0</v>
      </c>
      <c r="N83" t="inlineStr">
        <is>
          <t>0.14285714285714285</t>
        </is>
      </c>
      <c r="O83" t="n">
        <v>2.0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inlineStr">
        <is>
          <t/>
        </is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14.0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6.928571428571429</v>
      </c>
      <c r="AL83" t="inlineStr">
        <is>
          <t/>
        </is>
      </c>
    </row>
    <row r="84">
      <c r="A84" t="inlineStr">
        <is>
          <t>70块💰承包半月夜宵，这虾比泡面还值！</t>
        </is>
      </c>
      <c r="B84" t="inlineStr">
        <is>
          <t>690e0ba400000000040036d1</t>
        </is>
      </c>
      <c r="C84" s="83" t="n">
        <f>HYPERLINK("https://www.xiaohongshu.com/explore/690e0ba400000000040036d1?xsec_token=TBJajQDaP2lymAuuRX7yQPUY3VOC-tszq6XPdiMtwpfcs=&amp;xsec_source=pc_trdark","https://www.xiaohongshu.com/explore/690e0ba400000000040036d1?xsec_token=TBJajQDaP2lymAuuRX7yQPUY3VOC-tszq6XPdiMtwpfcs=&amp;xsec_source=pc_trdark")</f>
        <v>0.0</v>
      </c>
      <c r="D84" t="inlineStr">
        <is>
          <t>鲜水湾</t>
        </is>
      </c>
      <c r="E84" t="inlineStr">
        <is>
          <t>49316638994</t>
        </is>
      </c>
      <c r="F84" t="inlineStr">
        <is>
          <t>2025-11-07 23:09:24</t>
        </is>
      </c>
      <c r="G84" t="inlineStr">
        <is>
          <t>图文</t>
        </is>
      </c>
      <c r="H84" t="inlineStr">
        <is>
          <t>大虾基围虾王牌大虾厄瓜多尔白虾盐冻虾仁海洋大虾送礼顺丰包邮</t>
        </is>
      </c>
      <c r="I84" t="inlineStr">
        <is>
          <t>690aeb7be379430001e686ac</t>
        </is>
      </c>
      <c r="J84" t="inlineStr">
        <is>
          <t/>
        </is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inlineStr">
        <is>
          <t/>
        </is>
      </c>
      <c r="R84" t="inlineStr">
        <is>
          <t/>
        </is>
      </c>
      <c r="S84" t="n">
        <v>0.0</v>
      </c>
      <c r="T84" t="n">
        <v>0.0</v>
      </c>
      <c r="U84" t="n">
        <v>0.0</v>
      </c>
      <c r="V84" t="n">
        <v>0.0</v>
      </c>
      <c r="W84" t="inlineStr">
        <is>
          <t/>
        </is>
      </c>
      <c r="X84" t="n">
        <v>0.0</v>
      </c>
      <c r="Y84" t="n">
        <v>0.0</v>
      </c>
      <c r="Z84" t="n">
        <v>6.0</v>
      </c>
      <c r="AA84" t="n">
        <v>0.0</v>
      </c>
      <c r="AB84" t="n">
        <v>0.0</v>
      </c>
      <c r="AC84" t="n">
        <v>0.0</v>
      </c>
      <c r="AD84" t="n">
        <v>14.0</v>
      </c>
      <c r="AE84" t="n">
        <v>1.0</v>
      </c>
      <c r="AF84" t="n">
        <v>0.0</v>
      </c>
      <c r="AG84" t="n">
        <v>0.0</v>
      </c>
      <c r="AH84" t="n">
        <v>2.0</v>
      </c>
      <c r="AI84" t="n">
        <v>0.0</v>
      </c>
      <c r="AJ84" t="n">
        <v>0.0</v>
      </c>
      <c r="AK84" t="n">
        <v>3.5</v>
      </c>
      <c r="AL84" t="inlineStr">
        <is>
          <t/>
        </is>
      </c>
    </row>
    <row r="85">
      <c r="A85" t="inlineStr">
        <is>
          <t>60多块的购买力解决打工人十天的优质蛋白</t>
        </is>
      </c>
      <c r="B85" t="inlineStr">
        <is>
          <t>690f64e500000000040016dd</t>
        </is>
      </c>
      <c r="C85" s="84" t="n">
        <f>HYPERLINK("https://www.xiaohongshu.com/explore/690f64e500000000040016dd?xsec_token=TBl1ZK_PAsBDZJiqFwt7hIYd0XsoKhBXGAE0V7Cj8yyHU=&amp;xsec_source=pc_trdark","https://www.xiaohongshu.com/explore/690f64e500000000040016dd?xsec_token=TBl1ZK_PAsBDZJiqFwt7hIYd0XsoKhBXGAE0V7Cj8yyHU=&amp;xsec_source=pc_trdark")</f>
        <v>0.0</v>
      </c>
      <c r="D85" t="inlineStr">
        <is>
          <t>鲜水湾</t>
        </is>
      </c>
      <c r="E85" t="inlineStr">
        <is>
          <t>49316638994</t>
        </is>
      </c>
      <c r="F85" t="inlineStr">
        <is>
          <t>2025-11-08 23:42:29</t>
        </is>
      </c>
      <c r="G85" t="inlineStr">
        <is>
          <t>图文</t>
        </is>
      </c>
      <c r="H85" t="inlineStr">
        <is>
          <t>大虾基围虾王牌大虾厄瓜多尔白虾盐冻虾仁海洋大虾送礼顺丰包邮</t>
        </is>
      </c>
      <c r="I85" t="inlineStr">
        <is>
          <t>690aeb7be379430001e686ac</t>
        </is>
      </c>
      <c r="J85" t="inlineStr">
        <is>
          <t/>
        </is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inlineStr">
        <is>
          <t/>
        </is>
      </c>
      <c r="R85" t="inlineStr">
        <is>
          <t/>
        </is>
      </c>
      <c r="S85" t="n">
        <v>0.0</v>
      </c>
      <c r="T85" t="n">
        <v>0.0</v>
      </c>
      <c r="U85" t="n">
        <v>0.0</v>
      </c>
      <c r="V85" t="n">
        <v>0.0</v>
      </c>
      <c r="W85" t="inlineStr">
        <is>
          <t/>
        </is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12.0</v>
      </c>
      <c r="AE85" t="n">
        <v>0.0</v>
      </c>
      <c r="AF85" t="n">
        <v>0.0</v>
      </c>
      <c r="AG85" t="n">
        <v>0.0</v>
      </c>
      <c r="AH85" t="n">
        <v>2.0</v>
      </c>
      <c r="AI85" t="n">
        <v>0.0</v>
      </c>
      <c r="AJ85" t="n">
        <v>0.0</v>
      </c>
      <c r="AK85" t="n">
        <v>10.25</v>
      </c>
      <c r="AL85" t="inlineStr">
        <is>
          <t/>
        </is>
      </c>
    </row>
    <row r="86">
      <c r="A86" t="inlineStr">
        <is>
          <t>误以为很贵，实际80块够吃一周的大虾</t>
        </is>
      </c>
      <c r="B86" t="inlineStr">
        <is>
          <t>692c173c000000001e0263ff</t>
        </is>
      </c>
      <c r="C86" s="85" t="n">
        <f>HYPERLINK("https://www.xiaohongshu.com/explore/692c173c000000001e0263ff?xsec_token=TBH8WU3GpU8LFNJoNsVUYXEq2iwAL-tVREG-1oFvuX0eQ=&amp;xsec_source=pc_trdark","https://www.xiaohongshu.com/explore/692c173c000000001e0263ff?xsec_token=TBH8WU3GpU8LFNJoNsVUYXEq2iwAL-tVREG-1oFvuX0eQ=&amp;xsec_source=pc_trdark")</f>
        <v>0.0</v>
      </c>
      <c r="D86" t="inlineStr">
        <is>
          <t>鲜水湾</t>
        </is>
      </c>
      <c r="E86" t="inlineStr">
        <is>
          <t>49316638994</t>
        </is>
      </c>
      <c r="F86" t="inlineStr">
        <is>
          <t>2025-11-30 18:06:52</t>
        </is>
      </c>
      <c r="G86" t="inlineStr">
        <is>
          <t>图文</t>
        </is>
      </c>
      <c r="H86" t="inlineStr">
        <is>
          <t>大虾基围虾王牌大虾厄瓜多尔白虾盐冻虾仁海洋大虾送礼顺丰包邮</t>
        </is>
      </c>
      <c r="I86" t="inlineStr">
        <is>
          <t>690aeb7be379430001e686ac</t>
        </is>
      </c>
      <c r="J86" t="inlineStr">
        <is>
          <t/>
        </is>
      </c>
      <c r="K86" t="n">
        <v>0.0</v>
      </c>
      <c r="L86" t="n">
        <v>0.0</v>
      </c>
      <c r="M86" t="n">
        <v>4.0</v>
      </c>
      <c r="N86" t="inlineStr">
        <is>
          <t>0.36363636363636365</t>
        </is>
      </c>
      <c r="O86" t="n">
        <v>3.0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inlineStr">
        <is>
          <t/>
        </is>
      </c>
      <c r="X86" t="n">
        <v>0.0</v>
      </c>
      <c r="Y86" t="n">
        <v>0.0</v>
      </c>
      <c r="Z86" t="n">
        <v>3.0</v>
      </c>
      <c r="AA86" t="n">
        <v>0.0</v>
      </c>
      <c r="AB86" t="n">
        <v>0.0</v>
      </c>
      <c r="AC86" t="n">
        <v>0.0</v>
      </c>
      <c r="AD86" t="n">
        <v>11.0</v>
      </c>
      <c r="AE86" t="n">
        <v>0.0</v>
      </c>
      <c r="AF86" t="n">
        <v>0.0</v>
      </c>
      <c r="AG86" t="n">
        <v>0.0</v>
      </c>
      <c r="AH86" t="n">
        <v>2.0</v>
      </c>
      <c r="AI86" t="n">
        <v>0.0</v>
      </c>
      <c r="AJ86" t="n">
        <v>0.0</v>
      </c>
      <c r="AK86" t="n">
        <v>10.090909090909092</v>
      </c>
      <c r="AL86" t="inlineStr">
        <is>
          <t/>
        </is>
      </c>
    </row>
    <row r="87">
      <c r="A87" t="inlineStr">
        <is>
          <t>向全世界安利我减脂期经常回购的大虾</t>
        </is>
      </c>
      <c r="B87" t="inlineStr">
        <is>
          <t>6925c1a9000000001e03b8a8</t>
        </is>
      </c>
      <c r="C87" s="86" t="n">
        <f>HYPERLINK("https://www.xiaohongshu.com/explore/6925c1a9000000001e03b8a8?xsec_token=TBVx22ZAFho_bBgysCIliGP5d16euiK77zamCeAqMcuTg=&amp;xsec_source=pc_trdark","https://www.xiaohongshu.com/explore/6925c1a9000000001e03b8a8?xsec_token=TBVx22ZAFho_bBgysCIliGP5d16euiK77zamCeAqMcuTg=&amp;xsec_source=pc_trdark")</f>
        <v>0.0</v>
      </c>
      <c r="D87" t="inlineStr">
        <is>
          <t>鲜水湾</t>
        </is>
      </c>
      <c r="E87" t="inlineStr">
        <is>
          <t>49316638994</t>
        </is>
      </c>
      <c r="F87" t="inlineStr">
        <is>
          <t>2025-11-25 22:48:09</t>
        </is>
      </c>
      <c r="G87" t="inlineStr">
        <is>
          <t>图文</t>
        </is>
      </c>
      <c r="H87" t="inlineStr">
        <is>
          <t>大虾基围虾王牌大虾厄瓜多尔白虾盐冻虾仁海洋大虾送礼顺丰包邮</t>
        </is>
      </c>
      <c r="I87" t="inlineStr">
        <is>
          <t>690aeb7be379430001e686ac</t>
        </is>
      </c>
      <c r="J87" t="inlineStr">
        <is>
          <t/>
        </is>
      </c>
      <c r="K87" t="n">
        <v>0.0</v>
      </c>
      <c r="L87" t="n">
        <v>0.0</v>
      </c>
      <c r="M87" t="n">
        <v>2.0</v>
      </c>
      <c r="N87" t="inlineStr">
        <is>
          <t>0.18181818181818182</t>
        </is>
      </c>
      <c r="O87" t="n">
        <v>2.0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inlineStr">
        <is>
          <t/>
        </is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11.0</v>
      </c>
      <c r="AE87" t="n">
        <v>0.0</v>
      </c>
      <c r="AF87" t="n">
        <v>0.0</v>
      </c>
      <c r="AG87" t="n">
        <v>0.0</v>
      </c>
      <c r="AH87" t="n">
        <v>2.0</v>
      </c>
      <c r="AI87" t="n">
        <v>0.0</v>
      </c>
      <c r="AJ87" t="n">
        <v>0.0</v>
      </c>
      <c r="AK87" t="n">
        <v>3.5454545454545454</v>
      </c>
      <c r="AL87" t="inlineStr">
        <is>
          <t/>
        </is>
      </c>
    </row>
    <row r="88">
      <c r="A88" t="inlineStr">
        <is>
          <t>我也不想买呀！可是69.9到手3斤大虾</t>
        </is>
      </c>
      <c r="B88" t="inlineStr">
        <is>
          <t>6922b439000000001f00ac21</t>
        </is>
      </c>
      <c r="C88" s="87" t="n">
        <f>HYPERLINK("https://www.xiaohongshu.com/explore/6922b439000000001f00ac21?xsec_token=TBE5pHIrkzq8Q5V7PHhpUNB7O-q2p2v632ElZ9GF1hITk=&amp;xsec_source=pc_trdark","https://www.xiaohongshu.com/explore/6922b439000000001f00ac21?xsec_token=TBE5pHIrkzq8Q5V7PHhpUNB7O-q2p2v632ElZ9GF1hITk=&amp;xsec_source=pc_trdark")</f>
        <v>0.0</v>
      </c>
      <c r="D88" t="inlineStr">
        <is>
          <t>鲜水湾</t>
        </is>
      </c>
      <c r="E88" t="inlineStr">
        <is>
          <t>49316638994</t>
        </is>
      </c>
      <c r="F88" t="inlineStr">
        <is>
          <t>2025-11-23 15:14:01</t>
        </is>
      </c>
      <c r="G88" t="inlineStr">
        <is>
          <t>图文</t>
        </is>
      </c>
      <c r="H88" t="inlineStr">
        <is>
          <t>大虾基围虾王牌大虾厄瓜多尔白虾盐冻虾仁海洋大虾送礼顺丰包邮</t>
        </is>
      </c>
      <c r="I88" t="inlineStr">
        <is>
          <t>690aeb7be379430001e686ac</t>
        </is>
      </c>
      <c r="J88" t="inlineStr">
        <is>
          <t/>
        </is>
      </c>
      <c r="K88" t="n">
        <v>0.0</v>
      </c>
      <c r="L88" t="n">
        <v>0.0</v>
      </c>
      <c r="M88" t="n">
        <v>3.0</v>
      </c>
      <c r="N88" t="n">
        <v>0.2727272727272727</v>
      </c>
      <c r="O88" t="n">
        <v>3.0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inlineStr">
        <is>
          <t/>
        </is>
      </c>
      <c r="X88" t="n">
        <v>0.0</v>
      </c>
      <c r="Y88" t="n">
        <v>1.0</v>
      </c>
      <c r="Z88" t="n">
        <v>0.0</v>
      </c>
      <c r="AA88" t="n">
        <v>0.0</v>
      </c>
      <c r="AB88" t="n">
        <v>0.0</v>
      </c>
      <c r="AC88" t="n">
        <v>0.0</v>
      </c>
      <c r="AD88" t="n">
        <v>11.0</v>
      </c>
      <c r="AE88" t="n">
        <v>1.0</v>
      </c>
      <c r="AF88" t="n">
        <v>0.0</v>
      </c>
      <c r="AG88" t="n">
        <v>0.0</v>
      </c>
      <c r="AH88" t="n">
        <v>2.0</v>
      </c>
      <c r="AI88" t="n">
        <v>0.0</v>
      </c>
      <c r="AJ88" t="n">
        <v>0.0</v>
      </c>
      <c r="AK88" t="n">
        <v>6.818181818181818</v>
      </c>
      <c r="AL88" t="inlineStr">
        <is>
          <t/>
        </is>
      </c>
    </row>
    <row r="89">
      <c r="A89" t="inlineStr">
        <is>
          <t>吃完一箱接着一箱！边吃边叟的快乐谁懂！</t>
        </is>
      </c>
      <c r="B89" t="inlineStr">
        <is>
          <t>691d8a01000000001f00e76d</t>
        </is>
      </c>
      <c r="C89" s="88" t="n">
        <f>HYPERLINK("https://www.xiaohongshu.com/explore/691d8a01000000001f00e76d?xsec_token=TBfJie4P5Jl9AylR95m8dPVGAoGaCz8bdb17x6g-MVeIE=&amp;xsec_source=pc_trdark","https://www.xiaohongshu.com/explore/691d8a01000000001f00e76d?xsec_token=TBfJie4P5Jl9AylR95m8dPVGAoGaCz8bdb17x6g-MVeIE=&amp;xsec_source=pc_trdark")</f>
        <v>0.0</v>
      </c>
      <c r="D89" t="inlineStr">
        <is>
          <t>鲜水湾</t>
        </is>
      </c>
      <c r="E89" t="inlineStr">
        <is>
          <t>49316638994</t>
        </is>
      </c>
      <c r="F89" t="inlineStr">
        <is>
          <t>2025-11-19 17:12:33</t>
        </is>
      </c>
      <c r="G89" t="inlineStr">
        <is>
          <t>图文</t>
        </is>
      </c>
      <c r="H89" t="inlineStr">
        <is>
          <t>大虾基围虾王牌大虾厄瓜多尔白虾盐冻虾仁海洋大虾送礼顺丰包邮</t>
        </is>
      </c>
      <c r="I89" t="inlineStr">
        <is>
          <t>690aeb7be379430001e686ac</t>
        </is>
      </c>
      <c r="J89" t="inlineStr">
        <is>
          <t/>
        </is>
      </c>
      <c r="K89" t="n">
        <v>0.0</v>
      </c>
      <c r="L89" t="n">
        <v>0.0</v>
      </c>
      <c r="M89" t="n">
        <v>2.0</v>
      </c>
      <c r="N89" t="inlineStr">
        <is>
          <t>0.18181818181818182</t>
        </is>
      </c>
      <c r="O89" t="n">
        <v>2.0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inlineStr">
        <is>
          <t/>
        </is>
      </c>
      <c r="X89" t="n">
        <v>0.0</v>
      </c>
      <c r="Y89" t="n">
        <v>0.0</v>
      </c>
      <c r="Z89" t="n">
        <v>1.0</v>
      </c>
      <c r="AA89" t="n">
        <v>0.0</v>
      </c>
      <c r="AB89" t="n">
        <v>0.0</v>
      </c>
      <c r="AC89" t="n">
        <v>0.0</v>
      </c>
      <c r="AD89" t="n">
        <v>11.0</v>
      </c>
      <c r="AE89" t="n">
        <v>0.0</v>
      </c>
      <c r="AF89" t="n">
        <v>0.0</v>
      </c>
      <c r="AG89" t="n">
        <v>0.0</v>
      </c>
      <c r="AH89" t="n">
        <v>2.0</v>
      </c>
      <c r="AI89" t="n">
        <v>0.0</v>
      </c>
      <c r="AJ89" t="n">
        <v>0.0</v>
      </c>
      <c r="AK89" t="n">
        <v>9.090909090909092</v>
      </c>
      <c r="AL89" t="inlineStr">
        <is>
          <t/>
        </is>
      </c>
    </row>
    <row r="90">
      <c r="A90" t="inlineStr">
        <is>
          <t>连不爱网购的老妈都催我囤大虾！</t>
        </is>
      </c>
      <c r="B90" t="inlineStr">
        <is>
          <t>691837c30000000004017464</t>
        </is>
      </c>
      <c r="C90" s="89" t="n">
        <f>HYPERLINK("https://www.xiaohongshu.com/explore/691837c30000000004017464?xsec_token=TB2jG8LClQLNxZisl2ii_FqJK3qqI7shX4ABma525rQKY=&amp;xsec_source=pc_trdark","https://www.xiaohongshu.com/explore/691837c30000000004017464?xsec_token=TB2jG8LClQLNxZisl2ii_FqJK3qqI7shX4ABma525rQKY=&amp;xsec_source=pc_trdark")</f>
        <v>0.0</v>
      </c>
      <c r="D90" t="inlineStr">
        <is>
          <t>鲜水湾</t>
        </is>
      </c>
      <c r="E90" t="inlineStr">
        <is>
          <t>49316638994</t>
        </is>
      </c>
      <c r="F90" t="inlineStr">
        <is>
          <t>2025-11-15 16:20:19</t>
        </is>
      </c>
      <c r="G90" t="inlineStr">
        <is>
          <t>图文</t>
        </is>
      </c>
      <c r="H90" t="inlineStr">
        <is>
          <t>大虾基围虾王牌大虾厄瓜多尔白虾盐冻虾仁海洋大虾送礼顺丰包邮</t>
        </is>
      </c>
      <c r="I90" t="inlineStr">
        <is>
          <t>690aeb7be379430001e686ac</t>
        </is>
      </c>
      <c r="J90" t="inlineStr">
        <is>
          <t/>
        </is>
      </c>
      <c r="K90" t="n">
        <v>0.0</v>
      </c>
      <c r="L90" t="n">
        <v>0.0</v>
      </c>
      <c r="M90" t="n">
        <v>2.0</v>
      </c>
      <c r="N90" t="inlineStr">
        <is>
          <t>0.18181818181818182</t>
        </is>
      </c>
      <c r="O90" t="n">
        <v>1.0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inlineStr">
        <is>
          <t/>
        </is>
      </c>
      <c r="X90" t="n">
        <v>0.0</v>
      </c>
      <c r="Y90" t="n">
        <v>0.0</v>
      </c>
      <c r="Z90" t="n">
        <v>3.0</v>
      </c>
      <c r="AA90" t="n">
        <v>0.0</v>
      </c>
      <c r="AB90" t="n">
        <v>0.0</v>
      </c>
      <c r="AC90" t="n">
        <v>0.0</v>
      </c>
      <c r="AD90" t="n">
        <v>11.0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4.363636363636363</v>
      </c>
      <c r="AL90" t="inlineStr">
        <is>
          <t/>
        </is>
      </c>
    </row>
    <row r="91">
      <c r="A91" t="inlineStr">
        <is>
          <t>告别练后饿到暴食！健身女的蛋白补给已就位</t>
        </is>
      </c>
      <c r="B91" t="inlineStr">
        <is>
          <t>6923ca43000000001e030372</t>
        </is>
      </c>
      <c r="C91" s="90" t="n">
        <f>HYPERLINK("https://www.xiaohongshu.com/explore/6923ca43000000001e030372?xsec_token=TBBxL79LDzc6WqpUNHJD-EhYIDIzUaSiYBZdOzWcv8EHY=&amp;xsec_source=pc_trdark","https://www.xiaohongshu.com/explore/6923ca43000000001e030372?xsec_token=TBBxL79LDzc6WqpUNHJD-EhYIDIzUaSiYBZdOzWcv8EHY=&amp;xsec_source=pc_trdark")</f>
        <v>0.0</v>
      </c>
      <c r="D91" t="inlineStr">
        <is>
          <t>鲜水湾</t>
        </is>
      </c>
      <c r="E91" t="inlineStr">
        <is>
          <t>49316638994</t>
        </is>
      </c>
      <c r="F91" t="inlineStr">
        <is>
          <t>2025-11-24 11:00:19</t>
        </is>
      </c>
      <c r="G91" t="inlineStr">
        <is>
          <t>图文</t>
        </is>
      </c>
      <c r="H91" t="inlineStr">
        <is>
          <t>大虾基围虾王牌大虾厄瓜多尔白虾盐冻虾仁海洋大虾送礼顺丰包邮</t>
        </is>
      </c>
      <c r="I91" t="inlineStr">
        <is>
          <t>690aeb7be379430001e686ac</t>
        </is>
      </c>
      <c r="J91" t="inlineStr">
        <is>
          <t/>
        </is>
      </c>
      <c r="K91" t="n">
        <v>0.0</v>
      </c>
      <c r="L91" t="n">
        <v>0.0</v>
      </c>
      <c r="M91" t="n">
        <v>2.0</v>
      </c>
      <c r="N91" t="n">
        <v>0.2</v>
      </c>
      <c r="O91" t="n">
        <v>2.0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inlineStr">
        <is>
          <t/>
        </is>
      </c>
      <c r="X91" t="n">
        <v>0.0</v>
      </c>
      <c r="Y91" t="n">
        <v>1.0</v>
      </c>
      <c r="Z91" t="n">
        <v>0.0</v>
      </c>
      <c r="AA91" t="n">
        <v>0.0</v>
      </c>
      <c r="AB91" t="n">
        <v>0.0</v>
      </c>
      <c r="AC91" t="n">
        <v>0.0</v>
      </c>
      <c r="AD91" t="n">
        <v>10.0</v>
      </c>
      <c r="AE91" t="n">
        <v>0.0</v>
      </c>
      <c r="AF91" t="n">
        <v>0.0</v>
      </c>
      <c r="AG91" t="n">
        <v>0.0</v>
      </c>
      <c r="AH91" t="n">
        <v>2.0</v>
      </c>
      <c r="AI91" t="n">
        <v>0.0</v>
      </c>
      <c r="AJ91" t="n">
        <v>0.0</v>
      </c>
      <c r="AK91" t="n">
        <v>9.2</v>
      </c>
      <c r="AL91" t="inlineStr">
        <is>
          <t/>
        </is>
      </c>
    </row>
    <row r="92">
      <c r="A92" t="inlineStr">
        <is>
          <t>70块承包半月夜宵！这虾比泡面还值😭</t>
        </is>
      </c>
      <c r="B92" t="inlineStr">
        <is>
          <t>6920750f000000001f00bac4</t>
        </is>
      </c>
      <c r="C92" s="91" t="n">
        <f>HYPERLINK("https://www.xiaohongshu.com/explore/6920750f000000001f00bac4?xsec_token=TBcFPi-sXQaNHkCFFlo4RRGUWWKBNJpCXMFlBfgp8VVvE=&amp;xsec_source=pc_trdark","https://www.xiaohongshu.com/explore/6920750f000000001f00bac4?xsec_token=TBcFPi-sXQaNHkCFFlo4RRGUWWKBNJpCXMFlBfgp8VVvE=&amp;xsec_source=pc_trdark")</f>
        <v>0.0</v>
      </c>
      <c r="D92" t="inlineStr">
        <is>
          <t>鲜水湾</t>
        </is>
      </c>
      <c r="E92" t="inlineStr">
        <is>
          <t>49316638994</t>
        </is>
      </c>
      <c r="F92" t="inlineStr">
        <is>
          <t>2025-11-21 22:19:59</t>
        </is>
      </c>
      <c r="G92" t="inlineStr">
        <is>
          <t>图文</t>
        </is>
      </c>
      <c r="H92" t="inlineStr">
        <is>
          <t>大虾基围虾王牌大虾厄瓜多尔白虾盐冻虾仁海洋大虾送礼顺丰包邮</t>
        </is>
      </c>
      <c r="I92" t="inlineStr">
        <is>
          <t>690aeb7be379430001e686ac</t>
        </is>
      </c>
      <c r="J92" t="inlineStr">
        <is>
          <t/>
        </is>
      </c>
      <c r="K92" t="n">
        <v>0.0</v>
      </c>
      <c r="L92" t="n">
        <v>0.0</v>
      </c>
      <c r="M92" t="n">
        <v>2.0</v>
      </c>
      <c r="N92" t="n">
        <v>0.2</v>
      </c>
      <c r="O92" t="n">
        <v>1.0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inlineStr">
        <is>
          <t/>
        </is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10.0</v>
      </c>
      <c r="AE92" t="n">
        <v>0.0</v>
      </c>
      <c r="AF92" t="n">
        <v>0.0</v>
      </c>
      <c r="AG92" t="n">
        <v>0.0</v>
      </c>
      <c r="AH92" t="n">
        <v>3.0</v>
      </c>
      <c r="AI92" t="n">
        <v>0.0</v>
      </c>
      <c r="AJ92" t="n">
        <v>0.0</v>
      </c>
      <c r="AK92" t="n">
        <v>5.2</v>
      </c>
      <c r="AL92" t="inlineStr">
        <is>
          <t/>
        </is>
      </c>
    </row>
    <row r="93">
      <c r="A93" t="inlineStr">
        <is>
          <t>真心建议身材管理期的姐妹试试我家的大虾</t>
        </is>
      </c>
      <c r="B93" t="inlineStr">
        <is>
          <t>69115c820000000004013603</t>
        </is>
      </c>
      <c r="C93" s="92" t="n">
        <f>HYPERLINK("https://www.xiaohongshu.com/explore/69115c820000000004013603?xsec_token=TBrsrV1jnhRUA39f7gREfx-CYy7YvpUJRJgs-N3LJGr5A=&amp;xsec_source=pc_trdark","https://www.xiaohongshu.com/explore/69115c820000000004013603?xsec_token=TBrsrV1jnhRUA39f7gREfx-CYy7YvpUJRJgs-N3LJGr5A=&amp;xsec_source=pc_trdark")</f>
        <v>0.0</v>
      </c>
      <c r="D93" t="inlineStr">
        <is>
          <t>鲜水湾</t>
        </is>
      </c>
      <c r="E93" t="inlineStr">
        <is>
          <t>49316638994</t>
        </is>
      </c>
      <c r="F93" t="inlineStr">
        <is>
          <t>2025-11-10 11:31:14</t>
        </is>
      </c>
      <c r="G93" t="inlineStr">
        <is>
          <t>图文</t>
        </is>
      </c>
      <c r="H93" t="inlineStr">
        <is>
          <t>大虾基围虾王牌大虾厄瓜多尔白虾盐冻虾仁海洋大虾送礼顺丰包邮</t>
        </is>
      </c>
      <c r="I93" t="inlineStr">
        <is>
          <t>690aeb7be379430001e686ac</t>
        </is>
      </c>
      <c r="J93" t="inlineStr">
        <is>
          <t/>
        </is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inlineStr">
        <is>
          <t/>
        </is>
      </c>
      <c r="R93" t="inlineStr">
        <is>
          <t/>
        </is>
      </c>
      <c r="S93" t="n">
        <v>0.0</v>
      </c>
      <c r="T93" t="n">
        <v>0.0</v>
      </c>
      <c r="U93" t="n">
        <v>0.0</v>
      </c>
      <c r="V93" t="n">
        <v>0.0</v>
      </c>
      <c r="W93" t="inlineStr">
        <is>
          <t/>
        </is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10.0</v>
      </c>
      <c r="AE93" t="n">
        <v>1.0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5.2</v>
      </c>
      <c r="AL93" t="inlineStr">
        <is>
          <t/>
        </is>
      </c>
    </row>
    <row r="94">
      <c r="A94" t="inlineStr">
        <is>
          <t>女孩们！真别小瞧这70块💰的威力</t>
        </is>
      </c>
      <c r="B94" t="inlineStr">
        <is>
          <t>692beb46000000001e021366</t>
        </is>
      </c>
      <c r="C94" s="93" t="n">
        <f>HYPERLINK("https://www.xiaohongshu.com/explore/692beb46000000001e021366?xsec_token=TBUOFn-dFmGFNcsP81XucxO926N8Yk-ONCECYkkO9-u5c=&amp;xsec_source=pc_trdark","https://www.xiaohongshu.com/explore/692beb46000000001e021366?xsec_token=TBUOFn-dFmGFNcsP81XucxO926N8Yk-ONCECYkkO9-u5c=&amp;xsec_source=pc_trdark")</f>
        <v>0.0</v>
      </c>
      <c r="D94" t="inlineStr">
        <is>
          <t>鲜水湾</t>
        </is>
      </c>
      <c r="E94" t="inlineStr">
        <is>
          <t>49316638994</t>
        </is>
      </c>
      <c r="F94" t="inlineStr">
        <is>
          <t>2025-11-30 14:59:18</t>
        </is>
      </c>
      <c r="G94" t="inlineStr">
        <is>
          <t>图文</t>
        </is>
      </c>
      <c r="H94" t="inlineStr">
        <is>
          <t>大虾基围虾王牌大虾厄瓜多尔白虾盐冻虾仁海洋大虾送礼顺丰包邮</t>
        </is>
      </c>
      <c r="I94" t="inlineStr">
        <is>
          <t>690aeb7be379430001e686ac</t>
        </is>
      </c>
      <c r="J94" t="inlineStr">
        <is>
          <t/>
        </is>
      </c>
      <c r="K94" t="n">
        <v>0.0</v>
      </c>
      <c r="L94" t="n">
        <v>0.0</v>
      </c>
      <c r="M94" t="n">
        <v>2.0</v>
      </c>
      <c r="N94" t="n">
        <v>0.2222222222222222</v>
      </c>
      <c r="O94" t="n">
        <v>2.0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inlineStr">
        <is>
          <t/>
        </is>
      </c>
      <c r="X94" t="n">
        <v>0.0</v>
      </c>
      <c r="Y94" t="n">
        <v>0.0</v>
      </c>
      <c r="Z94" t="n">
        <v>1.0</v>
      </c>
      <c r="AA94" t="n">
        <v>0.0</v>
      </c>
      <c r="AB94" t="n">
        <v>0.0</v>
      </c>
      <c r="AC94" t="n">
        <v>0.0</v>
      </c>
      <c r="AD94" t="n">
        <v>9.0</v>
      </c>
      <c r="AE94" t="n">
        <v>0.0</v>
      </c>
      <c r="AF94" t="n">
        <v>0.0</v>
      </c>
      <c r="AG94" t="n">
        <v>0.0</v>
      </c>
      <c r="AH94" t="n">
        <v>2.0</v>
      </c>
      <c r="AI94" t="n">
        <v>0.0</v>
      </c>
      <c r="AJ94" t="n">
        <v>0.0</v>
      </c>
      <c r="AK94" t="n">
        <v>7.555555555555555</v>
      </c>
      <c r="AL94" t="inlineStr">
        <is>
          <t/>
        </is>
      </c>
    </row>
    <row r="95">
      <c r="A95" t="inlineStr">
        <is>
          <t>一周回购2/3次，老公让我多囤点</t>
        </is>
      </c>
      <c r="B95" t="inlineStr">
        <is>
          <t>691c87a3000000001e02bcd0</t>
        </is>
      </c>
      <c r="C95" s="94" t="n">
        <f>HYPERLINK("https://www.xiaohongshu.com/explore/691c87a3000000001e02bcd0?xsec_token=TBIS8v-01Optb7rxCGgHk_CX8MEj4lfHt9FklCXsLSsoA=&amp;xsec_source=pc_trdark","https://www.xiaohongshu.com/explore/691c87a3000000001e02bcd0?xsec_token=TBIS8v-01Optb7rxCGgHk_CX8MEj4lfHt9FklCXsLSsoA=&amp;xsec_source=pc_trdark")</f>
        <v>0.0</v>
      </c>
      <c r="D95" t="inlineStr">
        <is>
          <t>鲜水湾</t>
        </is>
      </c>
      <c r="E95" t="inlineStr">
        <is>
          <t>49316638994</t>
        </is>
      </c>
      <c r="F95" t="inlineStr">
        <is>
          <t>2025-11-18 22:50:11</t>
        </is>
      </c>
      <c r="G95" t="inlineStr">
        <is>
          <t>图文</t>
        </is>
      </c>
      <c r="H95" t="inlineStr">
        <is>
          <t>虾仁冷冻虾仁去虾线新鲜速冻海鲜顺丰包邮</t>
        </is>
      </c>
      <c r="I95" t="inlineStr">
        <is>
          <t>691147a442726100013c7289</t>
        </is>
      </c>
      <c r="J95" t="inlineStr">
        <is>
          <t/>
        </is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inlineStr">
        <is>
          <t/>
        </is>
      </c>
      <c r="R95" t="inlineStr">
        <is>
          <t/>
        </is>
      </c>
      <c r="S95" t="n">
        <v>0.0</v>
      </c>
      <c r="T95" t="n">
        <v>0.0</v>
      </c>
      <c r="U95" t="n">
        <v>0.0</v>
      </c>
      <c r="V95" t="n">
        <v>0.0</v>
      </c>
      <c r="W95" t="inlineStr">
        <is>
          <t/>
        </is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8.0</v>
      </c>
      <c r="AE95" t="n">
        <v>0.0</v>
      </c>
      <c r="AF95" t="n">
        <v>0.0</v>
      </c>
      <c r="AG95" t="n">
        <v>0.0</v>
      </c>
      <c r="AH95" t="n">
        <v>3.0</v>
      </c>
      <c r="AI95" t="n">
        <v>0.0</v>
      </c>
      <c r="AJ95" t="n">
        <v>0.0</v>
      </c>
      <c r="AK95" t="n">
        <v>5.125</v>
      </c>
      <c r="AL95" t="inlineStr">
        <is>
          <t/>
        </is>
      </c>
    </row>
    <row r="96">
      <c r="A96" t="inlineStr">
        <is>
          <t>不愧是10w网友认证过的减重餐？？太绝了‼️</t>
        </is>
      </c>
      <c r="B96" t="inlineStr">
        <is>
          <t>691a8ff8000000000402b2b6</t>
        </is>
      </c>
      <c r="C96" s="95" t="n">
        <f>HYPERLINK("https://www.xiaohongshu.com/explore/691a8ff8000000000402b2b6?xsec_token=TB7_xX17zVvyJQL8hbcdzoIKGb5aaUt1KEEMh2gAbuHz0=&amp;xsec_source=pc_trdark","https://www.xiaohongshu.com/explore/691a8ff8000000000402b2b6?xsec_token=TB7_xX17zVvyJQL8hbcdzoIKGb5aaUt1KEEMh2gAbuHz0=&amp;xsec_source=pc_trdark")</f>
        <v>0.0</v>
      </c>
      <c r="D96" t="inlineStr">
        <is>
          <t>鲜水湾</t>
        </is>
      </c>
      <c r="E96" t="inlineStr">
        <is>
          <t>49316638994</t>
        </is>
      </c>
      <c r="F96" t="inlineStr">
        <is>
          <t>2025-11-17 11:01:12</t>
        </is>
      </c>
      <c r="G96" t="inlineStr">
        <is>
          <t>图文</t>
        </is>
      </c>
      <c r="H96" t="inlineStr">
        <is>
          <t>大虾基围虾王牌大虾厄瓜多尔白虾盐冻虾仁海洋大虾送礼顺丰包邮</t>
        </is>
      </c>
      <c r="I96" t="inlineStr">
        <is>
          <t>690aeb7be379430001e686ac</t>
        </is>
      </c>
      <c r="J96" t="inlineStr">
        <is>
          <t/>
        </is>
      </c>
      <c r="K96" t="n">
        <v>0.0</v>
      </c>
      <c r="L96" t="n">
        <v>0.0</v>
      </c>
      <c r="M96" t="n">
        <v>1.0</v>
      </c>
      <c r="N96" t="inlineStr">
        <is>
          <t>0.14285714285714285</t>
        </is>
      </c>
      <c r="O96" t="n">
        <v>1.0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inlineStr">
        <is>
          <t/>
        </is>
      </c>
      <c r="X96" t="n">
        <v>0.0</v>
      </c>
      <c r="Y96" t="n">
        <v>0.0</v>
      </c>
      <c r="Z96" t="n">
        <v>1.0</v>
      </c>
      <c r="AA96" t="n">
        <v>0.0</v>
      </c>
      <c r="AB96" t="n">
        <v>0.0</v>
      </c>
      <c r="AC96" t="n">
        <v>0.0</v>
      </c>
      <c r="AD96" t="n">
        <v>7.0</v>
      </c>
      <c r="AE96" t="n">
        <v>0.0</v>
      </c>
      <c r="AF96" t="n">
        <v>0.0</v>
      </c>
      <c r="AG96" t="n">
        <v>0.0</v>
      </c>
      <c r="AH96" t="n">
        <v>1.0</v>
      </c>
      <c r="AI96" t="n">
        <v>0.0</v>
      </c>
      <c r="AJ96" t="n">
        <v>0.0</v>
      </c>
      <c r="AK96" t="n">
        <v>4.142857142857143</v>
      </c>
      <c r="AL9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2026-08-22T09:39:17Z</dcterms:created>
  <dc:creator>Apache POI</dc:creator>
</cp:coreProperties>
</file>